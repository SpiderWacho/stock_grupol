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020" tabRatio="600" firstSheet="0" activeTab="2" autoFilterDateGrouping="1"/>
  </bookViews>
  <sheets>
    <sheet name="MRP" sheetId="1" state="visible" r:id="rId1"/>
    <sheet name="Calcular necesidad" sheetId="2" state="visible" r:id="rId2"/>
    <sheet name="Stock" sheetId="3" state="visible" r:id="rId3"/>
    <sheet name="Tabla Articulos" sheetId="4" state="visible" r:id="rId4"/>
    <sheet name="Necesidad por familia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color theme="0"/>
      <sz val="11"/>
    </font>
    <font>
      <name val="Aptos Narrow"/>
      <family val="2"/>
      <sz val="11"/>
      <scheme val="minor"/>
    </font>
    <font>
      <name val="Aptos Narrow"/>
      <family val="2"/>
      <color rgb="FF000000"/>
      <sz val="11"/>
    </font>
    <font>
      <name val="Aptos"/>
      <family val="2"/>
      <color rgb="FF000000"/>
      <sz val="12"/>
    </font>
    <font>
      <name val="Calibri"/>
      <family val="2"/>
      <color rgb="FF000000"/>
      <sz val="11"/>
    </font>
    <font>
      <name val="Calibri"/>
      <family val="2"/>
      <sz val="10"/>
    </font>
    <font>
      <name val="Aptos Narrow"/>
      <family val="2"/>
      <b val="1"/>
      <color rgb="FF000000"/>
      <sz val="11"/>
    </font>
    <font>
      <name val="Aptos Narrow"/>
      <family val="2"/>
      <color rgb="FFFF0000"/>
      <sz val="11"/>
      <scheme val="minor"/>
    </font>
    <font>
      <name val="Aptos Narrow"/>
      <family val="2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9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1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vertical="center"/>
    </xf>
    <xf numFmtId="0" fontId="0" fillId="0" borderId="4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/>
    </xf>
    <xf numFmtId="0" fontId="2" fillId="6" borderId="2" applyAlignment="1" pivotButton="0" quotePrefix="0" xfId="0">
      <alignment horizontal="centerContinuous" vertical="center"/>
    </xf>
    <xf numFmtId="0" fontId="0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Continuous" vertical="center"/>
    </xf>
    <xf numFmtId="0" fontId="0" fillId="7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6" borderId="10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9" fillId="5" borderId="4" applyAlignment="1" pivotButton="0" quotePrefix="0" xfId="0">
      <alignment horizontal="center"/>
    </xf>
    <xf numFmtId="0" fontId="9" fillId="5" borderId="8" applyAlignment="1" pivotButton="0" quotePrefix="0" xfId="0">
      <alignment horizontal="center"/>
    </xf>
    <xf numFmtId="1" fontId="3" fillId="2" borderId="12" applyAlignment="1" pivotButton="0" quotePrefix="0" xfId="0">
      <alignment horizontal="center" vertical="center"/>
    </xf>
    <xf numFmtId="1" fontId="5" fillId="0" borderId="12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/>
    </xf>
    <xf numFmtId="0" fontId="2" fillId="6" borderId="7" applyAlignment="1" pivotButton="0" quotePrefix="0" xfId="0">
      <alignment horizontal="center" vertical="center"/>
    </xf>
    <xf numFmtId="0" fontId="0" fillId="6" borderId="5" applyAlignment="1" pivotButton="0" quotePrefix="0" xfId="0">
      <alignment horizontal="center" vertical="center"/>
    </xf>
    <xf numFmtId="0" fontId="0" fillId="6" borderId="9" applyAlignment="1" pivotButton="0" quotePrefix="0" xfId="0">
      <alignment horizontal="center" vertical="center"/>
    </xf>
    <xf numFmtId="0" fontId="0" fillId="5" borderId="10" applyAlignment="1" pivotButton="0" quotePrefix="0" xfId="0">
      <alignment horizontal="center"/>
    </xf>
    <xf numFmtId="0" fontId="0" fillId="6" borderId="13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" fontId="0" fillId="8" borderId="0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0" fillId="6" borderId="4" applyAlignment="1" pivotButton="0" quotePrefix="0" xfId="0">
      <alignment horizontal="center"/>
    </xf>
    <xf numFmtId="0" fontId="0" fillId="7" borderId="4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5" borderId="11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9" fontId="0" fillId="0" borderId="0" applyAlignment="1" pivotButton="0" quotePrefix="0" xfId="2">
      <alignment horizontal="center" vertical="center"/>
    </xf>
    <xf numFmtId="0" fontId="10" fillId="0" borderId="2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 vertical="center"/>
    </xf>
    <xf numFmtId="0" fontId="4" fillId="0" borderId="16" applyAlignment="1" applyProtection="1" pivotButton="0" quotePrefix="0" xfId="0">
      <alignment horizontal="center" vertical="center"/>
      <protection locked="0" hidden="0"/>
    </xf>
    <xf numFmtId="0" fontId="0" fillId="6" borderId="15" applyAlignment="1" pivotButton="0" quotePrefix="0" xfId="0">
      <alignment horizontal="center" vertical="center"/>
    </xf>
    <xf numFmtId="0" fontId="0" fillId="5" borderId="6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4" fillId="0" borderId="2" applyAlignment="1" pivotButton="0" quotePrefix="0" xfId="0">
      <alignment horizontal="center" vertical="center"/>
    </xf>
    <xf numFmtId="9" fontId="4" fillId="0" borderId="0" applyAlignment="1" pivotButton="0" quotePrefix="0" xfId="2">
      <alignment horizontal="center" vertical="center"/>
    </xf>
    <xf numFmtId="0" fontId="4" fillId="0" borderId="0" applyAlignment="1" pivotButton="0" quotePrefix="0" xfId="0">
      <alignment horizontal="center"/>
    </xf>
    <xf numFmtId="0" fontId="0" fillId="7" borderId="3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1" fontId="7" fillId="0" borderId="17" applyAlignment="1" pivotButton="0" quotePrefix="0" xfId="0">
      <alignment horizontal="center" vertical="center"/>
    </xf>
    <xf numFmtId="1" fontId="0" fillId="0" borderId="17" applyAlignment="1" pivotButton="0" quotePrefix="0" xfId="0">
      <alignment horizontal="center" vertical="center"/>
    </xf>
    <xf numFmtId="3" fontId="0" fillId="4" borderId="17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 wrapText="1"/>
    </xf>
    <xf numFmtId="1" fontId="8" fillId="0" borderId="17" applyAlignment="1" pivotButton="0" quotePrefix="0" xfId="1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11" fillId="0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0" borderId="14" pivotButton="0" quotePrefix="0" xfId="0"/>
    <xf numFmtId="1" fontId="0" fillId="0" borderId="10" applyAlignment="1" pivotButton="0" quotePrefix="0" xfId="0">
      <alignment horizontal="center"/>
    </xf>
    <xf numFmtId="0" fontId="0" fillId="9" borderId="1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1" fontId="0" fillId="8" borderId="0" applyAlignment="1" pivotButton="0" quotePrefix="0" xfId="0">
      <alignment horizontal="center" vertical="center"/>
    </xf>
  </cellXfs>
  <cellStyles count="3">
    <cellStyle name="Normal" xfId="0" builtinId="0"/>
    <cellStyle name="Millares" xfId="1" builtinId="3"/>
    <cellStyle name="Porcentaje" xfId="2" builtinId="5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"/>
      </font>
      <fill>
        <patternFill>
          <bgColor rgb="FFFFFF99"/>
        </patternFill>
      </fill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3" formatCode="0%"/>
      <alignment horizontal="center" vertical="center"/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9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ill>
        <patternFill patternType="solid">
          <fgColor indexed="64"/>
          <bgColor theme="9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" formatCode="0"/>
      <fill>
        <patternFill patternType="solid">
          <fgColor indexed="64"/>
          <bgColor theme="5" tint="0.5999938962981048"/>
        </patternFill>
      </fill>
      <alignment horizontal="center" vertical="center"/>
    </dxf>
    <dxf>
      <fill>
        <patternFill patternType="solid">
          <fgColor indexed="64"/>
          <bgColor theme="5" tint="0.5999938962981048"/>
        </patternFill>
      </fill>
      <alignment horizontal="center" vertical="center"/>
    </dxf>
    <dxf>
      <fill>
        <patternFill patternType="solid">
          <fgColor indexed="64"/>
          <bgColor theme="5" tint="0.5999938962981048"/>
        </patternFill>
      </fill>
      <alignment horizontal="center" vertical="center"/>
    </dxf>
    <dxf>
      <fill>
        <patternFill patternType="solid">
          <fgColor indexed="64"/>
          <bgColor theme="5" tint="0.5999938962981048"/>
        </patternFill>
      </fill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alignment horizontal="center" vertical="center"/>
    </dxf>
    <dxf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"/>
        </patternFill>
      </fill>
      <alignment horizontal="center" vertical="center"/>
    </dxf>
    <dxf>
      <numFmt numFmtId="0" formatCode="General"/>
      <fill>
        <patternFill patternType="solid">
          <fgColor indexed="64"/>
          <bgColor theme="7" tint="0.7999816888943144"/>
        </patternFill>
      </fill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5" tint="0.7999816888943144"/>
        </patternFill>
      </fill>
      <alignment horizontal="center" vertical="center"/>
      <border>
        <left/>
        <right/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rgb="FF000000"/>
        <extend val="0"/>
        <sz val="11"/>
        <vertAlign val="baseline"/>
      </font>
      <fill>
        <patternFill patternType="solid">
          <fgColor indexed="64"/>
          <bgColor theme="7" tint="0.7999816888943144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  <fill>
        <patternFill patternType="solid">
          <fgColor indexed="64"/>
          <bgColor rgb="FFFFC000"/>
        </patternFill>
      </fill>
      <alignment horizontal="center" vertical="center"/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wrapText="1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" formatCode="#,##0"/>
      <fill>
        <patternFill patternType="solid">
          <fgColor indexed="64"/>
          <bgColor theme="0" tint="-0.0499893185216834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numFmt numFmtId="1" formatCode="0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" formatCode="0"/>
      <alignment horizontal="center" vertical="center"/>
      <border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</border>
    </dxf>
    <dxf>
      <alignment horizontal="center" vertical="center"/>
    </dxf>
    <dxf>
      <font>
        <name val="Aptos Narrow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  <protection locked="0" hidden="0"/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</dxf>
    <dxf>
      <border outline="0"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la4" displayName="Tabla4" ref="A1:W245" headerRowCount="1" totalsRowShown="0" headerRowDxfId="88" dataDxfId="87" tableBorderDxfId="86">
  <autoFilter ref="A1:W245">
    <filterColumn colId="2" hiddenButton="0" showButton="1">
      <filters>
        <filter val="ROLLO PAPEL MANTECA"/>
      </filters>
    </filterColumn>
  </autoFilter>
  <tableColumns count="23">
    <tableColumn id="22" name="COD SAP" dataDxfId="85"/>
    <tableColumn id="1" name="CodInternoArti" dataDxfId="84"/>
    <tableColumn id="2" name="DescripcionArti" dataDxfId="83"/>
    <tableColumn id="3" name="Nivel_Integracion_3" dataDxfId="82"/>
    <tableColumn id="4" name="Nivel_Integracion_4" dataDxfId="81"/>
    <tableColumn id="5" name="Nivel_Integracion_5" dataDxfId="80"/>
    <tableColumn id="6" name="Ubicacion" dataDxfId="79"/>
    <tableColumn id="7" name="52" dataDxfId="78"/>
    <tableColumn id="8" name="53" dataDxfId="77"/>
    <tableColumn id="9" name="1" dataDxfId="76"/>
    <tableColumn id="10" name="2" dataDxfId="75"/>
    <tableColumn id="11" name="55" dataDxfId="74"/>
    <tableColumn id="12" name="56" dataDxfId="73"/>
    <tableColumn id="13" name="TOTAL" dataDxfId="72"/>
    <tableColumn id="14" name="STK CIU" dataDxfId="71"/>
    <tableColumn id="15" name="STK MOR" dataDxfId="70"/>
    <tableColumn id="16" name="STK MOR3" dataDxfId="69"/>
    <tableColumn id="17" name="STATUS" dataDxfId="68"/>
    <tableColumn id="18" name="DIFERENCIA" dataDxfId="67"/>
    <tableColumn id="19" name="sem 1+2" dataDxfId="66"/>
    <tableColumn id="20" name="CATEGORY" dataDxfId="65"/>
    <tableColumn id="21" name="ESTA CONTEMPLADO?" dataDxfId="64">
      <calculatedColumnFormula>_xlfn.XMATCH(Tabla4[[#This Row],[EAN CORREGIDO]],'Calcular necesidad'!L:L)</calculatedColumnFormula>
    </tableColumn>
    <tableColumn id="23" name="EAN CORREGIDO" dataDxfId="63">
      <calculatedColumnFormula>TRIM(Tabla4[[#This Row],[CodInternoArti]])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L259" headerRowCount="1" totalsRowShown="0" headerRowDxfId="62" dataDxfId="60" headerRowBorderDxfId="61" tableBorderDxfId="59">
  <tableColumns count="12">
    <tableColumn id="1" name="Esta en &quot;Tablar articulos&quot;?" dataDxfId="58">
      <calculatedColumnFormula>IF(ISNUMBER(_xlfn.XMATCH(Tabla3[[#This Row],[CodInternoArti]],'Tabla Articulos'!B:B)),"OK","NO ESTA")</calculatedColumnFormula>
    </tableColumn>
    <tableColumn id="11" name="&quot;Necesidad x Familia&quot;?" dataDxfId="57">
      <calculatedColumnFormula>IF(ISNUMBER(_xlfn.XMATCH('Calcular necesidad'!E:E,'Necesidad por familia'!A:A)),"OK","NO ESTA")</calculatedColumnFormula>
    </tableColumn>
    <tableColumn id="2" name="CodInternoArti" dataDxfId="56"/>
    <tableColumn id="3" name="DescripcionArti" dataDxfId="55"/>
    <tableColumn id="4" name="Familia" dataDxfId="54">
      <calculatedColumnFormula>_xlfn.XLOOKUP(C2,'Tabla Articulos'!B:B,'Tabla Articulos'!D:D)</calculatedColumnFormula>
    </tableColumn>
    <tableColumn id="5" name="UM" dataDxfId="53">
      <calculatedColumnFormula>_xlfn.XLOOKUP(C2,'Tabla Articulos'!B:B,'Tabla Articulos'!E:E)</calculatedColumnFormula>
    </tableColumn>
    <tableColumn id="6" name="Moreno" dataDxfId="52">
      <calculatedColumnFormula>SUM(
    SUMIFS(MRP!$H$2:$H$245, MRP!$B$2:$B$245, $C2, MRP!$G$2:$G$245, G$1),
    SUMIFS(MRP!$I$2:$I$245, MRP!$B$2:$B$245, $C2, MRP!$G$2:$G$245, G$1),
    SUMIFS(MRP!$J$2:$J$245, MRP!$B$2:$B$245, $C2,  MRP!$G$2:$G$245, G$1),
    SUMIFS(MRP!$K$2:$K$245, MRP!$B$2:$B$245, $C2,  MRP!$G$2:$G$245, G$1),
    SUMIFS(MRP!$L$2:$L$245, MRP!$B$2:$B$245, $C2,  MRP!$G$2:$G$245, G$1)
)*F2</calculatedColumnFormula>
    </tableColumn>
    <tableColumn id="7" name="Ciudadela" dataDxfId="51">
      <calculatedColumnFormula>SUM(
    SUMIFS(MRP!$H$2:$H$245, MRP!$B$2:$B$245, $C2, MRP!$G$2:$G$245, H$1),
    SUMIFS(MRP!$I$2:$I$245, MRP!$B$2:$B$245, $C2, MRP!$G$2:$G$245, H$1),
    SUMIFS(MRP!$J$2:$J$245, MRP!$B$2:$B$245, $C2,  MRP!$G$2:$G$245, H$1),
    SUMIFS(MRP!$K$2:$K$245, MRP!$B$2:$B$245, $C2,  MRP!$G$2:$G$245, H$1),
    SUMIFS(MRP!$L$2:$L$245, MRP!$B$2:$B$245, $C2,  MRP!$G$2:$G$245, H$1)
)*F2</calculatedColumnFormula>
    </tableColumn>
    <tableColumn id="8" name="CD Moreno 2" dataDxfId="50">
      <calculatedColumnFormula>SUM(
    SUMIFS(MRP!$H$2:$H$245, MRP!$B$2:$B$245, $C2, MRP!$G$2:$G$245, I$1),
    SUMIFS(MRP!$I$2:$I$245, MRP!$B$2:$B$245, $C2, MRP!$G$2:$G$245, I$1),
    SUMIFS(MRP!$J$2:$J$245, MRP!$B$2:$B$245, $C2,  MRP!$G$2:$G$245, I$1),
    SUMIFS(MRP!$K$2:$K$245, MRP!$B$2:$B$245, $C2,  MRP!$G$2:$G$245, I$1),
    SUMIFS(MRP!$L$2:$L$245, MRP!$B$2:$B$245, $C2,  MRP!$G$2:$G$245, I$1)
)*F2</calculatedColumnFormula>
    </tableColumn>
    <tableColumn id="9" name="Operador interior" dataDxfId="49">
      <calculatedColumnFormula>SUM(
    SUMIFS(MRP!$H$2:$H$245, MRP!$B$2:$B$245, $C2, MRP!$G$2:$G$245, J$1),
    SUMIFS(MRP!$I$2:$I$245, MRP!$B$2:$B$245, $C2, MRP!$G$2:$G$245, J$1),
    SUMIFS(MRP!$J$2:$J$245, MRP!$B$2:$B$245, $C2,  MRP!$G$2:$G$245, J$1),
    SUMIFS(MRP!$K$2:$K$245, MRP!$B$2:$B$245, $C2,  MRP!$G$2:$G$245, J$1),
    SUMIFS(MRP!$L$2:$L$245, MRP!$B$2:$B$245, $C2,  MRP!$G$2:$G$245, J$1)
)*F2</calculatedColumnFormula>
    </tableColumn>
    <tableColumn id="10" name="CD Moreno 3" dataDxfId="48">
      <calculatedColumnFormula>SUM(
    SUMIFS(MRP!$H$2:$H$245, MRP!$B$2:$B$245, $C2, MRP!$G$2:$G$245, K$1),
    SUMIFS(MRP!$I$2:$I$245, MRP!$B$2:$B$245, $C2, MRP!$G$2:$G$245, K$1),
    SUMIFS(MRP!$J$2:$J$245, MRP!$B$2:$B$245, $C2,  MRP!$G$2:$G$245, K$1),
    SUMIFS(MRP!$K$2:$K$245, MRP!$B$2:$B$245, $C2,  MRP!$G$2:$G$245, K$1),
    SUMIFS(MRP!$L$2:$L$245, MRP!$B$2:$B$245, $C2,  MRP!$G$2:$G$245, K$1)
)*F2</calculatedColumnFormula>
    </tableColumn>
    <tableColumn id="12" name="Ean Corregido" dataDxfId="47">
      <calculatedColumnFormula>TRIM(Tabla3[[#This Row],[CodInternoArti]])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S3500" headerRowCount="1" totalsRowShown="0" headerRowDxfId="46" dataDxfId="45" tableBorderDxfId="44">
  <autoFilter ref="A1:S3500">
    <filterColumn colId="6" hiddenButton="0" showButton="1">
      <filters>
        <filter val="INDIVIDIDUAL HEALTH X1000"/>
        <filter val="SERVILLETA 33X21.5 HEALTH X1000UN"/>
      </filters>
    </filterColumn>
  </autoFilter>
  <tableColumns count="19">
    <tableColumn id="1" name="CD" dataDxfId="43"/>
    <tableColumn id="2" name="CtroDistrib" dataDxfId="42"/>
    <tableColumn id="3" name="Empresa" dataDxfId="41"/>
    <tableColumn id="4" name="DescrNivelInt5" dataDxfId="40"/>
    <tableColumn id="5" name="Articulo" dataDxfId="39"/>
    <tableColumn id="19" name="Cod Sap" dataDxfId="38"/>
    <tableColumn id="6" name="GrpAbr" dataDxfId="37"/>
    <tableColumn id="7" name="UM" dataDxfId="36"/>
    <tableColumn id="8" name="Fisico" dataDxfId="35"/>
    <tableColumn id="9" name="PendGuardar" dataDxfId="34"/>
    <tableColumn id="10" name="NoApto" dataDxfId="33"/>
    <tableColumn id="11" name="PedSinOP" dataDxfId="32"/>
    <tableColumn id="12" name="PendPreparar" dataDxfId="31"/>
    <tableColumn id="13" name="PendImportacion" dataDxfId="30"/>
    <tableColumn id="14" name="Stock disp" dataDxfId="29"/>
    <tableColumn id="15" name="FAMILIA" dataDxfId="28">
      <calculatedColumnFormula>_xlfn.XLOOKUP(Tabla5[[#This Row],[EAN CORREGIDO]],'Tabla Articulos'!B:B,'Tabla Articulos'!D:D)</calculatedColumnFormula>
    </tableColumn>
    <tableColumn id="16" name="UM2" dataDxfId="27">
      <calculatedColumnFormula>_xlfn.XLOOKUP(S2,'Tabla Articulos'!B:B,'Tabla Articulos'!E:E)</calculatedColumnFormula>
    </tableColumn>
    <tableColumn id="17" name="TOTAL" dataDxfId="26">
      <calculatedColumnFormula>O2*Q2</calculatedColumnFormula>
    </tableColumn>
    <tableColumn id="18" name="EAN CORREGIDO" dataDxfId="25">
      <calculatedColumnFormula>TRIM(E2)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2" displayName="Tabla2" ref="A1:F317" headerRowCount="1" totalsRowShown="0" headerRowDxfId="99" dataDxfId="97" headerRowBorderDxfId="98" tableBorderDxfId="96" totalsRowBorderDxfId="95">
  <tableColumns count="6">
    <tableColumn id="1" name="COD SAP" dataDxfId="94"/>
    <tableColumn id="2" name="CodInternoArti" dataDxfId="93"/>
    <tableColumn id="3" name="DescripcionArti" dataDxfId="92"/>
    <tableColumn id="4" name="Familia" dataDxfId="91"/>
    <tableColumn id="5" name="UM" dataDxfId="90"/>
    <tableColumn id="6" name="Prov" dataDxfId="89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id="5" name="Tabla1" displayName="Tabla1" ref="A2:M125" headerRowCount="1" totalsRowShown="0" headerRowBorderDxfId="24" tableBorderDxfId="23" totalsRowBorderDxfId="22">
  <autoFilter ref="A2:M125">
    <filterColumn colId="9" hiddenButton="0" showButton="1">
      <customFilters>
        <customFilter val="0.5" operator="lessThan"/>
      </customFilters>
    </filterColumn>
  </autoFilter>
  <tableColumns count="13">
    <tableColumn id="1" name="Familia" dataDxfId="21"/>
    <tableColumn id="2" name="UM (ultima compra)" dataDxfId="20"/>
    <tableColumn id="3" name="Esta en necesidad?" dataDxfId="19">
      <calculatedColumnFormula>IF(ISNUMBER(_xlfn.XMATCH(A3,'Calcular necesidad'!E:E,0)),"OK","NO ESTA")</calculatedColumnFormula>
    </tableColumn>
    <tableColumn id="4" name="Moreno" dataDxfId="18">
      <calculatedColumnFormula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calculatedColumnFormula>
    </tableColumn>
    <tableColumn id="5" name="Ciudadela" dataDxfId="17">
      <calculatedColumnFormula>SUMIF('Calcular necesidad'!E:E,'Necesidad por familia'!A3,'Calcular necesidad'!$H:$H)/B3</calculatedColumnFormula>
    </tableColumn>
    <tableColumn id="6" name="Moreno2" dataDxfId="16">
      <calculatedColumnFormula>SUMIFS(Stock!R:R,Stock!B:B,"&lt;&gt;CD CIUDADELA                  ",Stock!P:P,'Necesidad por familia'!A3)/B3</calculatedColumnFormula>
    </tableColumn>
    <tableColumn id="7" name="Ciudadela3" dataDxfId="15">
      <calculatedColumnFormula>SUMIFS(Stock!R:R,Stock!B:B,"CD CIUDADELA                  ",Stock!P:P,'Necesidad por familia'!A3)/B3</calculatedColumnFormula>
    </tableColumn>
    <tableColumn id="12" name="Stock total" dataDxfId="14">
      <calculatedColumnFormula>Tabla1[[#This Row],[Moreno2]]+Tabla1[[#This Row],[Ciudadela3]]</calculatedColumnFormula>
    </tableColumn>
    <tableColumn id="8" name="Diferencia" dataDxfId="13">
      <calculatedColumnFormula>IF((D3+E3)=0,"Sin consumo",(F3+G3)-(D3+E3))</calculatedColumnFormula>
    </tableColumn>
    <tableColumn id="9" name="Cobertura" dataDxfId="12" dataCellStyle="Porcentaje">
      <calculatedColumnFormula>IF(Tabla1[[#This Row],[Diferencia]]="Sin Consumo","100%",Tabla1[[#This Row],[Stock total]]/(Tabla1[[#This Row],[Moreno]]+Tabla1[[#This Row],[Ciudadela]]))</calculatedColumnFormula>
    </tableColumn>
    <tableColumn id="11" name="Estado" dataDxfId="11"/>
    <tableColumn id="10" name="Ultima OC"/>
    <tableColumn id="13" name="Proveed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Hoja1">
    <tabColor theme="7" tint="0.3999755851924192"/>
    <outlinePr summaryBelow="1" summaryRight="1"/>
    <pageSetUpPr/>
  </sheetPr>
  <dimension ref="A1:W245"/>
  <sheetViews>
    <sheetView topLeftCell="D1" workbookViewId="0">
      <selection activeCell="J28" sqref="J28"/>
    </sheetView>
  </sheetViews>
  <sheetFormatPr baseColWidth="10" defaultColWidth="0" defaultRowHeight="14.5" zeroHeight="1"/>
  <cols>
    <col width="20.1796875" bestFit="1" customWidth="1" style="16" min="1" max="1"/>
    <col width="16.453125" bestFit="1" customWidth="1" style="16" min="2" max="2"/>
    <col width="41.54296875" bestFit="1" customWidth="1" style="16" min="3" max="3"/>
    <col width="19.453125" customWidth="1" style="16" min="4" max="4"/>
    <col width="25.26953125" bestFit="1" customWidth="1" style="16" min="5" max="5"/>
    <col width="28.1796875" bestFit="1" customWidth="1" style="16" min="6" max="6"/>
    <col width="14.54296875" bestFit="1" customWidth="1" style="16" min="7" max="7"/>
    <col width="7.453125" customWidth="1" style="16" min="8" max="8"/>
    <col width="8.54296875" customWidth="1" style="16" min="9" max="9"/>
    <col width="6.453125" customWidth="1" style="16" min="10" max="12"/>
    <col width="4.81640625" customWidth="1" style="16" min="13" max="13"/>
    <col width="7.81640625" customWidth="1" style="16" min="14" max="14"/>
    <col width="9.1796875" customWidth="1" style="16" min="15" max="15"/>
    <col width="10.453125" customWidth="1" style="16" min="16" max="16"/>
    <col width="11.453125" customWidth="1" style="16" min="17" max="17"/>
    <col width="10.81640625" customWidth="1" style="16" min="18" max="18"/>
    <col width="13" customWidth="1" style="16" min="19" max="19"/>
    <col width="9.7265625" customWidth="1" style="16" min="20" max="20"/>
    <col width="15.81640625" customWidth="1" style="16" min="21" max="21"/>
    <col width="34.81640625" bestFit="1" customWidth="1" style="16" min="22" max="22"/>
    <col width="10.81640625" customWidth="1" min="23" max="26"/>
    <col hidden="1" width="13" customWidth="1" min="27" max="27"/>
    <col hidden="1" width="10.81640625" customWidth="1" min="28" max="62"/>
    <col hidden="1" width="10.81640625" customWidth="1" min="63" max="16384"/>
  </cols>
  <sheetData>
    <row r="1">
      <c r="A1" s="34" t="inlineStr">
        <is>
          <t>COD SAP</t>
        </is>
      </c>
      <c r="B1" s="34" t="inlineStr">
        <is>
          <t>CodInternoArti</t>
        </is>
      </c>
      <c r="C1" s="2" t="inlineStr">
        <is>
          <t>DescripcionArti</t>
        </is>
      </c>
      <c r="D1" s="2" t="inlineStr">
        <is>
          <t>Nivel_Integracion_3</t>
        </is>
      </c>
      <c r="E1" s="2" t="inlineStr">
        <is>
          <t>Nivel_Integracion_4</t>
        </is>
      </c>
      <c r="F1" s="2" t="inlineStr">
        <is>
          <t>Nivel_Integracion_5</t>
        </is>
      </c>
      <c r="G1" s="2" t="inlineStr">
        <is>
          <t>Ubicacion</t>
        </is>
      </c>
      <c r="H1" s="2" t="inlineStr">
        <is>
          <t>52</t>
        </is>
      </c>
      <c r="I1" s="2" t="inlineStr">
        <is>
          <t>53</t>
        </is>
      </c>
      <c r="J1" s="2" t="inlineStr">
        <is>
          <t>1</t>
        </is>
      </c>
      <c r="K1" s="2" t="inlineStr">
        <is>
          <t>2</t>
        </is>
      </c>
      <c r="L1" s="2" t="inlineStr">
        <is>
          <t>55</t>
        </is>
      </c>
      <c r="M1" s="2" t="inlineStr">
        <is>
          <t>56</t>
        </is>
      </c>
      <c r="N1" s="3" t="inlineStr">
        <is>
          <t>TOTAL</t>
        </is>
      </c>
      <c r="O1" s="2" t="inlineStr">
        <is>
          <t>STK CIU</t>
        </is>
      </c>
      <c r="P1" s="2" t="inlineStr">
        <is>
          <t>STK MOR</t>
        </is>
      </c>
      <c r="Q1" s="2" t="inlineStr">
        <is>
          <t>STK MOR3</t>
        </is>
      </c>
      <c r="R1" s="4" t="inlineStr">
        <is>
          <t>STATUS</t>
        </is>
      </c>
      <c r="S1" s="4" t="inlineStr">
        <is>
          <t>DIFERENCIA</t>
        </is>
      </c>
      <c r="T1" s="4" t="inlineStr">
        <is>
          <t>sem 1+2</t>
        </is>
      </c>
      <c r="U1" s="4" t="inlineStr">
        <is>
          <t>CATEGORY</t>
        </is>
      </c>
      <c r="V1" s="16" t="inlineStr">
        <is>
          <t>ESTA CONTEMPLADO?</t>
        </is>
      </c>
      <c r="W1" s="62" t="inlineStr">
        <is>
          <t>EAN CORREGIDO</t>
        </is>
      </c>
    </row>
    <row r="2" hidden="1">
      <c r="A2" s="5" t="n">
        <v>2006442</v>
      </c>
      <c r="B2" s="35" t="inlineStr">
        <is>
          <t>13044000A</t>
        </is>
      </c>
      <c r="C2" s="7" t="inlineStr">
        <is>
          <t>RESINITE (FILM DE PVC) x ROLLO</t>
        </is>
      </c>
      <c r="D2" s="7" t="inlineStr">
        <is>
          <t>VARIOS</t>
        </is>
      </c>
      <c r="E2" s="7" t="inlineStr">
        <is>
          <t>RESINITE</t>
        </is>
      </c>
      <c r="F2" s="7" t="inlineStr">
        <is>
          <t>RESINITE PVC</t>
        </is>
      </c>
      <c r="G2" s="7" t="inlineStr">
        <is>
          <t>CD Moreno 3</t>
        </is>
      </c>
      <c r="H2" s="6" t="n"/>
      <c r="I2" s="6" t="n"/>
      <c r="J2" s="6" t="n"/>
      <c r="K2" s="6" t="n"/>
      <c r="L2" s="6" t="n"/>
      <c r="M2" s="7" t="n"/>
      <c r="N2" s="8" t="n">
        <v>0</v>
      </c>
      <c r="O2" s="5" t="n">
        <v>0</v>
      </c>
      <c r="P2" s="5" t="n">
        <v>0</v>
      </c>
      <c r="Q2" s="5" t="n">
        <v>0</v>
      </c>
      <c r="R2" s="9" t="inlineStr">
        <is>
          <t>OK</t>
        </is>
      </c>
      <c r="S2" s="5" t="n">
        <v>0</v>
      </c>
      <c r="T2" s="5" t="n">
        <v>0</v>
      </c>
      <c r="U2" s="5" t="inlineStr">
        <is>
          <t>GASTON VECCHIO</t>
        </is>
      </c>
      <c r="V2" s="94">
        <f>_xlfn.XMATCH(Tabla4[[#This Row],[EAN CORREGIDO]],'Calcular necesidad'!L:L)</f>
        <v/>
      </c>
      <c r="W2" s="94">
        <f>TRIM(Tabla4[[#This Row],[CodInternoArti]])</f>
        <v/>
      </c>
    </row>
    <row r="3" hidden="1">
      <c r="A3" s="5" t="n">
        <v>2006486</v>
      </c>
      <c r="B3" s="35" t="inlineStr">
        <is>
          <t>16204004A</t>
        </is>
      </c>
      <c r="C3" s="7" t="inlineStr">
        <is>
          <t>ROLLO BOLSA ARRANQUE 45 x 60</t>
        </is>
      </c>
      <c r="D3" s="7" t="inlineStr">
        <is>
          <t>BOLSAS</t>
        </is>
      </c>
      <c r="E3" s="7" t="inlineStr">
        <is>
          <t>BOLSAS ARRANQUE</t>
        </is>
      </c>
      <c r="F3" s="7" t="inlineStr">
        <is>
          <t>BOLSAS ARRANQUE</t>
        </is>
      </c>
      <c r="G3" s="7" t="inlineStr">
        <is>
          <t>Ciudadela</t>
        </is>
      </c>
      <c r="H3" s="6" t="n">
        <v>4</v>
      </c>
      <c r="I3" s="6" t="n">
        <v>4</v>
      </c>
      <c r="J3" s="6" t="n">
        <v>4</v>
      </c>
      <c r="K3" s="6" t="n">
        <v>4</v>
      </c>
      <c r="L3" s="6" t="n">
        <v>4</v>
      </c>
      <c r="M3" s="7" t="n">
        <v>4</v>
      </c>
      <c r="N3" s="8" t="n">
        <v>31.2</v>
      </c>
      <c r="O3" s="5" t="n">
        <v>0</v>
      </c>
      <c r="P3" s="5" t="n">
        <v>0</v>
      </c>
      <c r="Q3" s="5" t="n">
        <v>0</v>
      </c>
      <c r="R3" s="9" t="inlineStr">
        <is>
          <t>COMPRAR</t>
        </is>
      </c>
      <c r="S3" s="5" t="n">
        <v>31.2</v>
      </c>
      <c r="T3" s="5" t="n">
        <v>-8</v>
      </c>
      <c r="U3" s="5" t="inlineStr">
        <is>
          <t>GASTON VECCHIO</t>
        </is>
      </c>
      <c r="V3" s="94">
        <f>_xlfn.XMATCH(Tabla4[[#This Row],[EAN CORREGIDO]],'Calcular necesidad'!L:L)</f>
        <v/>
      </c>
      <c r="W3" s="94">
        <f>TRIM(Tabla4[[#This Row],[CodInternoArti]])</f>
        <v/>
      </c>
    </row>
    <row r="4" hidden="1">
      <c r="A4" s="5" t="n">
        <v>2006486</v>
      </c>
      <c r="B4" s="35" t="inlineStr">
        <is>
          <t>16204004A</t>
        </is>
      </c>
      <c r="C4" s="7" t="inlineStr">
        <is>
          <t>ROLLO BOLSA ARRANQUE 45 x 60</t>
        </is>
      </c>
      <c r="D4" s="7" t="inlineStr">
        <is>
          <t>BOLSAS</t>
        </is>
      </c>
      <c r="E4" s="7" t="inlineStr">
        <is>
          <t>BOLSAS ARRANQUE</t>
        </is>
      </c>
      <c r="F4" s="7" t="inlineStr">
        <is>
          <t>BOLSAS ARRANQUE</t>
        </is>
      </c>
      <c r="G4" s="7" t="inlineStr">
        <is>
          <t>CD Moreno 3</t>
        </is>
      </c>
      <c r="H4" s="6" t="n">
        <v>3</v>
      </c>
      <c r="I4" s="6" t="n"/>
      <c r="J4" s="6" t="n"/>
      <c r="K4" s="6" t="n"/>
      <c r="L4" s="6" t="n"/>
      <c r="M4" s="7" t="n"/>
      <c r="N4" s="8" t="n">
        <v>3.9</v>
      </c>
      <c r="O4" s="5" t="n">
        <v>0</v>
      </c>
      <c r="P4" s="5" t="n">
        <v>0</v>
      </c>
      <c r="Q4" s="5" t="n">
        <v>0</v>
      </c>
      <c r="R4" s="9" t="inlineStr">
        <is>
          <t>COMPRAR</t>
        </is>
      </c>
      <c r="S4" s="5" t="n">
        <v>3.9</v>
      </c>
      <c r="T4" s="5" t="n">
        <v>-3</v>
      </c>
      <c r="U4" s="5" t="inlineStr">
        <is>
          <t>GASTON VECCHIO</t>
        </is>
      </c>
      <c r="V4" s="94">
        <f>_xlfn.XMATCH(Tabla4[[#This Row],[EAN CORREGIDO]],'Calcular necesidad'!L:L)</f>
        <v/>
      </c>
      <c r="W4" s="94">
        <f>TRIM(Tabla4[[#This Row],[CodInternoArti]])</f>
        <v/>
      </c>
    </row>
    <row r="5" hidden="1">
      <c r="A5" s="5" t="n">
        <v>2006408</v>
      </c>
      <c r="B5" s="35" t="inlineStr">
        <is>
          <t>16208001A</t>
        </is>
      </c>
      <c r="C5" s="7" t="inlineStr">
        <is>
          <t>ROLLO DE BOLSA DE ARRANQUE 20 x 30</t>
        </is>
      </c>
      <c r="D5" s="7" t="inlineStr">
        <is>
          <t>BOLSAS</t>
        </is>
      </c>
      <c r="E5" s="7" t="inlineStr">
        <is>
          <t>BOLSAS ARRANQUE</t>
        </is>
      </c>
      <c r="F5" s="7" t="inlineStr">
        <is>
          <t>BOLSAS ARRANQUE</t>
        </is>
      </c>
      <c r="G5" s="7" t="inlineStr">
        <is>
          <t>CD Moreno 3</t>
        </is>
      </c>
      <c r="H5" s="6" t="n">
        <v>3</v>
      </c>
      <c r="I5" s="6" t="n"/>
      <c r="J5" s="6" t="n"/>
      <c r="K5" s="6" t="n"/>
      <c r="L5" s="6" t="n"/>
      <c r="M5" s="7" t="n"/>
      <c r="N5" s="8" t="n">
        <v>3.9</v>
      </c>
      <c r="O5" s="5" t="n">
        <v>0</v>
      </c>
      <c r="P5" s="5" t="n">
        <v>0</v>
      </c>
      <c r="Q5" s="5" t="n">
        <v>0</v>
      </c>
      <c r="R5" s="9" t="inlineStr">
        <is>
          <t>COMPRAR</t>
        </is>
      </c>
      <c r="S5" s="5" t="n">
        <v>3.9</v>
      </c>
      <c r="T5" s="5" t="n">
        <v>-3</v>
      </c>
      <c r="U5" s="5" t="inlineStr">
        <is>
          <t>GASTON VECCHIO</t>
        </is>
      </c>
      <c r="V5" s="94">
        <f>_xlfn.XMATCH(Tabla4[[#This Row],[EAN CORREGIDO]],'Calcular necesidad'!L:L)</f>
        <v/>
      </c>
      <c r="W5" s="94">
        <f>TRIM(Tabla4[[#This Row],[CodInternoArti]])</f>
        <v/>
      </c>
    </row>
    <row r="6" hidden="1">
      <c r="A6" s="5" t="n">
        <v>2006265</v>
      </c>
      <c r="B6" s="35" t="inlineStr">
        <is>
          <t>14004000A</t>
        </is>
      </c>
      <c r="C6" s="7" t="inlineStr">
        <is>
          <t>BARBIJOS x 25 UNID</t>
        </is>
      </c>
      <c r="D6" s="7" t="inlineStr">
        <is>
          <t>VARIOS</t>
        </is>
      </c>
      <c r="E6" s="7" t="inlineStr">
        <is>
          <t>BARBIJO DESCARTABLE</t>
        </is>
      </c>
      <c r="F6" s="7" t="inlineStr">
        <is>
          <t>BARBIJO DESCARTABLE</t>
        </is>
      </c>
      <c r="G6" s="7" t="inlineStr">
        <is>
          <t>Ciudadela</t>
        </is>
      </c>
      <c r="H6" s="6" t="n">
        <v>20</v>
      </c>
      <c r="I6" s="6" t="n"/>
      <c r="J6" s="6" t="n">
        <v>12</v>
      </c>
      <c r="K6" s="6" t="n">
        <v>2</v>
      </c>
      <c r="L6" s="6" t="n">
        <v>20</v>
      </c>
      <c r="M6" s="7" t="n"/>
      <c r="N6" s="8" t="n">
        <v>70.2</v>
      </c>
      <c r="O6" s="5" t="n">
        <v>0</v>
      </c>
      <c r="P6" s="5" t="n">
        <v>0</v>
      </c>
      <c r="Q6" s="5" t="n">
        <v>0</v>
      </c>
      <c r="R6" s="9" t="inlineStr">
        <is>
          <t>COMPRAR</t>
        </is>
      </c>
      <c r="S6" s="5" t="n">
        <v>70.2</v>
      </c>
      <c r="T6" s="5" t="n">
        <v>-20</v>
      </c>
      <c r="U6" s="5" t="inlineStr">
        <is>
          <t>GASTON VECCHIO</t>
        </is>
      </c>
      <c r="V6" s="94">
        <f>_xlfn.XMATCH(Tabla4[[#This Row],[EAN CORREGIDO]],'Calcular necesidad'!L:L)</f>
        <v/>
      </c>
      <c r="W6" s="94">
        <f>TRIM(Tabla4[[#This Row],[CodInternoArti]])</f>
        <v/>
      </c>
    </row>
    <row r="7" hidden="1">
      <c r="A7" s="5" t="n">
        <v>2006442</v>
      </c>
      <c r="B7" s="35" t="inlineStr">
        <is>
          <t>13044000A</t>
        </is>
      </c>
      <c r="C7" s="7" t="inlineStr">
        <is>
          <t>RESINITE (FILM DE PVC) x ROLLO</t>
        </is>
      </c>
      <c r="D7" s="7" t="inlineStr">
        <is>
          <t>VARIOS</t>
        </is>
      </c>
      <c r="E7" s="7" t="inlineStr">
        <is>
          <t>RESINITE</t>
        </is>
      </c>
      <c r="F7" s="7" t="inlineStr">
        <is>
          <t>RESINITE PVC</t>
        </is>
      </c>
      <c r="G7" s="7" t="inlineStr">
        <is>
          <t>Ciudadela</t>
        </is>
      </c>
      <c r="H7" s="6" t="n">
        <v>45</v>
      </c>
      <c r="I7" s="6" t="n">
        <v>44</v>
      </c>
      <c r="J7" s="6" t="n">
        <v>46</v>
      </c>
      <c r="K7" s="6" t="n">
        <v>33</v>
      </c>
      <c r="L7" s="6" t="n">
        <v>49</v>
      </c>
      <c r="M7" s="7" t="n">
        <v>40</v>
      </c>
      <c r="N7" s="8" t="n">
        <v>334.1</v>
      </c>
      <c r="O7" s="5" t="n">
        <v>0</v>
      </c>
      <c r="P7" s="5" t="n">
        <v>0</v>
      </c>
      <c r="Q7" s="5" t="n">
        <v>0</v>
      </c>
      <c r="R7" s="9" t="inlineStr">
        <is>
          <t>COMPRAR</t>
        </is>
      </c>
      <c r="S7" s="5" t="n">
        <v>334.1</v>
      </c>
      <c r="T7" s="5" t="n">
        <v>-89</v>
      </c>
      <c r="U7" s="5" t="inlineStr">
        <is>
          <t>GASTON VECCHIO</t>
        </is>
      </c>
      <c r="V7" s="94">
        <f>_xlfn.XMATCH(Tabla4[[#This Row],[EAN CORREGIDO]],'Calcular necesidad'!L:L)</f>
        <v/>
      </c>
      <c r="W7" s="94">
        <f>TRIM(Tabla4[[#This Row],[CodInternoArti]])</f>
        <v/>
      </c>
    </row>
    <row r="8" hidden="1">
      <c r="A8" s="5" t="n">
        <v>2006151</v>
      </c>
      <c r="B8" s="35" t="inlineStr">
        <is>
          <t>13069000A</t>
        </is>
      </c>
      <c r="C8" s="7" t="inlineStr">
        <is>
          <t>AGITADOR x 1000 U</t>
        </is>
      </c>
      <c r="D8" s="7" t="inlineStr">
        <is>
          <t>DESCARTABLES</t>
        </is>
      </c>
      <c r="E8" s="7" t="inlineStr">
        <is>
          <t>DESCARTABLES</t>
        </is>
      </c>
      <c r="F8" s="7" t="inlineStr">
        <is>
          <t>AGITADOR</t>
        </is>
      </c>
      <c r="G8" s="7" t="inlineStr">
        <is>
          <t>Ciudadela</t>
        </is>
      </c>
      <c r="H8" s="6" t="n">
        <v>17</v>
      </c>
      <c r="I8" s="6" t="n">
        <v>13</v>
      </c>
      <c r="J8" s="6" t="n">
        <v>6</v>
      </c>
      <c r="K8" s="6" t="n">
        <v>8</v>
      </c>
      <c r="L8" s="6" t="n">
        <v>15</v>
      </c>
      <c r="M8" s="7" t="n">
        <v>4</v>
      </c>
      <c r="N8" s="8" t="n">
        <v>81.90000000000001</v>
      </c>
      <c r="O8" s="5" t="n">
        <v>0</v>
      </c>
      <c r="P8" s="5" t="n">
        <v>0</v>
      </c>
      <c r="Q8" s="5" t="n">
        <v>0</v>
      </c>
      <c r="R8" s="9" t="inlineStr">
        <is>
          <t>COMPRAR</t>
        </is>
      </c>
      <c r="S8" s="5" t="n">
        <v>81.90000000000001</v>
      </c>
      <c r="T8" s="5" t="n">
        <v>-30</v>
      </c>
      <c r="U8" s="5" t="inlineStr">
        <is>
          <t>GASTON VECCHIO</t>
        </is>
      </c>
      <c r="V8" s="94">
        <f>_xlfn.XMATCH(Tabla4[[#This Row],[EAN CORREGIDO]],'Calcular necesidad'!L:L)</f>
        <v/>
      </c>
      <c r="W8" s="94">
        <f>TRIM(Tabla4[[#This Row],[CodInternoArti]])</f>
        <v/>
      </c>
    </row>
    <row r="9" hidden="1">
      <c r="A9" s="5" t="n">
        <v>2006408</v>
      </c>
      <c r="B9" s="35" t="inlineStr">
        <is>
          <t>16208001A</t>
        </is>
      </c>
      <c r="C9" s="7" t="inlineStr">
        <is>
          <t>ROLLO DE BOLSA DE ARRANQUE 20 x 30</t>
        </is>
      </c>
      <c r="D9" s="7" t="inlineStr">
        <is>
          <t>BOLSAS</t>
        </is>
      </c>
      <c r="E9" s="7" t="inlineStr">
        <is>
          <t>BOLSAS ARRANQUE</t>
        </is>
      </c>
      <c r="F9" s="7" t="inlineStr">
        <is>
          <t>BOLSAS ARRANQUE</t>
        </is>
      </c>
      <c r="G9" s="7" t="inlineStr">
        <is>
          <t>Ciudadela</t>
        </is>
      </c>
      <c r="H9" s="6" t="n">
        <v>34</v>
      </c>
      <c r="I9" s="6" t="n">
        <v>18</v>
      </c>
      <c r="J9" s="6" t="n">
        <v>18</v>
      </c>
      <c r="K9" s="6" t="n">
        <v>18</v>
      </c>
      <c r="L9" s="6" t="n">
        <v>26</v>
      </c>
      <c r="M9" s="7" t="n">
        <v>18</v>
      </c>
      <c r="N9" s="8" t="n">
        <v>171.6</v>
      </c>
      <c r="O9" s="5" t="n">
        <v>0</v>
      </c>
      <c r="P9" s="5" t="n">
        <v>0</v>
      </c>
      <c r="Q9" s="5" t="n">
        <v>0</v>
      </c>
      <c r="R9" s="9" t="inlineStr">
        <is>
          <t>COMPRAR</t>
        </is>
      </c>
      <c r="S9" s="5" t="n">
        <v>171.6</v>
      </c>
      <c r="T9" s="5" t="n">
        <v>-52</v>
      </c>
      <c r="U9" s="5" t="inlineStr">
        <is>
          <t>GASTON VECCHIO</t>
        </is>
      </c>
      <c r="V9" s="94">
        <f>_xlfn.XMATCH(Tabla4[[#This Row],[EAN CORREGIDO]],'Calcular necesidad'!L:L)</f>
        <v/>
      </c>
      <c r="W9" s="94">
        <f>TRIM(Tabla4[[#This Row],[CodInternoArti]])</f>
        <v/>
      </c>
    </row>
    <row r="10" hidden="1">
      <c r="A10" s="5" t="n">
        <v>2006353</v>
      </c>
      <c r="B10" s="35" t="inlineStr">
        <is>
          <t>17030001A</t>
        </is>
      </c>
      <c r="C10" s="7" t="inlineStr">
        <is>
          <t>GUANTE DE LATEX x 100 UNID</t>
        </is>
      </c>
      <c r="D10" s="7" t="inlineStr">
        <is>
          <t>VARIOS</t>
        </is>
      </c>
      <c r="E10" s="7" t="inlineStr">
        <is>
          <t>DESCARTABLES</t>
        </is>
      </c>
      <c r="F10" s="7" t="inlineStr">
        <is>
          <t>GUANTE LATEX</t>
        </is>
      </c>
      <c r="G10" s="7" t="inlineStr">
        <is>
          <t>Ciudadela</t>
        </is>
      </c>
      <c r="H10" s="6" t="n">
        <v>61</v>
      </c>
      <c r="I10" s="6" t="n">
        <v>75</v>
      </c>
      <c r="J10" s="6" t="n">
        <v>92</v>
      </c>
      <c r="K10" s="6" t="n">
        <v>79</v>
      </c>
      <c r="L10" s="6" t="n">
        <v>131</v>
      </c>
      <c r="M10" s="7" t="n">
        <v>75</v>
      </c>
      <c r="N10" s="8" t="n">
        <v>666.9</v>
      </c>
      <c r="O10" s="5" t="n">
        <v>0</v>
      </c>
      <c r="P10" s="5" t="n">
        <v>0</v>
      </c>
      <c r="Q10" s="5" t="n">
        <v>0</v>
      </c>
      <c r="R10" s="9" t="inlineStr">
        <is>
          <t>COMPRAR</t>
        </is>
      </c>
      <c r="S10" s="5" t="n">
        <v>666.9</v>
      </c>
      <c r="T10" s="5" t="n">
        <v>-136</v>
      </c>
      <c r="U10" s="5" t="inlineStr">
        <is>
          <t>GASTON VECCHIO</t>
        </is>
      </c>
      <c r="V10" s="94">
        <f>_xlfn.XMATCH(Tabla4[[#This Row],[EAN CORREGIDO]],'Calcular necesidad'!L:L)</f>
        <v/>
      </c>
      <c r="W10" s="94">
        <f>TRIM(Tabla4[[#This Row],[CodInternoArti]])</f>
        <v/>
      </c>
    </row>
    <row r="11" hidden="1">
      <c r="A11" s="5" t="n">
        <v>2006407</v>
      </c>
      <c r="B11" s="35" t="inlineStr">
        <is>
          <t>16204006A</t>
        </is>
      </c>
      <c r="C11" s="7" t="inlineStr">
        <is>
          <t xml:space="preserve">ROLLO BOLSA ARRANQUE 60 x 90 </t>
        </is>
      </c>
      <c r="D11" s="7" t="inlineStr">
        <is>
          <t>BOLSAS</t>
        </is>
      </c>
      <c r="E11" s="7" t="inlineStr">
        <is>
          <t>BOLSAS ARRANQUE</t>
        </is>
      </c>
      <c r="F11" s="7" t="inlineStr">
        <is>
          <t>BOLSAS ARRANQUE</t>
        </is>
      </c>
      <c r="G11" s="7" t="inlineStr">
        <is>
          <t>Ciudadela</t>
        </is>
      </c>
      <c r="H11" s="6" t="n">
        <v>18</v>
      </c>
      <c r="I11" s="6" t="n">
        <v>5</v>
      </c>
      <c r="J11" s="6" t="n">
        <v>19</v>
      </c>
      <c r="K11" s="6" t="n">
        <v>9</v>
      </c>
      <c r="L11" s="6" t="n">
        <v>18</v>
      </c>
      <c r="M11" s="7" t="n">
        <v>5</v>
      </c>
      <c r="N11" s="8" t="n">
        <v>96.2</v>
      </c>
      <c r="O11" s="5" t="n">
        <v>0</v>
      </c>
      <c r="P11" s="5" t="n">
        <v>0</v>
      </c>
      <c r="Q11" s="5" t="n">
        <v>0</v>
      </c>
      <c r="R11" s="9" t="inlineStr">
        <is>
          <t>COMPRAR</t>
        </is>
      </c>
      <c r="S11" s="5" t="n">
        <v>96.2</v>
      </c>
      <c r="T11" s="5" t="n">
        <v>-23</v>
      </c>
      <c r="U11" s="5" t="inlineStr">
        <is>
          <t>GASTON VECCHIO</t>
        </is>
      </c>
      <c r="V11" s="94">
        <f>_xlfn.XMATCH(Tabla4[[#This Row],[EAN CORREGIDO]],'Calcular necesidad'!L:L)</f>
        <v/>
      </c>
      <c r="W11" s="94">
        <f>TRIM(Tabla4[[#This Row],[CodInternoArti]])</f>
        <v/>
      </c>
    </row>
    <row r="12" hidden="1">
      <c r="A12" s="5" t="n">
        <v>2006671</v>
      </c>
      <c r="B12" s="35" t="inlineStr">
        <is>
          <t>16032005A</t>
        </is>
      </c>
      <c r="C12" s="7" t="inlineStr">
        <is>
          <t>CAJA P/PIZZA GRANDE x U</t>
        </is>
      </c>
      <c r="D12" s="7" t="inlineStr">
        <is>
          <t>CAJAS</t>
        </is>
      </c>
      <c r="E12" s="7" t="inlineStr">
        <is>
          <t>CAJAS CARTON</t>
        </is>
      </c>
      <c r="F12" s="7" t="inlineStr">
        <is>
          <t>CAJA P/ PIZZA</t>
        </is>
      </c>
      <c r="G12" s="7" t="inlineStr">
        <is>
          <t>Ciudadela</t>
        </is>
      </c>
      <c r="H12" s="6" t="n">
        <v>25</v>
      </c>
      <c r="I12" s="6" t="n">
        <v>10</v>
      </c>
      <c r="J12" s="6" t="n">
        <v>25</v>
      </c>
      <c r="K12" s="6" t="n"/>
      <c r="L12" s="6" t="n">
        <v>25</v>
      </c>
      <c r="M12" s="7" t="n">
        <v>10</v>
      </c>
      <c r="N12" s="8" t="n">
        <v>123.5</v>
      </c>
      <c r="O12" s="5" t="n">
        <v>0</v>
      </c>
      <c r="P12" s="5" t="n">
        <v>0</v>
      </c>
      <c r="Q12" s="5" t="n">
        <v>0</v>
      </c>
      <c r="R12" s="9" t="inlineStr">
        <is>
          <t>COMPRAR</t>
        </is>
      </c>
      <c r="S12" s="5" t="n">
        <v>123.5</v>
      </c>
      <c r="T12" s="5" t="n">
        <v>-35</v>
      </c>
      <c r="U12" s="5" t="inlineStr">
        <is>
          <t>GASTON VECCHIO</t>
        </is>
      </c>
      <c r="V12" s="94">
        <f>_xlfn.XMATCH(Tabla4[[#This Row],[EAN CORREGIDO]],'Calcular necesidad'!L:L)</f>
        <v/>
      </c>
      <c r="W12" s="94">
        <f>TRIM(Tabla4[[#This Row],[CodInternoArti]])</f>
        <v/>
      </c>
    </row>
    <row r="13" hidden="1">
      <c r="A13" s="5" t="n">
        <v>2006800</v>
      </c>
      <c r="B13" s="35" t="inlineStr">
        <is>
          <t>14047000A</t>
        </is>
      </c>
      <c r="C13" s="7" t="inlineStr">
        <is>
          <t>SERVILLE BCA 33X32X1000U S/LOGO</t>
        </is>
      </c>
      <c r="D13" s="7" t="inlineStr">
        <is>
          <t>SERVILLETAS DESC</t>
        </is>
      </c>
      <c r="E13" s="7" t="inlineStr">
        <is>
          <t>SERVILLETAS DESC S/LOGO</t>
        </is>
      </c>
      <c r="F13" s="7" t="inlineStr">
        <is>
          <t>SERVILLETA DESC S/LOGO</t>
        </is>
      </c>
      <c r="G13" s="7" t="inlineStr">
        <is>
          <t>Ciudadela</t>
        </is>
      </c>
      <c r="H13" s="6" t="n">
        <v>58</v>
      </c>
      <c r="I13" s="6" t="n">
        <v>97</v>
      </c>
      <c r="J13" s="6" t="n">
        <v>68</v>
      </c>
      <c r="K13" s="6" t="n">
        <v>96</v>
      </c>
      <c r="L13" s="6" t="n">
        <v>113</v>
      </c>
      <c r="M13" s="7" t="n">
        <v>74</v>
      </c>
      <c r="N13" s="8" t="n">
        <v>657.8000000000001</v>
      </c>
      <c r="O13" s="5" t="n">
        <v>0</v>
      </c>
      <c r="P13" s="5" t="n">
        <v>0</v>
      </c>
      <c r="Q13" s="5" t="n">
        <v>0</v>
      </c>
      <c r="R13" s="9" t="inlineStr">
        <is>
          <t>COMPRAR</t>
        </is>
      </c>
      <c r="S13" s="5" t="n">
        <v>657.8000000000001</v>
      </c>
      <c r="T13" s="5" t="n">
        <v>-155</v>
      </c>
      <c r="U13" s="5" t="inlineStr">
        <is>
          <t>GASTON VECCHIO</t>
        </is>
      </c>
      <c r="V13" s="94">
        <f>_xlfn.XMATCH(Tabla4[[#This Row],[EAN CORREGIDO]],'Calcular necesidad'!L:L)</f>
        <v/>
      </c>
      <c r="W13" s="94">
        <f>TRIM(Tabla4[[#This Row],[CodInternoArti]])</f>
        <v/>
      </c>
    </row>
    <row r="14" hidden="1">
      <c r="A14" s="5" t="n">
        <v>2006485</v>
      </c>
      <c r="B14" s="35" t="inlineStr">
        <is>
          <t>16204001A</t>
        </is>
      </c>
      <c r="C14" s="7" t="inlineStr">
        <is>
          <t>ROLLO BOLSA ARRANQUE 20 x 25</t>
        </is>
      </c>
      <c r="D14" s="7" t="inlineStr">
        <is>
          <t>BOLSAS</t>
        </is>
      </c>
      <c r="E14" s="7" t="inlineStr">
        <is>
          <t>BOLSAS ARRANQUE</t>
        </is>
      </c>
      <c r="F14" s="7" t="inlineStr">
        <is>
          <t>BOLSAS ARRANQUE</t>
        </is>
      </c>
      <c r="G14" s="7" t="inlineStr">
        <is>
          <t>Ciudadela</t>
        </is>
      </c>
      <c r="H14" s="6" t="n">
        <v>7</v>
      </c>
      <c r="I14" s="6" t="n">
        <v>51</v>
      </c>
      <c r="J14" s="6" t="n">
        <v>11</v>
      </c>
      <c r="K14" s="6" t="n">
        <v>39</v>
      </c>
      <c r="L14" s="6" t="n">
        <v>43</v>
      </c>
      <c r="M14" s="7" t="n">
        <v>19</v>
      </c>
      <c r="N14" s="8" t="n">
        <v>221</v>
      </c>
      <c r="O14" s="5" t="n">
        <v>0</v>
      </c>
      <c r="P14" s="5" t="n">
        <v>0</v>
      </c>
      <c r="Q14" s="5" t="n">
        <v>0</v>
      </c>
      <c r="R14" s="9" t="inlineStr">
        <is>
          <t>COMPRAR</t>
        </is>
      </c>
      <c r="S14" s="5" t="n">
        <v>221</v>
      </c>
      <c r="T14" s="5" t="n">
        <v>-58</v>
      </c>
      <c r="U14" s="5" t="inlineStr">
        <is>
          <t>GASTON VECCHIO</t>
        </is>
      </c>
      <c r="V14" s="94">
        <f>_xlfn.XMATCH(Tabla4[[#This Row],[EAN CORREGIDO]],'Calcular necesidad'!L:L)</f>
        <v/>
      </c>
      <c r="W14" s="94">
        <f>TRIM(Tabla4[[#This Row],[CodInternoArti]])</f>
        <v/>
      </c>
    </row>
    <row r="15" hidden="1">
      <c r="A15" s="5" t="n">
        <v>2006234</v>
      </c>
      <c r="B15" s="35" t="inlineStr">
        <is>
          <t>16204005A</t>
        </is>
      </c>
      <c r="C15" s="7" t="inlineStr">
        <is>
          <t>ROLLO BOLSA ARRANQUE 25X35</t>
        </is>
      </c>
      <c r="D15" s="7" t="inlineStr">
        <is>
          <t>BOLSAS</t>
        </is>
      </c>
      <c r="E15" s="7" t="inlineStr">
        <is>
          <t>BOLSAS ARRANQUE</t>
        </is>
      </c>
      <c r="F15" s="7" t="inlineStr">
        <is>
          <t>BOLSAS ARRANQUE</t>
        </is>
      </c>
      <c r="G15" s="7" t="inlineStr">
        <is>
          <t>Ciudadela</t>
        </is>
      </c>
      <c r="H15" s="6" t="n">
        <v>22</v>
      </c>
      <c r="I15" s="6" t="n">
        <v>5</v>
      </c>
      <c r="J15" s="6" t="n">
        <v>15</v>
      </c>
      <c r="K15" s="6" t="n">
        <v>15</v>
      </c>
      <c r="L15" s="6" t="n">
        <v>23</v>
      </c>
      <c r="M15" s="7" t="n">
        <v>5</v>
      </c>
      <c r="N15" s="8" t="n">
        <v>110.5</v>
      </c>
      <c r="O15" s="5" t="n">
        <v>0</v>
      </c>
      <c r="P15" s="5" t="n">
        <v>0</v>
      </c>
      <c r="Q15" s="5" t="n">
        <v>0</v>
      </c>
      <c r="R15" s="9" t="inlineStr">
        <is>
          <t>COMPRAR</t>
        </is>
      </c>
      <c r="S15" s="5" t="n">
        <v>110.5</v>
      </c>
      <c r="T15" s="5" t="n">
        <v>-27</v>
      </c>
      <c r="U15" s="5" t="inlineStr">
        <is>
          <t>GASTON VECCHIO</t>
        </is>
      </c>
      <c r="V15" s="94">
        <f>_xlfn.XMATCH(Tabla4[[#This Row],[EAN CORREGIDO]],'Calcular necesidad'!L:L)</f>
        <v/>
      </c>
      <c r="W15" s="94">
        <f>TRIM(Tabla4[[#This Row],[CodInternoArti]])</f>
        <v/>
      </c>
    </row>
    <row r="16" hidden="1">
      <c r="A16" s="5" t="n">
        <v>2006170</v>
      </c>
      <c r="B16" s="35" t="inlineStr">
        <is>
          <t>14047009A</t>
        </is>
      </c>
      <c r="C16" s="7" t="inlineStr">
        <is>
          <t>SERVILLETA BCA 24X24 X1000U S/LOGO</t>
        </is>
      </c>
      <c r="D16" s="7" t="inlineStr">
        <is>
          <t>DESCARTABLES</t>
        </is>
      </c>
      <c r="E16" s="7" t="inlineStr">
        <is>
          <t>SERVILLETAS DESC S/LOGO</t>
        </is>
      </c>
      <c r="F16" s="7" t="inlineStr">
        <is>
          <t>SERVILLETA DESC S/LOGO</t>
        </is>
      </c>
      <c r="G16" s="7" t="inlineStr">
        <is>
          <t>Ciudadela</t>
        </is>
      </c>
      <c r="H16" s="6" t="n"/>
      <c r="I16" s="6" t="n"/>
      <c r="J16" s="6" t="n">
        <v>4</v>
      </c>
      <c r="K16" s="6" t="n">
        <v>3</v>
      </c>
      <c r="L16" s="6" t="n"/>
      <c r="M16" s="7" t="n"/>
      <c r="N16" s="8" t="n">
        <v>9.1</v>
      </c>
      <c r="O16" s="5" t="n">
        <v>0</v>
      </c>
      <c r="P16" s="5" t="n">
        <v>0</v>
      </c>
      <c r="Q16" s="5" t="n">
        <v>0</v>
      </c>
      <c r="R16" s="9" t="inlineStr">
        <is>
          <t>COMPRAR</t>
        </is>
      </c>
      <c r="S16" s="5" t="n">
        <v>9.1</v>
      </c>
      <c r="T16" s="5" t="n">
        <v>0</v>
      </c>
      <c r="U16" s="5" t="inlineStr">
        <is>
          <t>GASTON VECCHIO</t>
        </is>
      </c>
      <c r="V16" s="94">
        <f>_xlfn.XMATCH(Tabla4[[#This Row],[EAN CORREGIDO]],'Calcular necesidad'!L:L)</f>
        <v/>
      </c>
      <c r="W16" s="94">
        <f>TRIM(Tabla4[[#This Row],[CodInternoArti]])</f>
        <v/>
      </c>
    </row>
    <row r="17" hidden="1">
      <c r="A17" s="5" t="n">
        <v>2006406</v>
      </c>
      <c r="B17" s="35" t="inlineStr">
        <is>
          <t>16204003A</t>
        </is>
      </c>
      <c r="C17" s="7" t="inlineStr">
        <is>
          <t>ROLLO BOLSA ARRANQUE 40 x 60</t>
        </is>
      </c>
      <c r="D17" s="7" t="inlineStr">
        <is>
          <t>BOLSAS</t>
        </is>
      </c>
      <c r="E17" s="7" t="inlineStr">
        <is>
          <t>BOLSAS ARRANQUE</t>
        </is>
      </c>
      <c r="F17" s="7" t="inlineStr">
        <is>
          <t>BOLSAS ARRANQUE</t>
        </is>
      </c>
      <c r="G17" s="7" t="inlineStr">
        <is>
          <t>Ciudadela</t>
        </is>
      </c>
      <c r="H17" s="6" t="n">
        <v>23</v>
      </c>
      <c r="I17" s="6" t="n">
        <v>15</v>
      </c>
      <c r="J17" s="6" t="n">
        <v>15</v>
      </c>
      <c r="K17" s="6" t="n">
        <v>21</v>
      </c>
      <c r="L17" s="6" t="n">
        <v>23</v>
      </c>
      <c r="M17" s="7" t="n">
        <v>15</v>
      </c>
      <c r="N17" s="8" t="n">
        <v>145.6</v>
      </c>
      <c r="O17" s="5" t="n">
        <v>0</v>
      </c>
      <c r="P17" s="5" t="n">
        <v>0</v>
      </c>
      <c r="Q17" s="5" t="n">
        <v>0</v>
      </c>
      <c r="R17" s="9" t="inlineStr">
        <is>
          <t>COMPRAR</t>
        </is>
      </c>
      <c r="S17" s="5" t="n">
        <v>145.6</v>
      </c>
      <c r="T17" s="5" t="n">
        <v>-38</v>
      </c>
      <c r="U17" s="5" t="inlineStr">
        <is>
          <t>GASTON VECCHIO</t>
        </is>
      </c>
      <c r="V17" s="94">
        <f>_xlfn.XMATCH(Tabla4[[#This Row],[EAN CORREGIDO]],'Calcular necesidad'!L:L)</f>
        <v/>
      </c>
      <c r="W17" s="94">
        <f>TRIM(Tabla4[[#This Row],[CodInternoArti]])</f>
        <v/>
      </c>
    </row>
    <row r="18" hidden="1">
      <c r="A18" s="5" t="n">
        <v>2006407</v>
      </c>
      <c r="B18" s="35" t="inlineStr">
        <is>
          <t>16204006A</t>
        </is>
      </c>
      <c r="C18" s="7" t="inlineStr">
        <is>
          <t xml:space="preserve">ROLLO BOLSA ARRANQUE 60 x 90 </t>
        </is>
      </c>
      <c r="D18" s="7" t="inlineStr">
        <is>
          <t>BOLSAS</t>
        </is>
      </c>
      <c r="E18" s="7" t="inlineStr">
        <is>
          <t>BOLSAS ARRANQUE</t>
        </is>
      </c>
      <c r="F18" s="7" t="inlineStr">
        <is>
          <t>BOLSAS ARRANQUE</t>
        </is>
      </c>
      <c r="G18" s="7" t="inlineStr">
        <is>
          <t>CD Moreno 3</t>
        </is>
      </c>
      <c r="H18" s="6" t="n">
        <v>10</v>
      </c>
      <c r="I18" s="6" t="n"/>
      <c r="J18" s="6" t="n"/>
      <c r="K18" s="6" t="n"/>
      <c r="L18" s="6" t="n"/>
      <c r="M18" s="7" t="n"/>
      <c r="N18" s="8" t="n">
        <v>13</v>
      </c>
      <c r="O18" s="5" t="n">
        <v>0</v>
      </c>
      <c r="P18" s="5" t="n">
        <v>0</v>
      </c>
      <c r="Q18" s="5" t="n">
        <v>0</v>
      </c>
      <c r="R18" s="9" t="inlineStr">
        <is>
          <t>COMPRAR</t>
        </is>
      </c>
      <c r="S18" s="5" t="n">
        <v>13</v>
      </c>
      <c r="T18" s="5" t="n">
        <v>-10</v>
      </c>
      <c r="U18" s="5" t="inlineStr">
        <is>
          <t>GASTON VECCHIO</t>
        </is>
      </c>
      <c r="V18" s="94">
        <f>_xlfn.XMATCH(Tabla4[[#This Row],[EAN CORREGIDO]],'Calcular necesidad'!L:L)</f>
        <v/>
      </c>
      <c r="W18" s="94">
        <f>TRIM(Tabla4[[#This Row],[CodInternoArti]])</f>
        <v/>
      </c>
    </row>
    <row r="19" hidden="1">
      <c r="A19" s="5" t="n">
        <v>2006657</v>
      </c>
      <c r="B19" s="35" t="inlineStr">
        <is>
          <t>13072000A</t>
        </is>
      </c>
      <c r="C19" s="7" t="inlineStr">
        <is>
          <t>FOLEX 20CMX25XCM XKG</t>
        </is>
      </c>
      <c r="D19" s="7" t="inlineStr">
        <is>
          <t>PAPEL</t>
        </is>
      </c>
      <c r="E19" s="7" t="inlineStr">
        <is>
          <t>PAPEL FOLEX</t>
        </is>
      </c>
      <c r="F19" s="7" t="inlineStr">
        <is>
          <t>PAPEL FOLEX</t>
        </is>
      </c>
      <c r="G19" s="7" t="inlineStr">
        <is>
          <t>Ciudadela</t>
        </is>
      </c>
      <c r="H19" s="6" t="n">
        <v>1</v>
      </c>
      <c r="I19" s="6" t="n">
        <v>2</v>
      </c>
      <c r="J19" s="6" t="n">
        <v>1</v>
      </c>
      <c r="K19" s="6" t="n">
        <v>2</v>
      </c>
      <c r="L19" s="6" t="n">
        <v>1</v>
      </c>
      <c r="M19" s="7" t="n">
        <v>2</v>
      </c>
      <c r="N19" s="8" t="n">
        <v>11.7</v>
      </c>
      <c r="O19" s="5" t="n">
        <v>0</v>
      </c>
      <c r="P19" s="5" t="n">
        <v>0</v>
      </c>
      <c r="Q19" s="5" t="n">
        <v>0</v>
      </c>
      <c r="R19" s="9" t="inlineStr">
        <is>
          <t>COMPRAR</t>
        </is>
      </c>
      <c r="S19" s="5" t="n">
        <v>11.7</v>
      </c>
      <c r="T19" s="5" t="n">
        <v>-3</v>
      </c>
      <c r="U19" s="5" t="inlineStr">
        <is>
          <t>GASTON VECCHIO</t>
        </is>
      </c>
      <c r="V19" s="94">
        <f>_xlfn.XMATCH(Tabla4[[#This Row],[EAN CORREGIDO]],'Calcular necesidad'!L:L)</f>
        <v/>
      </c>
      <c r="W19" s="94">
        <f>TRIM(Tabla4[[#This Row],[CodInternoArti]])</f>
        <v/>
      </c>
    </row>
    <row r="20">
      <c r="A20" s="5" t="n">
        <v>2006209</v>
      </c>
      <c r="B20" s="35" t="inlineStr">
        <is>
          <t>14044013A</t>
        </is>
      </c>
      <c r="C20" s="7" t="inlineStr">
        <is>
          <t>ROLLO PAPEL MANTECA</t>
        </is>
      </c>
      <c r="D20" s="7" t="inlineStr">
        <is>
          <t>PAPEL</t>
        </is>
      </c>
      <c r="E20" s="7" t="inlineStr">
        <is>
          <t>DESCARTABLES</t>
        </is>
      </c>
      <c r="F20" s="7" t="inlineStr">
        <is>
          <t>PAPEL MANTECA</t>
        </is>
      </c>
      <c r="G20" s="7" t="inlineStr">
        <is>
          <t>Ciudadela</t>
        </is>
      </c>
      <c r="H20" s="6" t="n"/>
      <c r="I20" s="6" t="n"/>
      <c r="J20" s="6" t="n">
        <v>10</v>
      </c>
      <c r="K20" s="6" t="n">
        <v>4</v>
      </c>
      <c r="L20" s="6" t="n"/>
      <c r="M20" s="7" t="n"/>
      <c r="N20" s="8" t="n">
        <v>13005.2</v>
      </c>
      <c r="O20" s="5" t="n">
        <v>0</v>
      </c>
      <c r="P20" s="5" t="n">
        <v>0</v>
      </c>
      <c r="Q20" s="5" t="n">
        <v>0</v>
      </c>
      <c r="R20" s="9" t="inlineStr">
        <is>
          <t>COMPRAR</t>
        </is>
      </c>
      <c r="S20" s="5" t="n">
        <v>13005.2</v>
      </c>
      <c r="T20" s="5" t="n">
        <v>0</v>
      </c>
      <c r="U20" s="5" t="inlineStr">
        <is>
          <t>GASTON VECCHIO</t>
        </is>
      </c>
      <c r="V20" s="94">
        <f>_xlfn.XMATCH(Tabla4[[#This Row],[EAN CORREGIDO]],'Calcular necesidad'!L:L)</f>
        <v/>
      </c>
      <c r="W20" s="94">
        <f>TRIM(Tabla4[[#This Row],[CodInternoArti]])</f>
        <v/>
      </c>
    </row>
    <row r="21" hidden="1">
      <c r="A21" s="5" t="n">
        <v>2006461</v>
      </c>
      <c r="B21" s="35" t="inlineStr">
        <is>
          <t>14047013A</t>
        </is>
      </c>
      <c r="C21" s="7" t="inlineStr">
        <is>
          <t>SERVILLE BCA 30X30X1000U S/LOGO</t>
        </is>
      </c>
      <c r="D21" s="7" t="inlineStr">
        <is>
          <t>SERVILLETAS DESC</t>
        </is>
      </c>
      <c r="E21" s="7" t="inlineStr">
        <is>
          <t>SERVILLETAS DESC S/LOGO</t>
        </is>
      </c>
      <c r="F21" s="7" t="inlineStr">
        <is>
          <t>SERVILLETA DESC S/LOGO</t>
        </is>
      </c>
      <c r="G21" s="7" t="inlineStr">
        <is>
          <t>Ciudadela</t>
        </is>
      </c>
      <c r="H21" s="6" t="n">
        <v>3</v>
      </c>
      <c r="I21" s="6" t="n">
        <v>4</v>
      </c>
      <c r="J21" s="6" t="n">
        <v>3</v>
      </c>
      <c r="K21" s="6" t="n">
        <v>4</v>
      </c>
      <c r="L21" s="6" t="n">
        <v>4</v>
      </c>
      <c r="M21" s="7" t="n">
        <v>3</v>
      </c>
      <c r="N21" s="8" t="n">
        <v>27.3</v>
      </c>
      <c r="O21" s="5" t="n">
        <v>0</v>
      </c>
      <c r="P21" s="5" t="n">
        <v>0</v>
      </c>
      <c r="Q21" s="5" t="n">
        <v>0</v>
      </c>
      <c r="R21" s="9" t="inlineStr">
        <is>
          <t>COMPRAR</t>
        </is>
      </c>
      <c r="S21" s="5" t="n">
        <v>27.3</v>
      </c>
      <c r="T21" s="5" t="n">
        <v>-7</v>
      </c>
      <c r="U21" s="5" t="inlineStr">
        <is>
          <t>GASTON VECCHIO</t>
        </is>
      </c>
      <c r="V21" s="94">
        <f>_xlfn.XMATCH(Tabla4[[#This Row],[EAN CORREGIDO]],'Calcular necesidad'!L:L)</f>
        <v/>
      </c>
      <c r="W21" s="94">
        <f>TRIM(Tabla4[[#This Row],[CodInternoArti]])</f>
        <v/>
      </c>
    </row>
    <row r="22" hidden="1">
      <c r="A22" s="5" t="n">
        <v>2006779</v>
      </c>
      <c r="B22" s="35" t="inlineStr">
        <is>
          <t>17018002A</t>
        </is>
      </c>
      <c r="C22" s="7" t="inlineStr">
        <is>
          <t>COFIAS DESCARTABLES X 100</t>
        </is>
      </c>
      <c r="D22" s="7" t="inlineStr">
        <is>
          <t>VARIOS</t>
        </is>
      </c>
      <c r="E22" s="7" t="inlineStr">
        <is>
          <t>DESCARTABLES</t>
        </is>
      </c>
      <c r="F22" s="7" t="inlineStr">
        <is>
          <t>COFIA DESCARTABLE</t>
        </is>
      </c>
      <c r="G22" s="7" t="inlineStr">
        <is>
          <t>Ciudadela</t>
        </is>
      </c>
      <c r="H22" s="6" t="n">
        <v>39</v>
      </c>
      <c r="I22" s="6" t="n">
        <v>36</v>
      </c>
      <c r="J22" s="6" t="n">
        <v>34</v>
      </c>
      <c r="K22" s="6" t="n">
        <v>36</v>
      </c>
      <c r="L22" s="6" t="n">
        <v>47</v>
      </c>
      <c r="M22" s="7" t="n">
        <v>31</v>
      </c>
      <c r="N22" s="8" t="n">
        <v>289.9</v>
      </c>
      <c r="O22" s="5" t="n">
        <v>0</v>
      </c>
      <c r="P22" s="5" t="n">
        <v>0</v>
      </c>
      <c r="Q22" s="5" t="n">
        <v>0</v>
      </c>
      <c r="R22" s="9" t="inlineStr">
        <is>
          <t>COMPRAR</t>
        </is>
      </c>
      <c r="S22" s="5" t="n">
        <v>289.9</v>
      </c>
      <c r="T22" s="5" t="n">
        <v>-75</v>
      </c>
      <c r="U22" s="5" t="inlineStr">
        <is>
          <t>GASTON VECCHIO</t>
        </is>
      </c>
      <c r="V22" s="94">
        <f>_xlfn.XMATCH(Tabla4[[#This Row],[EAN CORREGIDO]],'Calcular necesidad'!L:L)</f>
        <v/>
      </c>
      <c r="W22" s="94">
        <f>TRIM(Tabla4[[#This Row],[CodInternoArti]])</f>
        <v/>
      </c>
    </row>
    <row r="23" hidden="1">
      <c r="A23" s="5" t="n">
        <v>2006422</v>
      </c>
      <c r="B23" s="35" t="inlineStr">
        <is>
          <t>BAZ000387</t>
        </is>
      </c>
      <c r="C23" s="7" t="inlineStr">
        <is>
          <t>DELANTALES DESCARTABLES X 100</t>
        </is>
      </c>
      <c r="D23" s="7" t="inlineStr">
        <is>
          <t>DESCARTABLES</t>
        </is>
      </c>
      <c r="E23" s="7" t="inlineStr">
        <is>
          <t>DELANTALES DESCARTABLES</t>
        </is>
      </c>
      <c r="F23" s="7" t="inlineStr">
        <is>
          <t>DELANTAL DESCARTABLE</t>
        </is>
      </c>
      <c r="G23" s="7" t="inlineStr">
        <is>
          <t>Ciudadela</t>
        </is>
      </c>
      <c r="H23" s="6" t="n">
        <v>10</v>
      </c>
      <c r="I23" s="6" t="n">
        <v>11</v>
      </c>
      <c r="J23" s="6" t="n">
        <v>10</v>
      </c>
      <c r="K23" s="6" t="n">
        <v>10</v>
      </c>
      <c r="L23" s="6" t="n">
        <v>10</v>
      </c>
      <c r="M23" s="7" t="n">
        <v>11</v>
      </c>
      <c r="N23" s="8" t="n">
        <v>80.60000000000001</v>
      </c>
      <c r="O23" s="5" t="n">
        <v>0</v>
      </c>
      <c r="P23" s="5" t="n">
        <v>0</v>
      </c>
      <c r="Q23" s="5" t="n">
        <v>0</v>
      </c>
      <c r="R23" s="9" t="inlineStr">
        <is>
          <t>COMPRAR</t>
        </is>
      </c>
      <c r="S23" s="5" t="n">
        <v>80.60000000000001</v>
      </c>
      <c r="T23" s="5" t="n">
        <v>-21</v>
      </c>
      <c r="U23" s="5" t="inlineStr">
        <is>
          <t>GASTON VECCHIO</t>
        </is>
      </c>
      <c r="V23" s="94">
        <f>_xlfn.XMATCH(Tabla4[[#This Row],[EAN CORREGIDO]],'Calcular necesidad'!L:L)</f>
        <v/>
      </c>
      <c r="W23" s="94">
        <f>TRIM(Tabla4[[#This Row],[CodInternoArti]])</f>
        <v/>
      </c>
    </row>
    <row r="24" hidden="1">
      <c r="A24" s="5" t="n">
        <v>2006740</v>
      </c>
      <c r="B24" s="35" t="n">
        <v>7796613305498</v>
      </c>
      <c r="C24" s="7" t="inlineStr">
        <is>
          <t>PLATOS DESCARTABLES X 50 UNID</t>
        </is>
      </c>
      <c r="D24" s="7" t="inlineStr">
        <is>
          <t>PLATOS</t>
        </is>
      </c>
      <c r="E24" s="7" t="inlineStr">
        <is>
          <t>PLATOS</t>
        </is>
      </c>
      <c r="F24" s="7" t="inlineStr">
        <is>
          <t>PLATOS DESCARTABLES</t>
        </is>
      </c>
      <c r="G24" s="7" t="inlineStr">
        <is>
          <t>Ciudadela</t>
        </is>
      </c>
      <c r="H24" s="6" t="n">
        <v>2</v>
      </c>
      <c r="I24" s="6" t="n">
        <v>2</v>
      </c>
      <c r="J24" s="6" t="n">
        <v>2</v>
      </c>
      <c r="K24" s="6" t="n">
        <v>2</v>
      </c>
      <c r="L24" s="6" t="n">
        <v>2</v>
      </c>
      <c r="M24" s="7" t="n">
        <v>2</v>
      </c>
      <c r="N24" s="8" t="n">
        <v>15.6</v>
      </c>
      <c r="O24" s="5" t="n">
        <v>0</v>
      </c>
      <c r="P24" s="5" t="n">
        <v>0</v>
      </c>
      <c r="Q24" s="5" t="n">
        <v>0</v>
      </c>
      <c r="R24" s="9" t="inlineStr">
        <is>
          <t>COMPRAR</t>
        </is>
      </c>
      <c r="S24" s="5" t="n">
        <v>15.6</v>
      </c>
      <c r="T24" s="5" t="n">
        <v>-4</v>
      </c>
      <c r="U24" s="5" t="inlineStr">
        <is>
          <t>GASTON VECCHIO</t>
        </is>
      </c>
      <c r="V24" s="94">
        <f>_xlfn.XMATCH(Tabla4[[#This Row],[EAN CORREGIDO]],'Calcular necesidad'!L:L)</f>
        <v/>
      </c>
      <c r="W24" s="94">
        <f>TRIM(Tabla4[[#This Row],[CodInternoArti]])</f>
        <v/>
      </c>
    </row>
    <row r="25" hidden="1">
      <c r="A25" s="5" t="n">
        <v>2006404</v>
      </c>
      <c r="B25" s="35" t="inlineStr">
        <is>
          <t>14047015A</t>
        </is>
      </c>
      <c r="C25" s="7" t="inlineStr">
        <is>
          <t>SERVILLETA BCA 33X33X1000U GL</t>
        </is>
      </c>
      <c r="D25" s="7" t="inlineStr">
        <is>
          <t>SERVILLETAS DESC</t>
        </is>
      </c>
      <c r="E25" s="7" t="inlineStr">
        <is>
          <t>SERVILLETAS DESC C/LOGO</t>
        </is>
      </c>
      <c r="F25" s="7" t="inlineStr">
        <is>
          <t>SERVILLETA DESC C/LOGO</t>
        </is>
      </c>
      <c r="G25" s="7" t="inlineStr">
        <is>
          <t>Ciudadela</t>
        </is>
      </c>
      <c r="H25" s="6" t="n"/>
      <c r="I25" s="6" t="n"/>
      <c r="J25" s="6" t="n"/>
      <c r="K25" s="6" t="n"/>
      <c r="L25" s="6" t="n">
        <v>4</v>
      </c>
      <c r="M25" s="7" t="n"/>
      <c r="N25" s="8" t="n">
        <v>5.2</v>
      </c>
      <c r="O25" s="5" t="n">
        <v>0</v>
      </c>
      <c r="P25" s="5" t="n">
        <v>0</v>
      </c>
      <c r="Q25" s="5" t="n">
        <v>0</v>
      </c>
      <c r="R25" s="9" t="inlineStr">
        <is>
          <t>COMPRAR</t>
        </is>
      </c>
      <c r="S25" s="5" t="n">
        <v>5.2</v>
      </c>
      <c r="T25" s="5" t="n">
        <v>0</v>
      </c>
      <c r="U25" s="5" t="inlineStr">
        <is>
          <t>GASTON VECCHIO</t>
        </is>
      </c>
      <c r="V25" s="94">
        <f>_xlfn.XMATCH(Tabla4[[#This Row],[EAN CORREGIDO]],'Calcular necesidad'!L:L)</f>
        <v/>
      </c>
      <c r="W25" s="94">
        <f>TRIM(Tabla4[[#This Row],[CodInternoArti]])</f>
        <v/>
      </c>
    </row>
    <row r="26" hidden="1">
      <c r="A26" s="5" t="n">
        <v>2007032</v>
      </c>
      <c r="B26" s="35" t="inlineStr">
        <is>
          <t>17030002A</t>
        </is>
      </c>
      <c r="C26" s="7" t="inlineStr">
        <is>
          <t>GUANTES DE POLIPROPILENO x100U</t>
        </is>
      </c>
      <c r="D26" s="7" t="inlineStr">
        <is>
          <t>VARIOS</t>
        </is>
      </c>
      <c r="E26" s="7" t="inlineStr">
        <is>
          <t>GUANTES DE POLIPROPILENO</t>
        </is>
      </c>
      <c r="F26" s="7" t="inlineStr">
        <is>
          <t>GUANTE POLIPROPILENO</t>
        </is>
      </c>
      <c r="G26" s="7" t="inlineStr">
        <is>
          <t>Ciudadela</t>
        </is>
      </c>
      <c r="H26" s="6" t="n">
        <v>6</v>
      </c>
      <c r="I26" s="6" t="n">
        <v>4</v>
      </c>
      <c r="J26" s="6" t="n">
        <v>6</v>
      </c>
      <c r="K26" s="6" t="n">
        <v>3</v>
      </c>
      <c r="L26" s="6" t="n">
        <v>8</v>
      </c>
      <c r="M26" s="7" t="n">
        <v>2</v>
      </c>
      <c r="N26" s="8" t="n">
        <v>37.7</v>
      </c>
      <c r="O26" s="5" t="n">
        <v>0</v>
      </c>
      <c r="P26" s="5" t="n">
        <v>0</v>
      </c>
      <c r="Q26" s="5" t="n">
        <v>0</v>
      </c>
      <c r="R26" s="9" t="inlineStr">
        <is>
          <t>COMPRAR</t>
        </is>
      </c>
      <c r="S26" s="5" t="n">
        <v>37.7</v>
      </c>
      <c r="T26" s="5" t="n">
        <v>-10</v>
      </c>
      <c r="U26" s="5" t="inlineStr">
        <is>
          <t>GASTON VECCHIO</t>
        </is>
      </c>
      <c r="V26" s="94">
        <f>_xlfn.XMATCH(Tabla4[[#This Row],[EAN CORREGIDO]],'Calcular necesidad'!L:L)</f>
        <v/>
      </c>
      <c r="W26" s="94">
        <f>TRIM(Tabla4[[#This Row],[CodInternoArti]])</f>
        <v/>
      </c>
    </row>
    <row r="27" hidden="1">
      <c r="A27" s="5" t="n">
        <v>2006778</v>
      </c>
      <c r="B27" s="35" t="inlineStr">
        <is>
          <t>13014007A</t>
        </is>
      </c>
      <c r="C27" s="7" t="inlineStr">
        <is>
          <t xml:space="preserve">ESCARBADIENTE EN SOBRE x 1000 </t>
        </is>
      </c>
      <c r="D27" s="7" t="inlineStr">
        <is>
          <t>VARIOS</t>
        </is>
      </c>
      <c r="E27" s="7" t="inlineStr">
        <is>
          <t>ESCARBADIENTE</t>
        </is>
      </c>
      <c r="F27" s="7" t="inlineStr">
        <is>
          <t>ESCARBADIENTE DESCARTABLE</t>
        </is>
      </c>
      <c r="G27" s="7" t="inlineStr">
        <is>
          <t>Ciudadela</t>
        </is>
      </c>
      <c r="H27" s="6" t="n"/>
      <c r="I27" s="6" t="n">
        <v>1</v>
      </c>
      <c r="J27" s="6" t="n">
        <v>1</v>
      </c>
      <c r="K27" s="6" t="n"/>
      <c r="L27" s="6" t="n"/>
      <c r="M27" s="7" t="n">
        <v>2</v>
      </c>
      <c r="N27" s="8" t="n">
        <v>5.2</v>
      </c>
      <c r="O27" s="5" t="n">
        <v>0</v>
      </c>
      <c r="P27" s="5" t="n">
        <v>0</v>
      </c>
      <c r="Q27" s="5" t="n">
        <v>0</v>
      </c>
      <c r="R27" s="9" t="inlineStr">
        <is>
          <t>COMPRAR</t>
        </is>
      </c>
      <c r="S27" s="5" t="n">
        <v>5.2</v>
      </c>
      <c r="T27" s="5" t="n">
        <v>-1</v>
      </c>
      <c r="U27" s="5" t="inlineStr">
        <is>
          <t>GASTON VECCHIO</t>
        </is>
      </c>
      <c r="V27" s="94">
        <f>_xlfn.XMATCH(Tabla4[[#This Row],[EAN CORREGIDO]],'Calcular necesidad'!L:L)</f>
        <v/>
      </c>
      <c r="W27" s="94">
        <f>TRIM(Tabla4[[#This Row],[CodInternoArti]])</f>
        <v/>
      </c>
    </row>
    <row r="28">
      <c r="A28" s="5" t="n">
        <v>2006209</v>
      </c>
      <c r="B28" s="35" t="inlineStr">
        <is>
          <t>14044013A</t>
        </is>
      </c>
      <c r="C28" s="7" t="inlineStr">
        <is>
          <t>ROLLO PAPEL MANTECA</t>
        </is>
      </c>
      <c r="D28" s="7" t="inlineStr">
        <is>
          <t>PAPEL</t>
        </is>
      </c>
      <c r="E28" s="7" t="inlineStr">
        <is>
          <t>DESCARTABLES</t>
        </is>
      </c>
      <c r="F28" s="7" t="inlineStr">
        <is>
          <t>PAPEL MANTECA</t>
        </is>
      </c>
      <c r="G28" s="7" t="inlineStr">
        <is>
          <t>CD Moreno 3</t>
        </is>
      </c>
      <c r="H28" s="6" t="n"/>
      <c r="I28" s="6" t="n"/>
      <c r="J28" s="6" t="n"/>
      <c r="K28" s="6" t="n"/>
      <c r="L28" s="6" t="n"/>
      <c r="M28" s="7" t="n"/>
      <c r="N28" s="8" t="n">
        <v>0</v>
      </c>
      <c r="O28" s="5" t="n">
        <v>0</v>
      </c>
      <c r="P28" s="5" t="n">
        <v>0</v>
      </c>
      <c r="Q28" s="5" t="n">
        <v>0</v>
      </c>
      <c r="R28" s="9" t="inlineStr">
        <is>
          <t>OK</t>
        </is>
      </c>
      <c r="S28" s="5" t="n">
        <v>0</v>
      </c>
      <c r="T28" s="5" t="n">
        <v>0</v>
      </c>
      <c r="U28" s="5" t="inlineStr">
        <is>
          <t>GASTON VECCHIO</t>
        </is>
      </c>
      <c r="V28" s="94">
        <f>_xlfn.XMATCH(Tabla4[[#This Row],[EAN CORREGIDO]],'Calcular necesidad'!L:L)</f>
        <v/>
      </c>
      <c r="W28" s="94">
        <f>TRIM(Tabla4[[#This Row],[CodInternoArti]])</f>
        <v/>
      </c>
    </row>
    <row r="29" hidden="1">
      <c r="A29" s="5" t="n">
        <v>2006396</v>
      </c>
      <c r="B29" s="35" t="inlineStr">
        <is>
          <t>17146007A</t>
        </is>
      </c>
      <c r="C29" s="7" t="inlineStr">
        <is>
          <t>PAPEL ALUMINIO x 1 KG</t>
        </is>
      </c>
      <c r="D29" s="7" t="inlineStr">
        <is>
          <t>PAPEL</t>
        </is>
      </c>
      <c r="E29" s="7" t="inlineStr">
        <is>
          <t>DESCARTABLES</t>
        </is>
      </c>
      <c r="F29" s="7" t="inlineStr">
        <is>
          <t>PAPEL ALUMINIO</t>
        </is>
      </c>
      <c r="G29" s="7" t="inlineStr">
        <is>
          <t>Ciudadela</t>
        </is>
      </c>
      <c r="H29" s="6" t="n">
        <v>8</v>
      </c>
      <c r="I29" s="6" t="n">
        <v>8</v>
      </c>
      <c r="J29" s="6" t="n">
        <v>11</v>
      </c>
      <c r="K29" s="6" t="n">
        <v>8</v>
      </c>
      <c r="L29" s="6" t="n">
        <v>9</v>
      </c>
      <c r="M29" s="7" t="n">
        <v>7</v>
      </c>
      <c r="N29" s="8" t="n">
        <v>66.3</v>
      </c>
      <c r="O29" s="5" t="n">
        <v>0</v>
      </c>
      <c r="P29" s="5" t="n">
        <v>0</v>
      </c>
      <c r="Q29" s="5" t="n">
        <v>0</v>
      </c>
      <c r="R29" s="9" t="inlineStr">
        <is>
          <t>COMPRAR</t>
        </is>
      </c>
      <c r="S29" s="5" t="n">
        <v>66.3</v>
      </c>
      <c r="T29" s="5" t="n">
        <v>-16</v>
      </c>
      <c r="U29" s="5" t="inlineStr">
        <is>
          <t>GASTON VECCHIO</t>
        </is>
      </c>
      <c r="V29" s="94">
        <f>_xlfn.XMATCH(Tabla4[[#This Row],[EAN CORREGIDO]],'Calcular necesidad'!L:L)</f>
        <v/>
      </c>
      <c r="W29" s="94">
        <f>TRIM(Tabla4[[#This Row],[CodInternoArti]])</f>
        <v/>
      </c>
    </row>
    <row r="30" hidden="1">
      <c r="A30" s="5" t="n">
        <v>2006487</v>
      </c>
      <c r="B30" s="35" t="inlineStr">
        <is>
          <t>16204014A</t>
        </is>
      </c>
      <c r="C30" s="7" t="inlineStr">
        <is>
          <t>ROLLO BOLSA ARRANQUE 15x20</t>
        </is>
      </c>
      <c r="D30" s="7" t="inlineStr">
        <is>
          <t>BOLSAS</t>
        </is>
      </c>
      <c r="E30" s="7" t="inlineStr">
        <is>
          <t>BOLSAS ARRANQUE</t>
        </is>
      </c>
      <c r="F30" s="7" t="inlineStr">
        <is>
          <t>BOLSAS ARRANQUE</t>
        </is>
      </c>
      <c r="G30" s="7" t="inlineStr">
        <is>
          <t>Ciudadela</t>
        </is>
      </c>
      <c r="H30" s="6" t="n">
        <v>38</v>
      </c>
      <c r="I30" s="6" t="n">
        <v>53</v>
      </c>
      <c r="J30" s="6" t="n">
        <v>28</v>
      </c>
      <c r="K30" s="6" t="n">
        <v>43</v>
      </c>
      <c r="L30" s="6" t="n">
        <v>53</v>
      </c>
      <c r="M30" s="7" t="n">
        <v>38</v>
      </c>
      <c r="N30" s="8" t="n">
        <v>328.9</v>
      </c>
      <c r="O30" s="5" t="n">
        <v>0</v>
      </c>
      <c r="P30" s="5" t="n">
        <v>0</v>
      </c>
      <c r="Q30" s="5" t="n">
        <v>0</v>
      </c>
      <c r="R30" s="9" t="inlineStr">
        <is>
          <t>COMPRAR</t>
        </is>
      </c>
      <c r="S30" s="5" t="n">
        <v>328.9</v>
      </c>
      <c r="T30" s="5" t="n">
        <v>-91</v>
      </c>
      <c r="U30" s="5" t="inlineStr">
        <is>
          <t>GASTON VECCHIO</t>
        </is>
      </c>
      <c r="V30" s="94">
        <f>_xlfn.XMATCH(Tabla4[[#This Row],[EAN CORREGIDO]],'Calcular necesidad'!L:L)</f>
        <v/>
      </c>
      <c r="W30" s="94">
        <f>TRIM(Tabla4[[#This Row],[CodInternoArti]])</f>
        <v/>
      </c>
    </row>
    <row r="31" hidden="1">
      <c r="A31" s="5" t="n">
        <v>2006143</v>
      </c>
      <c r="B31" s="35" t="inlineStr">
        <is>
          <t>EMB000034</t>
        </is>
      </c>
      <c r="C31" s="7" t="inlineStr">
        <is>
          <t>ROLLO BOLSA ARRANQUE 20 x 25</t>
        </is>
      </c>
      <c r="D31" s="7" t="inlineStr">
        <is>
          <t>BOLSAS</t>
        </is>
      </c>
      <c r="E31" s="7" t="inlineStr">
        <is>
          <t>BOLSAS ARRANQUE</t>
        </is>
      </c>
      <c r="F31" s="7" t="inlineStr">
        <is>
          <t>BOLSAS ARRANQUE</t>
        </is>
      </c>
      <c r="G31" s="7" t="inlineStr">
        <is>
          <t>Ciudadela</t>
        </is>
      </c>
      <c r="H31" s="6" t="n">
        <v>1</v>
      </c>
      <c r="I31" s="6" t="n">
        <v>2</v>
      </c>
      <c r="J31" s="6" t="n"/>
      <c r="K31" s="6" t="n">
        <v>1</v>
      </c>
      <c r="L31" s="6" t="n">
        <v>2</v>
      </c>
      <c r="M31" s="7" t="n"/>
      <c r="N31" s="8" t="n">
        <v>7.800000000000001</v>
      </c>
      <c r="O31" s="5" t="n">
        <v>0</v>
      </c>
      <c r="P31" s="5" t="n">
        <v>0</v>
      </c>
      <c r="Q31" s="5" t="n">
        <v>0</v>
      </c>
      <c r="R31" s="9" t="inlineStr">
        <is>
          <t>COMPRAR</t>
        </is>
      </c>
      <c r="S31" s="5" t="n">
        <v>7.800000000000001</v>
      </c>
      <c r="T31" s="5" t="n">
        <v>-3</v>
      </c>
      <c r="U31" s="5" t="inlineStr">
        <is>
          <t>GASTON VECCHIO</t>
        </is>
      </c>
      <c r="V31" s="94">
        <f>_xlfn.XMATCH(Tabla4[[#This Row],[EAN CORREGIDO]],'Calcular necesidad'!L:L)</f>
        <v/>
      </c>
      <c r="W31" s="94">
        <f>TRIM(Tabla4[[#This Row],[CodInternoArti]])</f>
        <v/>
      </c>
    </row>
    <row r="32" hidden="1">
      <c r="A32" s="5" t="inlineStr">
        <is>
          <t>NO SE ENCUENTRA EAN</t>
        </is>
      </c>
      <c r="B32" s="35" t="inlineStr">
        <is>
          <t>BAZ000524</t>
        </is>
      </c>
      <c r="C32" s="7" t="inlineStr">
        <is>
          <t>DEGUSTADOR X 1000 U</t>
        </is>
      </c>
      <c r="D32" s="7" t="inlineStr">
        <is>
          <t>COCINA</t>
        </is>
      </c>
      <c r="E32" s="7" t="inlineStr">
        <is>
          <t>BAZAR</t>
        </is>
      </c>
      <c r="F32" s="7" t="inlineStr">
        <is>
          <t>DEGUSTADORES</t>
        </is>
      </c>
      <c r="G32" s="7" t="inlineStr">
        <is>
          <t>Ciudadela</t>
        </is>
      </c>
      <c r="H32" s="6" t="n"/>
      <c r="I32" s="6" t="n"/>
      <c r="J32" s="6" t="n">
        <v>2</v>
      </c>
      <c r="K32" s="6" t="n"/>
      <c r="L32" s="6" t="n">
        <v>2</v>
      </c>
      <c r="M32" s="7" t="n"/>
      <c r="N32" s="8" t="n">
        <v>5.2</v>
      </c>
      <c r="O32" s="5" t="n">
        <v>0</v>
      </c>
      <c r="P32" s="5" t="n">
        <v>0</v>
      </c>
      <c r="Q32" s="5" t="n">
        <v>0</v>
      </c>
      <c r="R32" s="9" t="inlineStr">
        <is>
          <t>COMPRAR</t>
        </is>
      </c>
      <c r="S32" s="5" t="n">
        <v>5.2</v>
      </c>
      <c r="T32" s="5" t="n">
        <v>0</v>
      </c>
      <c r="U32" s="5" t="inlineStr">
        <is>
          <t>GASTON VECCHIO</t>
        </is>
      </c>
      <c r="V32" s="94">
        <f>_xlfn.XMATCH(Tabla4[[#This Row],[EAN CORREGIDO]],'Calcular necesidad'!L:L)</f>
        <v/>
      </c>
      <c r="W32" s="94">
        <f>TRIM(Tabla4[[#This Row],[CodInternoArti]])</f>
        <v/>
      </c>
    </row>
    <row r="33" hidden="1">
      <c r="A33" s="5" t="n">
        <v>2006237</v>
      </c>
      <c r="B33" s="35" t="inlineStr">
        <is>
          <t>EMB000036</t>
        </is>
      </c>
      <c r="C33" s="7" t="inlineStr">
        <is>
          <t>ROLLO_BOLSA_ARRANQUE_40_x_60</t>
        </is>
      </c>
      <c r="D33" s="7" t="inlineStr">
        <is>
          <t>BOLSAS</t>
        </is>
      </c>
      <c r="E33" s="7" t="inlineStr">
        <is>
          <t>BOLSAS ARRANQUE</t>
        </is>
      </c>
      <c r="F33" s="7" t="inlineStr">
        <is>
          <t>BOLSAS ARRANQUE</t>
        </is>
      </c>
      <c r="G33" s="7" t="inlineStr">
        <is>
          <t>Ciudadela</t>
        </is>
      </c>
      <c r="H33" s="6" t="n">
        <v>20</v>
      </c>
      <c r="I33" s="6" t="n">
        <v>45</v>
      </c>
      <c r="J33" s="6" t="n">
        <v>22</v>
      </c>
      <c r="K33" s="6" t="n">
        <v>38</v>
      </c>
      <c r="L33" s="6" t="n">
        <v>48</v>
      </c>
      <c r="M33" s="7" t="n">
        <v>24</v>
      </c>
      <c r="N33" s="8" t="n">
        <v>256.1</v>
      </c>
      <c r="O33" s="5" t="n">
        <v>0</v>
      </c>
      <c r="P33" s="5" t="n">
        <v>0</v>
      </c>
      <c r="Q33" s="5" t="n">
        <v>0</v>
      </c>
      <c r="R33" s="9" t="inlineStr">
        <is>
          <t>COMPRAR</t>
        </is>
      </c>
      <c r="S33" s="5" t="n">
        <v>256.1</v>
      </c>
      <c r="T33" s="5" t="n">
        <v>-65</v>
      </c>
      <c r="U33" s="5" t="inlineStr">
        <is>
          <t>GASTON VECCHIO</t>
        </is>
      </c>
      <c r="V33" s="94">
        <f>_xlfn.XMATCH(Tabla4[[#This Row],[EAN CORREGIDO]],'Calcular necesidad'!L:L)</f>
        <v/>
      </c>
      <c r="W33" s="94">
        <f>TRIM(Tabla4[[#This Row],[CodInternoArti]])</f>
        <v/>
      </c>
    </row>
    <row r="34" hidden="1">
      <c r="A34" s="5" t="n">
        <v>2006379</v>
      </c>
      <c r="B34" s="35" t="inlineStr">
        <is>
          <t>LIM000292</t>
        </is>
      </c>
      <c r="C34" s="7" t="inlineStr">
        <is>
          <t>GUANTE NITRILO X100U</t>
        </is>
      </c>
      <c r="D34" s="7" t="inlineStr">
        <is>
          <t>GUANTES</t>
        </is>
      </c>
      <c r="E34" s="7" t="inlineStr">
        <is>
          <t>GUANTES NITRILO</t>
        </is>
      </c>
      <c r="F34" s="7" t="inlineStr">
        <is>
          <t>GUANTE NITRILO</t>
        </is>
      </c>
      <c r="G34" s="7" t="inlineStr">
        <is>
          <t>Ciudadela</t>
        </is>
      </c>
      <c r="H34" s="6" t="n">
        <v>21</v>
      </c>
      <c r="I34" s="6" t="n">
        <v>25</v>
      </c>
      <c r="J34" s="6" t="n"/>
      <c r="K34" s="6" t="n">
        <v>17</v>
      </c>
      <c r="L34" s="6" t="n">
        <v>22</v>
      </c>
      <c r="M34" s="7" t="n"/>
      <c r="N34" s="8" t="n">
        <v>110.5</v>
      </c>
      <c r="O34" s="5" t="n">
        <v>0</v>
      </c>
      <c r="P34" s="5" t="n">
        <v>0</v>
      </c>
      <c r="Q34" s="5" t="n">
        <v>0</v>
      </c>
      <c r="R34" s="9" t="inlineStr">
        <is>
          <t>COMPRAR</t>
        </is>
      </c>
      <c r="S34" s="5" t="n">
        <v>110.5</v>
      </c>
      <c r="T34" s="5" t="n">
        <v>-46</v>
      </c>
      <c r="U34" s="5" t="inlineStr">
        <is>
          <t>GASTON VECCHIO</t>
        </is>
      </c>
      <c r="V34" s="94">
        <f>_xlfn.XMATCH(Tabla4[[#This Row],[EAN CORREGIDO]],'Calcular necesidad'!L:L)</f>
        <v/>
      </c>
      <c r="W34" s="94">
        <f>TRIM(Tabla4[[#This Row],[CodInternoArti]])</f>
        <v/>
      </c>
    </row>
    <row r="35" hidden="1">
      <c r="A35" s="5" t="n">
        <v>2006644</v>
      </c>
      <c r="B35" s="35" t="inlineStr">
        <is>
          <t>EMB000042</t>
        </is>
      </c>
      <c r="C35" s="7" t="inlineStr">
        <is>
          <t>BOLSA_PAPEL_MADERA_15x35x100U</t>
        </is>
      </c>
      <c r="D35" s="7" t="inlineStr">
        <is>
          <t>DESCARTABLES</t>
        </is>
      </c>
      <c r="E35" s="7" t="inlineStr">
        <is>
          <t>DESCARTABLES</t>
        </is>
      </c>
      <c r="F35" s="7" t="inlineStr">
        <is>
          <t>BOLSA PAPEL MADERA</t>
        </is>
      </c>
      <c r="G35" s="7" t="inlineStr">
        <is>
          <t>Ciudadela</t>
        </is>
      </c>
      <c r="H35" s="6" t="n">
        <v>21</v>
      </c>
      <c r="I35" s="6" t="n">
        <v>22</v>
      </c>
      <c r="J35" s="6" t="n">
        <v>24</v>
      </c>
      <c r="K35" s="6" t="n">
        <v>22</v>
      </c>
      <c r="L35" s="6" t="n">
        <v>23</v>
      </c>
      <c r="M35" s="7" t="n">
        <v>20</v>
      </c>
      <c r="N35" s="8" t="n">
        <v>171.6</v>
      </c>
      <c r="O35" s="5" t="n">
        <v>0</v>
      </c>
      <c r="P35" s="5" t="n">
        <v>0</v>
      </c>
      <c r="Q35" s="5" t="n">
        <v>0</v>
      </c>
      <c r="R35" s="9" t="inlineStr">
        <is>
          <t>COMPRAR</t>
        </is>
      </c>
      <c r="S35" s="5" t="n">
        <v>171.6</v>
      </c>
      <c r="T35" s="5" t="n">
        <v>-43</v>
      </c>
      <c r="U35" s="5" t="inlineStr">
        <is>
          <t>GASTON VECCHIO</t>
        </is>
      </c>
      <c r="V35" s="94">
        <f>_xlfn.XMATCH(Tabla4[[#This Row],[EAN CORREGIDO]],'Calcular necesidad'!L:L)</f>
        <v/>
      </c>
      <c r="W35" s="94">
        <f>TRIM(Tabla4[[#This Row],[CodInternoArti]])</f>
        <v/>
      </c>
    </row>
    <row r="36" hidden="1">
      <c r="A36" s="5" t="n">
        <v>2006663</v>
      </c>
      <c r="B36" s="35" t="inlineStr">
        <is>
          <t>LIM000155</t>
        </is>
      </c>
      <c r="C36" s="7" t="inlineStr">
        <is>
          <t>ROLLO ALUMINIO 45cm x 10mts</t>
        </is>
      </c>
      <c r="D36" s="7" t="inlineStr">
        <is>
          <t>PAPEL</t>
        </is>
      </c>
      <c r="E36" s="7" t="inlineStr">
        <is>
          <t>ROLLO INDUSTRIAL</t>
        </is>
      </c>
      <c r="F36" s="7" t="inlineStr">
        <is>
          <t>PAPEL ALUMINIO</t>
        </is>
      </c>
      <c r="G36" s="7" t="inlineStr">
        <is>
          <t>Ciudadela</t>
        </is>
      </c>
      <c r="H36" s="6" t="n">
        <v>2</v>
      </c>
      <c r="I36" s="6" t="n"/>
      <c r="J36" s="6" t="n">
        <v>2</v>
      </c>
      <c r="K36" s="6" t="n"/>
      <c r="L36" s="6" t="n">
        <v>2</v>
      </c>
      <c r="M36" s="7" t="n"/>
      <c r="N36" s="8" t="n">
        <v>7.800000000000001</v>
      </c>
      <c r="O36" s="5" t="n">
        <v>0</v>
      </c>
      <c r="P36" s="5" t="n">
        <v>0</v>
      </c>
      <c r="Q36" s="5" t="n">
        <v>0</v>
      </c>
      <c r="R36" s="9" t="inlineStr">
        <is>
          <t>COMPRAR</t>
        </is>
      </c>
      <c r="S36" s="5" t="n">
        <v>7.800000000000001</v>
      </c>
      <c r="T36" s="5" t="n">
        <v>-2</v>
      </c>
      <c r="U36" s="5" t="inlineStr">
        <is>
          <t>GASTON VECCHIO</t>
        </is>
      </c>
      <c r="V36" s="94">
        <f>_xlfn.XMATCH(Tabla4[[#This Row],[EAN CORREGIDO]],'Calcular necesidad'!L:L)</f>
        <v/>
      </c>
      <c r="W36" s="94">
        <f>TRIM(Tabla4[[#This Row],[CodInternoArti]])</f>
        <v/>
      </c>
    </row>
    <row r="37" hidden="1">
      <c r="A37" s="5" t="n">
        <v>2006238</v>
      </c>
      <c r="B37" s="35" t="inlineStr">
        <is>
          <t>EMB000037</t>
        </is>
      </c>
      <c r="C37" s="7" t="inlineStr">
        <is>
          <t>ROLLO_BOLSA_ARRANQUE_45_x_60</t>
        </is>
      </c>
      <c r="D37" s="7" t="inlineStr">
        <is>
          <t>BOLSAS</t>
        </is>
      </c>
      <c r="E37" s="7" t="inlineStr">
        <is>
          <t>BOLSAS ARRANQUE</t>
        </is>
      </c>
      <c r="F37" s="7" t="inlineStr">
        <is>
          <t>BOLSAS ARRANQUE</t>
        </is>
      </c>
      <c r="G37" s="7" t="inlineStr">
        <is>
          <t>Ciudadela</t>
        </is>
      </c>
      <c r="H37" s="6" t="n">
        <v>3</v>
      </c>
      <c r="I37" s="6" t="n">
        <v>3</v>
      </c>
      <c r="J37" s="6" t="n">
        <v>3</v>
      </c>
      <c r="K37" s="6" t="n">
        <v>21</v>
      </c>
      <c r="L37" s="6" t="n">
        <v>3</v>
      </c>
      <c r="M37" s="7" t="n">
        <v>3</v>
      </c>
      <c r="N37" s="8" t="n">
        <v>46.8</v>
      </c>
      <c r="O37" s="5" t="n">
        <v>0</v>
      </c>
      <c r="P37" s="5" t="n">
        <v>0</v>
      </c>
      <c r="Q37" s="5" t="n">
        <v>0</v>
      </c>
      <c r="R37" s="9" t="inlineStr">
        <is>
          <t>COMPRAR</t>
        </is>
      </c>
      <c r="S37" s="5" t="n">
        <v>46.8</v>
      </c>
      <c r="T37" s="5" t="n">
        <v>-6</v>
      </c>
      <c r="U37" s="5" t="inlineStr">
        <is>
          <t>GASTON VECCHIO</t>
        </is>
      </c>
      <c r="V37" s="94">
        <f>_xlfn.XMATCH(Tabla4[[#This Row],[EAN CORREGIDO]],'Calcular necesidad'!L:L)</f>
        <v/>
      </c>
      <c r="W37" s="94">
        <f>TRIM(Tabla4[[#This Row],[CodInternoArti]])</f>
        <v/>
      </c>
    </row>
    <row r="38" hidden="1">
      <c r="A38" s="5" t="n">
        <v>2006383</v>
      </c>
      <c r="B38" s="35" t="inlineStr">
        <is>
          <t>LIM000324</t>
        </is>
      </c>
      <c r="C38" s="7" t="inlineStr">
        <is>
          <t>BARBIJOS X 100 U</t>
        </is>
      </c>
      <c r="D38" s="7" t="inlineStr">
        <is>
          <t>VARIOS</t>
        </is>
      </c>
      <c r="E38" s="7" t="inlineStr">
        <is>
          <t>DESCARTABLES</t>
        </is>
      </c>
      <c r="F38" s="7" t="inlineStr">
        <is>
          <t>BARBIJO DESCARTABLE</t>
        </is>
      </c>
      <c r="G38" s="7" t="inlineStr">
        <is>
          <t>Ciudadela</t>
        </is>
      </c>
      <c r="H38" s="6" t="n">
        <v>3</v>
      </c>
      <c r="I38" s="6" t="n">
        <v>4</v>
      </c>
      <c r="J38" s="6" t="n">
        <v>1</v>
      </c>
      <c r="K38" s="6" t="n">
        <v>4</v>
      </c>
      <c r="L38" s="6" t="n">
        <v>2</v>
      </c>
      <c r="M38" s="7" t="n">
        <v>3</v>
      </c>
      <c r="N38" s="8" t="n">
        <v>22.1</v>
      </c>
      <c r="O38" s="5" t="n">
        <v>0</v>
      </c>
      <c r="P38" s="5" t="n">
        <v>0</v>
      </c>
      <c r="Q38" s="5" t="n">
        <v>0</v>
      </c>
      <c r="R38" s="9" t="inlineStr">
        <is>
          <t>COMPRAR</t>
        </is>
      </c>
      <c r="S38" s="5" t="n">
        <v>22.1</v>
      </c>
      <c r="T38" s="5" t="n">
        <v>-7</v>
      </c>
      <c r="U38" s="5" t="inlineStr">
        <is>
          <t>GASTON VECCHIO</t>
        </is>
      </c>
      <c r="V38" s="94">
        <f>_xlfn.XMATCH(Tabla4[[#This Row],[EAN CORREGIDO]],'Calcular necesidad'!L:L)</f>
        <v/>
      </c>
      <c r="W38" s="94">
        <f>TRIM(Tabla4[[#This Row],[CodInternoArti]])</f>
        <v/>
      </c>
    </row>
    <row r="39" hidden="1">
      <c r="A39" s="5" t="n">
        <v>2006272</v>
      </c>
      <c r="B39" s="35" t="inlineStr">
        <is>
          <t>EMB000035</t>
        </is>
      </c>
      <c r="C39" s="7" t="inlineStr">
        <is>
          <t>ROLLO_BOLSA_ARRANQUE_35_x_45</t>
        </is>
      </c>
      <c r="D39" s="7" t="inlineStr">
        <is>
          <t>BOLSAS</t>
        </is>
      </c>
      <c r="E39" s="7" t="inlineStr">
        <is>
          <t>BOLSAS ARRANQUE</t>
        </is>
      </c>
      <c r="F39" s="7" t="inlineStr">
        <is>
          <t>BOLSAS ARRANQUE</t>
        </is>
      </c>
      <c r="G39" s="7" t="inlineStr">
        <is>
          <t>Ciudadela</t>
        </is>
      </c>
      <c r="H39" s="6" t="n">
        <v>19</v>
      </c>
      <c r="I39" s="6" t="n">
        <v>19</v>
      </c>
      <c r="J39" s="6" t="n">
        <v>18</v>
      </c>
      <c r="K39" s="6" t="n">
        <v>18</v>
      </c>
      <c r="L39" s="6" t="n">
        <v>23</v>
      </c>
      <c r="M39" s="7" t="n">
        <v>15</v>
      </c>
      <c r="N39" s="8" t="n">
        <v>145.6</v>
      </c>
      <c r="O39" s="5" t="n">
        <v>0</v>
      </c>
      <c r="P39" s="5" t="n">
        <v>0</v>
      </c>
      <c r="Q39" s="5" t="n">
        <v>0</v>
      </c>
      <c r="R39" s="9" t="inlineStr">
        <is>
          <t>COMPRAR</t>
        </is>
      </c>
      <c r="S39" s="5" t="n">
        <v>145.6</v>
      </c>
      <c r="T39" s="5" t="n">
        <v>-38</v>
      </c>
      <c r="U39" s="5" t="inlineStr">
        <is>
          <t>GASTON VECCHIO</t>
        </is>
      </c>
      <c r="V39" s="94">
        <f>_xlfn.XMATCH(Tabla4[[#This Row],[EAN CORREGIDO]],'Calcular necesidad'!L:L)</f>
        <v/>
      </c>
      <c r="W39" s="94">
        <f>TRIM(Tabla4[[#This Row],[CodInternoArti]])</f>
        <v/>
      </c>
    </row>
    <row r="40" hidden="1">
      <c r="A40" s="5" t="n">
        <v>2006489</v>
      </c>
      <c r="B40" s="35" t="inlineStr">
        <is>
          <t>EMB000038</t>
        </is>
      </c>
      <c r="C40" s="7" t="inlineStr">
        <is>
          <t>ROLLO_BOLSA_ARRANQUE_60_x_90_</t>
        </is>
      </c>
      <c r="D40" s="7" t="inlineStr">
        <is>
          <t>BOLSAS</t>
        </is>
      </c>
      <c r="E40" s="7" t="inlineStr">
        <is>
          <t>BOLSAS ARRANQUE</t>
        </is>
      </c>
      <c r="F40" s="7" t="inlineStr">
        <is>
          <t>BOLSAS ARRANQUE</t>
        </is>
      </c>
      <c r="G40" s="7" t="inlineStr">
        <is>
          <t>Ciudadela</t>
        </is>
      </c>
      <c r="H40" s="6" t="n">
        <v>9</v>
      </c>
      <c r="I40" s="6" t="n">
        <v>38</v>
      </c>
      <c r="J40" s="6" t="n">
        <v>9</v>
      </c>
      <c r="K40" s="6" t="n">
        <v>28</v>
      </c>
      <c r="L40" s="6" t="n">
        <v>46</v>
      </c>
      <c r="M40" s="7" t="n">
        <v>4</v>
      </c>
      <c r="N40" s="8" t="n">
        <v>174.2</v>
      </c>
      <c r="O40" s="5" t="n">
        <v>0</v>
      </c>
      <c r="P40" s="5" t="n">
        <v>0</v>
      </c>
      <c r="Q40" s="5" t="n">
        <v>0</v>
      </c>
      <c r="R40" s="9" t="inlineStr">
        <is>
          <t>COMPRAR</t>
        </is>
      </c>
      <c r="S40" s="5" t="n">
        <v>174.2</v>
      </c>
      <c r="T40" s="5" t="n">
        <v>-47</v>
      </c>
      <c r="U40" s="5" t="inlineStr">
        <is>
          <t>GASTON VECCHIO</t>
        </is>
      </c>
      <c r="V40" s="94">
        <f>_xlfn.XMATCH(Tabla4[[#This Row],[EAN CORREGIDO]],'Calcular necesidad'!L:L)</f>
        <v/>
      </c>
      <c r="W40" s="94">
        <f>TRIM(Tabla4[[#This Row],[CodInternoArti]])</f>
        <v/>
      </c>
    </row>
    <row r="41" hidden="1">
      <c r="A41" s="5" t="n">
        <v>2006674</v>
      </c>
      <c r="B41" s="35" t="n">
        <v>7790221010607</v>
      </c>
      <c r="C41" s="7" t="inlineStr">
        <is>
          <t>SORBETES ENSOBRADOS X 1000</t>
        </is>
      </c>
      <c r="D41" s="7" t="inlineStr">
        <is>
          <t>DESCARTABLES</t>
        </is>
      </c>
      <c r="E41" s="7" t="inlineStr">
        <is>
          <t>SORBETES</t>
        </is>
      </c>
      <c r="F41" s="7" t="inlineStr">
        <is>
          <t>SORBETES</t>
        </is>
      </c>
      <c r="G41" s="7" t="inlineStr">
        <is>
          <t>CD Moreno 3</t>
        </is>
      </c>
      <c r="H41" s="6" t="n">
        <v>1</v>
      </c>
      <c r="I41" s="6" t="n"/>
      <c r="J41" s="6" t="n"/>
      <c r="K41" s="6" t="n"/>
      <c r="L41" s="6" t="n"/>
      <c r="M41" s="7" t="n"/>
      <c r="N41" s="8" t="n">
        <v>1.3</v>
      </c>
      <c r="O41" s="5" t="n">
        <v>3</v>
      </c>
      <c r="P41" s="5" t="n">
        <v>0</v>
      </c>
      <c r="Q41" s="5" t="n">
        <v>4</v>
      </c>
      <c r="R41" s="9" t="inlineStr">
        <is>
          <t>OK</t>
        </is>
      </c>
      <c r="S41" s="5" t="n">
        <v>0</v>
      </c>
      <c r="T41" s="5" t="n">
        <v>2</v>
      </c>
      <c r="U41" s="5" t="inlineStr">
        <is>
          <t>GASTON VECCHIO</t>
        </is>
      </c>
      <c r="V41" s="94">
        <f>_xlfn.XMATCH(Tabla4[[#This Row],[EAN CORREGIDO]],'Calcular necesidad'!L:L)</f>
        <v/>
      </c>
      <c r="W41" s="94">
        <f>TRIM(Tabla4[[#This Row],[CodInternoArti]])</f>
        <v/>
      </c>
    </row>
    <row r="42" hidden="1">
      <c r="A42" s="5" t="n">
        <v>2006795</v>
      </c>
      <c r="B42" s="35" t="n">
        <v>7790321020066</v>
      </c>
      <c r="C42" s="7" t="inlineStr">
        <is>
          <t>BAND ALUMINIO R5/F2100 x 600 U</t>
        </is>
      </c>
      <c r="D42" s="7" t="inlineStr">
        <is>
          <t>BANDEJAS DESC</t>
        </is>
      </c>
      <c r="E42" s="7" t="inlineStr">
        <is>
          <t>BANDEJAS ALUMINIO</t>
        </is>
      </c>
      <c r="F42" s="7" t="inlineStr">
        <is>
          <t>BAND ALUMINIO R5</t>
        </is>
      </c>
      <c r="G42" s="7" t="inlineStr">
        <is>
          <t>Ciudadela</t>
        </is>
      </c>
      <c r="H42" s="6" t="n"/>
      <c r="I42" s="6" t="n">
        <v>3</v>
      </c>
      <c r="J42" s="6" t="n"/>
      <c r="K42" s="6" t="n">
        <v>1</v>
      </c>
      <c r="L42" s="6" t="n">
        <v>3</v>
      </c>
      <c r="M42" s="7" t="n"/>
      <c r="N42" s="8" t="n">
        <v>9.1</v>
      </c>
      <c r="O42" s="5" t="n">
        <v>20</v>
      </c>
      <c r="P42" s="5" t="n">
        <v>0</v>
      </c>
      <c r="Q42" s="5" t="n">
        <v>457</v>
      </c>
      <c r="R42" s="9" t="inlineStr">
        <is>
          <t>OK</t>
        </is>
      </c>
      <c r="S42" s="5" t="n">
        <v>0</v>
      </c>
      <c r="T42" s="5" t="n">
        <v>17</v>
      </c>
      <c r="U42" s="5" t="inlineStr">
        <is>
          <t>GASTON VECCHIO</t>
        </is>
      </c>
      <c r="V42" s="94">
        <f>_xlfn.XMATCH(Tabla4[[#This Row],[EAN CORREGIDO]],'Calcular necesidad'!L:L)</f>
        <v/>
      </c>
      <c r="W42" s="94">
        <f>TRIM(Tabla4[[#This Row],[CodInternoArti]])</f>
        <v/>
      </c>
    </row>
    <row r="43" hidden="1">
      <c r="A43" s="5" t="n">
        <v>2006391</v>
      </c>
      <c r="B43" s="35" t="n">
        <v>7790321020276</v>
      </c>
      <c r="C43" s="7" t="inlineStr">
        <is>
          <t>TAPA 103 x 50 U</t>
        </is>
      </c>
      <c r="D43" s="7" t="inlineStr">
        <is>
          <t>TAPAS BAND DESC</t>
        </is>
      </c>
      <c r="E43" s="7" t="inlineStr">
        <is>
          <t>TAPAS PLASTICAS</t>
        </is>
      </c>
      <c r="F43" s="7" t="inlineStr">
        <is>
          <t>TAPA 103</t>
        </is>
      </c>
      <c r="G43" s="7" t="inlineStr">
        <is>
          <t>Ciudadela</t>
        </is>
      </c>
      <c r="H43" s="6" t="n">
        <v>84</v>
      </c>
      <c r="I43" s="6" t="n">
        <v>98</v>
      </c>
      <c r="J43" s="6" t="n">
        <v>80</v>
      </c>
      <c r="K43" s="6" t="n">
        <v>88</v>
      </c>
      <c r="L43" s="6" t="n">
        <v>100</v>
      </c>
      <c r="M43" s="7" t="n">
        <v>78</v>
      </c>
      <c r="N43" s="8" t="n">
        <v>686.4</v>
      </c>
      <c r="O43" s="5" t="n">
        <v>195</v>
      </c>
      <c r="P43" s="5" t="n">
        <v>0</v>
      </c>
      <c r="Q43" s="5" t="n">
        <v>0</v>
      </c>
      <c r="R43" s="9" t="inlineStr">
        <is>
          <t>COMPRAR</t>
        </is>
      </c>
      <c r="S43" s="5" t="n">
        <v>491.4</v>
      </c>
      <c r="T43" s="5" t="n">
        <v>13</v>
      </c>
      <c r="U43" s="5" t="inlineStr">
        <is>
          <t>GASTON VECCHIO</t>
        </is>
      </c>
      <c r="V43" s="94">
        <f>_xlfn.XMATCH(Tabla4[[#This Row],[EAN CORREGIDO]],'Calcular necesidad'!L:L)</f>
        <v/>
      </c>
      <c r="W43" s="94">
        <f>TRIM(Tabla4[[#This Row],[CodInternoArti]])</f>
        <v/>
      </c>
    </row>
    <row r="44" hidden="1">
      <c r="A44" s="5" t="n">
        <v>2006476</v>
      </c>
      <c r="B44" s="35" t="n">
        <v>7790321020356</v>
      </c>
      <c r="C44" s="7" t="inlineStr">
        <is>
          <t>VASO PLASTICO x 220 CC X 100 U</t>
        </is>
      </c>
      <c r="D44" s="7" t="inlineStr">
        <is>
          <t>VASOS</t>
        </is>
      </c>
      <c r="E44" s="7" t="inlineStr">
        <is>
          <t>VASOS PLASTICOS</t>
        </is>
      </c>
      <c r="F44" s="7" t="inlineStr">
        <is>
          <t>VASO PLASTICO</t>
        </is>
      </c>
      <c r="G44" s="7" t="inlineStr">
        <is>
          <t>Ciudadela</t>
        </is>
      </c>
      <c r="H44" s="6" t="n">
        <v>9</v>
      </c>
      <c r="I44" s="6" t="n">
        <v>4</v>
      </c>
      <c r="J44" s="6" t="n"/>
      <c r="K44" s="6" t="n">
        <v>2</v>
      </c>
      <c r="L44" s="6" t="n"/>
      <c r="M44" s="7" t="n"/>
      <c r="N44" s="8" t="n">
        <v>19.5</v>
      </c>
      <c r="O44" s="5" t="n">
        <v>0</v>
      </c>
      <c r="P44" s="5" t="n">
        <v>4</v>
      </c>
      <c r="Q44" s="5" t="n">
        <v>0</v>
      </c>
      <c r="R44" s="9" t="inlineStr">
        <is>
          <t>COMPRAR</t>
        </is>
      </c>
      <c r="S44" s="5" t="n">
        <v>15.5</v>
      </c>
      <c r="T44" s="5" t="n">
        <v>-13</v>
      </c>
      <c r="U44" s="5" t="inlineStr">
        <is>
          <t>GASTON VECCHIO</t>
        </is>
      </c>
      <c r="V44" s="94">
        <f>_xlfn.XMATCH(Tabla4[[#This Row],[EAN CORREGIDO]],'Calcular necesidad'!L:L)</f>
        <v/>
      </c>
      <c r="W44" s="94">
        <f>TRIM(Tabla4[[#This Row],[CodInternoArti]])</f>
        <v/>
      </c>
    </row>
    <row r="45" hidden="1">
      <c r="A45" s="5" t="n">
        <v>2006680</v>
      </c>
      <c r="B45" s="35" t="n">
        <v>7790321020086</v>
      </c>
      <c r="C45" s="7" t="inlineStr">
        <is>
          <t>BANDEJA PLASTICA 103 x 100 U</t>
        </is>
      </c>
      <c r="D45" s="7" t="inlineStr">
        <is>
          <t>BANDEJAS DESC</t>
        </is>
      </c>
      <c r="E45" s="7" t="inlineStr">
        <is>
          <t>BANDEJAS PLASTICAS</t>
        </is>
      </c>
      <c r="F45" s="7" t="inlineStr">
        <is>
          <t>BAND 103</t>
        </is>
      </c>
      <c r="G45" s="7" t="inlineStr">
        <is>
          <t>CD Moreno 3</t>
        </is>
      </c>
      <c r="H45" s="6" t="n">
        <v>6</v>
      </c>
      <c r="I45" s="6" t="n"/>
      <c r="J45" s="6" t="n"/>
      <c r="K45" s="6" t="n"/>
      <c r="L45" s="6" t="n"/>
      <c r="M45" s="7" t="n"/>
      <c r="N45" s="8" t="n">
        <v>7.800000000000001</v>
      </c>
      <c r="O45" s="5" t="n">
        <v>0</v>
      </c>
      <c r="P45" s="5" t="n">
        <v>0</v>
      </c>
      <c r="Q45" s="5" t="n">
        <v>0</v>
      </c>
      <c r="R45" s="9" t="inlineStr">
        <is>
          <t>COMPRAR</t>
        </is>
      </c>
      <c r="S45" s="5" t="n">
        <v>7.800000000000001</v>
      </c>
      <c r="T45" s="5" t="n">
        <v>-6</v>
      </c>
      <c r="U45" s="5" t="inlineStr">
        <is>
          <t>GASTON VECCHIO</t>
        </is>
      </c>
      <c r="V45" s="94">
        <f>_xlfn.XMATCH(Tabla4[[#This Row],[EAN CORREGIDO]],'Calcular necesidad'!L:L)</f>
        <v/>
      </c>
      <c r="W45" s="94">
        <f>TRIM(Tabla4[[#This Row],[CodInternoArti]])</f>
        <v/>
      </c>
    </row>
    <row r="46" hidden="1">
      <c r="A46" s="5" t="n">
        <v>2006223</v>
      </c>
      <c r="B46" s="35" t="n">
        <v>7790321020126</v>
      </c>
      <c r="C46" s="7" t="inlineStr">
        <is>
          <t>BOLSA CAMISETA 50X60 X 100U RE</t>
        </is>
      </c>
      <c r="D46" s="7" t="inlineStr">
        <is>
          <t>BOLSAS</t>
        </is>
      </c>
      <c r="E46" s="7" t="inlineStr">
        <is>
          <t>BOLSAS CAMISETA</t>
        </is>
      </c>
      <c r="F46" s="7" t="inlineStr">
        <is>
          <t>BOLSA CAMISETA REFORZADA</t>
        </is>
      </c>
      <c r="G46" s="7" t="inlineStr">
        <is>
          <t>Moreno</t>
        </is>
      </c>
      <c r="H46" s="6" t="n"/>
      <c r="I46" s="6" t="n">
        <v>2</v>
      </c>
      <c r="J46" s="6" t="n"/>
      <c r="K46" s="6" t="n">
        <v>2</v>
      </c>
      <c r="L46" s="6" t="n"/>
      <c r="M46" s="7" t="n">
        <v>2</v>
      </c>
      <c r="N46" s="8" t="n">
        <v>7.800000000000001</v>
      </c>
      <c r="O46" s="5" t="n">
        <v>0</v>
      </c>
      <c r="P46" s="5" t="n">
        <v>0</v>
      </c>
      <c r="Q46" s="5" t="n">
        <v>0</v>
      </c>
      <c r="R46" s="9" t="inlineStr">
        <is>
          <t>COMPRAR</t>
        </is>
      </c>
      <c r="S46" s="5" t="n">
        <v>7.800000000000001</v>
      </c>
      <c r="T46" s="5" t="n">
        <v>-2</v>
      </c>
      <c r="U46" s="5" t="inlineStr">
        <is>
          <t>GASTON VECCHIO</t>
        </is>
      </c>
      <c r="V46" s="94">
        <f>_xlfn.XMATCH(Tabla4[[#This Row],[EAN CORREGIDO]],'Calcular necesidad'!L:L)</f>
        <v/>
      </c>
      <c r="W46" s="94">
        <f>TRIM(Tabla4[[#This Row],[CodInternoArti]])</f>
        <v/>
      </c>
    </row>
    <row r="47" hidden="1">
      <c r="A47" s="5" t="n">
        <v>2006427</v>
      </c>
      <c r="B47" s="35" t="n">
        <v>7790321020106</v>
      </c>
      <c r="C47" s="7" t="inlineStr">
        <is>
          <t>BANDEJAS PLASTICAS 101 x 100 U RECTANGULAR</t>
        </is>
      </c>
      <c r="D47" s="7" t="inlineStr">
        <is>
          <t>BANDEJAS DESC</t>
        </is>
      </c>
      <c r="E47" s="7" t="inlineStr">
        <is>
          <t>BANDEJAS PLASTICAS</t>
        </is>
      </c>
      <c r="F47" s="7" t="inlineStr">
        <is>
          <t>BAND 101</t>
        </is>
      </c>
      <c r="G47" s="7" t="inlineStr">
        <is>
          <t>Ciudadela</t>
        </is>
      </c>
      <c r="H47" s="6" t="n">
        <v>20</v>
      </c>
      <c r="I47" s="6" t="n">
        <v>49</v>
      </c>
      <c r="J47" s="6" t="n">
        <v>63</v>
      </c>
      <c r="K47" s="6" t="n">
        <v>69</v>
      </c>
      <c r="L47" s="6" t="n">
        <v>64</v>
      </c>
      <c r="M47" s="7" t="n">
        <v>51</v>
      </c>
      <c r="N47" s="8" t="n">
        <v>410.8</v>
      </c>
      <c r="O47" s="5" t="n">
        <v>0</v>
      </c>
      <c r="P47" s="5" t="n">
        <v>0</v>
      </c>
      <c r="Q47" s="5" t="n">
        <v>0</v>
      </c>
      <c r="R47" s="9" t="inlineStr">
        <is>
          <t>COMPRAR</t>
        </is>
      </c>
      <c r="S47" s="5" t="n">
        <v>410.8</v>
      </c>
      <c r="T47" s="5" t="n">
        <v>-69</v>
      </c>
      <c r="U47" s="5" t="inlineStr">
        <is>
          <t>GASTON VECCHIO</t>
        </is>
      </c>
      <c r="V47" s="94">
        <f>_xlfn.XMATCH(Tabla4[[#This Row],[EAN CORREGIDO]],'Calcular necesidad'!L:L)</f>
        <v/>
      </c>
      <c r="W47" s="94">
        <f>TRIM(Tabla4[[#This Row],[CodInternoArti]])</f>
        <v/>
      </c>
    </row>
    <row r="48" hidden="1">
      <c r="A48" s="5" t="n">
        <v>2006410</v>
      </c>
      <c r="B48" s="35" t="n">
        <v>7790321020156</v>
      </c>
      <c r="C48" s="7" t="inlineStr">
        <is>
          <t>VO BOLSA CAMIS NEG 45X60X100UN</t>
        </is>
      </c>
      <c r="D48" s="7" t="inlineStr">
        <is>
          <t>BOLSAS</t>
        </is>
      </c>
      <c r="E48" s="7" t="inlineStr">
        <is>
          <t>BOLSAS CAMISETA</t>
        </is>
      </c>
      <c r="F48" s="7" t="inlineStr">
        <is>
          <t>BOLSAS CAMISETA</t>
        </is>
      </c>
      <c r="G48" s="7" t="inlineStr">
        <is>
          <t>Ciudadela</t>
        </is>
      </c>
      <c r="H48" s="6" t="n">
        <v>2</v>
      </c>
      <c r="I48" s="6" t="n">
        <v>2</v>
      </c>
      <c r="J48" s="6" t="n">
        <v>2</v>
      </c>
      <c r="K48" s="6" t="n">
        <v>2</v>
      </c>
      <c r="L48" s="6" t="n">
        <v>2</v>
      </c>
      <c r="M48" s="7" t="n">
        <v>2</v>
      </c>
      <c r="N48" s="8" t="n">
        <v>15.6</v>
      </c>
      <c r="O48" s="5" t="n">
        <v>0</v>
      </c>
      <c r="P48" s="5" t="n">
        <v>0</v>
      </c>
      <c r="Q48" s="5" t="n">
        <v>0</v>
      </c>
      <c r="R48" s="9" t="inlineStr">
        <is>
          <t>COMPRAR</t>
        </is>
      </c>
      <c r="S48" s="5" t="n">
        <v>15.6</v>
      </c>
      <c r="T48" s="5" t="n">
        <v>-4</v>
      </c>
      <c r="U48" s="5" t="inlineStr">
        <is>
          <t>GASTON VECCHIO</t>
        </is>
      </c>
      <c r="V48" s="94">
        <f>_xlfn.XMATCH(Tabla4[[#This Row],[EAN CORREGIDO]],'Calcular necesidad'!L:L)</f>
        <v/>
      </c>
      <c r="W48" s="94">
        <f>TRIM(Tabla4[[#This Row],[CodInternoArti]])</f>
        <v/>
      </c>
    </row>
    <row r="49" hidden="1">
      <c r="A49" s="5" t="n">
        <v>2006393</v>
      </c>
      <c r="B49" s="35" t="n">
        <v>7790321020326</v>
      </c>
      <c r="C49" s="7" t="inlineStr">
        <is>
          <t>TAPA VASO TERM 240 CC x 100 U</t>
        </is>
      </c>
      <c r="D49" s="7" t="inlineStr">
        <is>
          <t>TAPAS VASOS DESC</t>
        </is>
      </c>
      <c r="E49" s="7" t="inlineStr">
        <is>
          <t>TAPAS PLASTICAS</t>
        </is>
      </c>
      <c r="F49" s="7" t="inlineStr">
        <is>
          <t>TAPA VASO TERMICO 240CC</t>
        </is>
      </c>
      <c r="G49" s="7" t="inlineStr">
        <is>
          <t>Ciudadela</t>
        </is>
      </c>
      <c r="H49" s="6" t="n"/>
      <c r="I49" s="6" t="n">
        <v>4</v>
      </c>
      <c r="J49" s="6" t="n"/>
      <c r="K49" s="6" t="n">
        <v>2</v>
      </c>
      <c r="L49" s="6" t="n">
        <v>4</v>
      </c>
      <c r="M49" s="7" t="n"/>
      <c r="N49" s="8" t="n">
        <v>13</v>
      </c>
      <c r="O49" s="5" t="n">
        <v>130</v>
      </c>
      <c r="P49" s="5" t="n">
        <v>0</v>
      </c>
      <c r="Q49" s="5" t="n">
        <v>149</v>
      </c>
      <c r="R49" s="9" t="inlineStr">
        <is>
          <t>OK</t>
        </is>
      </c>
      <c r="S49" s="5" t="n">
        <v>0</v>
      </c>
      <c r="T49" s="5" t="n">
        <v>126</v>
      </c>
      <c r="U49" s="5" t="inlineStr">
        <is>
          <t>GASTON VECCHIO</t>
        </is>
      </c>
      <c r="V49" s="94">
        <f>_xlfn.XMATCH(Tabla4[[#This Row],[EAN CORREGIDO]],'Calcular necesidad'!L:L)</f>
        <v/>
      </c>
      <c r="W49" s="94">
        <f>TRIM(Tabla4[[#This Row],[CodInternoArti]])</f>
        <v/>
      </c>
    </row>
    <row r="50" hidden="1">
      <c r="A50" s="5" t="n">
        <v>2006155</v>
      </c>
      <c r="B50" s="35" t="n">
        <v>7790321020905</v>
      </c>
      <c r="C50" s="7" t="inlineStr">
        <is>
          <t>VASO PLAST CRIST 110CC X 100U</t>
        </is>
      </c>
      <c r="D50" s="7" t="inlineStr">
        <is>
          <t>VASOS</t>
        </is>
      </c>
      <c r="E50" s="7" t="inlineStr">
        <is>
          <t>VASOS PLASTICOS</t>
        </is>
      </c>
      <c r="F50" s="7" t="inlineStr">
        <is>
          <t>VASO PLASTICO</t>
        </is>
      </c>
      <c r="G50" s="7" t="inlineStr">
        <is>
          <t>Ciudadela</t>
        </is>
      </c>
      <c r="H50" s="6" t="n">
        <v>2</v>
      </c>
      <c r="I50" s="6" t="n">
        <v>2</v>
      </c>
      <c r="J50" s="6" t="n">
        <v>2</v>
      </c>
      <c r="K50" s="6" t="n">
        <v>2</v>
      </c>
      <c r="L50" s="6" t="n">
        <v>2</v>
      </c>
      <c r="M50" s="7" t="n">
        <v>2</v>
      </c>
      <c r="N50" s="8" t="n">
        <v>15.6</v>
      </c>
      <c r="O50" s="5" t="n">
        <v>0</v>
      </c>
      <c r="P50" s="5" t="n">
        <v>0</v>
      </c>
      <c r="Q50" s="5" t="n">
        <v>0</v>
      </c>
      <c r="R50" s="9" t="inlineStr">
        <is>
          <t>COMPRAR</t>
        </is>
      </c>
      <c r="S50" s="5" t="n">
        <v>15.6</v>
      </c>
      <c r="T50" s="5" t="n">
        <v>-4</v>
      </c>
      <c r="U50" s="5" t="inlineStr">
        <is>
          <t>GASTON VECCHIO</t>
        </is>
      </c>
      <c r="V50" s="94">
        <f>_xlfn.XMATCH(Tabla4[[#This Row],[EAN CORREGIDO]],'Calcular necesidad'!L:L)</f>
        <v/>
      </c>
      <c r="W50" s="94">
        <f>TRIM(Tabla4[[#This Row],[CodInternoArti]])</f>
        <v/>
      </c>
    </row>
    <row r="51" hidden="1">
      <c r="A51" s="5" t="n">
        <v>2006424</v>
      </c>
      <c r="B51" s="35" t="n">
        <v>7790321006512</v>
      </c>
      <c r="C51" s="7" t="inlineStr">
        <is>
          <t>BAND. ALUMINIO R5/F2100x600 U</t>
        </is>
      </c>
      <c r="D51" s="7" t="inlineStr">
        <is>
          <t>BANDEJAS DESC</t>
        </is>
      </c>
      <c r="E51" s="7" t="inlineStr">
        <is>
          <t>BANDEJAS ALUMINIO</t>
        </is>
      </c>
      <c r="F51" s="7" t="inlineStr">
        <is>
          <t>BAND ALUMINIO R5</t>
        </is>
      </c>
      <c r="G51" s="7" t="inlineStr">
        <is>
          <t>Ciudadela</t>
        </is>
      </c>
      <c r="H51" s="6" t="n">
        <v>2</v>
      </c>
      <c r="I51" s="6" t="n">
        <v>2</v>
      </c>
      <c r="J51" s="6" t="n">
        <v>2</v>
      </c>
      <c r="K51" s="6" t="n">
        <v>4</v>
      </c>
      <c r="L51" s="6" t="n">
        <v>2</v>
      </c>
      <c r="M51" s="7" t="n">
        <v>2</v>
      </c>
      <c r="N51" s="8" t="n">
        <v>18.2</v>
      </c>
      <c r="O51" s="5" t="n">
        <v>0</v>
      </c>
      <c r="P51" s="5" t="n">
        <v>0</v>
      </c>
      <c r="Q51" s="5" t="n">
        <v>0</v>
      </c>
      <c r="R51" s="9" t="inlineStr">
        <is>
          <t>COMPRAR</t>
        </is>
      </c>
      <c r="S51" s="5" t="n">
        <v>18.2</v>
      </c>
      <c r="T51" s="5" t="n">
        <v>-4</v>
      </c>
      <c r="U51" s="5" t="inlineStr">
        <is>
          <t>GASTON VECCHIO</t>
        </is>
      </c>
      <c r="V51" s="94">
        <f>_xlfn.XMATCH(Tabla4[[#This Row],[EAN CORREGIDO]],'Calcular necesidad'!L:L)</f>
        <v/>
      </c>
      <c r="W51" s="94">
        <f>TRIM(Tabla4[[#This Row],[CodInternoArti]])</f>
        <v/>
      </c>
    </row>
    <row r="52" hidden="1">
      <c r="A52" s="5" t="n">
        <v>2006649</v>
      </c>
      <c r="B52" s="35" t="n">
        <v>7790321020176</v>
      </c>
      <c r="C52" s="7" t="inlineStr">
        <is>
          <t>CUCHARA PLAST POSTRE x 1000 U</t>
        </is>
      </c>
      <c r="D52" s="7" t="inlineStr">
        <is>
          <t>CUBIERTOS DESC</t>
        </is>
      </c>
      <c r="E52" s="7" t="inlineStr">
        <is>
          <t>CUCHARAS</t>
        </is>
      </c>
      <c r="F52" s="7" t="inlineStr">
        <is>
          <t>CUCHARAS</t>
        </is>
      </c>
      <c r="G52" s="7" t="inlineStr">
        <is>
          <t>Ciudadela</t>
        </is>
      </c>
      <c r="H52" s="6" t="n">
        <v>2</v>
      </c>
      <c r="I52" s="6" t="n">
        <v>9</v>
      </c>
      <c r="J52" s="6" t="n">
        <v>2</v>
      </c>
      <c r="K52" s="6" t="n">
        <v>6</v>
      </c>
      <c r="L52" s="6" t="n">
        <v>8</v>
      </c>
      <c r="M52" s="7" t="n">
        <v>2</v>
      </c>
      <c r="N52" s="8" t="n">
        <v>37.7</v>
      </c>
      <c r="O52" s="5" t="n">
        <v>0</v>
      </c>
      <c r="P52" s="5" t="n">
        <v>0</v>
      </c>
      <c r="Q52" s="5" t="n">
        <v>0</v>
      </c>
      <c r="R52" s="9" t="inlineStr">
        <is>
          <t>COMPRAR</t>
        </is>
      </c>
      <c r="S52" s="5" t="n">
        <v>37.7</v>
      </c>
      <c r="T52" s="5" t="n">
        <v>-11</v>
      </c>
      <c r="U52" s="5" t="inlineStr">
        <is>
          <t>GASTON VECCHIO</t>
        </is>
      </c>
      <c r="V52" s="94">
        <f>_xlfn.XMATCH(Tabla4[[#This Row],[EAN CORREGIDO]],'Calcular necesidad'!L:L)</f>
        <v/>
      </c>
      <c r="W52" s="94">
        <f>TRIM(Tabla4[[#This Row],[CodInternoArti]])</f>
        <v/>
      </c>
    </row>
    <row r="53" hidden="1">
      <c r="A53" s="5" t="n">
        <v>2006449</v>
      </c>
      <c r="B53" s="35" t="n">
        <v>7790321020186</v>
      </c>
      <c r="C53" s="7" t="inlineStr">
        <is>
          <t>CUCHARA SOPERA DESCARTABLE x  1000 U</t>
        </is>
      </c>
      <c r="D53" s="7" t="inlineStr">
        <is>
          <t>CUBIERTOS DESC</t>
        </is>
      </c>
      <c r="E53" s="7" t="inlineStr">
        <is>
          <t>CUCHARAS</t>
        </is>
      </c>
      <c r="F53" s="7" t="inlineStr">
        <is>
          <t>CUCHARAS</t>
        </is>
      </c>
      <c r="G53" s="7" t="inlineStr">
        <is>
          <t>Ciudadela</t>
        </is>
      </c>
      <c r="H53" s="6" t="n">
        <v>7</v>
      </c>
      <c r="I53" s="6" t="n">
        <v>10</v>
      </c>
      <c r="J53" s="6" t="n">
        <v>6</v>
      </c>
      <c r="K53" s="6" t="n">
        <v>9</v>
      </c>
      <c r="L53" s="6" t="n">
        <v>6</v>
      </c>
      <c r="M53" s="7" t="n">
        <v>8</v>
      </c>
      <c r="N53" s="8" t="n">
        <v>59.8</v>
      </c>
      <c r="O53" s="5" t="n">
        <v>43</v>
      </c>
      <c r="P53" s="5" t="n">
        <v>0</v>
      </c>
      <c r="Q53" s="5" t="n">
        <v>10</v>
      </c>
      <c r="R53" s="9" t="inlineStr">
        <is>
          <t>COMPRAR</t>
        </is>
      </c>
      <c r="S53" s="5" t="n">
        <v>6.800000000000004</v>
      </c>
      <c r="T53" s="5" t="n">
        <v>26</v>
      </c>
      <c r="U53" s="5" t="inlineStr">
        <is>
          <t>GASTON VECCHIO</t>
        </is>
      </c>
      <c r="V53" s="94">
        <f>_xlfn.XMATCH(Tabla4[[#This Row],[EAN CORREGIDO]],'Calcular necesidad'!L:L)</f>
        <v/>
      </c>
      <c r="W53" s="94">
        <f>TRIM(Tabla4[[#This Row],[CodInternoArti]])</f>
        <v/>
      </c>
    </row>
    <row r="54" hidden="1">
      <c r="A54" s="5" t="n">
        <v>2006690</v>
      </c>
      <c r="B54" s="35" t="n">
        <v>7790321020526</v>
      </c>
      <c r="C54" s="7" t="inlineStr">
        <is>
          <t>SERVILLETA S/ LOGO 18X18X1000U</t>
        </is>
      </c>
      <c r="D54" s="7" t="inlineStr">
        <is>
          <t>SERVILLETAS DESC</t>
        </is>
      </c>
      <c r="E54" s="7" t="inlineStr">
        <is>
          <t>SERVILLETAS DESC S/LOGO</t>
        </is>
      </c>
      <c r="F54" s="7" t="inlineStr">
        <is>
          <t>SERVILLETA DESC S/LOGO</t>
        </is>
      </c>
      <c r="G54" s="7" t="inlineStr">
        <is>
          <t>Ciudadela</t>
        </is>
      </c>
      <c r="H54" s="6" t="n">
        <v>1</v>
      </c>
      <c r="I54" s="6" t="n">
        <v>3</v>
      </c>
      <c r="J54" s="6" t="n">
        <v>1</v>
      </c>
      <c r="K54" s="6" t="n">
        <v>3</v>
      </c>
      <c r="L54" s="6" t="n">
        <v>1</v>
      </c>
      <c r="M54" s="7" t="n">
        <v>3</v>
      </c>
      <c r="N54" s="8" t="n">
        <v>15.6</v>
      </c>
      <c r="O54" s="5" t="n">
        <v>0</v>
      </c>
      <c r="P54" s="5" t="n">
        <v>0</v>
      </c>
      <c r="Q54" s="5" t="n">
        <v>0</v>
      </c>
      <c r="R54" s="9" t="inlineStr">
        <is>
          <t>COMPRAR</t>
        </is>
      </c>
      <c r="S54" s="5" t="n">
        <v>15.6</v>
      </c>
      <c r="T54" s="5" t="n">
        <v>-4</v>
      </c>
      <c r="U54" s="5" t="inlineStr">
        <is>
          <t>GASTON VECCHIO</t>
        </is>
      </c>
      <c r="V54" s="94">
        <f>_xlfn.XMATCH(Tabla4[[#This Row],[EAN CORREGIDO]],'Calcular necesidad'!L:L)</f>
        <v/>
      </c>
      <c r="W54" s="94">
        <f>TRIM(Tabla4[[#This Row],[CodInternoArti]])</f>
        <v/>
      </c>
    </row>
    <row r="55" hidden="1">
      <c r="A55" s="5" t="n">
        <v>2006682</v>
      </c>
      <c r="B55" s="35" t="n">
        <v>7790321020196</v>
      </c>
      <c r="C55" s="7" t="inlineStr">
        <is>
          <t>CUCHARA SUNDAE DESCARTABLE x 1000 U</t>
        </is>
      </c>
      <c r="D55" s="7" t="inlineStr">
        <is>
          <t>CUBIERTOS DESC</t>
        </is>
      </c>
      <c r="E55" s="7" t="inlineStr">
        <is>
          <t>CUCHARAS</t>
        </is>
      </c>
      <c r="F55" s="7" t="inlineStr">
        <is>
          <t>CUCHARAS</t>
        </is>
      </c>
      <c r="G55" s="7" t="inlineStr">
        <is>
          <t>CD Moreno 3</t>
        </is>
      </c>
      <c r="H55" s="6" t="n">
        <v>3</v>
      </c>
      <c r="I55" s="6" t="n"/>
      <c r="J55" s="6" t="n"/>
      <c r="K55" s="6" t="n"/>
      <c r="L55" s="6" t="n"/>
      <c r="M55" s="7" t="n"/>
      <c r="N55" s="8" t="n">
        <v>3.9</v>
      </c>
      <c r="O55" s="5" t="n">
        <v>21</v>
      </c>
      <c r="P55" s="5" t="n">
        <v>0</v>
      </c>
      <c r="Q55" s="5" t="n">
        <v>0</v>
      </c>
      <c r="R55" s="9" t="inlineStr">
        <is>
          <t>TRANSFERIR</t>
        </is>
      </c>
      <c r="S55" s="5" t="n">
        <v>0</v>
      </c>
      <c r="T55" s="5" t="n">
        <v>18</v>
      </c>
      <c r="U55" s="5" t="inlineStr">
        <is>
          <t>GASTON VECCHIO</t>
        </is>
      </c>
      <c r="V55" s="94">
        <f>_xlfn.XMATCH(Tabla4[[#This Row],[EAN CORREGIDO]],'Calcular necesidad'!L:L)</f>
        <v/>
      </c>
      <c r="W55" s="94">
        <f>TRIM(Tabla4[[#This Row],[CodInternoArti]])</f>
        <v/>
      </c>
    </row>
    <row r="56" hidden="1">
      <c r="A56" s="5" t="n">
        <v>2006793</v>
      </c>
      <c r="B56" s="35" t="n">
        <v>7790321020316</v>
      </c>
      <c r="C56" s="7" t="inlineStr">
        <is>
          <t>TAPA DE VASO 300 X 100 U</t>
        </is>
      </c>
      <c r="D56" s="7" t="inlineStr">
        <is>
          <t>DESCARTABLES</t>
        </is>
      </c>
      <c r="E56" s="7" t="inlineStr">
        <is>
          <t>VASOS PLASTICOS</t>
        </is>
      </c>
      <c r="F56" s="7" t="inlineStr">
        <is>
          <t>TAPA VASO 300CC</t>
        </is>
      </c>
      <c r="G56" s="7" t="inlineStr">
        <is>
          <t>Ciudadela</t>
        </is>
      </c>
      <c r="H56" s="6" t="n">
        <v>5</v>
      </c>
      <c r="I56" s="6" t="n"/>
      <c r="J56" s="6" t="n">
        <v>5</v>
      </c>
      <c r="K56" s="6" t="n"/>
      <c r="L56" s="6" t="n">
        <v>5</v>
      </c>
      <c r="M56" s="7" t="n"/>
      <c r="N56" s="8" t="n">
        <v>19.5</v>
      </c>
      <c r="O56" s="5" t="n">
        <v>0</v>
      </c>
      <c r="P56" s="5" t="n">
        <v>0</v>
      </c>
      <c r="Q56" s="5" t="n">
        <v>0</v>
      </c>
      <c r="R56" s="9" t="inlineStr">
        <is>
          <t>COMPRAR</t>
        </is>
      </c>
      <c r="S56" s="5" t="n">
        <v>19.5</v>
      </c>
      <c r="T56" s="5" t="n">
        <v>-5</v>
      </c>
      <c r="U56" s="5" t="inlineStr">
        <is>
          <t>GASTON VECCHIO</t>
        </is>
      </c>
      <c r="V56" s="94">
        <f>_xlfn.XMATCH(Tabla4[[#This Row],[EAN CORREGIDO]],'Calcular necesidad'!L:L)</f>
        <v/>
      </c>
      <c r="W56" s="94">
        <f>TRIM(Tabla4[[#This Row],[CodInternoArti]])</f>
        <v/>
      </c>
    </row>
    <row r="57" hidden="1">
      <c r="A57" s="5" t="n">
        <v>2006394</v>
      </c>
      <c r="B57" s="35" t="n">
        <v>7790321020396</v>
      </c>
      <c r="C57" s="7" t="inlineStr">
        <is>
          <t>VASO TERMICO X 240 CC X 25 U</t>
        </is>
      </c>
      <c r="D57" s="7" t="inlineStr">
        <is>
          <t>VASOS</t>
        </is>
      </c>
      <c r="E57" s="7" t="inlineStr">
        <is>
          <t>VASOS TERMICOS</t>
        </is>
      </c>
      <c r="F57" s="7" t="inlineStr">
        <is>
          <t>VASO TERMICO</t>
        </is>
      </c>
      <c r="G57" s="7" t="inlineStr">
        <is>
          <t>Ciudadela</t>
        </is>
      </c>
      <c r="H57" s="6" t="n">
        <v>577</v>
      </c>
      <c r="I57" s="6" t="n">
        <v>841</v>
      </c>
      <c r="J57" s="6" t="n">
        <v>688</v>
      </c>
      <c r="K57" s="6" t="n">
        <v>829</v>
      </c>
      <c r="L57" s="6" t="n">
        <v>1025</v>
      </c>
      <c r="M57" s="7" t="n">
        <v>693</v>
      </c>
      <c r="N57" s="8" t="n">
        <v>6048.900000000001</v>
      </c>
      <c r="O57" s="5" t="n">
        <v>0</v>
      </c>
      <c r="P57" s="5" t="n">
        <v>0</v>
      </c>
      <c r="Q57" s="5" t="n">
        <v>0</v>
      </c>
      <c r="R57" s="9" t="inlineStr">
        <is>
          <t>COMPRAR</t>
        </is>
      </c>
      <c r="S57" s="5" t="n">
        <v>6048.900000000001</v>
      </c>
      <c r="T57" s="5" t="n">
        <v>-1418</v>
      </c>
      <c r="U57" s="5" t="inlineStr">
        <is>
          <t>GASTON VECCHIO</t>
        </is>
      </c>
      <c r="V57" s="94">
        <f>_xlfn.XMATCH(Tabla4[[#This Row],[EAN CORREGIDO]],'Calcular necesidad'!L:L)</f>
        <v/>
      </c>
      <c r="W57" s="94">
        <f>TRIM(Tabla4[[#This Row],[CodInternoArti]])</f>
        <v/>
      </c>
    </row>
    <row r="58" hidden="1">
      <c r="A58" s="5" t="n">
        <v>2006201</v>
      </c>
      <c r="B58" s="35" t="n">
        <v>7790321008512</v>
      </c>
      <c r="C58" s="7" t="inlineStr">
        <is>
          <t>TAPA ALUM R5/F2100x600U</t>
        </is>
      </c>
      <c r="D58" s="7" t="inlineStr">
        <is>
          <t>TAPAS BAND DESC</t>
        </is>
      </c>
      <c r="E58" s="7" t="inlineStr">
        <is>
          <t>TAPAS ALUMINIO</t>
        </is>
      </c>
      <c r="F58" s="7" t="inlineStr">
        <is>
          <t>TAPA ALUMINIO R5</t>
        </is>
      </c>
      <c r="G58" s="7" t="inlineStr">
        <is>
          <t>Ciudadela</t>
        </is>
      </c>
      <c r="H58" s="6" t="n">
        <v>2</v>
      </c>
      <c r="I58" s="6" t="n">
        <v>2</v>
      </c>
      <c r="J58" s="6" t="n">
        <v>2</v>
      </c>
      <c r="K58" s="6" t="n">
        <v>4</v>
      </c>
      <c r="L58" s="6" t="n">
        <v>2</v>
      </c>
      <c r="M58" s="7" t="n">
        <v>2</v>
      </c>
      <c r="N58" s="8" t="n">
        <v>18.2</v>
      </c>
      <c r="O58" s="5" t="n">
        <v>0</v>
      </c>
      <c r="P58" s="5" t="n">
        <v>0</v>
      </c>
      <c r="Q58" s="5" t="n">
        <v>0</v>
      </c>
      <c r="R58" s="9" t="inlineStr">
        <is>
          <t>COMPRAR</t>
        </is>
      </c>
      <c r="S58" s="5" t="n">
        <v>18.2</v>
      </c>
      <c r="T58" s="5" t="n">
        <v>-4</v>
      </c>
      <c r="U58" s="5" t="inlineStr">
        <is>
          <t>GASTON VECCHIO</t>
        </is>
      </c>
      <c r="V58" s="94">
        <f>_xlfn.XMATCH(Tabla4[[#This Row],[EAN CORREGIDO]],'Calcular necesidad'!L:L)</f>
        <v/>
      </c>
      <c r="W58" s="94">
        <f>TRIM(Tabla4[[#This Row],[CodInternoArti]])</f>
        <v/>
      </c>
    </row>
    <row r="59" hidden="1">
      <c r="A59" s="5" t="n">
        <v>2006176</v>
      </c>
      <c r="B59" s="35" t="n">
        <v>7790321020206</v>
      </c>
      <c r="C59" s="7" t="inlineStr">
        <is>
          <t>CUCHILLO PLAST DESCARTABLE x 1000 U</t>
        </is>
      </c>
      <c r="D59" s="7" t="inlineStr">
        <is>
          <t>CUBIERTOS DESC</t>
        </is>
      </c>
      <c r="E59" s="7" t="inlineStr">
        <is>
          <t>CUCHILLOS</t>
        </is>
      </c>
      <c r="F59" s="7" t="inlineStr">
        <is>
          <t>CUCHILLOS</t>
        </is>
      </c>
      <c r="G59" s="7" t="inlineStr">
        <is>
          <t>Ciudadela</t>
        </is>
      </c>
      <c r="H59" s="6" t="n">
        <v>13</v>
      </c>
      <c r="I59" s="6" t="n">
        <v>35</v>
      </c>
      <c r="J59" s="6" t="n">
        <v>18</v>
      </c>
      <c r="K59" s="6" t="n">
        <v>37</v>
      </c>
      <c r="L59" s="6" t="n">
        <v>32</v>
      </c>
      <c r="M59" s="7" t="n">
        <v>16</v>
      </c>
      <c r="N59" s="8" t="n">
        <v>196.3</v>
      </c>
      <c r="O59" s="5" t="n">
        <v>0</v>
      </c>
      <c r="P59" s="5" t="n">
        <v>0</v>
      </c>
      <c r="Q59" s="5" t="n">
        <v>0</v>
      </c>
      <c r="R59" s="9" t="inlineStr">
        <is>
          <t>COMPRAR</t>
        </is>
      </c>
      <c r="S59" s="5" t="n">
        <v>196.3</v>
      </c>
      <c r="T59" s="5" t="n">
        <v>-48</v>
      </c>
      <c r="U59" s="5" t="inlineStr">
        <is>
          <t>GASTON VECCHIO</t>
        </is>
      </c>
      <c r="V59" s="94">
        <f>_xlfn.XMATCH(Tabla4[[#This Row],[EAN CORREGIDO]],'Calcular necesidad'!L:L)</f>
        <v/>
      </c>
      <c r="W59" s="94">
        <f>TRIM(Tabla4[[#This Row],[CodInternoArti]])</f>
        <v/>
      </c>
    </row>
    <row r="60" hidden="1">
      <c r="A60" s="5" t="n">
        <v>2006651</v>
      </c>
      <c r="B60" s="35" t="n">
        <v>7790321020256</v>
      </c>
      <c r="C60" s="7" t="inlineStr">
        <is>
          <t>TAPA 101 x 100 U</t>
        </is>
      </c>
      <c r="D60" s="7" t="inlineStr">
        <is>
          <t>TAPAS BAND DESC</t>
        </is>
      </c>
      <c r="E60" s="7" t="inlineStr">
        <is>
          <t>TAPAS PLASTICAS</t>
        </is>
      </c>
      <c r="F60" s="7" t="inlineStr">
        <is>
          <t>TAPA 101</t>
        </is>
      </c>
      <c r="G60" s="7" t="inlineStr">
        <is>
          <t>Ciudadela</t>
        </is>
      </c>
      <c r="H60" s="6" t="n">
        <v>166</v>
      </c>
      <c r="I60" s="6" t="n">
        <v>206</v>
      </c>
      <c r="J60" s="6" t="n">
        <v>172</v>
      </c>
      <c r="K60" s="6" t="n">
        <v>186</v>
      </c>
      <c r="L60" s="6" t="n">
        <v>193</v>
      </c>
      <c r="M60" s="7" t="n">
        <v>169</v>
      </c>
      <c r="N60" s="8" t="n">
        <v>1419.6</v>
      </c>
      <c r="O60" s="5" t="n">
        <v>0</v>
      </c>
      <c r="P60" s="5" t="n">
        <v>0</v>
      </c>
      <c r="Q60" s="5" t="n">
        <v>0</v>
      </c>
      <c r="R60" s="9" t="inlineStr">
        <is>
          <t>COMPRAR</t>
        </is>
      </c>
      <c r="S60" s="5" t="n">
        <v>1419.6</v>
      </c>
      <c r="T60" s="5" t="n">
        <v>-372</v>
      </c>
      <c r="U60" s="5" t="inlineStr">
        <is>
          <t>GASTON VECCHIO</t>
        </is>
      </c>
      <c r="V60" s="94">
        <f>_xlfn.XMATCH(Tabla4[[#This Row],[EAN CORREGIDO]],'Calcular necesidad'!L:L)</f>
        <v/>
      </c>
      <c r="W60" s="94">
        <f>TRIM(Tabla4[[#This Row],[CodInternoArti]])</f>
        <v/>
      </c>
    </row>
    <row r="61" hidden="1">
      <c r="A61" s="5" t="n">
        <v>2006426</v>
      </c>
      <c r="B61" s="35" t="n">
        <v>7790321020056</v>
      </c>
      <c r="C61" s="7" t="inlineStr">
        <is>
          <t>BAND ALUMINIO R3/F275 x 600 U</t>
        </is>
      </c>
      <c r="D61" s="7" t="inlineStr">
        <is>
          <t>BANDEJAS DESC</t>
        </is>
      </c>
      <c r="E61" s="7" t="inlineStr">
        <is>
          <t>BANDEJAS ALUMINIO</t>
        </is>
      </c>
      <c r="F61" s="7" t="inlineStr">
        <is>
          <t>BAND ALUMINIO R3</t>
        </is>
      </c>
      <c r="G61" s="7" t="inlineStr">
        <is>
          <t>Ciudadela</t>
        </is>
      </c>
      <c r="H61" s="6" t="n"/>
      <c r="I61" s="6" t="n">
        <v>4</v>
      </c>
      <c r="J61" s="6" t="n">
        <v>4</v>
      </c>
      <c r="K61" s="6" t="n"/>
      <c r="L61" s="6" t="n"/>
      <c r="M61" s="7" t="n"/>
      <c r="N61" s="8" t="n">
        <v>10.4</v>
      </c>
      <c r="O61" s="5" t="n">
        <v>0</v>
      </c>
      <c r="P61" s="5" t="n">
        <v>0</v>
      </c>
      <c r="Q61" s="5" t="n">
        <v>0</v>
      </c>
      <c r="R61" s="9" t="inlineStr">
        <is>
          <t>COMPRAR</t>
        </is>
      </c>
      <c r="S61" s="5" t="n">
        <v>10.4</v>
      </c>
      <c r="T61" s="5" t="n">
        <v>-4</v>
      </c>
      <c r="U61" s="5" t="inlineStr">
        <is>
          <t>GASTON VECCHIO</t>
        </is>
      </c>
      <c r="V61" s="94">
        <f>_xlfn.XMATCH(Tabla4[[#This Row],[EAN CORREGIDO]],'Calcular necesidad'!L:L)</f>
        <v/>
      </c>
      <c r="W61" s="94">
        <f>TRIM(Tabla4[[#This Row],[CodInternoArti]])</f>
        <v/>
      </c>
    </row>
    <row r="62" hidden="1">
      <c r="A62" s="5" t="n">
        <v>2006684</v>
      </c>
      <c r="B62" s="35" t="n">
        <v>7790321020286</v>
      </c>
      <c r="C62" s="7" t="inlineStr">
        <is>
          <t>TAPA 105 RECT X 50 U</t>
        </is>
      </c>
      <c r="D62" s="7" t="inlineStr">
        <is>
          <t>TAPAS BAND DESC</t>
        </is>
      </c>
      <c r="E62" s="7" t="inlineStr">
        <is>
          <t>TAPAS PLASTICAS</t>
        </is>
      </c>
      <c r="F62" s="7" t="inlineStr">
        <is>
          <t>TAPA 105</t>
        </is>
      </c>
      <c r="G62" s="7" t="inlineStr">
        <is>
          <t>Ciudadela</t>
        </is>
      </c>
      <c r="H62" s="6" t="n">
        <v>42</v>
      </c>
      <c r="I62" s="6" t="n">
        <v>62</v>
      </c>
      <c r="J62" s="6" t="n">
        <v>22</v>
      </c>
      <c r="K62" s="6" t="n">
        <v>42</v>
      </c>
      <c r="L62" s="6" t="n">
        <v>68</v>
      </c>
      <c r="M62" s="7" t="n">
        <v>22</v>
      </c>
      <c r="N62" s="8" t="n">
        <v>335.4</v>
      </c>
      <c r="O62" s="5" t="n">
        <v>15</v>
      </c>
      <c r="P62" s="5" t="n">
        <v>0</v>
      </c>
      <c r="Q62" s="5" t="n">
        <v>0</v>
      </c>
      <c r="R62" s="9" t="inlineStr">
        <is>
          <t>COMPRAR</t>
        </is>
      </c>
      <c r="S62" s="5" t="n">
        <v>320.4</v>
      </c>
      <c r="T62" s="5" t="n">
        <v>-89</v>
      </c>
      <c r="U62" s="5" t="inlineStr">
        <is>
          <t>GASTON VECCHIO</t>
        </is>
      </c>
      <c r="V62" s="94">
        <f>_xlfn.XMATCH(Tabla4[[#This Row],[EAN CORREGIDO]],'Calcular necesidad'!L:L)</f>
        <v/>
      </c>
      <c r="W62" s="94">
        <f>TRIM(Tabla4[[#This Row],[CodInternoArti]])</f>
        <v/>
      </c>
    </row>
    <row r="63" hidden="1">
      <c r="A63" s="5" t="n">
        <v>2006683</v>
      </c>
      <c r="B63" s="35" t="n">
        <v>7790321020336</v>
      </c>
      <c r="C63" s="7" t="inlineStr">
        <is>
          <t>TENEDOR DESCARTABLE x 1000 U</t>
        </is>
      </c>
      <c r="D63" s="7" t="inlineStr">
        <is>
          <t>CUBIERTOS DESC</t>
        </is>
      </c>
      <c r="E63" s="7" t="inlineStr">
        <is>
          <t>TENEDORES</t>
        </is>
      </c>
      <c r="F63" s="7" t="inlineStr">
        <is>
          <t xml:space="preserve">TENEDOR </t>
        </is>
      </c>
      <c r="G63" s="7" t="inlineStr">
        <is>
          <t>Ciudadela</t>
        </is>
      </c>
      <c r="H63" s="6" t="n">
        <v>13</v>
      </c>
      <c r="I63" s="6" t="n">
        <v>34</v>
      </c>
      <c r="J63" s="6" t="n">
        <v>17</v>
      </c>
      <c r="K63" s="6" t="n">
        <v>36</v>
      </c>
      <c r="L63" s="6" t="n">
        <v>34</v>
      </c>
      <c r="M63" s="7" t="n">
        <v>15</v>
      </c>
      <c r="N63" s="8" t="n">
        <v>193.7</v>
      </c>
      <c r="O63" s="5" t="n">
        <v>0</v>
      </c>
      <c r="P63" s="5" t="n">
        <v>0</v>
      </c>
      <c r="Q63" s="5" t="n">
        <v>0</v>
      </c>
      <c r="R63" s="9" t="inlineStr">
        <is>
          <t>COMPRAR</t>
        </is>
      </c>
      <c r="S63" s="5" t="n">
        <v>193.7</v>
      </c>
      <c r="T63" s="5" t="n">
        <v>-47</v>
      </c>
      <c r="U63" s="5" t="inlineStr">
        <is>
          <t>GASTON VECCHIO</t>
        </is>
      </c>
      <c r="V63" s="94">
        <f>_xlfn.XMATCH(Tabla4[[#This Row],[EAN CORREGIDO]],'Calcular necesidad'!L:L)</f>
        <v/>
      </c>
      <c r="W63" s="94">
        <f>TRIM(Tabla4[[#This Row],[CodInternoArti]])</f>
        <v/>
      </c>
    </row>
    <row r="64" hidden="1">
      <c r="A64" s="5" t="n">
        <v>2006175</v>
      </c>
      <c r="B64" s="35" t="n">
        <v>7790321020116</v>
      </c>
      <c r="C64" s="7" t="inlineStr">
        <is>
          <t>BANDEJAS PLASTICAS 102 x 100 U</t>
        </is>
      </c>
      <c r="D64" s="7" t="inlineStr">
        <is>
          <t>BANDEJAS DESC</t>
        </is>
      </c>
      <c r="E64" s="7" t="inlineStr">
        <is>
          <t>BANDEJAS PLASTICAS</t>
        </is>
      </c>
      <c r="F64" s="7" t="inlineStr">
        <is>
          <t>BAND 102</t>
        </is>
      </c>
      <c r="G64" s="7" t="inlineStr">
        <is>
          <t>Ciudadela</t>
        </is>
      </c>
      <c r="H64" s="6" t="n">
        <v>8</v>
      </c>
      <c r="I64" s="6" t="n">
        <v>26</v>
      </c>
      <c r="J64" s="6" t="n">
        <v>21</v>
      </c>
      <c r="K64" s="6" t="n">
        <v>60</v>
      </c>
      <c r="L64" s="6" t="n">
        <v>51</v>
      </c>
      <c r="M64" s="7" t="n">
        <v>47</v>
      </c>
      <c r="N64" s="8" t="n">
        <v>276.9</v>
      </c>
      <c r="O64" s="5" t="n">
        <v>0</v>
      </c>
      <c r="P64" s="5" t="n">
        <v>0</v>
      </c>
      <c r="Q64" s="5" t="n">
        <v>0</v>
      </c>
      <c r="R64" s="9" t="inlineStr">
        <is>
          <t>COMPRAR</t>
        </is>
      </c>
      <c r="S64" s="5" t="n">
        <v>276.9</v>
      </c>
      <c r="T64" s="5" t="n">
        <v>-34</v>
      </c>
      <c r="U64" s="5" t="inlineStr">
        <is>
          <t>GASTON VECCHIO</t>
        </is>
      </c>
      <c r="V64" s="94">
        <f>_xlfn.XMATCH(Tabla4[[#This Row],[EAN CORREGIDO]],'Calcular necesidad'!L:L)</f>
        <v/>
      </c>
      <c r="W64" s="94">
        <f>TRIM(Tabla4[[#This Row],[CodInternoArti]])</f>
        <v/>
      </c>
    </row>
    <row r="65" hidden="1">
      <c r="A65" s="5" t="n">
        <v>2006739</v>
      </c>
      <c r="B65" s="35" t="n">
        <v>7790321020237</v>
      </c>
      <c r="C65" s="7" t="inlineStr">
        <is>
          <t>MANTEL IND 40X30X1000U GL</t>
        </is>
      </c>
      <c r="D65" s="7" t="inlineStr">
        <is>
          <t>VARIOS</t>
        </is>
      </c>
      <c r="E65" s="7" t="inlineStr">
        <is>
          <t>DESCARTABLES</t>
        </is>
      </c>
      <c r="F65" s="7" t="inlineStr">
        <is>
          <t>MANTEL LOGO GL</t>
        </is>
      </c>
      <c r="G65" s="7" t="inlineStr">
        <is>
          <t>Ciudadela</t>
        </is>
      </c>
      <c r="H65" s="6" t="n">
        <v>1</v>
      </c>
      <c r="I65" s="6" t="n"/>
      <c r="J65" s="6" t="n"/>
      <c r="K65" s="6" t="n"/>
      <c r="L65" s="6" t="n">
        <v>1</v>
      </c>
      <c r="M65" s="7" t="n"/>
      <c r="N65" s="8" t="n">
        <v>2.6</v>
      </c>
      <c r="O65" s="5" t="n">
        <v>0</v>
      </c>
      <c r="P65" s="5" t="n">
        <v>0</v>
      </c>
      <c r="Q65" s="5" t="n">
        <v>0</v>
      </c>
      <c r="R65" s="9" t="inlineStr">
        <is>
          <t>COMPRAR</t>
        </is>
      </c>
      <c r="S65" s="5" t="n">
        <v>2.6</v>
      </c>
      <c r="T65" s="5" t="n">
        <v>-1</v>
      </c>
      <c r="U65" s="5" t="inlineStr">
        <is>
          <t>GASTON VECCHIO</t>
        </is>
      </c>
      <c r="V65" s="94">
        <f>_xlfn.XMATCH(Tabla4[[#This Row],[EAN CORREGIDO]],'Calcular necesidad'!L:L)</f>
        <v/>
      </c>
      <c r="W65" s="94">
        <f>TRIM(Tabla4[[#This Row],[CodInternoArti]])</f>
        <v/>
      </c>
    </row>
    <row r="66" hidden="1">
      <c r="A66" s="5" t="n">
        <v>2006153</v>
      </c>
      <c r="B66" s="35" t="n">
        <v>7790321020406</v>
      </c>
      <c r="C66" s="7" t="inlineStr">
        <is>
          <t>VASO TERMICO x 300 X 25 U</t>
        </is>
      </c>
      <c r="D66" s="7" t="inlineStr">
        <is>
          <t>VASOS</t>
        </is>
      </c>
      <c r="E66" s="7" t="inlineStr">
        <is>
          <t>VASOS TERMICOS</t>
        </is>
      </c>
      <c r="F66" s="7" t="inlineStr">
        <is>
          <t>VASO TERMICO</t>
        </is>
      </c>
      <c r="G66" s="7" t="inlineStr">
        <is>
          <t>Ciudadela</t>
        </is>
      </c>
      <c r="H66" s="6" t="n">
        <v>69</v>
      </c>
      <c r="I66" s="6" t="n">
        <v>52</v>
      </c>
      <c r="J66" s="6" t="n">
        <v>81</v>
      </c>
      <c r="K66" s="6" t="n">
        <v>52</v>
      </c>
      <c r="L66" s="6" t="n">
        <v>81</v>
      </c>
      <c r="M66" s="7" t="n">
        <v>52</v>
      </c>
      <c r="N66" s="8" t="n">
        <v>503.1</v>
      </c>
      <c r="O66" s="5" t="n">
        <v>0</v>
      </c>
      <c r="P66" s="5" t="n">
        <v>0</v>
      </c>
      <c r="Q66" s="5" t="n">
        <v>1</v>
      </c>
      <c r="R66" s="9" t="inlineStr">
        <is>
          <t>COMPRAR</t>
        </is>
      </c>
      <c r="S66" s="5" t="n">
        <v>502.1</v>
      </c>
      <c r="T66" s="5" t="n">
        <v>-121</v>
      </c>
      <c r="U66" s="5" t="inlineStr">
        <is>
          <t>GASTON VECCHIO</t>
        </is>
      </c>
      <c r="V66" s="94">
        <f>_xlfn.XMATCH(Tabla4[[#This Row],[EAN CORREGIDO]],'Calcular necesidad'!L:L)</f>
        <v/>
      </c>
      <c r="W66" s="94">
        <f>TRIM(Tabla4[[#This Row],[CodInternoArti]])</f>
        <v/>
      </c>
    </row>
    <row r="67" hidden="1">
      <c r="A67" s="5" t="n">
        <v>2006679</v>
      </c>
      <c r="B67" s="35" t="n">
        <v>7790321007512</v>
      </c>
      <c r="C67" s="7" t="inlineStr">
        <is>
          <t>BAND ALUM R3/F2275 X600U</t>
        </is>
      </c>
      <c r="D67" s="7" t="inlineStr">
        <is>
          <t>BANDEJAS DESC</t>
        </is>
      </c>
      <c r="E67" s="7" t="inlineStr">
        <is>
          <t>BANDEJAS ALUMINIO</t>
        </is>
      </c>
      <c r="F67" s="7" t="inlineStr">
        <is>
          <t>BAND ALUMINIO R3</t>
        </is>
      </c>
      <c r="G67" s="7" t="inlineStr">
        <is>
          <t>Ciudadela</t>
        </is>
      </c>
      <c r="H67" s="6" t="n">
        <v>30</v>
      </c>
      <c r="I67" s="6" t="n">
        <v>30</v>
      </c>
      <c r="J67" s="6" t="n">
        <v>30</v>
      </c>
      <c r="K67" s="6" t="n">
        <v>30</v>
      </c>
      <c r="L67" s="6" t="n">
        <v>30</v>
      </c>
      <c r="M67" s="7" t="n">
        <v>30</v>
      </c>
      <c r="N67" s="8" t="n">
        <v>234</v>
      </c>
      <c r="O67" s="5" t="n">
        <v>0</v>
      </c>
      <c r="P67" s="5" t="n">
        <v>0</v>
      </c>
      <c r="Q67" s="5" t="n">
        <v>0</v>
      </c>
      <c r="R67" s="9" t="inlineStr">
        <is>
          <t>COMPRAR</t>
        </is>
      </c>
      <c r="S67" s="5" t="n">
        <v>234</v>
      </c>
      <c r="T67" s="5" t="n">
        <v>-60</v>
      </c>
      <c r="U67" s="5" t="inlineStr">
        <is>
          <t>GASTON VECCHIO</t>
        </is>
      </c>
      <c r="V67" s="94">
        <f>_xlfn.XMATCH(Tabla4[[#This Row],[EAN CORREGIDO]],'Calcular necesidad'!L:L)</f>
        <v/>
      </c>
      <c r="W67" s="94">
        <f>TRIM(Tabla4[[#This Row],[CodInternoArti]])</f>
        <v/>
      </c>
    </row>
    <row r="68" hidden="1">
      <c r="A68" s="5" t="n">
        <v>2006475</v>
      </c>
      <c r="B68" s="35" t="n">
        <v>7790321020346</v>
      </c>
      <c r="C68" s="7" t="inlineStr">
        <is>
          <t>VASO PLASTICO X180CC X100U</t>
        </is>
      </c>
      <c r="D68" s="7" t="inlineStr">
        <is>
          <t>VASOS</t>
        </is>
      </c>
      <c r="E68" s="7" t="inlineStr">
        <is>
          <t>VASOS PLASTICOS</t>
        </is>
      </c>
      <c r="F68" s="7" t="inlineStr">
        <is>
          <t>VASO PLASTICO</t>
        </is>
      </c>
      <c r="G68" s="7" t="inlineStr">
        <is>
          <t>Ciudadela</t>
        </is>
      </c>
      <c r="H68" s="6" t="n">
        <v>37</v>
      </c>
      <c r="I68" s="6" t="n">
        <v>36</v>
      </c>
      <c r="J68" s="6" t="n">
        <v>16</v>
      </c>
      <c r="K68" s="6" t="n">
        <v>37</v>
      </c>
      <c r="L68" s="6" t="n">
        <v>36</v>
      </c>
      <c r="M68" s="7" t="n">
        <v>16</v>
      </c>
      <c r="N68" s="8" t="n">
        <v>231.4</v>
      </c>
      <c r="O68" s="5" t="n">
        <v>180</v>
      </c>
      <c r="P68" s="5" t="n">
        <v>0</v>
      </c>
      <c r="Q68" s="5" t="n">
        <v>110</v>
      </c>
      <c r="R68" s="9" t="inlineStr">
        <is>
          <t>TRANSFERIR</t>
        </is>
      </c>
      <c r="S68" s="5" t="n">
        <v>0</v>
      </c>
      <c r="T68" s="5" t="n">
        <v>107</v>
      </c>
      <c r="U68" s="5" t="inlineStr">
        <is>
          <t>GASTON VECCHIO</t>
        </is>
      </c>
      <c r="V68" s="94">
        <f>_xlfn.XMATCH(Tabla4[[#This Row],[EAN CORREGIDO]],'Calcular necesidad'!L:L)</f>
        <v/>
      </c>
      <c r="W68" s="94">
        <f>TRIM(Tabla4[[#This Row],[CodInternoArti]])</f>
        <v/>
      </c>
    </row>
    <row r="69" hidden="1">
      <c r="A69" s="5" t="n">
        <v>2006482</v>
      </c>
      <c r="B69" s="35" t="n">
        <v>140470001</v>
      </c>
      <c r="C69" s="7" t="inlineStr">
        <is>
          <t>SERVILLETA 21 x 21 x 2000 U</t>
        </is>
      </c>
      <c r="D69" s="7" t="inlineStr">
        <is>
          <t>SERVILLETAS DESC</t>
        </is>
      </c>
      <c r="E69" s="7" t="inlineStr">
        <is>
          <t>SERVILLETAS DESC S/LOGO</t>
        </is>
      </c>
      <c r="F69" s="7" t="inlineStr">
        <is>
          <t>SERVILLETA DESC S/LOGO</t>
        </is>
      </c>
      <c r="G69" s="7" t="inlineStr">
        <is>
          <t>Ciudadela</t>
        </is>
      </c>
      <c r="H69" s="6" t="n"/>
      <c r="I69" s="6" t="n">
        <v>2</v>
      </c>
      <c r="J69" s="6" t="n"/>
      <c r="K69" s="6" t="n">
        <v>1</v>
      </c>
      <c r="L69" s="6" t="n"/>
      <c r="M69" s="7" t="n"/>
      <c r="N69" s="8" t="n">
        <v>3.9</v>
      </c>
      <c r="O69" s="5" t="n">
        <v>0</v>
      </c>
      <c r="P69" s="5" t="n">
        <v>0</v>
      </c>
      <c r="Q69" s="5" t="n">
        <v>0</v>
      </c>
      <c r="R69" s="9" t="inlineStr">
        <is>
          <t>COMPRAR</t>
        </is>
      </c>
      <c r="S69" s="5" t="n">
        <v>3.9</v>
      </c>
      <c r="T69" s="5" t="n">
        <v>-2</v>
      </c>
      <c r="U69" s="5" t="inlineStr">
        <is>
          <t>GASTON VECCHIO</t>
        </is>
      </c>
      <c r="V69" s="94">
        <f>_xlfn.XMATCH(Tabla4[[#This Row],[EAN CORREGIDO]],'Calcular necesidad'!L:L)</f>
        <v/>
      </c>
      <c r="W69" s="94">
        <f>TRIM(Tabla4[[#This Row],[CodInternoArti]])</f>
        <v/>
      </c>
    </row>
    <row r="70" hidden="1">
      <c r="A70" s="5" t="n">
        <v>2006451</v>
      </c>
      <c r="B70" s="35" t="n">
        <v>7790321000063</v>
      </c>
      <c r="C70" s="7" t="inlineStr">
        <is>
          <t>ENS. CRISTAL TAPA x100U BANDEX</t>
        </is>
      </c>
      <c r="D70" s="7" t="inlineStr">
        <is>
          <t>TAPAS BAND DESC</t>
        </is>
      </c>
      <c r="E70" s="7" t="inlineStr">
        <is>
          <t>TAPAS PLASTICAS</t>
        </is>
      </c>
      <c r="F70" s="7" t="inlineStr">
        <is>
          <t>TAPA ENSALADERA</t>
        </is>
      </c>
      <c r="G70" s="7" t="inlineStr">
        <is>
          <t>Ciudadela</t>
        </is>
      </c>
      <c r="H70" s="6" t="n"/>
      <c r="I70" s="6" t="n">
        <v>1</v>
      </c>
      <c r="J70" s="6" t="n"/>
      <c r="K70" s="6" t="n"/>
      <c r="L70" s="6" t="n">
        <v>6</v>
      </c>
      <c r="M70" s="7" t="n">
        <v>1</v>
      </c>
      <c r="N70" s="8" t="n">
        <v>10.4</v>
      </c>
      <c r="O70" s="5" t="n">
        <v>74</v>
      </c>
      <c r="P70" s="5" t="n">
        <v>0</v>
      </c>
      <c r="Q70" s="5" t="n">
        <v>185</v>
      </c>
      <c r="R70" s="9" t="inlineStr">
        <is>
          <t>OK</t>
        </is>
      </c>
      <c r="S70" s="5" t="n">
        <v>0</v>
      </c>
      <c r="T70" s="5" t="n">
        <v>73</v>
      </c>
      <c r="U70" s="5" t="inlineStr">
        <is>
          <t>GASTON VECCHIO</t>
        </is>
      </c>
      <c r="V70" s="94">
        <f>_xlfn.XMATCH(Tabla4[[#This Row],[EAN CORREGIDO]],'Calcular necesidad'!L:L)</f>
        <v/>
      </c>
      <c r="W70" s="94">
        <f>TRIM(Tabla4[[#This Row],[CodInternoArti]])</f>
        <v/>
      </c>
    </row>
    <row r="71" hidden="1">
      <c r="A71" s="5" t="n">
        <v>2006633</v>
      </c>
      <c r="B71" s="35" t="n">
        <v>7790321123456</v>
      </c>
      <c r="C71" s="7" t="inlineStr">
        <is>
          <t xml:space="preserve">PALITO BROCHETTE 25CM X80U  </t>
        </is>
      </c>
      <c r="D71" s="7" t="inlineStr">
        <is>
          <t>VARIOS</t>
        </is>
      </c>
      <c r="E71" s="7" t="inlineStr">
        <is>
          <t>PALITO BROCHETE</t>
        </is>
      </c>
      <c r="F71" s="7" t="inlineStr">
        <is>
          <t>PALITO BROCHETE</t>
        </is>
      </c>
      <c r="G71" s="7" t="inlineStr">
        <is>
          <t>Ciudadela</t>
        </is>
      </c>
      <c r="H71" s="6" t="n">
        <v>1</v>
      </c>
      <c r="I71" s="6" t="n"/>
      <c r="J71" s="6" t="n"/>
      <c r="K71" s="6" t="n"/>
      <c r="L71" s="6" t="n">
        <v>1</v>
      </c>
      <c r="M71" s="7" t="n"/>
      <c r="N71" s="8" t="n">
        <v>2.6</v>
      </c>
      <c r="O71" s="5" t="n">
        <v>13</v>
      </c>
      <c r="P71" s="5" t="n">
        <v>0</v>
      </c>
      <c r="Q71" s="5" t="n">
        <v>29</v>
      </c>
      <c r="R71" s="9" t="inlineStr">
        <is>
          <t>OK</t>
        </is>
      </c>
      <c r="S71" s="5" t="n">
        <v>0</v>
      </c>
      <c r="T71" s="5" t="n">
        <v>12</v>
      </c>
      <c r="U71" s="5" t="inlineStr">
        <is>
          <t>GASTON VECCHIO</t>
        </is>
      </c>
      <c r="V71" s="94">
        <f>_xlfn.XMATCH(Tabla4[[#This Row],[EAN CORREGIDO]],'Calcular necesidad'!L:L)</f>
        <v/>
      </c>
      <c r="W71" s="94">
        <f>TRIM(Tabla4[[#This Row],[CodInternoArti]])</f>
        <v/>
      </c>
    </row>
    <row r="72" hidden="1">
      <c r="A72" s="5" t="n">
        <v>2006682</v>
      </c>
      <c r="B72" s="35" t="n">
        <v>7790321020196</v>
      </c>
      <c r="C72" s="7" t="inlineStr">
        <is>
          <t>CUCHARA SUNDAE DESCARTABLE x 1000 U</t>
        </is>
      </c>
      <c r="D72" s="7" t="inlineStr">
        <is>
          <t>CUBIERTOS DESC</t>
        </is>
      </c>
      <c r="E72" s="7" t="inlineStr">
        <is>
          <t>CUCHARAS</t>
        </is>
      </c>
      <c r="F72" s="7" t="inlineStr">
        <is>
          <t>CUCHARAS</t>
        </is>
      </c>
      <c r="G72" s="7" t="inlineStr">
        <is>
          <t>Ciudadela</t>
        </is>
      </c>
      <c r="H72" s="6" t="n">
        <v>27</v>
      </c>
      <c r="I72" s="6" t="n">
        <v>30</v>
      </c>
      <c r="J72" s="6" t="n">
        <v>23</v>
      </c>
      <c r="K72" s="6" t="n">
        <v>37</v>
      </c>
      <c r="L72" s="6" t="n">
        <v>31</v>
      </c>
      <c r="M72" s="7" t="n">
        <v>18</v>
      </c>
      <c r="N72" s="8" t="n">
        <v>215.8</v>
      </c>
      <c r="O72" s="5" t="n">
        <v>21</v>
      </c>
      <c r="P72" s="5" t="n">
        <v>0</v>
      </c>
      <c r="Q72" s="5" t="n">
        <v>0</v>
      </c>
      <c r="R72" s="9" t="inlineStr">
        <is>
          <t>COMPRAR</t>
        </is>
      </c>
      <c r="S72" s="5" t="n">
        <v>194.8</v>
      </c>
      <c r="T72" s="5" t="n">
        <v>-36</v>
      </c>
      <c r="U72" s="5" t="inlineStr">
        <is>
          <t>GASTON VECCHIO</t>
        </is>
      </c>
      <c r="V72" s="94">
        <f>_xlfn.XMATCH(Tabla4[[#This Row],[EAN CORREGIDO]],'Calcular necesidad'!L:L)</f>
        <v/>
      </c>
      <c r="W72" s="94">
        <f>TRIM(Tabla4[[#This Row],[CodInternoArti]])</f>
        <v/>
      </c>
    </row>
    <row r="73" hidden="1">
      <c r="A73" s="5" t="n">
        <v>2006176</v>
      </c>
      <c r="B73" s="35" t="n">
        <v>7790321020206</v>
      </c>
      <c r="C73" s="7" t="inlineStr">
        <is>
          <t>CUCHILLO PLAST DESCARTABLE x 1000 U</t>
        </is>
      </c>
      <c r="D73" s="7" t="inlineStr">
        <is>
          <t>CUBIERTOS DESC</t>
        </is>
      </c>
      <c r="E73" s="7" t="inlineStr">
        <is>
          <t>CUCHILLOS</t>
        </is>
      </c>
      <c r="F73" s="7" t="inlineStr">
        <is>
          <t>CUCHILLOS</t>
        </is>
      </c>
      <c r="G73" s="7" t="inlineStr">
        <is>
          <t>CD Moreno 3</t>
        </is>
      </c>
      <c r="H73" s="6" t="n">
        <v>3</v>
      </c>
      <c r="I73" s="6" t="n"/>
      <c r="J73" s="6" t="n"/>
      <c r="K73" s="6" t="n"/>
      <c r="L73" s="6" t="n"/>
      <c r="M73" s="7" t="n"/>
      <c r="N73" s="8" t="n">
        <v>3.9</v>
      </c>
      <c r="O73" s="5" t="n">
        <v>0</v>
      </c>
      <c r="P73" s="5" t="n">
        <v>0</v>
      </c>
      <c r="Q73" s="5" t="n">
        <v>0</v>
      </c>
      <c r="R73" s="9" t="inlineStr">
        <is>
          <t>COMPRAR</t>
        </is>
      </c>
      <c r="S73" s="5" t="n">
        <v>3.9</v>
      </c>
      <c r="T73" s="5" t="n">
        <v>-3</v>
      </c>
      <c r="U73" s="5" t="inlineStr">
        <is>
          <t>GASTON VECCHIO</t>
        </is>
      </c>
      <c r="V73" s="94">
        <f>_xlfn.XMATCH(Tabla4[[#This Row],[EAN CORREGIDO]],'Calcular necesidad'!L:L)</f>
        <v/>
      </c>
      <c r="W73" s="94">
        <f>TRIM(Tabla4[[#This Row],[CodInternoArti]])</f>
        <v/>
      </c>
    </row>
    <row r="74" hidden="1">
      <c r="A74" s="5" t="n">
        <v>2006652</v>
      </c>
      <c r="B74" s="35" t="n">
        <v>7790321020266</v>
      </c>
      <c r="C74" s="7" t="inlineStr">
        <is>
          <t>TAPA 102 x 50 U</t>
        </is>
      </c>
      <c r="D74" s="7" t="inlineStr">
        <is>
          <t>TAPAS BAND DESC</t>
        </is>
      </c>
      <c r="E74" s="7" t="inlineStr">
        <is>
          <t>TAPAS PLASTICAS</t>
        </is>
      </c>
      <c r="F74" s="7" t="inlineStr">
        <is>
          <t>TAPA 102</t>
        </is>
      </c>
      <c r="G74" s="7" t="inlineStr">
        <is>
          <t>Ciudadela</t>
        </is>
      </c>
      <c r="H74" s="6" t="n">
        <v>62</v>
      </c>
      <c r="I74" s="6" t="n">
        <v>210</v>
      </c>
      <c r="J74" s="6" t="n">
        <v>154</v>
      </c>
      <c r="K74" s="6" t="n">
        <v>170</v>
      </c>
      <c r="L74" s="6" t="n">
        <v>214</v>
      </c>
      <c r="M74" s="7" t="n">
        <v>130</v>
      </c>
      <c r="N74" s="8" t="n">
        <v>1222</v>
      </c>
      <c r="O74" s="5" t="n">
        <v>542</v>
      </c>
      <c r="P74" s="5" t="n">
        <v>0</v>
      </c>
      <c r="Q74" s="5" t="n">
        <v>0</v>
      </c>
      <c r="R74" s="9" t="inlineStr">
        <is>
          <t>COMPRAR</t>
        </is>
      </c>
      <c r="S74" s="5" t="n">
        <v>680</v>
      </c>
      <c r="T74" s="5" t="n">
        <v>270</v>
      </c>
      <c r="U74" s="5" t="inlineStr">
        <is>
          <t>GASTON VECCHIO</t>
        </is>
      </c>
      <c r="V74" s="94">
        <f>_xlfn.XMATCH(Tabla4[[#This Row],[EAN CORREGIDO]],'Calcular necesidad'!L:L)</f>
        <v/>
      </c>
      <c r="W74" s="94">
        <f>TRIM(Tabla4[[#This Row],[CodInternoArti]])</f>
        <v/>
      </c>
    </row>
    <row r="75" hidden="1">
      <c r="A75" s="5" t="n">
        <v>2006827</v>
      </c>
      <c r="B75" s="35" t="n">
        <v>7790321020306</v>
      </c>
      <c r="C75" s="7" t="inlineStr">
        <is>
          <t>TAPA ALUMINIO R5/F2100 x 400 U</t>
        </is>
      </c>
      <c r="D75" s="7" t="inlineStr">
        <is>
          <t>TAPAS BAND DESC</t>
        </is>
      </c>
      <c r="E75" s="7" t="inlineStr">
        <is>
          <t>TAPAS ALUMINIO</t>
        </is>
      </c>
      <c r="F75" s="7" t="inlineStr">
        <is>
          <t>TAPA ALUMINIO R5</t>
        </is>
      </c>
      <c r="G75" s="7" t="inlineStr">
        <is>
          <t>Ciudadela</t>
        </is>
      </c>
      <c r="H75" s="6" t="n">
        <v>1</v>
      </c>
      <c r="I75" s="6" t="n">
        <v>2</v>
      </c>
      <c r="J75" s="6" t="n"/>
      <c r="K75" s="6" t="n"/>
      <c r="L75" s="6" t="n">
        <v>2</v>
      </c>
      <c r="M75" s="7" t="n"/>
      <c r="N75" s="8" t="n">
        <v>6.5</v>
      </c>
      <c r="O75" s="5" t="n">
        <v>15</v>
      </c>
      <c r="P75" s="5" t="n">
        <v>0</v>
      </c>
      <c r="Q75" s="5" t="n">
        <v>55</v>
      </c>
      <c r="R75" s="9" t="inlineStr">
        <is>
          <t>OK</t>
        </is>
      </c>
      <c r="S75" s="5" t="n">
        <v>0</v>
      </c>
      <c r="T75" s="5" t="n">
        <v>12</v>
      </c>
      <c r="U75" s="5" t="inlineStr">
        <is>
          <t>GASTON VECCHIO</t>
        </is>
      </c>
      <c r="V75" s="94">
        <f>_xlfn.XMATCH(Tabla4[[#This Row],[EAN CORREGIDO]],'Calcular necesidad'!L:L)</f>
        <v/>
      </c>
      <c r="W75" s="94">
        <f>TRIM(Tabla4[[#This Row],[CodInternoArti]])</f>
        <v/>
      </c>
    </row>
    <row r="76" hidden="1">
      <c r="A76" s="5" t="n">
        <v>2006680</v>
      </c>
      <c r="B76" s="35" t="n">
        <v>7790321020086</v>
      </c>
      <c r="C76" s="7" t="inlineStr">
        <is>
          <t>BANDEJA PLASTICA 103 x 100 U</t>
        </is>
      </c>
      <c r="D76" s="7" t="inlineStr">
        <is>
          <t>BANDEJAS DESC</t>
        </is>
      </c>
      <c r="E76" s="7" t="inlineStr">
        <is>
          <t>BANDEJAS PLASTICAS</t>
        </is>
      </c>
      <c r="F76" s="7" t="inlineStr">
        <is>
          <t>BAND 103</t>
        </is>
      </c>
      <c r="G76" s="7" t="inlineStr">
        <is>
          <t>Ciudadela</t>
        </is>
      </c>
      <c r="H76" s="6" t="n">
        <v>41</v>
      </c>
      <c r="I76" s="6" t="n">
        <v>98</v>
      </c>
      <c r="J76" s="6" t="n">
        <v>97</v>
      </c>
      <c r="K76" s="6" t="n">
        <v>105</v>
      </c>
      <c r="L76" s="6" t="n">
        <v>107</v>
      </c>
      <c r="M76" s="7" t="n">
        <v>93</v>
      </c>
      <c r="N76" s="8" t="n">
        <v>703.3000000000001</v>
      </c>
      <c r="O76" s="5" t="n">
        <v>0</v>
      </c>
      <c r="P76" s="5" t="n">
        <v>0</v>
      </c>
      <c r="Q76" s="5" t="n">
        <v>0</v>
      </c>
      <c r="R76" s="9" t="inlineStr">
        <is>
          <t>COMPRAR</t>
        </is>
      </c>
      <c r="S76" s="5" t="n">
        <v>703.3000000000001</v>
      </c>
      <c r="T76" s="5" t="n">
        <v>-139</v>
      </c>
      <c r="U76" s="5" t="inlineStr">
        <is>
          <t>GASTON VECCHIO</t>
        </is>
      </c>
      <c r="V76" s="94">
        <f>_xlfn.XMATCH(Tabla4[[#This Row],[EAN CORREGIDO]],'Calcular necesidad'!L:L)</f>
        <v/>
      </c>
      <c r="W76" s="94">
        <f>TRIM(Tabla4[[#This Row],[CodInternoArti]])</f>
        <v/>
      </c>
    </row>
    <row r="77" hidden="1">
      <c r="A77" s="5" t="n">
        <v>2006681</v>
      </c>
      <c r="B77" s="35" t="n">
        <v>7790321020096</v>
      </c>
      <c r="C77" s="7" t="inlineStr">
        <is>
          <t>BAND PLASTICA 105 X100U COTNYL</t>
        </is>
      </c>
      <c r="D77" s="7" t="inlineStr">
        <is>
          <t>BANDEJAS DESC</t>
        </is>
      </c>
      <c r="E77" s="7" t="inlineStr">
        <is>
          <t>BANDEJAS PLASTICAS</t>
        </is>
      </c>
      <c r="F77" s="7" t="inlineStr">
        <is>
          <t>BANDEJA 105 CUADRADA</t>
        </is>
      </c>
      <c r="G77" s="7" t="inlineStr">
        <is>
          <t>Ciudadela</t>
        </is>
      </c>
      <c r="H77" s="6" t="n">
        <v>46</v>
      </c>
      <c r="I77" s="6" t="n">
        <v>57</v>
      </c>
      <c r="J77" s="6" t="n">
        <v>46</v>
      </c>
      <c r="K77" s="6" t="n">
        <v>64</v>
      </c>
      <c r="L77" s="6" t="n">
        <v>60</v>
      </c>
      <c r="M77" s="7" t="n">
        <v>45</v>
      </c>
      <c r="N77" s="8" t="n">
        <v>413.4</v>
      </c>
      <c r="O77" s="5" t="n">
        <v>0</v>
      </c>
      <c r="P77" s="5" t="n">
        <v>0</v>
      </c>
      <c r="Q77" s="5" t="n">
        <v>0</v>
      </c>
      <c r="R77" s="9" t="inlineStr">
        <is>
          <t>COMPRAR</t>
        </is>
      </c>
      <c r="S77" s="5" t="n">
        <v>413.4</v>
      </c>
      <c r="T77" s="5" t="n">
        <v>-103</v>
      </c>
      <c r="U77" s="5" t="inlineStr">
        <is>
          <t>GASTON VECCHIO</t>
        </is>
      </c>
      <c r="V77" s="94">
        <f>_xlfn.XMATCH(Tabla4[[#This Row],[EAN CORREGIDO]],'Calcular necesidad'!L:L)</f>
        <v/>
      </c>
      <c r="W77" s="94">
        <f>TRIM(Tabla4[[#This Row],[CodInternoArti]])</f>
        <v/>
      </c>
    </row>
    <row r="78" hidden="1">
      <c r="A78" s="5" t="n">
        <v>2006798</v>
      </c>
      <c r="B78" s="35" t="n">
        <v>7790321020296</v>
      </c>
      <c r="C78" s="7" t="inlineStr">
        <is>
          <t>TAPA ALUMINIO R3/F275 x 600 U</t>
        </is>
      </c>
      <c r="D78" s="7" t="inlineStr">
        <is>
          <t>TAPAS BAND DESC</t>
        </is>
      </c>
      <c r="E78" s="7" t="inlineStr">
        <is>
          <t>TAPAS ALUMINIO</t>
        </is>
      </c>
      <c r="F78" s="7" t="inlineStr">
        <is>
          <t>TAPA ALUMINIO R3</t>
        </is>
      </c>
      <c r="G78" s="7" t="inlineStr">
        <is>
          <t>Ciudadela</t>
        </is>
      </c>
      <c r="H78" s="6" t="n"/>
      <c r="I78" s="6" t="n">
        <v>4</v>
      </c>
      <c r="J78" s="6" t="n">
        <v>4</v>
      </c>
      <c r="K78" s="6" t="n">
        <v>4</v>
      </c>
      <c r="L78" s="6" t="n">
        <v>4</v>
      </c>
      <c r="M78" s="7" t="n">
        <v>4</v>
      </c>
      <c r="N78" s="8" t="n">
        <v>26</v>
      </c>
      <c r="O78" s="5" t="n">
        <v>0</v>
      </c>
      <c r="P78" s="5" t="n">
        <v>0</v>
      </c>
      <c r="Q78" s="5" t="n">
        <v>0</v>
      </c>
      <c r="R78" s="9" t="inlineStr">
        <is>
          <t>COMPRAR</t>
        </is>
      </c>
      <c r="S78" s="5" t="n">
        <v>26</v>
      </c>
      <c r="T78" s="5" t="n">
        <v>-4</v>
      </c>
      <c r="U78" s="5" t="inlineStr">
        <is>
          <t>GASTON VECCHIO</t>
        </is>
      </c>
      <c r="V78" s="94">
        <f>_xlfn.XMATCH(Tabla4[[#This Row],[EAN CORREGIDO]],'Calcular necesidad'!L:L)</f>
        <v/>
      </c>
      <c r="W78" s="94">
        <f>TRIM(Tabla4[[#This Row],[CodInternoArti]])</f>
        <v/>
      </c>
    </row>
    <row r="79" hidden="1">
      <c r="A79" s="5" t="n">
        <v>2006224</v>
      </c>
      <c r="B79" s="35" t="n">
        <v>7790321020146</v>
      </c>
      <c r="C79" s="7" t="inlineStr">
        <is>
          <t xml:space="preserve">BOLSA CAMISETA NEGRA 40X50X100U     </t>
        </is>
      </c>
      <c r="D79" s="7" t="inlineStr">
        <is>
          <t>BOLSAS</t>
        </is>
      </c>
      <c r="E79" s="7" t="inlineStr">
        <is>
          <t>BOLSAS CAMISETA</t>
        </is>
      </c>
      <c r="F79" s="7" t="inlineStr">
        <is>
          <t>BOLSAS CAMISETA NEGRAS</t>
        </is>
      </c>
      <c r="G79" s="7" t="inlineStr">
        <is>
          <t>Ciudadela</t>
        </is>
      </c>
      <c r="H79" s="6" t="n">
        <v>2</v>
      </c>
      <c r="I79" s="6" t="n">
        <v>78</v>
      </c>
      <c r="J79" s="6" t="n">
        <v>1</v>
      </c>
      <c r="K79" s="6" t="n">
        <v>87</v>
      </c>
      <c r="L79" s="6" t="n">
        <v>70</v>
      </c>
      <c r="M79" s="7" t="n">
        <v>2</v>
      </c>
      <c r="N79" s="8" t="n">
        <v>312</v>
      </c>
      <c r="O79" s="5" t="n">
        <v>0</v>
      </c>
      <c r="P79" s="5" t="n">
        <v>0</v>
      </c>
      <c r="Q79" s="5" t="n">
        <v>0</v>
      </c>
      <c r="R79" s="9" t="inlineStr">
        <is>
          <t>COMPRAR</t>
        </is>
      </c>
      <c r="S79" s="5" t="n">
        <v>312</v>
      </c>
      <c r="T79" s="5" t="n">
        <v>-80</v>
      </c>
      <c r="U79" s="5" t="inlineStr">
        <is>
          <t>GASTON VECCHIO</t>
        </is>
      </c>
      <c r="V79" s="94">
        <f>_xlfn.XMATCH(Tabla4[[#This Row],[EAN CORREGIDO]],'Calcular necesidad'!L:L)</f>
        <v/>
      </c>
      <c r="W79" s="94">
        <f>TRIM(Tabla4[[#This Row],[CodInternoArti]])</f>
        <v/>
      </c>
    </row>
    <row r="80" hidden="1">
      <c r="A80" s="5" t="n">
        <v>2006472</v>
      </c>
      <c r="B80" s="35" t="n">
        <v>7790321020328</v>
      </c>
      <c r="C80" s="7" t="inlineStr">
        <is>
          <t xml:space="preserve">TAPA VASO TERMICO 300CC X100U </t>
        </is>
      </c>
      <c r="D80" s="7" t="inlineStr">
        <is>
          <t>TAPAS VASOS DESC</t>
        </is>
      </c>
      <c r="E80" s="7" t="inlineStr">
        <is>
          <t>TAPAS PLASTICAS</t>
        </is>
      </c>
      <c r="F80" s="7" t="inlineStr">
        <is>
          <t>TAPA VASO 300CC</t>
        </is>
      </c>
      <c r="G80" s="7" t="inlineStr">
        <is>
          <t>Ciudadela</t>
        </is>
      </c>
      <c r="H80" s="6" t="n">
        <v>5</v>
      </c>
      <c r="I80" s="6" t="n">
        <v>5</v>
      </c>
      <c r="J80" s="6" t="n">
        <v>5</v>
      </c>
      <c r="K80" s="6" t="n">
        <v>5</v>
      </c>
      <c r="L80" s="6" t="n">
        <v>5</v>
      </c>
      <c r="M80" s="7" t="n">
        <v>5</v>
      </c>
      <c r="N80" s="8" t="n">
        <v>39</v>
      </c>
      <c r="O80" s="5" t="n">
        <v>19</v>
      </c>
      <c r="P80" s="5" t="n">
        <v>0</v>
      </c>
      <c r="Q80" s="5" t="n">
        <v>50</v>
      </c>
      <c r="R80" s="9" t="inlineStr">
        <is>
          <t>TRANSFERIR</t>
        </is>
      </c>
      <c r="S80" s="5" t="n">
        <v>0</v>
      </c>
      <c r="T80" s="5" t="n">
        <v>9</v>
      </c>
      <c r="U80" s="5" t="inlineStr">
        <is>
          <t>GASTON VECCHIO</t>
        </is>
      </c>
      <c r="V80" s="94">
        <f>_xlfn.XMATCH(Tabla4[[#This Row],[EAN CORREGIDO]],'Calcular necesidad'!L:L)</f>
        <v/>
      </c>
      <c r="W80" s="94">
        <f>TRIM(Tabla4[[#This Row],[CodInternoArti]])</f>
        <v/>
      </c>
    </row>
    <row r="81" hidden="1">
      <c r="A81" s="5" t="n">
        <v>2006202</v>
      </c>
      <c r="B81" s="35" t="n">
        <v>7790321009512</v>
      </c>
      <c r="C81" s="7" t="inlineStr">
        <is>
          <t>TAPA ALUM R3/F275x1000u W.PLAS</t>
        </is>
      </c>
      <c r="D81" s="7" t="inlineStr">
        <is>
          <t>TAPAS BAND DESC</t>
        </is>
      </c>
      <c r="E81" s="7" t="inlineStr">
        <is>
          <t>TAPAS ALUMINIO</t>
        </is>
      </c>
      <c r="F81" s="7" t="inlineStr">
        <is>
          <t>TAPA ALUMINIO R3</t>
        </is>
      </c>
      <c r="G81" s="7" t="inlineStr">
        <is>
          <t>Ciudadela</t>
        </is>
      </c>
      <c r="H81" s="6" t="n">
        <v>18</v>
      </c>
      <c r="I81" s="6" t="n">
        <v>18</v>
      </c>
      <c r="J81" s="6" t="n">
        <v>18</v>
      </c>
      <c r="K81" s="6" t="n">
        <v>18</v>
      </c>
      <c r="L81" s="6" t="n">
        <v>18</v>
      </c>
      <c r="M81" s="7" t="n">
        <v>18</v>
      </c>
      <c r="N81" s="8" t="n">
        <v>140.4</v>
      </c>
      <c r="O81" s="5" t="n">
        <v>0</v>
      </c>
      <c r="P81" s="5" t="n">
        <v>0</v>
      </c>
      <c r="Q81" s="5" t="n">
        <v>0</v>
      </c>
      <c r="R81" s="9" t="inlineStr">
        <is>
          <t>COMPRAR</t>
        </is>
      </c>
      <c r="S81" s="5" t="n">
        <v>140.4</v>
      </c>
      <c r="T81" s="5" t="n">
        <v>-36</v>
      </c>
      <c r="U81" s="5" t="inlineStr">
        <is>
          <t>GASTON VECCHIO</t>
        </is>
      </c>
      <c r="V81" s="94">
        <f>_xlfn.XMATCH(Tabla4[[#This Row],[EAN CORREGIDO]],'Calcular necesidad'!L:L)</f>
        <v/>
      </c>
      <c r="W81" s="94">
        <f>TRIM(Tabla4[[#This Row],[CodInternoArti]])</f>
        <v/>
      </c>
    </row>
    <row r="82" hidden="1">
      <c r="A82" s="5" t="n">
        <v>2006472</v>
      </c>
      <c r="B82" s="35" t="n">
        <v>7790321020328</v>
      </c>
      <c r="C82" s="7" t="inlineStr">
        <is>
          <t xml:space="preserve">TAPA VASO TERMICO 300CC X100U </t>
        </is>
      </c>
      <c r="D82" s="7" t="inlineStr">
        <is>
          <t>TAPAS VASOS DESC</t>
        </is>
      </c>
      <c r="E82" s="7" t="inlineStr">
        <is>
          <t>TAPAS PLASTICAS</t>
        </is>
      </c>
      <c r="F82" s="7" t="inlineStr">
        <is>
          <t>TAPA VASO 300CC</t>
        </is>
      </c>
      <c r="G82" s="7" t="inlineStr">
        <is>
          <t>CD Moreno 3</t>
        </is>
      </c>
      <c r="H82" s="6" t="n"/>
      <c r="I82" s="6" t="n"/>
      <c r="J82" s="6" t="n"/>
      <c r="K82" s="6" t="n"/>
      <c r="L82" s="6" t="n"/>
      <c r="M82" s="7" t="n"/>
      <c r="N82" s="8" t="n">
        <v>0</v>
      </c>
      <c r="O82" s="5" t="n">
        <v>19</v>
      </c>
      <c r="P82" s="5" t="n">
        <v>0</v>
      </c>
      <c r="Q82" s="5" t="n">
        <v>50</v>
      </c>
      <c r="R82" s="9" t="inlineStr">
        <is>
          <t>OK</t>
        </is>
      </c>
      <c r="S82" s="5" t="n">
        <v>0</v>
      </c>
      <c r="T82" s="5" t="n">
        <v>19</v>
      </c>
      <c r="U82" s="5" t="inlineStr">
        <is>
          <t>GASTON VECCHIO</t>
        </is>
      </c>
      <c r="V82" s="94">
        <f>_xlfn.XMATCH(Tabla4[[#This Row],[EAN CORREGIDO]],'Calcular necesidad'!L:L)</f>
        <v/>
      </c>
      <c r="W82" s="94">
        <f>TRIM(Tabla4[[#This Row],[CodInternoArti]])</f>
        <v/>
      </c>
    </row>
    <row r="83" hidden="1">
      <c r="A83" s="5" t="n">
        <v>2006638</v>
      </c>
      <c r="B83" s="35" t="inlineStr">
        <is>
          <t>LIM000462</t>
        </is>
      </c>
      <c r="C83" s="7" t="inlineStr">
        <is>
          <t>BARBIJO QUIRURGICO X 50 U</t>
        </is>
      </c>
      <c r="D83" s="7" t="inlineStr">
        <is>
          <t>VARIOS</t>
        </is>
      </c>
      <c r="E83" s="7" t="inlineStr">
        <is>
          <t>DESCARTABLES</t>
        </is>
      </c>
      <c r="F83" s="7" t="inlineStr">
        <is>
          <t>BARBIJO DESCARTABLE</t>
        </is>
      </c>
      <c r="G83" s="7" t="inlineStr">
        <is>
          <t>Ciudadela</t>
        </is>
      </c>
      <c r="H83" s="6" t="n">
        <v>23</v>
      </c>
      <c r="I83" s="6" t="n">
        <v>32</v>
      </c>
      <c r="J83" s="6" t="n">
        <v>31</v>
      </c>
      <c r="K83" s="6" t="n">
        <v>32</v>
      </c>
      <c r="L83" s="6" t="n">
        <v>45</v>
      </c>
      <c r="M83" s="7" t="n">
        <v>18</v>
      </c>
      <c r="N83" s="8" t="n">
        <v>235.3</v>
      </c>
      <c r="O83" s="5" t="n">
        <v>0</v>
      </c>
      <c r="P83" s="5" t="n">
        <v>0</v>
      </c>
      <c r="Q83" s="5" t="n">
        <v>0</v>
      </c>
      <c r="R83" s="9" t="inlineStr">
        <is>
          <t>COMPRAR</t>
        </is>
      </c>
      <c r="S83" s="5" t="n">
        <v>235.3</v>
      </c>
      <c r="T83" s="5" t="n">
        <v>-55</v>
      </c>
      <c r="U83" s="5" t="inlineStr">
        <is>
          <t>GASTON VECCHIO</t>
        </is>
      </c>
      <c r="V83" s="94">
        <f>_xlfn.XMATCH(Tabla4[[#This Row],[EAN CORREGIDO]],'Calcular necesidad'!L:L)</f>
        <v/>
      </c>
      <c r="W83" s="94">
        <f>TRIM(Tabla4[[#This Row],[CodInternoArti]])</f>
        <v/>
      </c>
    </row>
    <row r="84" hidden="1">
      <c r="A84" s="5" t="n">
        <v>2006452</v>
      </c>
      <c r="B84" s="35" t="n">
        <v>7790231050180</v>
      </c>
      <c r="C84" s="7" t="inlineStr">
        <is>
          <t>TAPA DEGUSTADOR X 2000U</t>
        </is>
      </c>
      <c r="D84" s="7" t="inlineStr">
        <is>
          <t>TAPAS VASOS DESC</t>
        </is>
      </c>
      <c r="E84" s="7" t="inlineStr">
        <is>
          <t>TAPAS PLASTICAS</t>
        </is>
      </c>
      <c r="F84" s="7" t="inlineStr">
        <is>
          <t>TAPA DEGUSTADOR</t>
        </is>
      </c>
      <c r="G84" s="7" t="inlineStr">
        <is>
          <t>Ciudadela</t>
        </is>
      </c>
      <c r="H84" s="6" t="n">
        <v>3</v>
      </c>
      <c r="I84" s="6" t="n"/>
      <c r="J84" s="6" t="n"/>
      <c r="K84" s="6" t="n"/>
      <c r="L84" s="6" t="n"/>
      <c r="M84" s="7" t="n"/>
      <c r="N84" s="8" t="n">
        <v>3.9</v>
      </c>
      <c r="O84" s="5" t="n">
        <v>0</v>
      </c>
      <c r="P84" s="5" t="n">
        <v>0</v>
      </c>
      <c r="Q84" s="5" t="n">
        <v>0</v>
      </c>
      <c r="R84" s="9" t="inlineStr">
        <is>
          <t>COMPRAR</t>
        </is>
      </c>
      <c r="S84" s="5" t="n">
        <v>3.9</v>
      </c>
      <c r="T84" s="5" t="n">
        <v>-3</v>
      </c>
      <c r="U84" s="5" t="inlineStr">
        <is>
          <t>GASTON VECCHIO</t>
        </is>
      </c>
      <c r="V84" s="94">
        <f>_xlfn.XMATCH(Tabla4[[#This Row],[EAN CORREGIDO]],'Calcular necesidad'!L:L)</f>
        <v/>
      </c>
      <c r="W84" s="94">
        <f>TRIM(Tabla4[[#This Row],[CodInternoArti]])</f>
        <v/>
      </c>
    </row>
    <row r="85" hidden="1">
      <c r="A85" s="5" t="n">
        <v>2006675</v>
      </c>
      <c r="B85" s="35" t="n">
        <v>7790321000047</v>
      </c>
      <c r="C85" s="7" t="inlineStr">
        <is>
          <t>BOLSA CRISTAL 90x110 CM</t>
        </is>
      </c>
      <c r="D85" s="7" t="inlineStr">
        <is>
          <t>DESCARTABLES</t>
        </is>
      </c>
      <c r="E85" s="7" t="inlineStr">
        <is>
          <t>BOLSAS</t>
        </is>
      </c>
      <c r="F85" s="7" t="inlineStr">
        <is>
          <t>BOLSAS CRISTAL</t>
        </is>
      </c>
      <c r="G85" s="7" t="inlineStr">
        <is>
          <t>Ciudadela</t>
        </is>
      </c>
      <c r="H85" s="6" t="n">
        <v>2</v>
      </c>
      <c r="I85" s="6" t="n">
        <v>1</v>
      </c>
      <c r="J85" s="6" t="n">
        <v>3</v>
      </c>
      <c r="K85" s="6" t="n">
        <v>1</v>
      </c>
      <c r="L85" s="6" t="n">
        <v>2</v>
      </c>
      <c r="M85" s="7" t="n">
        <v>1</v>
      </c>
      <c r="N85" s="8" t="n">
        <v>13</v>
      </c>
      <c r="O85" s="5" t="n">
        <v>0</v>
      </c>
      <c r="P85" s="5" t="n">
        <v>0</v>
      </c>
      <c r="Q85" s="5" t="n">
        <v>0</v>
      </c>
      <c r="R85" s="9" t="inlineStr">
        <is>
          <t>COMPRAR</t>
        </is>
      </c>
      <c r="S85" s="5" t="n">
        <v>13</v>
      </c>
      <c r="T85" s="5" t="n">
        <v>-3</v>
      </c>
      <c r="U85" s="5" t="inlineStr">
        <is>
          <t>GASTON VECCHIO</t>
        </is>
      </c>
      <c r="V85" s="94">
        <f>_xlfn.XMATCH(Tabla4[[#This Row],[EAN CORREGIDO]],'Calcular necesidad'!L:L)</f>
        <v/>
      </c>
      <c r="W85" s="94">
        <f>TRIM(Tabla4[[#This Row],[CodInternoArti]])</f>
        <v/>
      </c>
    </row>
    <row r="86" hidden="1">
      <c r="A86" s="5" t="n">
        <v>2006645</v>
      </c>
      <c r="B86" s="35" t="n">
        <v>7790321020047</v>
      </c>
      <c r="C86" s="7" t="inlineStr">
        <is>
          <t>BANDEJA 105 CUADRADA x 100 U</t>
        </is>
      </c>
      <c r="D86" s="7" t="inlineStr">
        <is>
          <t>BANDEJAS DESC</t>
        </is>
      </c>
      <c r="E86" s="7" t="inlineStr">
        <is>
          <t>BANDEJAS PLASTICAS</t>
        </is>
      </c>
      <c r="F86" s="7" t="inlineStr">
        <is>
          <t>BANDEJA 105 CUADRADA</t>
        </is>
      </c>
      <c r="G86" s="7" t="inlineStr">
        <is>
          <t>Ciudadela</t>
        </is>
      </c>
      <c r="H86" s="6" t="n"/>
      <c r="I86" s="6" t="n">
        <v>10</v>
      </c>
      <c r="J86" s="6" t="n">
        <v>1</v>
      </c>
      <c r="K86" s="6" t="n">
        <v>10</v>
      </c>
      <c r="L86" s="6" t="n">
        <v>10</v>
      </c>
      <c r="M86" s="7" t="n"/>
      <c r="N86" s="8" t="n">
        <v>40.3</v>
      </c>
      <c r="O86" s="5" t="n">
        <v>0</v>
      </c>
      <c r="P86" s="5" t="n">
        <v>0</v>
      </c>
      <c r="Q86" s="5" t="n">
        <v>0</v>
      </c>
      <c r="R86" s="9" t="inlineStr">
        <is>
          <t>COMPRAR</t>
        </is>
      </c>
      <c r="S86" s="5" t="n">
        <v>40.3</v>
      </c>
      <c r="T86" s="5" t="n">
        <v>-10</v>
      </c>
      <c r="U86" s="5" t="inlineStr">
        <is>
          <t>GASTON VECCHIO</t>
        </is>
      </c>
      <c r="V86" s="94">
        <f>_xlfn.XMATCH(Tabla4[[#This Row],[EAN CORREGIDO]],'Calcular necesidad'!L:L)</f>
        <v/>
      </c>
      <c r="W86" s="94">
        <f>TRIM(Tabla4[[#This Row],[CodInternoArti]])</f>
        <v/>
      </c>
    </row>
    <row r="87" hidden="1">
      <c r="A87" s="5" t="n">
        <v>2006678</v>
      </c>
      <c r="B87" s="35" t="inlineStr">
        <is>
          <t>LIM000461</t>
        </is>
      </c>
      <c r="C87" s="7" t="inlineStr">
        <is>
          <t>BARBIJO N95 X 100U</t>
        </is>
      </c>
      <c r="D87" s="7" t="inlineStr">
        <is>
          <t>DESCARTABLES</t>
        </is>
      </c>
      <c r="E87" s="7" t="inlineStr">
        <is>
          <t>DESCARTABLES</t>
        </is>
      </c>
      <c r="F87" s="7" t="inlineStr">
        <is>
          <t>BARBIJO DESCARTABLE</t>
        </is>
      </c>
      <c r="G87" s="7" t="inlineStr">
        <is>
          <t>Ciudadela</t>
        </is>
      </c>
      <c r="H87" s="6" t="n">
        <v>0</v>
      </c>
      <c r="I87" s="6" t="n">
        <v>20</v>
      </c>
      <c r="J87" s="6" t="n">
        <v>20</v>
      </c>
      <c r="K87" s="6" t="n">
        <v>20</v>
      </c>
      <c r="L87" s="6" t="n">
        <v>20</v>
      </c>
      <c r="M87" s="7" t="n">
        <v>20</v>
      </c>
      <c r="N87" s="8" t="n">
        <v>130</v>
      </c>
      <c r="O87" s="5" t="n">
        <v>0</v>
      </c>
      <c r="P87" s="5" t="n">
        <v>0</v>
      </c>
      <c r="Q87" s="5" t="n">
        <v>0</v>
      </c>
      <c r="R87" s="9" t="inlineStr">
        <is>
          <t>COMPRAR</t>
        </is>
      </c>
      <c r="S87" s="5" t="n">
        <v>130</v>
      </c>
      <c r="T87" s="5" t="n">
        <v>-20</v>
      </c>
      <c r="U87" s="5" t="inlineStr">
        <is>
          <t>GASTON VECCHIO</t>
        </is>
      </c>
      <c r="V87" s="94">
        <f>_xlfn.XMATCH(Tabla4[[#This Row],[EAN CORREGIDO]],'Calcular necesidad'!L:L)</f>
        <v/>
      </c>
      <c r="W87" s="94">
        <f>TRIM(Tabla4[[#This Row],[CodInternoArti]])</f>
        <v/>
      </c>
    </row>
    <row r="88" hidden="1">
      <c r="A88" s="5" t="n">
        <v>2006637</v>
      </c>
      <c r="B88" s="35" t="n">
        <v>7790321020530</v>
      </c>
      <c r="C88" s="7" t="inlineStr">
        <is>
          <t>MANTEL IND 40X30X1000U NUTRIRE</t>
        </is>
      </c>
      <c r="D88" s="7" t="inlineStr">
        <is>
          <t>VARIOS</t>
        </is>
      </c>
      <c r="E88" s="7" t="inlineStr">
        <is>
          <t>DESCARTABLES</t>
        </is>
      </c>
      <c r="F88" s="7" t="inlineStr">
        <is>
          <t>MANTEL LOGO NUTRIRE</t>
        </is>
      </c>
      <c r="G88" s="7" t="inlineStr">
        <is>
          <t>Ciudadela</t>
        </is>
      </c>
      <c r="H88" s="6" t="n">
        <v>3</v>
      </c>
      <c r="I88" s="6" t="n">
        <v>2</v>
      </c>
      <c r="J88" s="6" t="n">
        <v>2</v>
      </c>
      <c r="K88" s="6" t="n"/>
      <c r="L88" s="6" t="n">
        <v>3</v>
      </c>
      <c r="M88" s="7" t="n">
        <v>2</v>
      </c>
      <c r="N88" s="8" t="n">
        <v>15.6</v>
      </c>
      <c r="O88" s="5" t="n">
        <v>25</v>
      </c>
      <c r="P88" s="5" t="n">
        <v>0</v>
      </c>
      <c r="Q88" s="5" t="n">
        <v>95</v>
      </c>
      <c r="R88" s="9" t="inlineStr">
        <is>
          <t>OK</t>
        </is>
      </c>
      <c r="S88" s="5" t="n">
        <v>0</v>
      </c>
      <c r="T88" s="5" t="n">
        <v>20</v>
      </c>
      <c r="U88" s="5" t="inlineStr">
        <is>
          <t>GASTON VECCHIO</t>
        </is>
      </c>
      <c r="V88" s="94">
        <f>_xlfn.XMATCH(Tabla4[[#This Row],[EAN CORREGIDO]],'Calcular necesidad'!L:L)</f>
        <v/>
      </c>
      <c r="W88" s="94">
        <f>TRIM(Tabla4[[#This Row],[CodInternoArti]])</f>
        <v/>
      </c>
    </row>
    <row r="89" hidden="1">
      <c r="A89" s="5" t="n">
        <v>2006692</v>
      </c>
      <c r="B89" s="35" t="n">
        <v>7790321020992</v>
      </c>
      <c r="C89" s="7" t="inlineStr">
        <is>
          <t>BOLSA CUBIERTOS 10x 25 x100 U</t>
        </is>
      </c>
      <c r="D89" s="7" t="inlineStr">
        <is>
          <t>BOLSAS</t>
        </is>
      </c>
      <c r="E89" s="7" t="inlineStr">
        <is>
          <t>BOLSAS CUBIERTERAS</t>
        </is>
      </c>
      <c r="F89" s="7" t="inlineStr">
        <is>
          <t>BOLSAS CUBIERTOS</t>
        </is>
      </c>
      <c r="G89" s="7" t="inlineStr">
        <is>
          <t>Ciudadela</t>
        </is>
      </c>
      <c r="H89" s="6" t="n">
        <v>35</v>
      </c>
      <c r="I89" s="6" t="n">
        <v>41</v>
      </c>
      <c r="J89" s="6" t="n">
        <v>35</v>
      </c>
      <c r="K89" s="6" t="n">
        <v>39</v>
      </c>
      <c r="L89" s="6" t="n">
        <v>59</v>
      </c>
      <c r="M89" s="7" t="n">
        <v>17</v>
      </c>
      <c r="N89" s="8" t="n">
        <v>293.8</v>
      </c>
      <c r="O89" s="5" t="n">
        <v>0</v>
      </c>
      <c r="P89" s="5" t="n">
        <v>0</v>
      </c>
      <c r="Q89" s="5" t="n">
        <v>1000</v>
      </c>
      <c r="R89" s="9" t="inlineStr">
        <is>
          <t>TRANSFERIR</t>
        </is>
      </c>
      <c r="S89" s="5" t="n">
        <v>0</v>
      </c>
      <c r="T89" s="5" t="n">
        <v>-76</v>
      </c>
      <c r="U89" s="5" t="inlineStr">
        <is>
          <t>GASTON VECCHIO</t>
        </is>
      </c>
      <c r="V89" s="94">
        <f>_xlfn.XMATCH(Tabla4[[#This Row],[EAN CORREGIDO]],'Calcular necesidad'!L:L)</f>
        <v/>
      </c>
      <c r="W89" s="94">
        <f>TRIM(Tabla4[[#This Row],[CodInternoArti]])</f>
        <v/>
      </c>
    </row>
    <row r="90" hidden="1">
      <c r="A90" s="5" t="n">
        <v>2006468</v>
      </c>
      <c r="B90" s="35" t="n">
        <v>7791165719767</v>
      </c>
      <c r="C90" s="7" t="inlineStr">
        <is>
          <t>BOLSA CAMISETA 50X60 X100U REF</t>
        </is>
      </c>
      <c r="D90" s="7" t="inlineStr">
        <is>
          <t>BOLSAS</t>
        </is>
      </c>
      <c r="E90" s="7" t="inlineStr">
        <is>
          <t>BOLSAS CAMISETA</t>
        </is>
      </c>
      <c r="F90" s="7" t="inlineStr">
        <is>
          <t>BOLSA CAMISETA REFORZADA</t>
        </is>
      </c>
      <c r="G90" s="7" t="inlineStr">
        <is>
          <t>Ciudadela</t>
        </is>
      </c>
      <c r="H90" s="6" t="n"/>
      <c r="I90" s="6" t="n">
        <v>8</v>
      </c>
      <c r="J90" s="6" t="n">
        <v>8</v>
      </c>
      <c r="K90" s="6" t="n">
        <v>8</v>
      </c>
      <c r="L90" s="6" t="n">
        <v>8</v>
      </c>
      <c r="M90" s="7" t="n">
        <v>8</v>
      </c>
      <c r="N90" s="8" t="n">
        <v>52</v>
      </c>
      <c r="O90" s="5" t="n">
        <v>0</v>
      </c>
      <c r="P90" s="5" t="n">
        <v>0</v>
      </c>
      <c r="Q90" s="5" t="n">
        <v>0</v>
      </c>
      <c r="R90" s="9" t="inlineStr">
        <is>
          <t>COMPRAR</t>
        </is>
      </c>
      <c r="S90" s="5" t="n">
        <v>52</v>
      </c>
      <c r="T90" s="5" t="n">
        <v>-8</v>
      </c>
      <c r="U90" s="5" t="inlineStr">
        <is>
          <t>GASTON VECCHIO</t>
        </is>
      </c>
      <c r="V90" s="94">
        <f>_xlfn.XMATCH(Tabla4[[#This Row],[EAN CORREGIDO]],'Calcular necesidad'!L:L)</f>
        <v/>
      </c>
      <c r="W90" s="94">
        <f>TRIM(Tabla4[[#This Row],[CodInternoArti]])</f>
        <v/>
      </c>
    </row>
    <row r="91" hidden="1">
      <c r="A91" s="5" t="n">
        <v>2006638</v>
      </c>
      <c r="B91" s="35" t="inlineStr">
        <is>
          <t>LIM000462</t>
        </is>
      </c>
      <c r="C91" s="7" t="inlineStr">
        <is>
          <t>BARBIJO QUIRURGICO X 50 U</t>
        </is>
      </c>
      <c r="D91" s="7" t="inlineStr">
        <is>
          <t>VARIOS</t>
        </is>
      </c>
      <c r="E91" s="7" t="inlineStr">
        <is>
          <t>DESCARTABLES</t>
        </is>
      </c>
      <c r="F91" s="7" t="inlineStr">
        <is>
          <t>BARBIJO DESCARTABLE</t>
        </is>
      </c>
      <c r="G91" s="7" t="inlineStr">
        <is>
          <t>CD Moreno 3</t>
        </is>
      </c>
      <c r="H91" s="6" t="n">
        <v>20</v>
      </c>
      <c r="I91" s="6" t="n"/>
      <c r="J91" s="6" t="n"/>
      <c r="K91" s="6" t="n"/>
      <c r="L91" s="6" t="n"/>
      <c r="M91" s="7" t="n"/>
      <c r="N91" s="8" t="n">
        <v>26</v>
      </c>
      <c r="O91" s="5" t="n">
        <v>0</v>
      </c>
      <c r="P91" s="5" t="n">
        <v>0</v>
      </c>
      <c r="Q91" s="5" t="n">
        <v>0</v>
      </c>
      <c r="R91" s="9" t="inlineStr">
        <is>
          <t>COMPRAR</t>
        </is>
      </c>
      <c r="S91" s="5" t="n">
        <v>26</v>
      </c>
      <c r="T91" s="5" t="n">
        <v>-20</v>
      </c>
      <c r="U91" s="5" t="inlineStr">
        <is>
          <t>GASTON VECCHIO</t>
        </is>
      </c>
      <c r="V91" s="94">
        <f>_xlfn.XMATCH(Tabla4[[#This Row],[EAN CORREGIDO]],'Calcular necesidad'!L:L)</f>
        <v/>
      </c>
      <c r="W91" s="94">
        <f>TRIM(Tabla4[[#This Row],[CodInternoArti]])</f>
        <v/>
      </c>
    </row>
    <row r="92" hidden="1">
      <c r="A92" s="5" t="n">
        <v>2006865</v>
      </c>
      <c r="B92" s="35" t="inlineStr">
        <is>
          <t>EMB000055</t>
        </is>
      </c>
      <c r="C92" s="7" t="inlineStr">
        <is>
          <t>ROLLO BOLSA ARRANQUE 40 x 50</t>
        </is>
      </c>
      <c r="D92" s="7" t="inlineStr">
        <is>
          <t>BOLSAS</t>
        </is>
      </c>
      <c r="E92" s="7" t="inlineStr">
        <is>
          <t>BOLSAS ARRANQUE</t>
        </is>
      </c>
      <c r="F92" s="7" t="inlineStr">
        <is>
          <t>BOLSAS ARRANQUE</t>
        </is>
      </c>
      <c r="G92" s="7" t="inlineStr">
        <is>
          <t>Ciudadela</t>
        </is>
      </c>
      <c r="H92" s="6" t="n"/>
      <c r="I92" s="6" t="n"/>
      <c r="J92" s="6" t="n">
        <v>1</v>
      </c>
      <c r="K92" s="6" t="n"/>
      <c r="L92" s="6" t="n"/>
      <c r="M92" s="7" t="n"/>
      <c r="N92" s="8" t="n">
        <v>1.3</v>
      </c>
      <c r="O92" s="5" t="n">
        <v>0</v>
      </c>
      <c r="P92" s="5" t="n">
        <v>0</v>
      </c>
      <c r="Q92" s="5" t="n">
        <v>0</v>
      </c>
      <c r="R92" s="9" t="inlineStr">
        <is>
          <t>COMPRAR</t>
        </is>
      </c>
      <c r="S92" s="5" t="n">
        <v>1.3</v>
      </c>
      <c r="T92" s="5" t="n">
        <v>0</v>
      </c>
      <c r="U92" s="5" t="inlineStr">
        <is>
          <t>GASTON VECCHIO</t>
        </is>
      </c>
      <c r="V92" s="94">
        <f>_xlfn.XMATCH(Tabla4[[#This Row],[EAN CORREGIDO]],'Calcular necesidad'!L:L)</f>
        <v/>
      </c>
      <c r="W92" s="94">
        <f>TRIM(Tabla4[[#This Row],[CodInternoArti]])</f>
        <v/>
      </c>
    </row>
    <row r="93" hidden="1">
      <c r="A93" s="5" t="n">
        <v>2006471</v>
      </c>
      <c r="B93" s="35" t="n">
        <v>7790321020288</v>
      </c>
      <c r="C93" s="7" t="inlineStr">
        <is>
          <t xml:space="preserve">TAPA 102 X 100U </t>
        </is>
      </c>
      <c r="D93" s="7" t="inlineStr">
        <is>
          <t>TAPAS BAND DESC</t>
        </is>
      </c>
      <c r="E93" s="7" t="inlineStr">
        <is>
          <t>TAPAS PLASTICAS</t>
        </is>
      </c>
      <c r="F93" s="7" t="inlineStr">
        <is>
          <t>TAPA 102</t>
        </is>
      </c>
      <c r="G93" s="7" t="inlineStr">
        <is>
          <t>Ciudadela</t>
        </is>
      </c>
      <c r="H93" s="6" t="n">
        <v>27</v>
      </c>
      <c r="I93" s="6" t="n">
        <v>22</v>
      </c>
      <c r="J93" s="6" t="n">
        <v>25</v>
      </c>
      <c r="K93" s="6" t="n">
        <v>21</v>
      </c>
      <c r="L93" s="6" t="n">
        <v>24</v>
      </c>
      <c r="M93" s="7" t="n">
        <v>20</v>
      </c>
      <c r="N93" s="8" t="n">
        <v>180.7</v>
      </c>
      <c r="O93" s="5" t="n">
        <v>0</v>
      </c>
      <c r="P93" s="5" t="n">
        <v>0</v>
      </c>
      <c r="Q93" s="5" t="n">
        <v>0</v>
      </c>
      <c r="R93" s="9" t="inlineStr">
        <is>
          <t>COMPRAR</t>
        </is>
      </c>
      <c r="S93" s="5" t="n">
        <v>180.7</v>
      </c>
      <c r="T93" s="5" t="n">
        <v>-49</v>
      </c>
      <c r="U93" s="5" t="inlineStr">
        <is>
          <t>GASTON VECCHIO</t>
        </is>
      </c>
      <c r="V93" s="94">
        <f>_xlfn.XMATCH(Tabla4[[#This Row],[EAN CORREGIDO]],'Calcular necesidad'!L:L)</f>
        <v/>
      </c>
      <c r="W93" s="94">
        <f>TRIM(Tabla4[[#This Row],[CodInternoArti]])</f>
        <v/>
      </c>
    </row>
    <row r="94" hidden="1">
      <c r="A94" s="5" t="n">
        <v>2006801</v>
      </c>
      <c r="B94" s="35" t="n">
        <v>7790321284502</v>
      </c>
      <c r="C94" s="7" t="inlineStr">
        <is>
          <t>SERVILLETA BCA 18X18X2000U BLUE</t>
        </is>
      </c>
      <c r="D94" s="7" t="inlineStr">
        <is>
          <t>SERVILLETAS DESC</t>
        </is>
      </c>
      <c r="E94" s="7" t="inlineStr">
        <is>
          <t>SERVILLETAS DESC C/LOGO</t>
        </is>
      </c>
      <c r="F94" s="7" t="inlineStr">
        <is>
          <t>SERVILLETA DESC C/LOGO</t>
        </is>
      </c>
      <c r="G94" s="7" t="inlineStr">
        <is>
          <t>Ciudadela</t>
        </is>
      </c>
      <c r="H94" s="6" t="n">
        <v>18</v>
      </c>
      <c r="I94" s="6" t="n">
        <v>21</v>
      </c>
      <c r="J94" s="6" t="n">
        <v>8</v>
      </c>
      <c r="K94" s="6" t="n">
        <v>14</v>
      </c>
      <c r="L94" s="6" t="n">
        <v>23</v>
      </c>
      <c r="M94" s="7" t="n">
        <v>5</v>
      </c>
      <c r="N94" s="8" t="n">
        <v>115.7</v>
      </c>
      <c r="O94" s="5" t="n">
        <v>0</v>
      </c>
      <c r="P94" s="5" t="n">
        <v>0</v>
      </c>
      <c r="Q94" s="5" t="n">
        <v>0</v>
      </c>
      <c r="R94" s="9" t="inlineStr">
        <is>
          <t>COMPRAR</t>
        </is>
      </c>
      <c r="S94" s="5" t="n">
        <v>115.7</v>
      </c>
      <c r="T94" s="5" t="n">
        <v>-39</v>
      </c>
      <c r="U94" s="5" t="inlineStr">
        <is>
          <t>GASTON VECCHIO</t>
        </is>
      </c>
      <c r="V94" s="94">
        <f>_xlfn.XMATCH(Tabla4[[#This Row],[EAN CORREGIDO]],'Calcular necesidad'!L:L)</f>
        <v/>
      </c>
      <c r="W94" s="94">
        <f>TRIM(Tabla4[[#This Row],[CodInternoArti]])</f>
        <v/>
      </c>
    </row>
    <row r="95" hidden="1">
      <c r="A95" s="5" t="n">
        <v>2006796</v>
      </c>
      <c r="B95" s="35" t="n">
        <v>7790321130874</v>
      </c>
      <c r="C95" s="7" t="inlineStr">
        <is>
          <t>ENS CRISTAL BASE x100U PLASTIV</t>
        </is>
      </c>
      <c r="D95" s="7" t="inlineStr">
        <is>
          <t>BANDEJAS DESC</t>
        </is>
      </c>
      <c r="E95" s="7" t="inlineStr">
        <is>
          <t>BANDEJAS PLASTICAS</t>
        </is>
      </c>
      <c r="F95" s="7" t="inlineStr">
        <is>
          <t>ENSALADERA CRISTAL</t>
        </is>
      </c>
      <c r="G95" s="7" t="inlineStr">
        <is>
          <t>Ciudadela</t>
        </is>
      </c>
      <c r="H95" s="6" t="n"/>
      <c r="I95" s="6" t="n">
        <v>1</v>
      </c>
      <c r="J95" s="6" t="n"/>
      <c r="K95" s="6" t="n">
        <v>1</v>
      </c>
      <c r="L95" s="6" t="n">
        <v>7</v>
      </c>
      <c r="M95" s="7" t="n"/>
      <c r="N95" s="8" t="n">
        <v>11.7</v>
      </c>
      <c r="O95" s="5" t="n">
        <v>0</v>
      </c>
      <c r="P95" s="5" t="n">
        <v>0</v>
      </c>
      <c r="Q95" s="5" t="n">
        <v>65</v>
      </c>
      <c r="R95" s="9" t="inlineStr">
        <is>
          <t>TRANSFERIR</t>
        </is>
      </c>
      <c r="S95" s="5" t="n">
        <v>0</v>
      </c>
      <c r="T95" s="5" t="n">
        <v>-1</v>
      </c>
      <c r="U95" s="5" t="inlineStr">
        <is>
          <t>GASTON VECCHIO</t>
        </is>
      </c>
      <c r="V95" s="94">
        <f>_xlfn.XMATCH(Tabla4[[#This Row],[EAN CORREGIDO]],'Calcular necesidad'!L:L)</f>
        <v/>
      </c>
      <c r="W95" s="94">
        <f>TRIM(Tabla4[[#This Row],[CodInternoArti]])</f>
        <v/>
      </c>
    </row>
    <row r="96" hidden="1">
      <c r="A96" s="5" t="n">
        <v>2006219</v>
      </c>
      <c r="B96" s="35" t="n">
        <v>7790321020533</v>
      </c>
      <c r="C96" s="7" t="inlineStr">
        <is>
          <t xml:space="preserve">SERVILLETA BLANCA 33X33X1000U NUTRIRE     </t>
        </is>
      </c>
      <c r="D96" s="7" t="inlineStr">
        <is>
          <t>SERVILLETAS DESC</t>
        </is>
      </c>
      <c r="E96" s="7" t="inlineStr">
        <is>
          <t>SERVILLETAS DESC C/LOGO</t>
        </is>
      </c>
      <c r="F96" s="7" t="inlineStr">
        <is>
          <t>SERVILLETA DESC C/LOGO</t>
        </is>
      </c>
      <c r="G96" s="7" t="inlineStr">
        <is>
          <t>Ciudadela</t>
        </is>
      </c>
      <c r="H96" s="6" t="n">
        <v>12</v>
      </c>
      <c r="I96" s="6" t="n">
        <v>10</v>
      </c>
      <c r="J96" s="6" t="n">
        <v>7</v>
      </c>
      <c r="K96" s="6" t="n">
        <v>12</v>
      </c>
      <c r="L96" s="6" t="n">
        <v>9</v>
      </c>
      <c r="M96" s="7" t="n">
        <v>8</v>
      </c>
      <c r="N96" s="8" t="n">
        <v>75.40000000000001</v>
      </c>
      <c r="O96" s="5" t="n">
        <v>0</v>
      </c>
      <c r="P96" s="5" t="n">
        <v>0</v>
      </c>
      <c r="Q96" s="5" t="n">
        <v>0</v>
      </c>
      <c r="R96" s="9" t="inlineStr">
        <is>
          <t>COMPRAR</t>
        </is>
      </c>
      <c r="S96" s="5" t="n">
        <v>75.40000000000001</v>
      </c>
      <c r="T96" s="5" t="n">
        <v>-22</v>
      </c>
      <c r="U96" s="5" t="inlineStr">
        <is>
          <t>GASTON VECCHIO</t>
        </is>
      </c>
      <c r="V96" s="94">
        <f>_xlfn.XMATCH(Tabla4[[#This Row],[EAN CORREGIDO]],'Calcular necesidad'!L:L)</f>
        <v/>
      </c>
      <c r="W96" s="94">
        <f>TRIM(Tabla4[[#This Row],[CodInternoArti]])</f>
        <v/>
      </c>
    </row>
    <row r="97" hidden="1">
      <c r="A97" s="5" t="n">
        <v>2006692</v>
      </c>
      <c r="B97" s="35" t="n">
        <v>7790321020992</v>
      </c>
      <c r="C97" s="7" t="inlineStr">
        <is>
          <t>BOLSA CUBIERTOS 10x 25 x100 U</t>
        </is>
      </c>
      <c r="D97" s="7" t="inlineStr">
        <is>
          <t>BOLSAS</t>
        </is>
      </c>
      <c r="E97" s="7" t="inlineStr">
        <is>
          <t>BOLSAS CUBIERTERAS</t>
        </is>
      </c>
      <c r="F97" s="7" t="inlineStr">
        <is>
          <t>BOLSAS CUBIERTOS</t>
        </is>
      </c>
      <c r="G97" s="7" t="inlineStr">
        <is>
          <t>CD Moreno 3</t>
        </is>
      </c>
      <c r="H97" s="6" t="n"/>
      <c r="I97" s="6" t="n"/>
      <c r="J97" s="6" t="n"/>
      <c r="K97" s="6" t="n"/>
      <c r="L97" s="6" t="n"/>
      <c r="M97" s="7" t="n"/>
      <c r="N97" s="8" t="n">
        <v>0</v>
      </c>
      <c r="O97" s="5" t="n">
        <v>0</v>
      </c>
      <c r="P97" s="5" t="n">
        <v>0</v>
      </c>
      <c r="Q97" s="5" t="n">
        <v>1000</v>
      </c>
      <c r="R97" s="9" t="inlineStr">
        <is>
          <t>OK</t>
        </is>
      </c>
      <c r="S97" s="5" t="n">
        <v>0</v>
      </c>
      <c r="T97" s="5" t="n">
        <v>0</v>
      </c>
      <c r="U97" s="5" t="inlineStr">
        <is>
          <t>GASTON VECCHIO</t>
        </is>
      </c>
      <c r="V97" s="94">
        <f>_xlfn.XMATCH(Tabla4[[#This Row],[EAN CORREGIDO]],'Calcular necesidad'!L:L)</f>
        <v/>
      </c>
      <c r="W97" s="94">
        <f>TRIM(Tabla4[[#This Row],[CodInternoArti]])</f>
        <v/>
      </c>
    </row>
    <row r="98" hidden="1">
      <c r="A98" s="5" t="n">
        <v>2006269</v>
      </c>
      <c r="B98" s="35" t="n">
        <v>7797749103867</v>
      </c>
      <c r="C98" s="7" t="inlineStr">
        <is>
          <t>GUANTE LATEX XL X 100U MEDIGLOVE</t>
        </is>
      </c>
      <c r="D98" s="7" t="inlineStr">
        <is>
          <t>VARIOS</t>
        </is>
      </c>
      <c r="E98" s="7" t="inlineStr">
        <is>
          <t>DESCARTABLES</t>
        </is>
      </c>
      <c r="F98" s="7" t="inlineStr">
        <is>
          <t>GUANTE LATEX</t>
        </is>
      </c>
      <c r="G98" s="7" t="inlineStr">
        <is>
          <t>Ciudadela</t>
        </is>
      </c>
      <c r="H98" s="6" t="n">
        <v>19</v>
      </c>
      <c r="I98" s="6" t="n">
        <v>27</v>
      </c>
      <c r="J98" s="6" t="n">
        <v>15</v>
      </c>
      <c r="K98" s="6" t="n">
        <v>26</v>
      </c>
      <c r="L98" s="6" t="n">
        <v>19</v>
      </c>
      <c r="M98" s="7" t="n">
        <v>27</v>
      </c>
      <c r="N98" s="8" t="n">
        <v>172.9</v>
      </c>
      <c r="O98" s="5" t="n">
        <v>0</v>
      </c>
      <c r="P98" s="5" t="n">
        <v>0</v>
      </c>
      <c r="Q98" s="5" t="n">
        <v>0</v>
      </c>
      <c r="R98" s="9" t="inlineStr">
        <is>
          <t>COMPRAR</t>
        </is>
      </c>
      <c r="S98" s="5" t="n">
        <v>172.9</v>
      </c>
      <c r="T98" s="5" t="n">
        <v>-46</v>
      </c>
      <c r="U98" s="5" t="inlineStr">
        <is>
          <t>GASTON VECCHIO</t>
        </is>
      </c>
      <c r="V98" s="94">
        <f>_xlfn.XMATCH(Tabla4[[#This Row],[EAN CORREGIDO]],'Calcular necesidad'!L:L)</f>
        <v/>
      </c>
      <c r="W98" s="94">
        <f>TRIM(Tabla4[[#This Row],[CodInternoArti]])</f>
        <v/>
      </c>
    </row>
    <row r="99" hidden="1">
      <c r="A99" s="5" t="inlineStr">
        <is>
          <t>NO SE ENCUENTRA EAN</t>
        </is>
      </c>
      <c r="B99" s="35" t="n">
        <v>779032011155</v>
      </c>
      <c r="C99" s="7" t="inlineStr">
        <is>
          <t>ENS CRISTAL TAPA x100U PLASTIV</t>
        </is>
      </c>
      <c r="D99" s="7" t="inlineStr">
        <is>
          <t>TAPAS BAND DESC</t>
        </is>
      </c>
      <c r="E99" s="7" t="inlineStr">
        <is>
          <t>TAPAS PLASTICAS</t>
        </is>
      </c>
      <c r="F99" s="7" t="inlineStr">
        <is>
          <t>TAPA ENSALADERA</t>
        </is>
      </c>
      <c r="G99" s="7" t="inlineStr">
        <is>
          <t>Ciudadela</t>
        </is>
      </c>
      <c r="H99" s="6" t="n"/>
      <c r="I99" s="6" t="n">
        <v>100</v>
      </c>
      <c r="J99" s="6" t="n"/>
      <c r="K99" s="6" t="n">
        <v>100</v>
      </c>
      <c r="L99" s="6" t="n">
        <v>100</v>
      </c>
      <c r="M99" s="7" t="n"/>
      <c r="N99" s="8" t="n">
        <v>390</v>
      </c>
      <c r="O99" s="5" t="n">
        <v>0</v>
      </c>
      <c r="P99" s="5" t="n">
        <v>0</v>
      </c>
      <c r="Q99" s="5" t="n">
        <v>0</v>
      </c>
      <c r="R99" s="9" t="inlineStr">
        <is>
          <t>COMPRAR</t>
        </is>
      </c>
      <c r="S99" s="5" t="n">
        <v>390</v>
      </c>
      <c r="T99" s="5" t="n">
        <v>-100</v>
      </c>
      <c r="U99" s="5" t="inlineStr">
        <is>
          <t>GASTON VECCHIO</t>
        </is>
      </c>
      <c r="V99" s="94">
        <f>_xlfn.XMATCH(Tabla4[[#This Row],[EAN CORREGIDO]],'Calcular necesidad'!L:L)</f>
        <v/>
      </c>
      <c r="W99" s="94">
        <f>TRIM(Tabla4[[#This Row],[CodInternoArti]])</f>
        <v/>
      </c>
    </row>
    <row r="100" hidden="1">
      <c r="A100" s="5" t="n">
        <v>2006653</v>
      </c>
      <c r="B100" s="35" t="n">
        <v>7790321020287</v>
      </c>
      <c r="C100" s="7" t="inlineStr">
        <is>
          <t>TAPA 105 RECT x 100U</t>
        </is>
      </c>
      <c r="D100" s="7" t="inlineStr">
        <is>
          <t>TAPAS BAND DESC</t>
        </is>
      </c>
      <c r="E100" s="7" t="inlineStr">
        <is>
          <t>TAPAS PLASTICAS</t>
        </is>
      </c>
      <c r="F100" s="7" t="inlineStr">
        <is>
          <t>TAPA 105</t>
        </is>
      </c>
      <c r="G100" s="7" t="inlineStr">
        <is>
          <t>Ciudadela</t>
        </is>
      </c>
      <c r="H100" s="6" t="n"/>
      <c r="I100" s="6" t="n">
        <v>11</v>
      </c>
      <c r="J100" s="6" t="n"/>
      <c r="K100" s="6" t="n">
        <v>3</v>
      </c>
      <c r="L100" s="6" t="n"/>
      <c r="M100" s="7" t="n">
        <v>8</v>
      </c>
      <c r="N100" s="8" t="n">
        <v>28.6</v>
      </c>
      <c r="O100" s="5" t="n">
        <v>0</v>
      </c>
      <c r="P100" s="5" t="n">
        <v>0</v>
      </c>
      <c r="Q100" s="5" t="n">
        <v>0</v>
      </c>
      <c r="R100" s="9" t="inlineStr">
        <is>
          <t>COMPRAR</t>
        </is>
      </c>
      <c r="S100" s="5" t="n">
        <v>28.6</v>
      </c>
      <c r="T100" s="5" t="n">
        <v>-11</v>
      </c>
      <c r="U100" s="5" t="inlineStr">
        <is>
          <t>GASTON VECCHIO</t>
        </is>
      </c>
      <c r="V100" s="94">
        <f>_xlfn.XMATCH(Tabla4[[#This Row],[EAN CORREGIDO]],'Calcular necesidad'!L:L)</f>
        <v/>
      </c>
      <c r="W100" s="94">
        <f>TRIM(Tabla4[[#This Row],[CodInternoArti]])</f>
        <v/>
      </c>
    </row>
    <row r="101" hidden="1">
      <c r="A101" s="5" t="n">
        <v>2006392</v>
      </c>
      <c r="B101" s="35" t="n">
        <v>7790321020302</v>
      </c>
      <c r="C101" s="7" t="inlineStr">
        <is>
          <t>TAPA 105 X100U CELPAK</t>
        </is>
      </c>
      <c r="D101" s="7" t="inlineStr">
        <is>
          <t>TAPAS BAND DESC</t>
        </is>
      </c>
      <c r="E101" s="7" t="inlineStr">
        <is>
          <t>TAPAS PLASTICAS</t>
        </is>
      </c>
      <c r="F101" s="7" t="inlineStr">
        <is>
          <t>TAPA 105</t>
        </is>
      </c>
      <c r="G101" s="7" t="inlineStr">
        <is>
          <t>Ciudadela</t>
        </is>
      </c>
      <c r="H101" s="6" t="n">
        <v>3</v>
      </c>
      <c r="I101" s="6" t="n"/>
      <c r="J101" s="6" t="n">
        <v>3</v>
      </c>
      <c r="K101" s="6" t="n"/>
      <c r="L101" s="6" t="n">
        <v>3</v>
      </c>
      <c r="M101" s="7" t="n"/>
      <c r="N101" s="8" t="n">
        <v>11.7</v>
      </c>
      <c r="O101" s="5" t="n">
        <v>0</v>
      </c>
      <c r="P101" s="5" t="n">
        <v>0</v>
      </c>
      <c r="Q101" s="5" t="n">
        <v>72</v>
      </c>
      <c r="R101" s="9" t="inlineStr">
        <is>
          <t>TRANSFERIR</t>
        </is>
      </c>
      <c r="S101" s="5" t="n">
        <v>0</v>
      </c>
      <c r="T101" s="5" t="n">
        <v>-3</v>
      </c>
      <c r="U101" s="5" t="inlineStr">
        <is>
          <t>GASTON VECCHIO</t>
        </is>
      </c>
      <c r="V101" s="94">
        <f>_xlfn.XMATCH(Tabla4[[#This Row],[EAN CORREGIDO]],'Calcular necesidad'!L:L)</f>
        <v/>
      </c>
      <c r="W101" s="94">
        <f>TRIM(Tabla4[[#This Row],[CodInternoArti]])</f>
        <v/>
      </c>
    </row>
    <row r="102" hidden="1">
      <c r="A102" s="5" t="n">
        <v>2006686</v>
      </c>
      <c r="B102" s="35" t="n">
        <v>7790321020348</v>
      </c>
      <c r="C102" s="7" t="inlineStr">
        <is>
          <t>TAPA 103 X50U COTNYL</t>
        </is>
      </c>
      <c r="D102" s="7" t="inlineStr">
        <is>
          <t>TAPAS BAND DESC</t>
        </is>
      </c>
      <c r="E102" s="7" t="inlineStr">
        <is>
          <t>TAPAS PLASTICAS</t>
        </is>
      </c>
      <c r="F102" s="7" t="inlineStr">
        <is>
          <t>TAPA 103</t>
        </is>
      </c>
      <c r="G102" s="7" t="inlineStr">
        <is>
          <t>Ciudadela</t>
        </is>
      </c>
      <c r="H102" s="6" t="n">
        <v>6</v>
      </c>
      <c r="I102" s="6" t="n">
        <v>16</v>
      </c>
      <c r="J102" s="6" t="n">
        <v>6</v>
      </c>
      <c r="K102" s="6" t="n">
        <v>16</v>
      </c>
      <c r="L102" s="6" t="n">
        <v>16</v>
      </c>
      <c r="M102" s="7" t="n">
        <v>6</v>
      </c>
      <c r="N102" s="8" t="n">
        <v>85.8</v>
      </c>
      <c r="O102" s="5" t="n">
        <v>0</v>
      </c>
      <c r="P102" s="5" t="n">
        <v>0</v>
      </c>
      <c r="Q102" s="5" t="n">
        <v>0</v>
      </c>
      <c r="R102" s="9" t="inlineStr">
        <is>
          <t>COMPRAR</t>
        </is>
      </c>
      <c r="S102" s="5" t="n">
        <v>85.8</v>
      </c>
      <c r="T102" s="5" t="n">
        <v>-22</v>
      </c>
      <c r="U102" s="5" t="inlineStr">
        <is>
          <t>GASTON VECCHIO</t>
        </is>
      </c>
      <c r="V102" s="94">
        <f>_xlfn.XMATCH(Tabla4[[#This Row],[EAN CORREGIDO]],'Calcular necesidad'!L:L)</f>
        <v/>
      </c>
      <c r="W102" s="94">
        <f>TRIM(Tabla4[[#This Row],[CodInternoArti]])</f>
        <v/>
      </c>
    </row>
    <row r="103" hidden="1">
      <c r="A103" s="5" t="n">
        <v>2006219</v>
      </c>
      <c r="B103" s="35" t="n">
        <v>7790321020533</v>
      </c>
      <c r="C103" s="7" t="inlineStr">
        <is>
          <t xml:space="preserve">SERVILLETA BLANCA 33X33X1000U NUTRIRE     </t>
        </is>
      </c>
      <c r="D103" s="7" t="inlineStr">
        <is>
          <t>SERVILLETAS DESC</t>
        </is>
      </c>
      <c r="E103" s="7" t="inlineStr">
        <is>
          <t>SERVILLETAS DESC C/LOGO</t>
        </is>
      </c>
      <c r="F103" s="7" t="inlineStr">
        <is>
          <t>SERVILLETA DESC C/LOGO</t>
        </is>
      </c>
      <c r="G103" s="7" t="inlineStr">
        <is>
          <t>CD Moreno 3</t>
        </is>
      </c>
      <c r="H103" s="6" t="n">
        <v>6</v>
      </c>
      <c r="I103" s="6" t="n"/>
      <c r="J103" s="6" t="n"/>
      <c r="K103" s="6" t="n"/>
      <c r="L103" s="6" t="n"/>
      <c r="M103" s="7" t="n"/>
      <c r="N103" s="8" t="n">
        <v>7.800000000000001</v>
      </c>
      <c r="O103" s="5" t="n">
        <v>0</v>
      </c>
      <c r="P103" s="5" t="n">
        <v>0</v>
      </c>
      <c r="Q103" s="5" t="n">
        <v>0</v>
      </c>
      <c r="R103" s="9" t="inlineStr">
        <is>
          <t>COMPRAR</t>
        </is>
      </c>
      <c r="S103" s="5" t="n">
        <v>7.800000000000001</v>
      </c>
      <c r="T103" s="5" t="n">
        <v>-6</v>
      </c>
      <c r="U103" s="5" t="inlineStr">
        <is>
          <t>GASTON VECCHIO</t>
        </is>
      </c>
      <c r="V103" s="94">
        <f>_xlfn.XMATCH(Tabla4[[#This Row],[EAN CORREGIDO]],'Calcular necesidad'!L:L)</f>
        <v/>
      </c>
      <c r="W103" s="94">
        <f>TRIM(Tabla4[[#This Row],[CodInternoArti]])</f>
        <v/>
      </c>
    </row>
    <row r="104" hidden="1">
      <c r="A104" s="5" t="n">
        <v>2006483</v>
      </c>
      <c r="B104" s="35" t="n">
        <v>7790321020529</v>
      </c>
      <c r="C104" s="7" t="inlineStr">
        <is>
          <t>SERVILLE BCA 33X33X1000U BLUE</t>
        </is>
      </c>
      <c r="D104" s="7" t="inlineStr">
        <is>
          <t>SERVILLETAS DESC</t>
        </is>
      </c>
      <c r="E104" s="7" t="inlineStr">
        <is>
          <t>SERVILLETAS DESC C/LOGO</t>
        </is>
      </c>
      <c r="F104" s="7" t="inlineStr">
        <is>
          <t>SERVILLETA DESC C/LOGO</t>
        </is>
      </c>
      <c r="G104" s="7" t="inlineStr">
        <is>
          <t>Ciudadela</t>
        </is>
      </c>
      <c r="H104" s="6" t="n">
        <v>4</v>
      </c>
      <c r="I104" s="6" t="n">
        <v>4</v>
      </c>
      <c r="J104" s="6" t="n">
        <v>2</v>
      </c>
      <c r="K104" s="6" t="n">
        <v>3</v>
      </c>
      <c r="L104" s="6" t="n">
        <v>7</v>
      </c>
      <c r="M104" s="7" t="n">
        <v>1</v>
      </c>
      <c r="N104" s="8" t="n">
        <v>27.3</v>
      </c>
      <c r="O104" s="5" t="n">
        <v>0</v>
      </c>
      <c r="P104" s="5" t="n">
        <v>0</v>
      </c>
      <c r="Q104" s="5" t="n">
        <v>0</v>
      </c>
      <c r="R104" s="9" t="inlineStr">
        <is>
          <t>COMPRAR</t>
        </is>
      </c>
      <c r="S104" s="5" t="n">
        <v>27.3</v>
      </c>
      <c r="T104" s="5" t="n">
        <v>-8</v>
      </c>
      <c r="U104" s="5" t="inlineStr">
        <is>
          <t>GASTON VECCHIO</t>
        </is>
      </c>
      <c r="V104" s="94">
        <f>_xlfn.XMATCH(Tabla4[[#This Row],[EAN CORREGIDO]],'Calcular necesidad'!L:L)</f>
        <v/>
      </c>
      <c r="W104" s="94">
        <f>TRIM(Tabla4[[#This Row],[CodInternoArti]])</f>
        <v/>
      </c>
    </row>
    <row r="105" hidden="1">
      <c r="A105" s="5" t="n">
        <v>2006646</v>
      </c>
      <c r="B105" s="35" t="n">
        <v>7790321020283</v>
      </c>
      <c r="C105" s="7" t="inlineStr">
        <is>
          <t>BANDEJA PLASTICA 101 X100U REC</t>
        </is>
      </c>
      <c r="D105" s="7" t="inlineStr">
        <is>
          <t>BANDEJAS DESC</t>
        </is>
      </c>
      <c r="E105" s="7" t="inlineStr">
        <is>
          <t>BANDEJAS PLASTICAS</t>
        </is>
      </c>
      <c r="F105" s="7" t="inlineStr">
        <is>
          <t>BAND 101</t>
        </is>
      </c>
      <c r="G105" s="7" t="inlineStr">
        <is>
          <t>CD Moreno 3</t>
        </is>
      </c>
      <c r="H105" s="6" t="n"/>
      <c r="I105" s="6" t="n"/>
      <c r="J105" s="6" t="n"/>
      <c r="K105" s="6" t="n"/>
      <c r="L105" s="6" t="n"/>
      <c r="M105" s="7" t="n"/>
      <c r="N105" s="8" t="n">
        <v>0</v>
      </c>
      <c r="O105" s="5" t="n">
        <v>0</v>
      </c>
      <c r="P105" s="5" t="n">
        <v>0</v>
      </c>
      <c r="Q105" s="5" t="n">
        <v>2296</v>
      </c>
      <c r="R105" s="9" t="inlineStr">
        <is>
          <t>OK</t>
        </is>
      </c>
      <c r="S105" s="5" t="n">
        <v>0</v>
      </c>
      <c r="T105" s="5" t="n">
        <v>0</v>
      </c>
      <c r="U105" s="5" t="inlineStr">
        <is>
          <t>GASTON VECCHIO</t>
        </is>
      </c>
      <c r="V105" s="94">
        <f>_xlfn.XMATCH(Tabla4[[#This Row],[EAN CORREGIDO]],'Calcular necesidad'!L:L)</f>
        <v/>
      </c>
      <c r="W105" s="94">
        <f>TRIM(Tabla4[[#This Row],[CodInternoArti]])</f>
        <v/>
      </c>
    </row>
    <row r="106" hidden="1">
      <c r="A106" s="5" t="n">
        <v>2006152</v>
      </c>
      <c r="B106" s="35" t="n">
        <v>7793253004445</v>
      </c>
      <c r="C106" s="7" t="inlineStr">
        <is>
          <t>TAPA VASO TERMICO X300CC X1000U</t>
        </is>
      </c>
      <c r="D106" s="7" t="inlineStr">
        <is>
          <t>TAPAS VASOS DESC</t>
        </is>
      </c>
      <c r="E106" s="7" t="inlineStr">
        <is>
          <t>TAPAS PLASTICAS</t>
        </is>
      </c>
      <c r="F106" s="7" t="inlineStr">
        <is>
          <t>TAPA VASO 300CC</t>
        </is>
      </c>
      <c r="G106" s="7" t="inlineStr">
        <is>
          <t>CD Moreno 3</t>
        </is>
      </c>
      <c r="H106" s="6" t="n">
        <v>5</v>
      </c>
      <c r="I106" s="6" t="n"/>
      <c r="J106" s="6" t="n"/>
      <c r="K106" s="6" t="n"/>
      <c r="L106" s="6" t="n"/>
      <c r="M106" s="7" t="n"/>
      <c r="N106" s="8" t="n">
        <v>6.5</v>
      </c>
      <c r="O106" s="5" t="n">
        <v>0</v>
      </c>
      <c r="P106" s="5" t="n">
        <v>0</v>
      </c>
      <c r="Q106" s="5" t="n">
        <v>0</v>
      </c>
      <c r="R106" s="9" t="inlineStr">
        <is>
          <t>COMPRAR</t>
        </is>
      </c>
      <c r="S106" s="5" t="n">
        <v>6.5</v>
      </c>
      <c r="T106" s="5" t="n">
        <v>-5</v>
      </c>
      <c r="U106" s="5" t="inlineStr">
        <is>
          <t>GASTON VECCHIO</t>
        </is>
      </c>
      <c r="V106" s="94">
        <f>_xlfn.XMATCH(Tabla4[[#This Row],[EAN CORREGIDO]],'Calcular necesidad'!L:L)</f>
        <v/>
      </c>
      <c r="W106" s="94">
        <f>TRIM(Tabla4[[#This Row],[CodInternoArti]])</f>
        <v/>
      </c>
    </row>
    <row r="107" hidden="1">
      <c r="A107" s="5" t="n">
        <v>2006207</v>
      </c>
      <c r="B107" s="35" t="n">
        <v>7790321020393</v>
      </c>
      <c r="C107" s="7" t="inlineStr">
        <is>
          <t>VASO CRISTAL 325CCX800U</t>
        </is>
      </c>
      <c r="D107" s="7" t="inlineStr">
        <is>
          <t>VASOS</t>
        </is>
      </c>
      <c r="E107" s="7" t="inlineStr">
        <is>
          <t>VASOS PLASTICOS</t>
        </is>
      </c>
      <c r="F107" s="7" t="inlineStr">
        <is>
          <t>VASO PLAST CRIST 325CC</t>
        </is>
      </c>
      <c r="G107" s="7" t="inlineStr">
        <is>
          <t>Ciudadela</t>
        </is>
      </c>
      <c r="H107" s="6" t="n"/>
      <c r="I107" s="6" t="n"/>
      <c r="J107" s="6" t="n">
        <v>3</v>
      </c>
      <c r="K107" s="6" t="n">
        <v>3</v>
      </c>
      <c r="L107" s="6" t="n"/>
      <c r="M107" s="7" t="n"/>
      <c r="N107" s="8" t="n">
        <v>7.800000000000001</v>
      </c>
      <c r="O107" s="5" t="n">
        <v>18</v>
      </c>
      <c r="P107" s="5" t="n">
        <v>0</v>
      </c>
      <c r="Q107" s="5" t="n">
        <v>0</v>
      </c>
      <c r="R107" s="9" t="inlineStr">
        <is>
          <t>OK</t>
        </is>
      </c>
      <c r="S107" s="5" t="n">
        <v>0</v>
      </c>
      <c r="T107" s="5" t="n">
        <v>18</v>
      </c>
      <c r="U107" s="5" t="inlineStr">
        <is>
          <t>GASTON VECCHIO</t>
        </is>
      </c>
      <c r="V107" s="94">
        <f>_xlfn.XMATCH(Tabla4[[#This Row],[EAN CORREGIDO]],'Calcular necesidad'!L:L)</f>
        <v/>
      </c>
      <c r="W107" s="94">
        <f>TRIM(Tabla4[[#This Row],[CodInternoArti]])</f>
        <v/>
      </c>
    </row>
    <row r="108" hidden="1">
      <c r="A108" s="5" t="n">
        <v>2006179</v>
      </c>
      <c r="B108" s="35" t="n">
        <v>7790321020329</v>
      </c>
      <c r="C108" s="7" t="inlineStr">
        <is>
          <t>TAPA VASO TERMICO 240CCX50</t>
        </is>
      </c>
      <c r="D108" s="7" t="inlineStr">
        <is>
          <t>TAPAS VASOS DESC</t>
        </is>
      </c>
      <c r="E108" s="7" t="inlineStr">
        <is>
          <t>TAPAS PLASTICAS</t>
        </is>
      </c>
      <c r="F108" s="7" t="inlineStr">
        <is>
          <t>TAPA VASO TERMICO 240CC</t>
        </is>
      </c>
      <c r="G108" s="7" t="inlineStr">
        <is>
          <t>Ciudadela</t>
        </is>
      </c>
      <c r="H108" s="6" t="n">
        <v>45</v>
      </c>
      <c r="I108" s="6" t="n">
        <v>80</v>
      </c>
      <c r="J108" s="6" t="n">
        <v>60</v>
      </c>
      <c r="K108" s="6" t="n">
        <v>70</v>
      </c>
      <c r="L108" s="6" t="n">
        <v>80</v>
      </c>
      <c r="M108" s="7" t="n">
        <v>60</v>
      </c>
      <c r="N108" s="8" t="n">
        <v>513.5</v>
      </c>
      <c r="O108" s="5" t="n">
        <v>19</v>
      </c>
      <c r="P108" s="5" t="n">
        <v>0</v>
      </c>
      <c r="Q108" s="5" t="n">
        <v>0</v>
      </c>
      <c r="R108" s="9" t="inlineStr">
        <is>
          <t>COMPRAR</t>
        </is>
      </c>
      <c r="S108" s="5" t="n">
        <v>494.5</v>
      </c>
      <c r="T108" s="5" t="n">
        <v>-106</v>
      </c>
      <c r="U108" s="5" t="inlineStr">
        <is>
          <t>GASTON VECCHIO</t>
        </is>
      </c>
      <c r="V108" s="94">
        <f>_xlfn.XMATCH(Tabla4[[#This Row],[EAN CORREGIDO]],'Calcular necesidad'!L:L)</f>
        <v/>
      </c>
      <c r="W108" s="94">
        <f>TRIM(Tabla4[[#This Row],[CodInternoArti]])</f>
        <v/>
      </c>
    </row>
    <row r="109" hidden="1">
      <c r="A109" s="5" t="n">
        <v>2006473</v>
      </c>
      <c r="B109" s="35" t="n">
        <v>7790321020389</v>
      </c>
      <c r="C109" s="7" t="inlineStr">
        <is>
          <t>TAPA DOMO CUCHARA X800U</t>
        </is>
      </c>
      <c r="D109" s="7" t="inlineStr">
        <is>
          <t>TAPAS VASOS DESC</t>
        </is>
      </c>
      <c r="E109" s="7" t="inlineStr">
        <is>
          <t>TAPAS PLASTICAS</t>
        </is>
      </c>
      <c r="F109" s="7" t="inlineStr">
        <is>
          <t>TAPA VASO</t>
        </is>
      </c>
      <c r="G109" s="7" t="inlineStr">
        <is>
          <t>Ciudadela</t>
        </is>
      </c>
      <c r="H109" s="6" t="n"/>
      <c r="I109" s="6" t="n"/>
      <c r="J109" s="6" t="n"/>
      <c r="K109" s="6" t="n">
        <v>1</v>
      </c>
      <c r="L109" s="6" t="n"/>
      <c r="M109" s="7" t="n"/>
      <c r="N109" s="8" t="n">
        <v>1.3</v>
      </c>
      <c r="O109" s="5" t="n">
        <v>30</v>
      </c>
      <c r="P109" s="5" t="n">
        <v>0</v>
      </c>
      <c r="Q109" s="5" t="n">
        <v>32</v>
      </c>
      <c r="R109" s="9" t="inlineStr">
        <is>
          <t>OK</t>
        </is>
      </c>
      <c r="S109" s="5" t="n">
        <v>0</v>
      </c>
      <c r="T109" s="5" t="n">
        <v>30</v>
      </c>
      <c r="U109" s="5" t="inlineStr">
        <is>
          <t>GASTON VECCHIO</t>
        </is>
      </c>
      <c r="V109" s="94">
        <f>_xlfn.XMATCH(Tabla4[[#This Row],[EAN CORREGIDO]],'Calcular necesidad'!L:L)</f>
        <v/>
      </c>
      <c r="W109" s="94">
        <f>TRIM(Tabla4[[#This Row],[CodInternoArti]])</f>
        <v/>
      </c>
    </row>
    <row r="110" hidden="1">
      <c r="A110" s="5" t="n">
        <v>2006460</v>
      </c>
      <c r="B110" s="35" t="n">
        <v>7798188651182</v>
      </c>
      <c r="C110" s="7" t="inlineStr">
        <is>
          <t>PAPEL HAMBURGUESA BLANCO X5KG</t>
        </is>
      </c>
      <c r="D110" s="7" t="inlineStr">
        <is>
          <t>PAPEL</t>
        </is>
      </c>
      <c r="E110" s="7" t="inlineStr">
        <is>
          <t xml:space="preserve">PAPEL PARAFINADO </t>
        </is>
      </c>
      <c r="F110" s="7" t="inlineStr">
        <is>
          <t xml:space="preserve">PAPEL PARAFINADO </t>
        </is>
      </c>
      <c r="G110" s="7" t="inlineStr">
        <is>
          <t>Ciudadela</t>
        </is>
      </c>
      <c r="H110" s="6" t="n">
        <v>1</v>
      </c>
      <c r="I110" s="6" t="n"/>
      <c r="J110" s="6" t="n"/>
      <c r="K110" s="6" t="n"/>
      <c r="L110" s="6" t="n">
        <v>1</v>
      </c>
      <c r="M110" s="7" t="n"/>
      <c r="N110" s="8" t="n">
        <v>2.6</v>
      </c>
      <c r="O110" s="5" t="n">
        <v>0</v>
      </c>
      <c r="P110" s="5" t="n">
        <v>0</v>
      </c>
      <c r="Q110" s="5" t="n">
        <v>0</v>
      </c>
      <c r="R110" s="9" t="inlineStr">
        <is>
          <t>COMPRAR</t>
        </is>
      </c>
      <c r="S110" s="5" t="n">
        <v>2.6</v>
      </c>
      <c r="T110" s="5" t="n">
        <v>-1</v>
      </c>
      <c r="U110" s="5" t="inlineStr">
        <is>
          <t>GASTON VECCHIO</t>
        </is>
      </c>
      <c r="V110" s="94">
        <f>_xlfn.XMATCH(Tabla4[[#This Row],[EAN CORREGIDO]],'Calcular necesidad'!L:L)</f>
        <v/>
      </c>
      <c r="W110" s="94">
        <f>TRIM(Tabla4[[#This Row],[CodInternoArti]])</f>
        <v/>
      </c>
    </row>
    <row r="111" hidden="1">
      <c r="A111" s="5" t="n">
        <v>2006631</v>
      </c>
      <c r="B111" s="35" t="n">
        <v>7798188570219</v>
      </c>
      <c r="C111" s="7" t="inlineStr">
        <is>
          <t xml:space="preserve">GUANTE LATEX M X100U MEDIGLOVE </t>
        </is>
      </c>
      <c r="D111" s="7" t="inlineStr">
        <is>
          <t>VARIOS</t>
        </is>
      </c>
      <c r="E111" s="7" t="inlineStr">
        <is>
          <t>DESCARTABLES</t>
        </is>
      </c>
      <c r="F111" s="7" t="inlineStr">
        <is>
          <t>GUANTE LATEX</t>
        </is>
      </c>
      <c r="G111" s="7" t="inlineStr">
        <is>
          <t>Ciudadela</t>
        </is>
      </c>
      <c r="H111" s="6" t="n">
        <v>7</v>
      </c>
      <c r="I111" s="6" t="n">
        <v>6</v>
      </c>
      <c r="J111" s="6" t="n"/>
      <c r="K111" s="6" t="n">
        <v>3</v>
      </c>
      <c r="L111" s="6" t="n">
        <v>6</v>
      </c>
      <c r="M111" s="7" t="n"/>
      <c r="N111" s="8" t="n">
        <v>28.6</v>
      </c>
      <c r="O111" s="5" t="n">
        <v>0</v>
      </c>
      <c r="P111" s="5" t="n">
        <v>0</v>
      </c>
      <c r="Q111" s="5" t="n">
        <v>0</v>
      </c>
      <c r="R111" s="9" t="inlineStr">
        <is>
          <t>COMPRAR</t>
        </is>
      </c>
      <c r="S111" s="5" t="n">
        <v>28.6</v>
      </c>
      <c r="T111" s="5" t="n">
        <v>-13</v>
      </c>
      <c r="U111" s="5" t="inlineStr">
        <is>
          <t>GASTON VECCHIO</t>
        </is>
      </c>
      <c r="V111" s="94">
        <f>_xlfn.XMATCH(Tabla4[[#This Row],[EAN CORREGIDO]],'Calcular necesidad'!L:L)</f>
        <v/>
      </c>
      <c r="W111" s="94">
        <f>TRIM(Tabla4[[#This Row],[CodInternoArti]])</f>
        <v/>
      </c>
    </row>
    <row r="112" hidden="1">
      <c r="A112" s="5" t="n">
        <v>2006635</v>
      </c>
      <c r="B112" s="35" t="n">
        <v>9992017100464</v>
      </c>
      <c r="C112" s="7" t="inlineStr">
        <is>
          <t>FILM APTO TEMP 38X1000M XU RESIMAX</t>
        </is>
      </c>
      <c r="D112" s="7" t="inlineStr">
        <is>
          <t>VARIOS</t>
        </is>
      </c>
      <c r="E112" s="7" t="inlineStr">
        <is>
          <t>RESINITE</t>
        </is>
      </c>
      <c r="F112" s="7" t="inlineStr">
        <is>
          <t>RESINITE APTO TEMPERATURA</t>
        </is>
      </c>
      <c r="G112" s="7" t="inlineStr">
        <is>
          <t>CD Moreno 3</t>
        </is>
      </c>
      <c r="H112" s="6" t="n">
        <v>32</v>
      </c>
      <c r="I112" s="6" t="n"/>
      <c r="J112" s="6" t="n"/>
      <c r="K112" s="6" t="n"/>
      <c r="L112" s="6" t="n"/>
      <c r="M112" s="7" t="n"/>
      <c r="N112" s="8" t="n">
        <v>41.6</v>
      </c>
      <c r="O112" s="5" t="n">
        <v>0</v>
      </c>
      <c r="P112" s="5" t="n">
        <v>0</v>
      </c>
      <c r="Q112" s="5" t="n">
        <v>0</v>
      </c>
      <c r="R112" s="9" t="inlineStr">
        <is>
          <t>COMPRAR</t>
        </is>
      </c>
      <c r="S112" s="5" t="n">
        <v>41.6</v>
      </c>
      <c r="T112" s="5" t="n">
        <v>-32</v>
      </c>
      <c r="U112" s="5" t="inlineStr">
        <is>
          <t>GASTON VECCHIO</t>
        </is>
      </c>
      <c r="V112" s="94">
        <f>_xlfn.XMATCH(Tabla4[[#This Row],[EAN CORREGIDO]],'Calcular necesidad'!L:L)</f>
        <v/>
      </c>
      <c r="W112" s="94">
        <f>TRIM(Tabla4[[#This Row],[CodInternoArti]])</f>
        <v/>
      </c>
    </row>
    <row r="113" hidden="1">
      <c r="A113" s="5" t="inlineStr">
        <is>
          <t>NO SE ENCUENTRA EAN</t>
        </is>
      </c>
      <c r="B113" s="35" t="inlineStr">
        <is>
          <t>BAZ000712</t>
        </is>
      </c>
      <c r="C113" s="7" t="inlineStr">
        <is>
          <t>ROLLO MANGA REPO N5 25*58 X25U RESI</t>
        </is>
      </c>
      <c r="D113" s="7" t="inlineStr">
        <is>
          <t>UTENSILLOS</t>
        </is>
      </c>
      <c r="E113" s="7" t="inlineStr">
        <is>
          <t>BAZAR</t>
        </is>
      </c>
      <c r="F113" s="7" t="inlineStr">
        <is>
          <t>MANGA DESCARTABLE</t>
        </is>
      </c>
      <c r="G113" s="7" t="inlineStr">
        <is>
          <t>Ciudadela</t>
        </is>
      </c>
      <c r="H113" s="6" t="n">
        <v>2</v>
      </c>
      <c r="I113" s="6" t="n">
        <v>2</v>
      </c>
      <c r="J113" s="6" t="n"/>
      <c r="K113" s="6" t="n"/>
      <c r="L113" s="6" t="n">
        <v>2</v>
      </c>
      <c r="M113" s="7" t="n">
        <v>2</v>
      </c>
      <c r="N113" s="8" t="n">
        <v>10.4</v>
      </c>
      <c r="O113" s="5" t="n">
        <v>0</v>
      </c>
      <c r="P113" s="5" t="n">
        <v>0</v>
      </c>
      <c r="Q113" s="5" t="n">
        <v>0</v>
      </c>
      <c r="R113" s="9" t="inlineStr">
        <is>
          <t>COMPRAR</t>
        </is>
      </c>
      <c r="S113" s="5" t="n">
        <v>10.4</v>
      </c>
      <c r="T113" s="5" t="n">
        <v>-4</v>
      </c>
      <c r="U113" s="5" t="inlineStr">
        <is>
          <t>GASTON VECCHIO</t>
        </is>
      </c>
      <c r="V113" s="94">
        <f>_xlfn.XMATCH(Tabla4[[#This Row],[EAN CORREGIDO]],'Calcular necesidad'!L:L)</f>
        <v/>
      </c>
      <c r="W113" s="94">
        <f>TRIM(Tabla4[[#This Row],[CodInternoArti]])</f>
        <v/>
      </c>
    </row>
    <row r="114" hidden="1">
      <c r="A114" s="5" t="n">
        <v>2006453</v>
      </c>
      <c r="B114" s="35" t="n">
        <v>7790321020390</v>
      </c>
      <c r="C114" s="7" t="inlineStr">
        <is>
          <t>TAPA DOMO SORBETE X800U</t>
        </is>
      </c>
      <c r="D114" s="7" t="inlineStr">
        <is>
          <t>TAPAS VASOS DESC</t>
        </is>
      </c>
      <c r="E114" s="7" t="inlineStr">
        <is>
          <t>TAPAS PLASTICAS</t>
        </is>
      </c>
      <c r="F114" s="7" t="inlineStr">
        <is>
          <t>TAPA VASO</t>
        </is>
      </c>
      <c r="G114" s="7" t="inlineStr">
        <is>
          <t>Ciudadela</t>
        </is>
      </c>
      <c r="H114" s="6" t="n"/>
      <c r="I114" s="6" t="n"/>
      <c r="J114" s="6" t="n">
        <v>3</v>
      </c>
      <c r="K114" s="6" t="n">
        <v>3</v>
      </c>
      <c r="L114" s="6" t="n"/>
      <c r="M114" s="7" t="n"/>
      <c r="N114" s="8" t="n">
        <v>7.800000000000001</v>
      </c>
      <c r="O114" s="5" t="n">
        <v>0</v>
      </c>
      <c r="P114" s="5" t="n">
        <v>0</v>
      </c>
      <c r="Q114" s="5" t="n">
        <v>0</v>
      </c>
      <c r="R114" s="9" t="inlineStr">
        <is>
          <t>COMPRAR</t>
        </is>
      </c>
      <c r="S114" s="5" t="n">
        <v>7.800000000000001</v>
      </c>
      <c r="T114" s="5" t="n">
        <v>0</v>
      </c>
      <c r="U114" s="5" t="inlineStr">
        <is>
          <t>GASTON VECCHIO</t>
        </is>
      </c>
      <c r="V114" s="94">
        <f>_xlfn.XMATCH(Tabla4[[#This Row],[EAN CORREGIDO]],'Calcular necesidad'!L:L)</f>
        <v/>
      </c>
      <c r="W114" s="94">
        <f>TRIM(Tabla4[[#This Row],[CodInternoArti]])</f>
        <v/>
      </c>
    </row>
    <row r="115" hidden="1">
      <c r="A115" s="5" t="n">
        <v>2006355</v>
      </c>
      <c r="B115" s="35" t="n">
        <v>7790122000219</v>
      </c>
      <c r="C115" s="7" t="inlineStr">
        <is>
          <t xml:space="preserve">ESCARBADIENTES ENSOBRADOS X  1000U </t>
        </is>
      </c>
      <c r="D115" s="7" t="inlineStr">
        <is>
          <t>VARIOS</t>
        </is>
      </c>
      <c r="E115" s="7" t="inlineStr">
        <is>
          <t>ESCARBADIENTE</t>
        </is>
      </c>
      <c r="F115" s="7" t="inlineStr">
        <is>
          <t>ESCARBADIENTE DESCARTABLE</t>
        </is>
      </c>
      <c r="G115" s="7" t="inlineStr">
        <is>
          <t>Ciudadela</t>
        </is>
      </c>
      <c r="H115" s="6" t="n">
        <v>1</v>
      </c>
      <c r="I115" s="6" t="n"/>
      <c r="J115" s="6" t="n"/>
      <c r="K115" s="6" t="n"/>
      <c r="L115" s="6" t="n">
        <v>1</v>
      </c>
      <c r="M115" s="7" t="n"/>
      <c r="N115" s="8" t="n">
        <v>2.6</v>
      </c>
      <c r="O115" s="5" t="n">
        <v>0</v>
      </c>
      <c r="P115" s="5" t="n">
        <v>0</v>
      </c>
      <c r="Q115" s="5" t="n">
        <v>0</v>
      </c>
      <c r="R115" s="9" t="inlineStr">
        <is>
          <t>COMPRAR</t>
        </is>
      </c>
      <c r="S115" s="5" t="n">
        <v>2.6</v>
      </c>
      <c r="T115" s="5" t="n">
        <v>-1</v>
      </c>
      <c r="U115" s="5" t="inlineStr">
        <is>
          <t>GASTON VECCHIO</t>
        </is>
      </c>
      <c r="V115" s="94">
        <f>_xlfn.XMATCH(Tabla4[[#This Row],[EAN CORREGIDO]],'Calcular necesidad'!L:L)</f>
        <v/>
      </c>
      <c r="W115" s="94">
        <f>TRIM(Tabla4[[#This Row],[CodInternoArti]])</f>
        <v/>
      </c>
    </row>
    <row r="116" hidden="1">
      <c r="A116" s="5" t="n">
        <v>2006206</v>
      </c>
      <c r="B116" s="35" t="n">
        <v>7790321020388</v>
      </c>
      <c r="C116" s="7" t="inlineStr">
        <is>
          <t>VASO CRISTAL X325CCX860U</t>
        </is>
      </c>
      <c r="D116" s="7" t="inlineStr">
        <is>
          <t>VASOS</t>
        </is>
      </c>
      <c r="E116" s="7" t="inlineStr">
        <is>
          <t>VASOS PLASTICOS</t>
        </is>
      </c>
      <c r="F116" s="7" t="inlineStr">
        <is>
          <t>VASO PLAST CRIST 325CC</t>
        </is>
      </c>
      <c r="G116" s="7" t="inlineStr">
        <is>
          <t>Ciudadela</t>
        </is>
      </c>
      <c r="H116" s="6" t="n">
        <v>1</v>
      </c>
      <c r="I116" s="6" t="n"/>
      <c r="J116" s="6" t="n"/>
      <c r="K116" s="6" t="n">
        <v>1</v>
      </c>
      <c r="L116" s="6" t="n">
        <v>1</v>
      </c>
      <c r="M116" s="7" t="n"/>
      <c r="N116" s="8" t="n">
        <v>3.9</v>
      </c>
      <c r="O116" s="5" t="n">
        <v>0</v>
      </c>
      <c r="P116" s="5" t="n">
        <v>0</v>
      </c>
      <c r="Q116" s="5" t="n">
        <v>0</v>
      </c>
      <c r="R116" s="9" t="inlineStr">
        <is>
          <t>COMPRAR</t>
        </is>
      </c>
      <c r="S116" s="5" t="n">
        <v>3.9</v>
      </c>
      <c r="T116" s="5" t="n">
        <v>-1</v>
      </c>
      <c r="U116" s="5" t="inlineStr">
        <is>
          <t>GASTON VECCHIO</t>
        </is>
      </c>
      <c r="V116" s="94">
        <f>_xlfn.XMATCH(Tabla4[[#This Row],[EAN CORREGIDO]],'Calcular necesidad'!L:L)</f>
        <v/>
      </c>
      <c r="W116" s="94">
        <f>TRIM(Tabla4[[#This Row],[CodInternoArti]])</f>
        <v/>
      </c>
    </row>
    <row r="117" hidden="1">
      <c r="A117" s="5" t="n">
        <v>2006665</v>
      </c>
      <c r="B117" s="35" t="n">
        <v>17790250912825</v>
      </c>
      <c r="C117" s="7" t="inlineStr">
        <is>
          <t>SERVILLETA INTERCALADA X250U ELITE</t>
        </is>
      </c>
      <c r="D117" s="7" t="inlineStr">
        <is>
          <t>SERVILLETAS DESC</t>
        </is>
      </c>
      <c r="E117" s="7" t="inlineStr">
        <is>
          <t>SERVILLETAS DESC S/LOGO</t>
        </is>
      </c>
      <c r="F117" s="7" t="inlineStr">
        <is>
          <t>SERVILLETA INTERC S/LOGO</t>
        </is>
      </c>
      <c r="G117" s="7" t="inlineStr">
        <is>
          <t>Ciudadela</t>
        </is>
      </c>
      <c r="H117" s="6" t="n">
        <v>1</v>
      </c>
      <c r="I117" s="6" t="n"/>
      <c r="J117" s="6" t="n"/>
      <c r="K117" s="6" t="n"/>
      <c r="L117" s="6" t="n">
        <v>1</v>
      </c>
      <c r="M117" s="7" t="n"/>
      <c r="N117" s="8" t="n">
        <v>2.6</v>
      </c>
      <c r="O117" s="5" t="n">
        <v>42</v>
      </c>
      <c r="P117" s="5" t="n">
        <v>0</v>
      </c>
      <c r="Q117" s="5" t="n">
        <v>30</v>
      </c>
      <c r="R117" s="9" t="inlineStr">
        <is>
          <t>OK</t>
        </is>
      </c>
      <c r="S117" s="5" t="n">
        <v>0</v>
      </c>
      <c r="T117" s="5" t="n">
        <v>41</v>
      </c>
      <c r="U117" s="5" t="inlineStr">
        <is>
          <t>GASTON VECCHIO</t>
        </is>
      </c>
      <c r="V117" s="94">
        <f>_xlfn.XMATCH(Tabla4[[#This Row],[EAN CORREGIDO]],'Calcular necesidad'!L:L)</f>
        <v/>
      </c>
      <c r="W117" s="94">
        <f>TRIM(Tabla4[[#This Row],[CodInternoArti]])</f>
        <v/>
      </c>
    </row>
    <row r="118" hidden="1">
      <c r="A118" s="5" t="n">
        <v>2006825</v>
      </c>
      <c r="B118" s="35" t="n">
        <v>7790321020289</v>
      </c>
      <c r="C118" s="7" t="inlineStr">
        <is>
          <t>BANDEJA 101 X200U CELPAK</t>
        </is>
      </c>
      <c r="D118" s="7" t="inlineStr">
        <is>
          <t>BANDEJAS DESC</t>
        </is>
      </c>
      <c r="E118" s="7" t="inlineStr">
        <is>
          <t>BANDEJAS PLASTICAS</t>
        </is>
      </c>
      <c r="F118" s="7" t="inlineStr">
        <is>
          <t>BAND 101 NO MICROO</t>
        </is>
      </c>
      <c r="G118" s="7" t="inlineStr">
        <is>
          <t>Ciudadela</t>
        </is>
      </c>
      <c r="H118" s="6" t="n">
        <v>1</v>
      </c>
      <c r="I118" s="6" t="n">
        <v>2</v>
      </c>
      <c r="J118" s="6" t="n">
        <v>1</v>
      </c>
      <c r="K118" s="6" t="n">
        <v>2</v>
      </c>
      <c r="L118" s="6" t="n">
        <v>1</v>
      </c>
      <c r="M118" s="7" t="n">
        <v>2</v>
      </c>
      <c r="N118" s="8" t="n">
        <v>11.7</v>
      </c>
      <c r="O118" s="5" t="n">
        <v>0</v>
      </c>
      <c r="P118" s="5" t="n">
        <v>0</v>
      </c>
      <c r="Q118" s="5" t="n">
        <v>0</v>
      </c>
      <c r="R118" s="9" t="inlineStr">
        <is>
          <t>COMPRAR</t>
        </is>
      </c>
      <c r="S118" s="5" t="n">
        <v>11.7</v>
      </c>
      <c r="T118" s="5" t="n">
        <v>-3</v>
      </c>
      <c r="U118" s="5" t="inlineStr">
        <is>
          <t>GASTON VECCHIO</t>
        </is>
      </c>
      <c r="V118" s="94">
        <f>_xlfn.XMATCH(Tabla4[[#This Row],[EAN CORREGIDO]],'Calcular necesidad'!L:L)</f>
        <v/>
      </c>
      <c r="W118" s="94">
        <f>TRIM(Tabla4[[#This Row],[CodInternoArti]])</f>
        <v/>
      </c>
    </row>
    <row r="119" hidden="1">
      <c r="A119" s="5" t="n">
        <v>2006180</v>
      </c>
      <c r="B119" s="35" t="n">
        <v>7790321020408</v>
      </c>
      <c r="C119" s="7" t="inlineStr">
        <is>
          <t>VASO PLASTICO X180CCX100U</t>
        </is>
      </c>
      <c r="D119" s="7" t="inlineStr">
        <is>
          <t>VASOS</t>
        </is>
      </c>
      <c r="E119" s="7" t="inlineStr">
        <is>
          <t>VASOS PLASTICOS</t>
        </is>
      </c>
      <c r="F119" s="7" t="inlineStr">
        <is>
          <t>VASO PLASTICO</t>
        </is>
      </c>
      <c r="G119" s="7" t="inlineStr">
        <is>
          <t>Ciudadela</t>
        </is>
      </c>
      <c r="H119" s="6" t="n">
        <v>40</v>
      </c>
      <c r="I119" s="6" t="n">
        <v>71</v>
      </c>
      <c r="J119" s="6" t="n">
        <v>53</v>
      </c>
      <c r="K119" s="6" t="n">
        <v>62</v>
      </c>
      <c r="L119" s="6" t="n">
        <v>71</v>
      </c>
      <c r="M119" s="7" t="n">
        <v>53</v>
      </c>
      <c r="N119" s="8" t="n">
        <v>455</v>
      </c>
      <c r="O119" s="5" t="n">
        <v>2</v>
      </c>
      <c r="P119" s="5" t="n">
        <v>0</v>
      </c>
      <c r="Q119" s="5" t="n">
        <v>0</v>
      </c>
      <c r="R119" s="9" t="inlineStr">
        <is>
          <t>COMPRAR</t>
        </is>
      </c>
      <c r="S119" s="5" t="n">
        <v>453</v>
      </c>
      <c r="T119" s="5" t="n">
        <v>-109</v>
      </c>
      <c r="U119" s="5" t="inlineStr">
        <is>
          <t>GASTON VECCHIO</t>
        </is>
      </c>
      <c r="V119" s="94">
        <f>_xlfn.XMATCH(Tabla4[[#This Row],[EAN CORREGIDO]],'Calcular necesidad'!L:L)</f>
        <v/>
      </c>
      <c r="W119" s="94">
        <f>TRIM(Tabla4[[#This Row],[CodInternoArti]])</f>
        <v/>
      </c>
    </row>
    <row r="120" hidden="1">
      <c r="A120" s="5" t="n">
        <v>2006676</v>
      </c>
      <c r="B120" s="35" t="n">
        <v>7790321020996</v>
      </c>
      <c r="C120" s="7" t="inlineStr">
        <is>
          <t>BOLSA POLIPROPILENO 25X35X100U</t>
        </is>
      </c>
      <c r="D120" s="7" t="inlineStr">
        <is>
          <t>DESCARTABLES</t>
        </is>
      </c>
      <c r="E120" s="7" t="inlineStr">
        <is>
          <t>BOLSA PROPILENO</t>
        </is>
      </c>
      <c r="F120" s="7" t="inlineStr">
        <is>
          <t>BOLSA PROPILENO</t>
        </is>
      </c>
      <c r="G120" s="7" t="inlineStr">
        <is>
          <t>Ciudadela</t>
        </is>
      </c>
      <c r="H120" s="6" t="n">
        <v>1</v>
      </c>
      <c r="I120" s="6" t="n">
        <v>1</v>
      </c>
      <c r="J120" s="6" t="n">
        <v>1</v>
      </c>
      <c r="K120" s="6" t="n">
        <v>1</v>
      </c>
      <c r="L120" s="6" t="n">
        <v>1</v>
      </c>
      <c r="M120" s="7" t="n">
        <v>1</v>
      </c>
      <c r="N120" s="8" t="n">
        <v>7.800000000000001</v>
      </c>
      <c r="O120" s="5" t="n">
        <v>38</v>
      </c>
      <c r="P120" s="5" t="n">
        <v>0</v>
      </c>
      <c r="Q120" s="5" t="n">
        <v>60</v>
      </c>
      <c r="R120" s="9" t="inlineStr">
        <is>
          <t>OK</t>
        </is>
      </c>
      <c r="S120" s="5" t="n">
        <v>0</v>
      </c>
      <c r="T120" s="5" t="n">
        <v>36</v>
      </c>
      <c r="U120" s="5" t="inlineStr">
        <is>
          <t>GASTON VECCHIO</t>
        </is>
      </c>
      <c r="V120" s="94">
        <f>_xlfn.XMATCH(Tabla4[[#This Row],[EAN CORREGIDO]],'Calcular necesidad'!L:L)</f>
        <v/>
      </c>
      <c r="W120" s="94">
        <f>TRIM(Tabla4[[#This Row],[CodInternoArti]])</f>
        <v/>
      </c>
    </row>
    <row r="121" hidden="1">
      <c r="A121" s="5" t="n">
        <v>2006661</v>
      </c>
      <c r="B121" s="35" t="n">
        <v>7798188651181</v>
      </c>
      <c r="C121" s="7" t="inlineStr">
        <is>
          <t>PAPEL HAMBUR ALUMINIO X116U</t>
        </is>
      </c>
      <c r="D121" s="7" t="inlineStr">
        <is>
          <t>PAPEL</t>
        </is>
      </c>
      <c r="E121" s="7" t="inlineStr">
        <is>
          <t>PAPEL ALUMINIO</t>
        </is>
      </c>
      <c r="F121" s="7" t="inlineStr">
        <is>
          <t>PAPEL ALUMINIO HAMBURGUESA</t>
        </is>
      </c>
      <c r="G121" s="7" t="inlineStr">
        <is>
          <t>Ciudadela</t>
        </is>
      </c>
      <c r="H121" s="6" t="n"/>
      <c r="I121" s="6" t="n">
        <v>1</v>
      </c>
      <c r="J121" s="6" t="n"/>
      <c r="K121" s="6" t="n"/>
      <c r="L121" s="6" t="n"/>
      <c r="M121" s="7" t="n">
        <v>1</v>
      </c>
      <c r="N121" s="8" t="n">
        <v>2.6</v>
      </c>
      <c r="O121" s="5" t="n">
        <v>0</v>
      </c>
      <c r="P121" s="5" t="n">
        <v>0</v>
      </c>
      <c r="Q121" s="5" t="n">
        <v>0</v>
      </c>
      <c r="R121" s="9" t="inlineStr">
        <is>
          <t>COMPRAR</t>
        </is>
      </c>
      <c r="S121" s="5" t="n">
        <v>2.6</v>
      </c>
      <c r="T121" s="5" t="n">
        <v>-1</v>
      </c>
      <c r="U121" s="5" t="inlineStr">
        <is>
          <t>GASTON VECCHIO</t>
        </is>
      </c>
      <c r="V121" s="94">
        <f>_xlfn.XMATCH(Tabla4[[#This Row],[EAN CORREGIDO]],'Calcular necesidad'!L:L)</f>
        <v/>
      </c>
      <c r="W121" s="94">
        <f>TRIM(Tabla4[[#This Row],[CodInternoArti]])</f>
        <v/>
      </c>
    </row>
    <row r="122" hidden="1">
      <c r="A122" s="5" t="n">
        <v>2006474</v>
      </c>
      <c r="B122" s="35" t="inlineStr">
        <is>
          <t>BAZ00012</t>
        </is>
      </c>
      <c r="C122" s="7" t="inlineStr">
        <is>
          <t>TAPA VASO TERMICO 300CC X50U</t>
        </is>
      </c>
      <c r="D122" s="7" t="inlineStr">
        <is>
          <t>TAPAS VASOS DESC</t>
        </is>
      </c>
      <c r="E122" s="7" t="inlineStr">
        <is>
          <t>TAPAS PLASTICAS</t>
        </is>
      </c>
      <c r="F122" s="7" t="inlineStr">
        <is>
          <t>TAPA VASO 300CC</t>
        </is>
      </c>
      <c r="G122" s="7" t="inlineStr">
        <is>
          <t>Ciudadela</t>
        </is>
      </c>
      <c r="H122" s="6" t="n">
        <v>1</v>
      </c>
      <c r="I122" s="6" t="n"/>
      <c r="J122" s="6" t="n">
        <v>1</v>
      </c>
      <c r="K122" s="6" t="n"/>
      <c r="L122" s="6" t="n">
        <v>1</v>
      </c>
      <c r="M122" s="7" t="n"/>
      <c r="N122" s="8" t="n">
        <v>3.9</v>
      </c>
      <c r="O122" s="5" t="n">
        <v>0</v>
      </c>
      <c r="P122" s="5" t="n">
        <v>0</v>
      </c>
      <c r="Q122" s="5" t="n">
        <v>0</v>
      </c>
      <c r="R122" s="9" t="inlineStr">
        <is>
          <t>COMPRAR</t>
        </is>
      </c>
      <c r="S122" s="5" t="n">
        <v>3.9</v>
      </c>
      <c r="T122" s="5" t="n">
        <v>-1</v>
      </c>
      <c r="U122" s="5" t="inlineStr">
        <is>
          <t>GASTON VECCHIO</t>
        </is>
      </c>
      <c r="V122" s="94">
        <f>_xlfn.XMATCH(Tabla4[[#This Row],[EAN CORREGIDO]],'Calcular necesidad'!L:L)</f>
        <v/>
      </c>
      <c r="W122" s="94">
        <f>TRIM(Tabla4[[#This Row],[CodInternoArti]])</f>
        <v/>
      </c>
    </row>
    <row r="123" hidden="1">
      <c r="A123" s="5" t="n">
        <v>2006140</v>
      </c>
      <c r="B123" s="35" t="n">
        <v>7790321020147</v>
      </c>
      <c r="C123" s="7" t="inlineStr">
        <is>
          <t>BOLSA CAMISETA NEG 40X50X 60U</t>
        </is>
      </c>
      <c r="D123" s="7" t="inlineStr">
        <is>
          <t>BOLSAS</t>
        </is>
      </c>
      <c r="E123" s="7" t="inlineStr">
        <is>
          <t>BOLSAS CAMISETA</t>
        </is>
      </c>
      <c r="F123" s="7" t="inlineStr">
        <is>
          <t>BOLSAS CAMISETA NEGRAS</t>
        </is>
      </c>
      <c r="G123" s="7" t="inlineStr">
        <is>
          <t>Ciudadela</t>
        </is>
      </c>
      <c r="H123" s="6" t="n">
        <v>7</v>
      </c>
      <c r="I123" s="6" t="n">
        <v>7</v>
      </c>
      <c r="J123" s="6" t="n">
        <v>7</v>
      </c>
      <c r="K123" s="6" t="n">
        <v>7</v>
      </c>
      <c r="L123" s="6" t="n">
        <v>15</v>
      </c>
      <c r="M123" s="7" t="n">
        <v>14</v>
      </c>
      <c r="N123" s="8" t="n">
        <v>74.10000000000001</v>
      </c>
      <c r="O123" s="5" t="n">
        <v>314</v>
      </c>
      <c r="P123" s="5" t="n">
        <v>0</v>
      </c>
      <c r="Q123" s="5" t="n">
        <v>876</v>
      </c>
      <c r="R123" s="9" t="inlineStr">
        <is>
          <t>OK</t>
        </is>
      </c>
      <c r="S123" s="5" t="n">
        <v>0</v>
      </c>
      <c r="T123" s="5" t="n">
        <v>300</v>
      </c>
      <c r="U123" s="5" t="inlineStr">
        <is>
          <t>GASTON VECCHIO</t>
        </is>
      </c>
      <c r="V123" s="94">
        <f>_xlfn.XMATCH(Tabla4[[#This Row],[EAN CORREGIDO]],'Calcular necesidad'!L:L)</f>
        <v/>
      </c>
      <c r="W123" s="94">
        <f>TRIM(Tabla4[[#This Row],[CodInternoArti]])</f>
        <v/>
      </c>
    </row>
    <row r="124" hidden="1">
      <c r="A124" s="5" t="n">
        <v>2006799</v>
      </c>
      <c r="B124" s="35" t="n">
        <v>7791388988495</v>
      </c>
      <c r="C124" s="7" t="inlineStr">
        <is>
          <t xml:space="preserve">ROLLO ALUMINIO 40CM X1KG        </t>
        </is>
      </c>
      <c r="D124" s="7" t="inlineStr">
        <is>
          <t>PAPEL</t>
        </is>
      </c>
      <c r="E124" s="7" t="inlineStr">
        <is>
          <t>ROLLO INDUSTRIAL</t>
        </is>
      </c>
      <c r="F124" s="7" t="inlineStr">
        <is>
          <t>PAPEL ALUMINIO</t>
        </is>
      </c>
      <c r="G124" s="7" t="inlineStr">
        <is>
          <t>CD Moreno 3</t>
        </is>
      </c>
      <c r="H124" s="6" t="n">
        <v>4</v>
      </c>
      <c r="I124" s="6" t="n"/>
      <c r="J124" s="6" t="n"/>
      <c r="K124" s="6" t="n"/>
      <c r="L124" s="6" t="n"/>
      <c r="M124" s="7" t="n"/>
      <c r="N124" s="8" t="n">
        <v>5.2</v>
      </c>
      <c r="O124" s="5" t="n">
        <v>3</v>
      </c>
      <c r="P124" s="5" t="n">
        <v>0</v>
      </c>
      <c r="Q124" s="5" t="n">
        <v>0</v>
      </c>
      <c r="R124" s="9" t="inlineStr">
        <is>
          <t>COMPRAR</t>
        </is>
      </c>
      <c r="S124" s="5" t="n">
        <v>2.2</v>
      </c>
      <c r="T124" s="5" t="n">
        <v>-1</v>
      </c>
      <c r="U124" s="5" t="inlineStr">
        <is>
          <t>GASTON VECCHIO</t>
        </is>
      </c>
      <c r="V124" s="94">
        <f>_xlfn.XMATCH(Tabla4[[#This Row],[EAN CORREGIDO]],'Calcular necesidad'!L:L)</f>
        <v/>
      </c>
      <c r="W124" s="94">
        <f>TRIM(Tabla4[[#This Row],[CodInternoArti]])</f>
        <v/>
      </c>
    </row>
    <row r="125" hidden="1">
      <c r="A125" s="5" t="n">
        <v>2006395</v>
      </c>
      <c r="B125" s="35" t="n">
        <v>7790430132765</v>
      </c>
      <c r="C125" s="7" t="inlineStr">
        <is>
          <t>VASO PLASTICO BCO X220CC X50U</t>
        </is>
      </c>
      <c r="D125" s="7" t="inlineStr">
        <is>
          <t>VASOS</t>
        </is>
      </c>
      <c r="E125" s="7" t="inlineStr">
        <is>
          <t>VASOS PLASTICOS</t>
        </is>
      </c>
      <c r="F125" s="7" t="inlineStr">
        <is>
          <t>VASO PLASTICO</t>
        </is>
      </c>
      <c r="G125" s="7" t="inlineStr">
        <is>
          <t>Ciudadela</t>
        </is>
      </c>
      <c r="H125" s="6" t="n"/>
      <c r="I125" s="6" t="n"/>
      <c r="J125" s="6" t="n"/>
      <c r="K125" s="6" t="n"/>
      <c r="L125" s="6" t="n"/>
      <c r="M125" s="7" t="n"/>
      <c r="N125" s="8" t="n">
        <v>0</v>
      </c>
      <c r="O125" s="5" t="n">
        <v>0</v>
      </c>
      <c r="P125" s="5" t="n">
        <v>0</v>
      </c>
      <c r="Q125" s="5" t="n">
        <v>0</v>
      </c>
      <c r="R125" s="9" t="inlineStr">
        <is>
          <t>OK</t>
        </is>
      </c>
      <c r="S125" s="5" t="n">
        <v>0</v>
      </c>
      <c r="T125" s="5" t="n">
        <v>0</v>
      </c>
      <c r="U125" s="5" t="inlineStr">
        <is>
          <t>GASTON VECCHIO</t>
        </is>
      </c>
      <c r="V125" s="94">
        <f>_xlfn.XMATCH(Tabla4[[#This Row],[EAN CORREGIDO]],'Calcular necesidad'!L:L)</f>
        <v/>
      </c>
      <c r="W125" s="94">
        <f>TRIM(Tabla4[[#This Row],[CodInternoArti]])</f>
        <v/>
      </c>
    </row>
    <row r="126" hidden="1">
      <c r="A126" s="5" t="n">
        <v>2006441</v>
      </c>
      <c r="B126" s="35" t="n">
        <v>7797390190505</v>
      </c>
      <c r="C126" s="7" t="inlineStr">
        <is>
          <t>ANTORCHITAS X24U</t>
        </is>
      </c>
      <c r="D126" s="7" t="inlineStr">
        <is>
          <t>ACCESORIOS VARIOS</t>
        </is>
      </c>
      <c r="E126" s="7" t="inlineStr">
        <is>
          <t>ACCESORIOS VARIOS</t>
        </is>
      </c>
      <c r="F126" s="7" t="inlineStr">
        <is>
          <t>ANTORCHITA</t>
        </is>
      </c>
      <c r="G126" s="7" t="inlineStr">
        <is>
          <t>Ciudadela</t>
        </is>
      </c>
      <c r="H126" s="6" t="n">
        <v>1</v>
      </c>
      <c r="I126" s="6" t="n">
        <v>3</v>
      </c>
      <c r="J126" s="6" t="n"/>
      <c r="K126" s="6" t="n">
        <v>1</v>
      </c>
      <c r="L126" s="6" t="n">
        <v>3</v>
      </c>
      <c r="M126" s="7" t="n">
        <v>2</v>
      </c>
      <c r="N126" s="8" t="n">
        <v>13</v>
      </c>
      <c r="O126" s="5" t="n">
        <v>59</v>
      </c>
      <c r="P126" s="5" t="n">
        <v>0</v>
      </c>
      <c r="Q126" s="5" t="n">
        <v>25</v>
      </c>
      <c r="R126" s="9" t="inlineStr">
        <is>
          <t>OK</t>
        </is>
      </c>
      <c r="S126" s="5" t="n">
        <v>0</v>
      </c>
      <c r="T126" s="5" t="n">
        <v>55</v>
      </c>
      <c r="U126" s="5" t="inlineStr">
        <is>
          <t>GASTON VECCHIO</t>
        </is>
      </c>
      <c r="V126" s="94">
        <f>_xlfn.XMATCH(Tabla4[[#This Row],[EAN CORREGIDO]],'Calcular necesidad'!L:L)</f>
        <v/>
      </c>
      <c r="W126" s="94">
        <f>TRIM(Tabla4[[#This Row],[CodInternoArti]])</f>
        <v/>
      </c>
    </row>
    <row r="127" hidden="1">
      <c r="A127" s="5" t="n">
        <v>2006456</v>
      </c>
      <c r="B127" s="35" t="n">
        <v>7790430132762</v>
      </c>
      <c r="C127" s="7" t="inlineStr">
        <is>
          <t>VASO PLASTICO X180CC X50U PROLIX</t>
        </is>
      </c>
      <c r="D127" s="7" t="inlineStr">
        <is>
          <t>VASOS</t>
        </is>
      </c>
      <c r="E127" s="7" t="inlineStr">
        <is>
          <t>VASOS PLASTICOS</t>
        </is>
      </c>
      <c r="F127" s="7" t="inlineStr">
        <is>
          <t>VASO PLASTICO</t>
        </is>
      </c>
      <c r="G127" s="7" t="inlineStr">
        <is>
          <t>Ciudadela</t>
        </is>
      </c>
      <c r="H127" s="6" t="n"/>
      <c r="I127" s="6" t="n"/>
      <c r="J127" s="6" t="n"/>
      <c r="K127" s="6" t="n"/>
      <c r="L127" s="6" t="n">
        <v>2</v>
      </c>
      <c r="M127" s="7" t="n"/>
      <c r="N127" s="8" t="n">
        <v>2.6</v>
      </c>
      <c r="O127" s="5" t="n">
        <v>0</v>
      </c>
      <c r="P127" s="5" t="n">
        <v>0</v>
      </c>
      <c r="Q127" s="5" t="n">
        <v>0</v>
      </c>
      <c r="R127" s="9" t="inlineStr">
        <is>
          <t>COMPRAR</t>
        </is>
      </c>
      <c r="S127" s="5" t="n">
        <v>2.6</v>
      </c>
      <c r="T127" s="5" t="n">
        <v>0</v>
      </c>
      <c r="U127" s="5" t="inlineStr">
        <is>
          <t>GASTON VECCHIO</t>
        </is>
      </c>
      <c r="V127" s="94">
        <f>_xlfn.XMATCH(Tabla4[[#This Row],[EAN CORREGIDO]],'Calcular necesidad'!L:L)</f>
        <v/>
      </c>
      <c r="W127" s="94">
        <f>TRIM(Tabla4[[#This Row],[CodInternoArti]])</f>
        <v/>
      </c>
    </row>
    <row r="128" hidden="1">
      <c r="A128" s="5" t="n">
        <v>2006388</v>
      </c>
      <c r="B128" s="35" t="n">
        <v>7790321020291</v>
      </c>
      <c r="C128" s="7" t="inlineStr">
        <is>
          <t>BANDEJA 103 X100U CELPAK</t>
        </is>
      </c>
      <c r="D128" s="7" t="inlineStr">
        <is>
          <t>BANDEJAS DESC</t>
        </is>
      </c>
      <c r="E128" s="7" t="inlineStr">
        <is>
          <t>BANDEJAS PLASTICAS</t>
        </is>
      </c>
      <c r="F128" s="7" t="inlineStr">
        <is>
          <t>BAND 103</t>
        </is>
      </c>
      <c r="G128" s="7" t="inlineStr">
        <is>
          <t>Ciudadela</t>
        </is>
      </c>
      <c r="H128" s="6" t="n"/>
      <c r="I128" s="6" t="n">
        <v>1</v>
      </c>
      <c r="J128" s="6" t="n"/>
      <c r="K128" s="6" t="n">
        <v>2</v>
      </c>
      <c r="L128" s="6" t="n"/>
      <c r="M128" s="7" t="n">
        <v>1</v>
      </c>
      <c r="N128" s="8" t="n">
        <v>5.2</v>
      </c>
      <c r="O128" s="5" t="n">
        <v>0</v>
      </c>
      <c r="P128" s="5" t="n">
        <v>0</v>
      </c>
      <c r="Q128" s="5" t="n">
        <v>0</v>
      </c>
      <c r="R128" s="9" t="inlineStr">
        <is>
          <t>COMPRAR</t>
        </is>
      </c>
      <c r="S128" s="5" t="n">
        <v>5.2</v>
      </c>
      <c r="T128" s="5" t="n">
        <v>-1</v>
      </c>
      <c r="U128" s="5" t="inlineStr">
        <is>
          <t>GASTON VECCHIO</t>
        </is>
      </c>
      <c r="V128" s="94">
        <f>_xlfn.XMATCH(Tabla4[[#This Row],[EAN CORREGIDO]],'Calcular necesidad'!L:L)</f>
        <v/>
      </c>
      <c r="W128" s="94">
        <f>TRIM(Tabla4[[#This Row],[CodInternoArti]])</f>
        <v/>
      </c>
    </row>
    <row r="129" hidden="1">
      <c r="A129" s="5" t="n">
        <v>2006356</v>
      </c>
      <c r="B129" s="35" t="n">
        <v>7790430132763</v>
      </c>
      <c r="C129" s="7" t="inlineStr">
        <is>
          <t>GUANTES LATEX LARGE X100U</t>
        </is>
      </c>
      <c r="D129" s="7" t="inlineStr">
        <is>
          <t>VARIOS</t>
        </is>
      </c>
      <c r="E129" s="7" t="inlineStr">
        <is>
          <t>DESCARTABLES</t>
        </is>
      </c>
      <c r="F129" s="7" t="inlineStr">
        <is>
          <t>GUANTE LATEX</t>
        </is>
      </c>
      <c r="G129" s="7" t="inlineStr">
        <is>
          <t>Ciudadela</t>
        </is>
      </c>
      <c r="H129" s="6" t="n">
        <v>2</v>
      </c>
      <c r="I129" s="6" t="n"/>
      <c r="J129" s="6" t="n"/>
      <c r="K129" s="6" t="n"/>
      <c r="L129" s="6" t="n">
        <v>2</v>
      </c>
      <c r="M129" s="7" t="n">
        <v>10</v>
      </c>
      <c r="N129" s="8" t="n">
        <v>18.2</v>
      </c>
      <c r="O129" s="5" t="n">
        <v>0</v>
      </c>
      <c r="P129" s="5" t="n">
        <v>0</v>
      </c>
      <c r="Q129" s="5" t="n">
        <v>0</v>
      </c>
      <c r="R129" s="9" t="inlineStr">
        <is>
          <t>COMPRAR</t>
        </is>
      </c>
      <c r="S129" s="5" t="n">
        <v>18.2</v>
      </c>
      <c r="T129" s="5" t="n">
        <v>-2</v>
      </c>
      <c r="U129" s="5" t="inlineStr">
        <is>
          <t>GASTON VECCHIO</t>
        </is>
      </c>
      <c r="V129" s="94">
        <f>_xlfn.XMATCH(Tabla4[[#This Row],[EAN CORREGIDO]],'Calcular necesidad'!L:L)</f>
        <v/>
      </c>
      <c r="W129" s="94">
        <f>TRIM(Tabla4[[#This Row],[CodInternoArti]])</f>
        <v/>
      </c>
    </row>
    <row r="130" hidden="1">
      <c r="A130" s="5" t="inlineStr">
        <is>
          <t>NO SE ENCUENTRA EAN</t>
        </is>
      </c>
      <c r="B130" s="35" t="n">
        <v>7981889753416</v>
      </c>
      <c r="C130" s="7" t="inlineStr">
        <is>
          <t>MANGAS DESCARTABLES 27X58CM X50U</t>
        </is>
      </c>
      <c r="D130" s="7" t="inlineStr">
        <is>
          <t>UTENSILLOS</t>
        </is>
      </c>
      <c r="E130" s="7" t="inlineStr">
        <is>
          <t>BAZAR</t>
        </is>
      </c>
      <c r="F130" s="7" t="inlineStr">
        <is>
          <t>MANGA DESCARTABLE</t>
        </is>
      </c>
      <c r="G130" s="7" t="inlineStr">
        <is>
          <t>Ciudadela</t>
        </is>
      </c>
      <c r="H130" s="6" t="n">
        <v>2</v>
      </c>
      <c r="I130" s="6" t="n"/>
      <c r="J130" s="6" t="n">
        <v>2</v>
      </c>
      <c r="K130" s="6" t="n"/>
      <c r="L130" s="6" t="n">
        <v>2</v>
      </c>
      <c r="M130" s="7" t="n"/>
      <c r="N130" s="8" t="n">
        <v>7.800000000000001</v>
      </c>
      <c r="O130" s="5" t="n">
        <v>0</v>
      </c>
      <c r="P130" s="5" t="n">
        <v>0</v>
      </c>
      <c r="Q130" s="5" t="n">
        <v>0</v>
      </c>
      <c r="R130" s="9" t="inlineStr">
        <is>
          <t>COMPRAR</t>
        </is>
      </c>
      <c r="S130" s="5" t="n">
        <v>7.800000000000001</v>
      </c>
      <c r="T130" s="5" t="n">
        <v>-2</v>
      </c>
      <c r="U130" s="5" t="inlineStr">
        <is>
          <t>GASTON VECCHIO</t>
        </is>
      </c>
      <c r="V130" s="94">
        <f>_xlfn.XMATCH(Tabla4[[#This Row],[EAN CORREGIDO]],'Calcular necesidad'!L:L)</f>
        <v/>
      </c>
      <c r="W130" s="94">
        <f>TRIM(Tabla4[[#This Row],[CodInternoArti]])</f>
        <v/>
      </c>
    </row>
    <row r="131" hidden="1">
      <c r="A131" s="5" t="n">
        <v>2006218</v>
      </c>
      <c r="B131" s="35" t="n">
        <v>7790321020532</v>
      </c>
      <c r="C131" s="7" t="inlineStr">
        <is>
          <t>SERVILLE BCA 18X18X1000U NUTRIRE</t>
        </is>
      </c>
      <c r="D131" s="7" t="inlineStr">
        <is>
          <t>SERVILLETAS DESC</t>
        </is>
      </c>
      <c r="E131" s="7" t="inlineStr">
        <is>
          <t>SERVILLETAS DESC C/LOGO</t>
        </is>
      </c>
      <c r="F131" s="7" t="inlineStr">
        <is>
          <t>SERVILLETA DESC C/LOGO</t>
        </is>
      </c>
      <c r="G131" s="7" t="inlineStr">
        <is>
          <t>Ciudadela</t>
        </is>
      </c>
      <c r="H131" s="6" t="n">
        <v>1</v>
      </c>
      <c r="I131" s="6" t="n"/>
      <c r="J131" s="6" t="n">
        <v>1</v>
      </c>
      <c r="K131" s="6" t="n"/>
      <c r="L131" s="6" t="n">
        <v>1</v>
      </c>
      <c r="M131" s="7" t="n"/>
      <c r="N131" s="8" t="n">
        <v>3.9</v>
      </c>
      <c r="O131" s="5" t="n">
        <v>39</v>
      </c>
      <c r="P131" s="5" t="n">
        <v>0</v>
      </c>
      <c r="Q131" s="5" t="n">
        <v>0</v>
      </c>
      <c r="R131" s="9" t="inlineStr">
        <is>
          <t>OK</t>
        </is>
      </c>
      <c r="S131" s="5" t="n">
        <v>0</v>
      </c>
      <c r="T131" s="5" t="n">
        <v>38</v>
      </c>
      <c r="U131" s="5" t="inlineStr">
        <is>
          <t>GASTON VECCHIO</t>
        </is>
      </c>
      <c r="V131" s="94">
        <f>_xlfn.XMATCH(Tabla4[[#This Row],[EAN CORREGIDO]],'Calcular necesidad'!L:L)</f>
        <v/>
      </c>
      <c r="W131" s="94">
        <f>TRIM(Tabla4[[#This Row],[CodInternoArti]])</f>
        <v/>
      </c>
    </row>
    <row r="132" hidden="1">
      <c r="A132" s="5" t="n">
        <v>2006411</v>
      </c>
      <c r="B132" s="35" t="n">
        <v>7790321020994</v>
      </c>
      <c r="C132" s="7" t="inlineStr">
        <is>
          <t>BOLSA CUBIERTO 10X25X200U</t>
        </is>
      </c>
      <c r="D132" s="7" t="inlineStr">
        <is>
          <t>BOLSAS</t>
        </is>
      </c>
      <c r="E132" s="7" t="inlineStr">
        <is>
          <t>BOLSAS CUBIERTERAS</t>
        </is>
      </c>
      <c r="F132" s="7" t="inlineStr">
        <is>
          <t>BOLSAS CUBIERTOS</t>
        </is>
      </c>
      <c r="G132" s="7" t="inlineStr">
        <is>
          <t>Ciudadela</t>
        </is>
      </c>
      <c r="H132" s="6" t="n">
        <v>23</v>
      </c>
      <c r="I132" s="6" t="n">
        <v>24</v>
      </c>
      <c r="J132" s="6" t="n">
        <v>23</v>
      </c>
      <c r="K132" s="6" t="n">
        <v>24</v>
      </c>
      <c r="L132" s="6" t="n">
        <v>24</v>
      </c>
      <c r="M132" s="7" t="n">
        <v>23</v>
      </c>
      <c r="N132" s="8" t="n">
        <v>183.3</v>
      </c>
      <c r="O132" s="5" t="n">
        <v>0</v>
      </c>
      <c r="P132" s="5" t="n">
        <v>0</v>
      </c>
      <c r="Q132" s="5" t="n">
        <v>0</v>
      </c>
      <c r="R132" s="9" t="inlineStr">
        <is>
          <t>COMPRAR</t>
        </is>
      </c>
      <c r="S132" s="5" t="n">
        <v>183.3</v>
      </c>
      <c r="T132" s="5" t="n">
        <v>-47</v>
      </c>
      <c r="U132" s="5" t="inlineStr">
        <is>
          <t>GASTON VECCHIO</t>
        </is>
      </c>
      <c r="V132" s="94">
        <f>_xlfn.XMATCH(Tabla4[[#This Row],[EAN CORREGIDO]],'Calcular necesidad'!L:L)</f>
        <v/>
      </c>
      <c r="W132" s="94">
        <f>TRIM(Tabla4[[#This Row],[CodInternoArti]])</f>
        <v/>
      </c>
    </row>
    <row r="133" hidden="1">
      <c r="A133" s="5" t="n">
        <v>2006646</v>
      </c>
      <c r="B133" s="35" t="n">
        <v>7790321020283</v>
      </c>
      <c r="C133" s="7" t="inlineStr">
        <is>
          <t>BANDEJA PLASTICA 101 X100U REC</t>
        </is>
      </c>
      <c r="D133" s="7" t="inlineStr">
        <is>
          <t>BANDEJAS DESC</t>
        </is>
      </c>
      <c r="E133" s="7" t="inlineStr">
        <is>
          <t>BANDEJAS PLASTICAS</t>
        </is>
      </c>
      <c r="F133" s="7" t="inlineStr">
        <is>
          <t>BAND 101</t>
        </is>
      </c>
      <c r="G133" s="7" t="inlineStr">
        <is>
          <t>Ciudadela</t>
        </is>
      </c>
      <c r="H133" s="6" t="n">
        <v>69</v>
      </c>
      <c r="I133" s="6" t="n">
        <v>51</v>
      </c>
      <c r="J133" s="6" t="n">
        <v>15</v>
      </c>
      <c r="K133" s="6" t="n">
        <v>33</v>
      </c>
      <c r="L133" s="6" t="n">
        <v>51</v>
      </c>
      <c r="M133" s="7" t="n">
        <v>15</v>
      </c>
      <c r="N133" s="8" t="n">
        <v>304.2</v>
      </c>
      <c r="O133" s="5" t="n">
        <v>0</v>
      </c>
      <c r="P133" s="5" t="n">
        <v>0</v>
      </c>
      <c r="Q133" s="5" t="n">
        <v>2296</v>
      </c>
      <c r="R133" s="9" t="inlineStr">
        <is>
          <t>TRANSFERIR</t>
        </is>
      </c>
      <c r="S133" s="5" t="n">
        <v>0</v>
      </c>
      <c r="T133" s="5" t="n">
        <v>-120</v>
      </c>
      <c r="U133" s="5" t="inlineStr">
        <is>
          <t>GASTON VECCHIO</t>
        </is>
      </c>
      <c r="V133" s="94">
        <f>_xlfn.XMATCH(Tabla4[[#This Row],[EAN CORREGIDO]],'Calcular necesidad'!L:L)</f>
        <v/>
      </c>
      <c r="W133" s="94">
        <f>TRIM(Tabla4[[#This Row],[CodInternoArti]])</f>
        <v/>
      </c>
    </row>
    <row r="134" hidden="1">
      <c r="A134" s="5" t="n">
        <v>2006635</v>
      </c>
      <c r="B134" s="35" t="n">
        <v>9992017100464</v>
      </c>
      <c r="C134" s="7" t="inlineStr">
        <is>
          <t>FILM APTO TEMP 38X1000M XU RESIMAX</t>
        </is>
      </c>
      <c r="D134" s="7" t="inlineStr">
        <is>
          <t>VARIOS</t>
        </is>
      </c>
      <c r="E134" s="7" t="inlineStr">
        <is>
          <t>RESINITE</t>
        </is>
      </c>
      <c r="F134" s="7" t="inlineStr">
        <is>
          <t>RESINITE APTO TEMPERATURA</t>
        </is>
      </c>
      <c r="G134" s="7" t="inlineStr">
        <is>
          <t>Ciudadela</t>
        </is>
      </c>
      <c r="H134" s="6" t="n">
        <v>50</v>
      </c>
      <c r="I134" s="6" t="n">
        <v>33</v>
      </c>
      <c r="J134" s="6" t="n">
        <v>12</v>
      </c>
      <c r="K134" s="6" t="n">
        <v>21</v>
      </c>
      <c r="L134" s="6" t="n">
        <v>50</v>
      </c>
      <c r="M134" s="7" t="n">
        <v>3</v>
      </c>
      <c r="N134" s="8" t="n">
        <v>219.7</v>
      </c>
      <c r="O134" s="5" t="n">
        <v>0</v>
      </c>
      <c r="P134" s="5" t="n">
        <v>0</v>
      </c>
      <c r="Q134" s="5" t="n">
        <v>0</v>
      </c>
      <c r="R134" s="9" t="inlineStr">
        <is>
          <t>COMPRAR</t>
        </is>
      </c>
      <c r="S134" s="5" t="n">
        <v>219.7</v>
      </c>
      <c r="T134" s="5" t="n">
        <v>-83</v>
      </c>
      <c r="U134" s="5" t="inlineStr">
        <is>
          <t>GASTON VECCHIO</t>
        </is>
      </c>
      <c r="V134" s="94">
        <f>_xlfn.XMATCH(Tabla4[[#This Row],[EAN CORREGIDO]],'Calcular necesidad'!L:L)</f>
        <v/>
      </c>
      <c r="W134" s="94">
        <f>TRIM(Tabla4[[#This Row],[CodInternoArti]])</f>
        <v/>
      </c>
    </row>
    <row r="135" hidden="1">
      <c r="A135" s="5" t="n">
        <v>2006390</v>
      </c>
      <c r="B135" s="35" t="n">
        <v>7790321130875</v>
      </c>
      <c r="C135" s="7" t="inlineStr">
        <is>
          <t>ENSALADERA CRISTAL X25U PLASTIVAS</t>
        </is>
      </c>
      <c r="D135" s="7" t="inlineStr">
        <is>
          <t>BANDEJAS DESC</t>
        </is>
      </c>
      <c r="E135" s="7" t="inlineStr">
        <is>
          <t>BANDEJAS PLASTICAS</t>
        </is>
      </c>
      <c r="F135" s="7" t="inlineStr">
        <is>
          <t>ENSALADERA CRISTAL</t>
        </is>
      </c>
      <c r="G135" s="7" t="inlineStr">
        <is>
          <t>Ciudadela</t>
        </is>
      </c>
      <c r="H135" s="6" t="n"/>
      <c r="I135" s="6" t="n">
        <v>1</v>
      </c>
      <c r="J135" s="6" t="n"/>
      <c r="K135" s="6" t="n">
        <v>1</v>
      </c>
      <c r="L135" s="6" t="n"/>
      <c r="M135" s="7" t="n">
        <v>1</v>
      </c>
      <c r="N135" s="8" t="n">
        <v>3.9</v>
      </c>
      <c r="O135" s="5" t="n">
        <v>0</v>
      </c>
      <c r="P135" s="5" t="n">
        <v>0</v>
      </c>
      <c r="Q135" s="5" t="n">
        <v>0</v>
      </c>
      <c r="R135" s="9" t="inlineStr">
        <is>
          <t>COMPRAR</t>
        </is>
      </c>
      <c r="S135" s="5" t="n">
        <v>3.9</v>
      </c>
      <c r="T135" s="5" t="n">
        <v>-1</v>
      </c>
      <c r="U135" s="5" t="inlineStr">
        <is>
          <t>GASTON VECCHIO</t>
        </is>
      </c>
      <c r="V135" s="94">
        <f>_xlfn.XMATCH(Tabla4[[#This Row],[EAN CORREGIDO]],'Calcular necesidad'!L:L)</f>
        <v/>
      </c>
      <c r="W135" s="94">
        <f>TRIM(Tabla4[[#This Row],[CodInternoArti]])</f>
        <v/>
      </c>
    </row>
    <row r="136" hidden="1">
      <c r="A136" s="5" t="n">
        <v>2006354</v>
      </c>
      <c r="B136" s="35" t="n">
        <v>7790042181191</v>
      </c>
      <c r="C136" s="7" t="inlineStr">
        <is>
          <t>ROLLO FILM 45X1000M XU RESIMAX</t>
        </is>
      </c>
      <c r="D136" s="7" t="inlineStr">
        <is>
          <t>VARIOS</t>
        </is>
      </c>
      <c r="E136" s="7" t="inlineStr">
        <is>
          <t>RESINITE</t>
        </is>
      </c>
      <c r="F136" s="7" t="inlineStr">
        <is>
          <t>RESINITE PVC</t>
        </is>
      </c>
      <c r="G136" s="7" t="inlineStr">
        <is>
          <t>Ciudadela</t>
        </is>
      </c>
      <c r="H136" s="6" t="n">
        <v>11</v>
      </c>
      <c r="I136" s="6" t="n">
        <v>9</v>
      </c>
      <c r="J136" s="6" t="n">
        <v>4</v>
      </c>
      <c r="K136" s="6" t="n">
        <v>4</v>
      </c>
      <c r="L136" s="6" t="n">
        <v>11</v>
      </c>
      <c r="M136" s="7" t="n">
        <v>8</v>
      </c>
      <c r="N136" s="8" t="n">
        <v>61.1</v>
      </c>
      <c r="O136" s="5" t="n">
        <v>0</v>
      </c>
      <c r="P136" s="5" t="n">
        <v>0</v>
      </c>
      <c r="Q136" s="5" t="n">
        <v>0</v>
      </c>
      <c r="R136" s="9" t="inlineStr">
        <is>
          <t>COMPRAR</t>
        </is>
      </c>
      <c r="S136" s="5" t="n">
        <v>61.1</v>
      </c>
      <c r="T136" s="5" t="n">
        <v>-20</v>
      </c>
      <c r="U136" s="5" t="inlineStr">
        <is>
          <t>GASTON VECCHIO</t>
        </is>
      </c>
      <c r="V136" s="94">
        <f>_xlfn.XMATCH(Tabla4[[#This Row],[EAN CORREGIDO]],'Calcular necesidad'!L:L)</f>
        <v/>
      </c>
      <c r="W136" s="94">
        <f>TRIM(Tabla4[[#This Row],[CodInternoArti]])</f>
        <v/>
      </c>
    </row>
    <row r="137" hidden="1">
      <c r="A137" s="5" t="n">
        <v>2006432</v>
      </c>
      <c r="B137" s="35" t="inlineStr">
        <is>
          <t>105445B</t>
        </is>
      </c>
      <c r="C137" s="7" t="inlineStr">
        <is>
          <t xml:space="preserve">ENSALADERA CRISTAL X600U BANDEX  </t>
        </is>
      </c>
      <c r="D137" s="7" t="inlineStr">
        <is>
          <t>BANDEJAS DESC</t>
        </is>
      </c>
      <c r="E137" s="7" t="inlineStr">
        <is>
          <t>BANDEJAS PLASTICAS</t>
        </is>
      </c>
      <c r="F137" s="7" t="inlineStr">
        <is>
          <t>ENSALADERA CRISTAL</t>
        </is>
      </c>
      <c r="G137" s="7" t="inlineStr">
        <is>
          <t>Ciudadela</t>
        </is>
      </c>
      <c r="H137" s="6" t="n">
        <v>1</v>
      </c>
      <c r="I137" s="6" t="n"/>
      <c r="J137" s="6" t="n"/>
      <c r="K137" s="6" t="n">
        <v>1</v>
      </c>
      <c r="L137" s="6" t="n"/>
      <c r="M137" s="7" t="n"/>
      <c r="N137" s="8" t="n">
        <v>2.6</v>
      </c>
      <c r="O137" s="5" t="n">
        <v>0</v>
      </c>
      <c r="P137" s="5" t="n">
        <v>0</v>
      </c>
      <c r="Q137" s="5" t="n">
        <v>0</v>
      </c>
      <c r="R137" s="9" t="inlineStr">
        <is>
          <t>COMPRAR</t>
        </is>
      </c>
      <c r="S137" s="5" t="n">
        <v>2.6</v>
      </c>
      <c r="T137" s="5" t="n">
        <v>-1</v>
      </c>
      <c r="U137" s="5" t="inlineStr">
        <is>
          <t>GASTON VECCHIO</t>
        </is>
      </c>
      <c r="V137" s="94">
        <f>_xlfn.XMATCH(Tabla4[[#This Row],[EAN CORREGIDO]],'Calcular necesidad'!L:L)</f>
        <v/>
      </c>
      <c r="W137" s="94">
        <f>TRIM(Tabla4[[#This Row],[CodInternoArti]])</f>
        <v/>
      </c>
    </row>
    <row r="138" hidden="1">
      <c r="A138" s="5" t="n">
        <v>2007316</v>
      </c>
      <c r="B138" s="35" t="n">
        <v>7790458657255</v>
      </c>
      <c r="C138" s="7" t="inlineStr">
        <is>
          <t>VO GUANTES LATEX ANTIDESLIZANTE TIBU</t>
        </is>
      </c>
      <c r="D138" s="7" t="inlineStr">
        <is>
          <t>VARIOS</t>
        </is>
      </c>
      <c r="E138" s="7" t="inlineStr">
        <is>
          <t>DESCARTABLES</t>
        </is>
      </c>
      <c r="F138" s="7" t="inlineStr">
        <is>
          <t>GUANTE LATEX</t>
        </is>
      </c>
      <c r="G138" s="7" t="inlineStr">
        <is>
          <t>Ciudadela</t>
        </is>
      </c>
      <c r="H138" s="6" t="n"/>
      <c r="I138" s="6" t="n"/>
      <c r="J138" s="6" t="n"/>
      <c r="K138" s="6" t="n">
        <v>5</v>
      </c>
      <c r="L138" s="6" t="n"/>
      <c r="M138" s="7" t="n"/>
      <c r="N138" s="8" t="n">
        <v>6.5</v>
      </c>
      <c r="O138" s="5" t="n">
        <v>0</v>
      </c>
      <c r="P138" s="5" t="n">
        <v>0</v>
      </c>
      <c r="Q138" s="5" t="n">
        <v>0</v>
      </c>
      <c r="R138" s="9" t="inlineStr">
        <is>
          <t>COMPRAR</t>
        </is>
      </c>
      <c r="S138" s="5" t="n">
        <v>6.5</v>
      </c>
      <c r="T138" s="5" t="n">
        <v>0</v>
      </c>
      <c r="U138" s="5" t="inlineStr">
        <is>
          <t>GASTON VECCHIO</t>
        </is>
      </c>
      <c r="V138" s="94">
        <f>_xlfn.XMATCH(Tabla4[[#This Row],[EAN CORREGIDO]],'Calcular necesidad'!L:L)</f>
        <v/>
      </c>
      <c r="W138" s="94">
        <f>TRIM(Tabla4[[#This Row],[CodInternoArti]])</f>
        <v/>
      </c>
    </row>
    <row r="139" hidden="1">
      <c r="A139" s="5" t="n">
        <v>2006168</v>
      </c>
      <c r="B139" s="35" t="n">
        <v>7798549612325</v>
      </c>
      <c r="C139" s="7" t="inlineStr">
        <is>
          <t>CAJA CARTON 42X27X16XU</t>
        </is>
      </c>
      <c r="D139" s="7" t="inlineStr">
        <is>
          <t>CAJAS</t>
        </is>
      </c>
      <c r="E139" s="7" t="inlineStr">
        <is>
          <t>CAJAS CARTON</t>
        </is>
      </c>
      <c r="F139" s="7" t="inlineStr">
        <is>
          <t>CAJAS CARTON</t>
        </is>
      </c>
      <c r="G139" s="7" t="inlineStr">
        <is>
          <t>Moreno</t>
        </is>
      </c>
      <c r="H139" s="6" t="n">
        <v>1000</v>
      </c>
      <c r="I139" s="6" t="n"/>
      <c r="J139" s="6" t="n"/>
      <c r="K139" s="6" t="n"/>
      <c r="L139" s="6" t="n"/>
      <c r="M139" s="7" t="n"/>
      <c r="N139" s="8" t="n">
        <v>1300</v>
      </c>
      <c r="O139" s="5" t="n">
        <v>0</v>
      </c>
      <c r="P139" s="5" t="n">
        <v>5100</v>
      </c>
      <c r="Q139" s="5" t="n">
        <v>0</v>
      </c>
      <c r="R139" s="9" t="inlineStr">
        <is>
          <t>OK</t>
        </is>
      </c>
      <c r="S139" s="5" t="n">
        <v>0</v>
      </c>
      <c r="T139" s="5" t="n">
        <v>-1000</v>
      </c>
      <c r="U139" s="5" t="inlineStr">
        <is>
          <t>GASTON VECCHIO</t>
        </is>
      </c>
      <c r="V139" s="94">
        <f>_xlfn.XMATCH(Tabla4[[#This Row],[EAN CORREGIDO]],'Calcular necesidad'!L:L)</f>
        <v/>
      </c>
      <c r="W139" s="94">
        <f>TRIM(Tabla4[[#This Row],[CodInternoArti]])</f>
        <v/>
      </c>
    </row>
    <row r="140" hidden="1">
      <c r="A140" s="5" t="n">
        <v>2006477</v>
      </c>
      <c r="B140" s="35" t="n">
        <v>7790321020387</v>
      </c>
      <c r="C140" s="7" t="inlineStr">
        <is>
          <t>VASO TERMICO X180CCX 50U</t>
        </is>
      </c>
      <c r="D140" s="7" t="inlineStr">
        <is>
          <t>VASOS</t>
        </is>
      </c>
      <c r="E140" s="7" t="inlineStr">
        <is>
          <t>VASOS TERMICOS</t>
        </is>
      </c>
      <c r="F140" s="7" t="inlineStr">
        <is>
          <t>VASO TERMICO</t>
        </is>
      </c>
      <c r="G140" s="7" t="inlineStr">
        <is>
          <t>Ciudadela</t>
        </is>
      </c>
      <c r="H140" s="6" t="n">
        <v>1</v>
      </c>
      <c r="I140" s="6" t="n">
        <v>1</v>
      </c>
      <c r="J140" s="6" t="n">
        <v>1</v>
      </c>
      <c r="K140" s="6" t="n">
        <v>1</v>
      </c>
      <c r="L140" s="6" t="n">
        <v>1</v>
      </c>
      <c r="M140" s="7" t="n">
        <v>1</v>
      </c>
      <c r="N140" s="8" t="n">
        <v>7.800000000000001</v>
      </c>
      <c r="O140" s="5" t="n">
        <v>0</v>
      </c>
      <c r="P140" s="5" t="n">
        <v>0</v>
      </c>
      <c r="Q140" s="5" t="n">
        <v>0</v>
      </c>
      <c r="R140" s="9" t="inlineStr">
        <is>
          <t>COMPRAR</t>
        </is>
      </c>
      <c r="S140" s="5" t="n">
        <v>7.800000000000001</v>
      </c>
      <c r="T140" s="5" t="n">
        <v>-2</v>
      </c>
      <c r="U140" s="5" t="inlineStr">
        <is>
          <t>GASTON VECCHIO</t>
        </is>
      </c>
      <c r="V140" s="94">
        <f>_xlfn.XMATCH(Tabla4[[#This Row],[EAN CORREGIDO]],'Calcular necesidad'!L:L)</f>
        <v/>
      </c>
      <c r="W140" s="94">
        <f>TRIM(Tabla4[[#This Row],[CodInternoArti]])</f>
        <v/>
      </c>
    </row>
    <row r="141" hidden="1" ht="16" customHeight="1">
      <c r="A141" s="5" t="n">
        <v>2006479</v>
      </c>
      <c r="B141" s="35" t="n">
        <v>7798662008446</v>
      </c>
      <c r="C141" s="7" t="inlineStr">
        <is>
          <t>VASO TERMICO 240CC X100U</t>
        </is>
      </c>
      <c r="D141" s="7" t="inlineStr">
        <is>
          <t>VASOS</t>
        </is>
      </c>
      <c r="E141" s="7" t="inlineStr">
        <is>
          <t>VASOS TERMICOS</t>
        </is>
      </c>
      <c r="F141" s="10" t="inlineStr">
        <is>
          <t>VASO TERMICO</t>
        </is>
      </c>
      <c r="G141" s="7" t="inlineStr">
        <is>
          <t>Ciudadela</t>
        </is>
      </c>
      <c r="H141" s="6" t="n">
        <v>4</v>
      </c>
      <c r="I141" s="6" t="n"/>
      <c r="J141" s="6" t="n"/>
      <c r="K141" s="6" t="n"/>
      <c r="L141" s="6" t="n">
        <v>4</v>
      </c>
      <c r="M141" s="7" t="n"/>
      <c r="N141" s="8" t="n">
        <v>10.4</v>
      </c>
      <c r="O141" s="5" t="n">
        <v>0</v>
      </c>
      <c r="P141" s="5" t="n">
        <v>0</v>
      </c>
      <c r="Q141" s="5" t="n">
        <v>0</v>
      </c>
      <c r="R141" s="9" t="inlineStr">
        <is>
          <t>COMPRAR</t>
        </is>
      </c>
      <c r="S141" s="5" t="n">
        <v>10.4</v>
      </c>
      <c r="T141" s="5" t="n">
        <v>-4</v>
      </c>
      <c r="U141" s="5" t="inlineStr">
        <is>
          <t>GASTON VECCHIO</t>
        </is>
      </c>
      <c r="V141" s="94">
        <f>_xlfn.XMATCH(Tabla4[[#This Row],[EAN CORREGIDO]],'Calcular necesidad'!L:L)</f>
        <v/>
      </c>
      <c r="W141" s="94">
        <f>TRIM(Tabla4[[#This Row],[CodInternoArti]])</f>
        <v/>
      </c>
    </row>
    <row r="142" hidden="1">
      <c r="A142" s="5" t="n">
        <v>2006656</v>
      </c>
      <c r="B142" s="35" t="n">
        <v>7798934234563</v>
      </c>
      <c r="C142" s="7" t="inlineStr">
        <is>
          <t>VASO TERMICO 300CCX1000U</t>
        </is>
      </c>
      <c r="D142" s="7" t="inlineStr">
        <is>
          <t>VASOS</t>
        </is>
      </c>
      <c r="E142" s="7" t="inlineStr">
        <is>
          <t>VASOS TERMICOS</t>
        </is>
      </c>
      <c r="F142" s="7" t="inlineStr">
        <is>
          <t>VASO TERMICO</t>
        </is>
      </c>
      <c r="G142" s="7" t="inlineStr">
        <is>
          <t>Ciudadela</t>
        </is>
      </c>
      <c r="H142" s="6" t="n">
        <v>1</v>
      </c>
      <c r="I142" s="6" t="n"/>
      <c r="J142" s="6" t="n"/>
      <c r="K142" s="6" t="n"/>
      <c r="L142" s="6" t="n"/>
      <c r="M142" s="7" t="n"/>
      <c r="N142" s="8" t="n">
        <v>1.3</v>
      </c>
      <c r="O142" s="5" t="n">
        <v>24</v>
      </c>
      <c r="P142" s="5" t="n">
        <v>0</v>
      </c>
      <c r="Q142" s="5" t="n">
        <v>0</v>
      </c>
      <c r="R142" s="9" t="inlineStr">
        <is>
          <t>OK</t>
        </is>
      </c>
      <c r="S142" s="5" t="n">
        <v>0</v>
      </c>
      <c r="T142" s="5" t="n">
        <v>23</v>
      </c>
      <c r="U142" s="5" t="inlineStr">
        <is>
          <t>GASTON VECCHIO</t>
        </is>
      </c>
      <c r="V142" s="94">
        <f>_xlfn.XMATCH(Tabla4[[#This Row],[EAN CORREGIDO]],'Calcular necesidad'!L:L)</f>
        <v/>
      </c>
      <c r="W142" s="94">
        <f>TRIM(Tabla4[[#This Row],[CodInternoArti]])</f>
        <v/>
      </c>
    </row>
    <row r="143" hidden="1">
      <c r="A143" s="5" t="n">
        <v>2006142</v>
      </c>
      <c r="B143" s="35" t="n">
        <v>7905512648255</v>
      </c>
      <c r="C143" s="7" t="inlineStr">
        <is>
          <t>BOLSA CRISTAL PERFORADA 100X60</t>
        </is>
      </c>
      <c r="D143" s="7" t="inlineStr">
        <is>
          <t>BOLSAS</t>
        </is>
      </c>
      <c r="E143" s="7" t="inlineStr">
        <is>
          <t>BOLSAS</t>
        </is>
      </c>
      <c r="F143" s="7" t="inlineStr">
        <is>
          <t>BOLSA RESIDUOS CRISTAL</t>
        </is>
      </c>
      <c r="G143" s="7" t="inlineStr">
        <is>
          <t>Ciudadela</t>
        </is>
      </c>
      <c r="H143" s="6" t="n">
        <v>1</v>
      </c>
      <c r="I143" s="6" t="n"/>
      <c r="J143" s="6" t="n"/>
      <c r="K143" s="6" t="n"/>
      <c r="L143" s="6" t="n">
        <v>1</v>
      </c>
      <c r="M143" s="7" t="n"/>
      <c r="N143" s="8" t="n">
        <v>2.6</v>
      </c>
      <c r="O143" s="5" t="n">
        <v>19</v>
      </c>
      <c r="P143" s="5" t="n">
        <v>0</v>
      </c>
      <c r="Q143" s="5" t="n">
        <v>0</v>
      </c>
      <c r="R143" s="9" t="inlineStr">
        <is>
          <t>OK</t>
        </is>
      </c>
      <c r="S143" s="5" t="n">
        <v>0</v>
      </c>
      <c r="T143" s="5" t="n">
        <v>18</v>
      </c>
      <c r="U143" s="5" t="inlineStr">
        <is>
          <t>GASTON VECCHIO</t>
        </is>
      </c>
      <c r="V143" s="94">
        <f>_xlfn.XMATCH(Tabla4[[#This Row],[EAN CORREGIDO]],'Calcular necesidad'!L:L)</f>
        <v/>
      </c>
      <c r="W143" s="94">
        <f>TRIM(Tabla4[[#This Row],[CodInternoArti]])</f>
        <v/>
      </c>
    </row>
    <row r="144" hidden="1">
      <c r="A144" s="5" t="n">
        <v>2007100</v>
      </c>
      <c r="B144" s="35" t="n">
        <v>1404700012</v>
      </c>
      <c r="C144" s="7" t="inlineStr">
        <is>
          <t xml:space="preserve">SERVILLETA S/LOGO BCA 14X14   </t>
        </is>
      </c>
      <c r="D144" s="7" t="inlineStr">
        <is>
          <t>SERVILLETAS DESC</t>
        </is>
      </c>
      <c r="E144" s="7" t="inlineStr">
        <is>
          <t>SERVILLETAS DESC S/LOGO</t>
        </is>
      </c>
      <c r="F144" s="7" t="inlineStr">
        <is>
          <t>SERVILLETA DESC S/LOGO</t>
        </is>
      </c>
      <c r="G144" s="7" t="inlineStr">
        <is>
          <t>Ciudadela</t>
        </is>
      </c>
      <c r="H144" s="6" t="n">
        <v>4</v>
      </c>
      <c r="I144" s="6" t="n">
        <v>4</v>
      </c>
      <c r="J144" s="6" t="n">
        <v>9</v>
      </c>
      <c r="K144" s="6" t="n">
        <v>5</v>
      </c>
      <c r="L144" s="6" t="n">
        <v>3</v>
      </c>
      <c r="M144" s="7" t="n">
        <v>3</v>
      </c>
      <c r="N144" s="8" t="n">
        <v>36.4</v>
      </c>
      <c r="O144" s="5" t="n">
        <v>0</v>
      </c>
      <c r="P144" s="5" t="n">
        <v>0</v>
      </c>
      <c r="Q144" s="5" t="n">
        <v>0</v>
      </c>
      <c r="R144" s="9" t="inlineStr">
        <is>
          <t>COMPRAR</t>
        </is>
      </c>
      <c r="S144" s="5" t="n">
        <v>36.4</v>
      </c>
      <c r="T144" s="5" t="n">
        <v>-8</v>
      </c>
      <c r="U144" s="5" t="inlineStr">
        <is>
          <t>GASTON VECCHIO</t>
        </is>
      </c>
      <c r="V144" s="94">
        <f>_xlfn.XMATCH(Tabla4[[#This Row],[EAN CORREGIDO]],'Calcular necesidad'!L:L)</f>
        <v/>
      </c>
      <c r="W144" s="94">
        <f>TRIM(Tabla4[[#This Row],[CodInternoArti]])</f>
        <v/>
      </c>
    </row>
    <row r="145" hidden="1">
      <c r="A145" s="5" t="n">
        <v>2006356</v>
      </c>
      <c r="B145" s="35" t="n">
        <v>7790430132763</v>
      </c>
      <c r="C145" s="7" t="inlineStr">
        <is>
          <t>GUANTES LATEX LARGE X100U</t>
        </is>
      </c>
      <c r="D145" s="7" t="inlineStr">
        <is>
          <t>VARIOS</t>
        </is>
      </c>
      <c r="E145" s="7" t="inlineStr">
        <is>
          <t>DESCARTABLES</t>
        </is>
      </c>
      <c r="F145" s="7" t="inlineStr">
        <is>
          <t>GUANTE LATEX</t>
        </is>
      </c>
      <c r="G145" s="7" t="inlineStr">
        <is>
          <t>CD Moreno 3</t>
        </is>
      </c>
      <c r="H145" s="6" t="n">
        <v>30</v>
      </c>
      <c r="I145" s="6" t="n"/>
      <c r="J145" s="6" t="n"/>
      <c r="K145" s="6" t="n"/>
      <c r="L145" s="6" t="n"/>
      <c r="M145" s="7" t="n"/>
      <c r="N145" s="8" t="n">
        <v>39</v>
      </c>
      <c r="O145" s="5" t="n">
        <v>0</v>
      </c>
      <c r="P145" s="5" t="n">
        <v>0</v>
      </c>
      <c r="Q145" s="5" t="n">
        <v>0</v>
      </c>
      <c r="R145" s="9" t="inlineStr">
        <is>
          <t>COMPRAR</t>
        </is>
      </c>
      <c r="S145" s="5" t="n">
        <v>39</v>
      </c>
      <c r="T145" s="5" t="n">
        <v>-30</v>
      </c>
      <c r="U145" s="5" t="inlineStr">
        <is>
          <t>GASTON VECCHIO</t>
        </is>
      </c>
      <c r="V145" s="94">
        <f>_xlfn.XMATCH(Tabla4[[#This Row],[EAN CORREGIDO]],'Calcular necesidad'!L:L)</f>
        <v/>
      </c>
      <c r="W145" s="94">
        <f>TRIM(Tabla4[[#This Row],[CodInternoArti]])</f>
        <v/>
      </c>
    </row>
    <row r="146" hidden="1">
      <c r="A146" s="5" t="n">
        <v>2006780</v>
      </c>
      <c r="B146" s="35" t="n">
        <v>7790430132764</v>
      </c>
      <c r="C146" s="7" t="inlineStr">
        <is>
          <t>GUANTES LATEX MEDIUM X100U</t>
        </is>
      </c>
      <c r="D146" s="7" t="inlineStr">
        <is>
          <t>VARIOS</t>
        </is>
      </c>
      <c r="E146" s="7" t="inlineStr">
        <is>
          <t>DESCARTABLES</t>
        </is>
      </c>
      <c r="F146" s="7" t="inlineStr">
        <is>
          <t>GUANTE LATEX</t>
        </is>
      </c>
      <c r="G146" s="7" t="inlineStr">
        <is>
          <t>Ciudadela</t>
        </is>
      </c>
      <c r="H146" s="6" t="n">
        <v>11</v>
      </c>
      <c r="I146" s="6" t="n">
        <v>9</v>
      </c>
      <c r="J146" s="6" t="n">
        <v>9</v>
      </c>
      <c r="K146" s="6" t="n">
        <v>9</v>
      </c>
      <c r="L146" s="6" t="n">
        <v>11</v>
      </c>
      <c r="M146" s="7" t="n">
        <v>19</v>
      </c>
      <c r="N146" s="8" t="n">
        <v>88.40000000000001</v>
      </c>
      <c r="O146" s="5" t="n">
        <v>0</v>
      </c>
      <c r="P146" s="5" t="n">
        <v>0</v>
      </c>
      <c r="Q146" s="5" t="n">
        <v>0</v>
      </c>
      <c r="R146" s="9" t="inlineStr">
        <is>
          <t>COMPRAR</t>
        </is>
      </c>
      <c r="S146" s="5" t="n">
        <v>88.40000000000001</v>
      </c>
      <c r="T146" s="5" t="n">
        <v>-20</v>
      </c>
      <c r="U146" s="5" t="inlineStr">
        <is>
          <t>GASTON VECCHIO</t>
        </is>
      </c>
      <c r="V146" s="94">
        <f>_xlfn.XMATCH(Tabla4[[#This Row],[EAN CORREGIDO]],'Calcular necesidad'!L:L)</f>
        <v/>
      </c>
      <c r="W146" s="94">
        <f>TRIM(Tabla4[[#This Row],[CodInternoArti]])</f>
        <v/>
      </c>
    </row>
    <row r="147" hidden="1">
      <c r="A147" s="5" t="n">
        <v>2006647</v>
      </c>
      <c r="B147" s="35" t="n">
        <v>7798975326413</v>
      </c>
      <c r="C147" s="7" t="inlineStr">
        <is>
          <t>TAPA 103 X100U</t>
        </is>
      </c>
      <c r="D147" s="7" t="inlineStr">
        <is>
          <t>BANDEJAS DESC</t>
        </is>
      </c>
      <c r="E147" s="7" t="inlineStr">
        <is>
          <t>BANDEJAS PLASTICAS</t>
        </is>
      </c>
      <c r="F147" s="7" t="inlineStr">
        <is>
          <t>TAPA 103</t>
        </is>
      </c>
      <c r="G147" s="7" t="inlineStr">
        <is>
          <t>Ciudadela</t>
        </is>
      </c>
      <c r="H147" s="6" t="n">
        <v>3</v>
      </c>
      <c r="I147" s="6" t="n"/>
      <c r="J147" s="6" t="n">
        <v>2</v>
      </c>
      <c r="K147" s="6" t="n"/>
      <c r="L147" s="6" t="n">
        <v>2</v>
      </c>
      <c r="M147" s="7" t="n"/>
      <c r="N147" s="8" t="n">
        <v>9.1</v>
      </c>
      <c r="O147" s="5" t="n">
        <v>0</v>
      </c>
      <c r="P147" s="5" t="n">
        <v>0</v>
      </c>
      <c r="Q147" s="5" t="n">
        <v>0</v>
      </c>
      <c r="R147" s="9" t="inlineStr">
        <is>
          <t>COMPRAR</t>
        </is>
      </c>
      <c r="S147" s="5" t="n">
        <v>9.1</v>
      </c>
      <c r="T147" s="5" t="n">
        <v>-3</v>
      </c>
      <c r="U147" s="5" t="inlineStr">
        <is>
          <t>GASTON VECCHIO</t>
        </is>
      </c>
      <c r="V147" s="94">
        <f>_xlfn.XMATCH(Tabla4[[#This Row],[EAN CORREGIDO]],'Calcular necesidad'!L:L)</f>
        <v/>
      </c>
      <c r="W147" s="94">
        <f>TRIM(Tabla4[[#This Row],[CodInternoArti]])</f>
        <v/>
      </c>
    </row>
    <row r="148" hidden="1">
      <c r="A148" s="5" t="n">
        <v>2006267</v>
      </c>
      <c r="B148" s="35" t="n">
        <v>7790629589411</v>
      </c>
      <c r="C148" s="7" t="inlineStr">
        <is>
          <t>ESCARBADIENTE ENSOBRADO X800U LUSTRAMAX</t>
        </is>
      </c>
      <c r="D148" s="7" t="inlineStr">
        <is>
          <t>VARIOS</t>
        </is>
      </c>
      <c r="E148" s="7" t="inlineStr">
        <is>
          <t>ESCARBADIENTE</t>
        </is>
      </c>
      <c r="F148" s="7" t="inlineStr">
        <is>
          <t>ESCARBADIENTE DESCARTABLE</t>
        </is>
      </c>
      <c r="G148" s="7" t="inlineStr">
        <is>
          <t>Ciudadela</t>
        </is>
      </c>
      <c r="H148" s="6" t="n"/>
      <c r="I148" s="6" t="n"/>
      <c r="J148" s="6" t="n">
        <v>1</v>
      </c>
      <c r="K148" s="6" t="n"/>
      <c r="L148" s="6" t="n"/>
      <c r="M148" s="7" t="n"/>
      <c r="N148" s="8" t="n">
        <v>1.3</v>
      </c>
      <c r="O148" s="5" t="n">
        <v>0</v>
      </c>
      <c r="P148" s="5" t="n">
        <v>0</v>
      </c>
      <c r="Q148" s="5" t="n">
        <v>0</v>
      </c>
      <c r="R148" s="9" t="inlineStr">
        <is>
          <t>COMPRAR</t>
        </is>
      </c>
      <c r="S148" s="5" t="n">
        <v>1.3</v>
      </c>
      <c r="T148" s="5" t="n">
        <v>0</v>
      </c>
      <c r="U148" s="5" t="inlineStr">
        <is>
          <t>GASTON VECCHIO</t>
        </is>
      </c>
      <c r="V148" s="94">
        <f>_xlfn.XMATCH(Tabla4[[#This Row],[EAN CORREGIDO]],'Calcular necesidad'!L:L)</f>
        <v/>
      </c>
      <c r="W148" s="94">
        <f>TRIM(Tabla4[[#This Row],[CodInternoArti]])</f>
        <v/>
      </c>
    </row>
    <row r="149" hidden="1">
      <c r="A149" s="5" t="n">
        <v>2006737</v>
      </c>
      <c r="B149" s="35" t="n">
        <v>7790013877011</v>
      </c>
      <c r="C149" s="7" t="inlineStr">
        <is>
          <t>ESCARBADIENTES ENSOBRADOS X500</t>
        </is>
      </c>
      <c r="D149" s="7" t="inlineStr">
        <is>
          <t>VARIOS</t>
        </is>
      </c>
      <c r="E149" s="7" t="inlineStr">
        <is>
          <t>ESCARBADIENTE</t>
        </is>
      </c>
      <c r="F149" s="7" t="inlineStr">
        <is>
          <t>ESCARBADIENTE DESCARTABLE</t>
        </is>
      </c>
      <c r="G149" s="7" t="inlineStr">
        <is>
          <t>Ciudadela</t>
        </is>
      </c>
      <c r="H149" s="6" t="n">
        <v>11</v>
      </c>
      <c r="I149" s="6" t="n">
        <v>17</v>
      </c>
      <c r="J149" s="6" t="n">
        <v>12</v>
      </c>
      <c r="K149" s="6" t="n">
        <v>23</v>
      </c>
      <c r="L149" s="6" t="n">
        <v>17</v>
      </c>
      <c r="M149" s="7" t="n">
        <v>11</v>
      </c>
      <c r="N149" s="8" t="n">
        <v>118.3</v>
      </c>
      <c r="O149" s="5" t="n">
        <v>0</v>
      </c>
      <c r="P149" s="5" t="n">
        <v>0</v>
      </c>
      <c r="Q149" s="5" t="n">
        <v>0</v>
      </c>
      <c r="R149" s="9" t="inlineStr">
        <is>
          <t>COMPRAR</t>
        </is>
      </c>
      <c r="S149" s="5" t="n">
        <v>118.3</v>
      </c>
      <c r="T149" s="5" t="n">
        <v>-28</v>
      </c>
      <c r="U149" s="5" t="inlineStr">
        <is>
          <t>GASTON VECCHIO</t>
        </is>
      </c>
      <c r="V149" s="94">
        <f>_xlfn.XMATCH(Tabla4[[#This Row],[EAN CORREGIDO]],'Calcular necesidad'!L:L)</f>
        <v/>
      </c>
      <c r="W149" s="94">
        <f>TRIM(Tabla4[[#This Row],[CodInternoArti]])</f>
        <v/>
      </c>
    </row>
    <row r="150" hidden="1">
      <c r="A150" s="5" t="inlineStr">
        <is>
          <t>NO SE ENCUENTRA EAN</t>
        </is>
      </c>
      <c r="B150" s="35" t="n">
        <v>7798068951855</v>
      </c>
      <c r="C150" s="7" t="inlineStr">
        <is>
          <t>BANDEJA 102 LIVI MICROO X100UN</t>
        </is>
      </c>
      <c r="D150" s="7" t="inlineStr">
        <is>
          <t>BANDEJAS DESC</t>
        </is>
      </c>
      <c r="E150" s="7" t="inlineStr">
        <is>
          <t>BANDEJAS PLASTICAS</t>
        </is>
      </c>
      <c r="F150" s="7" t="inlineStr">
        <is>
          <t>BAND 102</t>
        </is>
      </c>
      <c r="G150" s="7" t="inlineStr">
        <is>
          <t>Ciudadela</t>
        </is>
      </c>
      <c r="H150" s="6" t="n">
        <v>20</v>
      </c>
      <c r="I150" s="6" t="n">
        <v>55</v>
      </c>
      <c r="J150" s="6" t="n">
        <v>25</v>
      </c>
      <c r="K150" s="6" t="n">
        <v>54</v>
      </c>
      <c r="L150" s="6" t="n">
        <v>69</v>
      </c>
      <c r="M150" s="7" t="n">
        <v>39</v>
      </c>
      <c r="N150" s="8" t="n">
        <v>340.6</v>
      </c>
      <c r="O150" s="5" t="n">
        <v>0</v>
      </c>
      <c r="P150" s="5" t="n">
        <v>0</v>
      </c>
      <c r="Q150" s="5" t="n">
        <v>0</v>
      </c>
      <c r="R150" s="9" t="inlineStr">
        <is>
          <t>COMPRAR</t>
        </is>
      </c>
      <c r="S150" s="5" t="n">
        <v>340.6</v>
      </c>
      <c r="T150" s="5" t="n">
        <v>-75</v>
      </c>
      <c r="U150" s="5" t="inlineStr">
        <is>
          <t>GASTON VECCHIO</t>
        </is>
      </c>
      <c r="V150" s="94">
        <f>_xlfn.XMATCH(Tabla4[[#This Row],[EAN CORREGIDO]],'Calcular necesidad'!L:L)</f>
        <v/>
      </c>
      <c r="W150" s="94">
        <f>TRIM(Tabla4[[#This Row],[CodInternoArti]])</f>
        <v/>
      </c>
    </row>
    <row r="151" hidden="1">
      <c r="A151" s="5" t="inlineStr">
        <is>
          <t>NO SE ENCUENTRA EAN</t>
        </is>
      </c>
      <c r="B151" s="35" t="n">
        <v>7778068951879</v>
      </c>
      <c r="C151" s="7" t="inlineStr">
        <is>
          <t>BANDEJA 101 X100UN COTNYL</t>
        </is>
      </c>
      <c r="D151" s="7" t="inlineStr">
        <is>
          <t>BANDEJAS DESC</t>
        </is>
      </c>
      <c r="E151" s="7" t="inlineStr">
        <is>
          <t>BANDEJAS PLASTICAS</t>
        </is>
      </c>
      <c r="F151" s="7" t="inlineStr">
        <is>
          <t>BAND 101</t>
        </is>
      </c>
      <c r="G151" s="7" t="inlineStr">
        <is>
          <t>Ciudadela</t>
        </is>
      </c>
      <c r="H151" s="6" t="n">
        <v>3</v>
      </c>
      <c r="I151" s="6" t="n">
        <v>8</v>
      </c>
      <c r="J151" s="6" t="n">
        <v>4</v>
      </c>
      <c r="K151" s="6" t="n">
        <v>8</v>
      </c>
      <c r="L151" s="6" t="n">
        <v>3</v>
      </c>
      <c r="M151" s="7" t="n">
        <v>8</v>
      </c>
      <c r="N151" s="8" t="n">
        <v>44.2</v>
      </c>
      <c r="O151" s="5" t="n">
        <v>0</v>
      </c>
      <c r="P151" s="5" t="n">
        <v>0</v>
      </c>
      <c r="Q151" s="5" t="n">
        <v>0</v>
      </c>
      <c r="R151" s="9" t="inlineStr">
        <is>
          <t>COMPRAR</t>
        </is>
      </c>
      <c r="S151" s="5" t="n">
        <v>44.2</v>
      </c>
      <c r="T151" s="5" t="n">
        <v>-11</v>
      </c>
      <c r="U151" s="5" t="inlineStr">
        <is>
          <t>GASTON VECCHIO</t>
        </is>
      </c>
      <c r="V151" s="94">
        <f>_xlfn.XMATCH(Tabla4[[#This Row],[EAN CORREGIDO]],'Calcular necesidad'!L:L)</f>
        <v/>
      </c>
      <c r="W151" s="94">
        <f>TRIM(Tabla4[[#This Row],[CodInternoArti]])</f>
        <v/>
      </c>
    </row>
    <row r="152" hidden="1">
      <c r="A152" s="5" t="n">
        <v>2006799</v>
      </c>
      <c r="B152" s="35" t="n">
        <v>7791388988495</v>
      </c>
      <c r="C152" s="7" t="inlineStr">
        <is>
          <t xml:space="preserve">ROLLO ALUMINIO 40CM X1KG        </t>
        </is>
      </c>
      <c r="D152" s="7" t="inlineStr">
        <is>
          <t>PAPEL</t>
        </is>
      </c>
      <c r="E152" s="7" t="inlineStr">
        <is>
          <t>ROLLO INDUSTRIAL</t>
        </is>
      </c>
      <c r="F152" s="7" t="inlineStr">
        <is>
          <t>PAPEL ALUMINIO</t>
        </is>
      </c>
      <c r="G152" s="7" t="inlineStr">
        <is>
          <t>Ciudadela</t>
        </is>
      </c>
      <c r="H152" s="6" t="n">
        <v>4</v>
      </c>
      <c r="I152" s="6" t="n">
        <v>4</v>
      </c>
      <c r="J152" s="6" t="n">
        <v>4</v>
      </c>
      <c r="K152" s="6" t="n">
        <v>4</v>
      </c>
      <c r="L152" s="6" t="n">
        <v>4</v>
      </c>
      <c r="M152" s="7" t="n">
        <v>4</v>
      </c>
      <c r="N152" s="8" t="n">
        <v>31.2</v>
      </c>
      <c r="O152" s="5" t="n">
        <v>3</v>
      </c>
      <c r="P152" s="5" t="n">
        <v>0</v>
      </c>
      <c r="Q152" s="5" t="n">
        <v>0</v>
      </c>
      <c r="R152" s="9" t="inlineStr">
        <is>
          <t>COMPRAR</t>
        </is>
      </c>
      <c r="S152" s="5" t="n">
        <v>28.2</v>
      </c>
      <c r="T152" s="5" t="n">
        <v>-5</v>
      </c>
      <c r="U152" s="5" t="inlineStr">
        <is>
          <t>GASTON VECCHIO</t>
        </is>
      </c>
      <c r="V152" s="94">
        <f>_xlfn.XMATCH(Tabla4[[#This Row],[EAN CORREGIDO]],'Calcular necesidad'!L:L)</f>
        <v/>
      </c>
      <c r="W152" s="94">
        <f>TRIM(Tabla4[[#This Row],[CodInternoArti]])</f>
        <v/>
      </c>
    </row>
    <row r="153" hidden="1">
      <c r="A153" s="5" t="inlineStr">
        <is>
          <t>NO SE ENCUENTRA EAN</t>
        </is>
      </c>
      <c r="B153" s="35" t="n">
        <v>7790000000235</v>
      </c>
      <c r="C153" s="7" t="inlineStr">
        <is>
          <t>INDIVID. CHEF GOURMET HEALTH X1000U</t>
        </is>
      </c>
      <c r="D153" s="7" t="inlineStr">
        <is>
          <t>VARIOS</t>
        </is>
      </c>
      <c r="E153" s="7" t="inlineStr">
        <is>
          <t>DESCARTABLES</t>
        </is>
      </c>
      <c r="F153" s="7" t="inlineStr">
        <is>
          <t>MANTEL LOGO HEALTH</t>
        </is>
      </c>
      <c r="G153" s="7" t="inlineStr">
        <is>
          <t>Ciudadela</t>
        </is>
      </c>
      <c r="H153" s="6" t="n">
        <v>9</v>
      </c>
      <c r="I153" s="6" t="n">
        <v>10</v>
      </c>
      <c r="J153" s="6" t="n">
        <v>4</v>
      </c>
      <c r="K153" s="6" t="n">
        <v>13</v>
      </c>
      <c r="L153" s="6" t="n">
        <v>13</v>
      </c>
      <c r="M153" s="7" t="n">
        <v>4</v>
      </c>
      <c r="N153" s="8" t="n">
        <v>68.90000000000001</v>
      </c>
      <c r="O153" s="5" t="n">
        <v>101</v>
      </c>
      <c r="P153" s="5" t="n">
        <v>0</v>
      </c>
      <c r="Q153" s="5" t="n">
        <v>300</v>
      </c>
      <c r="R153" s="9" t="inlineStr">
        <is>
          <t>OK</t>
        </is>
      </c>
      <c r="S153" s="5" t="n">
        <v>0</v>
      </c>
      <c r="T153" s="5" t="n">
        <v>82</v>
      </c>
      <c r="U153" s="5" t="inlineStr">
        <is>
          <t>GASTON VECCHIO</t>
        </is>
      </c>
      <c r="V153" s="94">
        <f>_xlfn.XMATCH(Tabla4[[#This Row],[EAN CORREGIDO]],'Calcular necesidad'!L:L)</f>
        <v/>
      </c>
      <c r="W153" s="94">
        <f>TRIM(Tabla4[[#This Row],[CodInternoArti]])</f>
        <v/>
      </c>
    </row>
    <row r="154" hidden="1">
      <c r="A154" s="5" t="n">
        <v>2007287</v>
      </c>
      <c r="B154" s="35" t="n">
        <v>7790000000345</v>
      </c>
      <c r="C154" s="7" t="inlineStr">
        <is>
          <t>VO TAPA RECTANGULAR 101 X 50UN COTNYL</t>
        </is>
      </c>
      <c r="D154" s="7" t="inlineStr">
        <is>
          <t>TAPAS BAND DESC</t>
        </is>
      </c>
      <c r="E154" s="7" t="inlineStr">
        <is>
          <t>TAPAS PLASTICAS</t>
        </is>
      </c>
      <c r="F154" s="7" t="inlineStr">
        <is>
          <t>TAPA 101</t>
        </is>
      </c>
      <c r="G154" s="7" t="inlineStr">
        <is>
          <t>Ciudadela</t>
        </is>
      </c>
      <c r="H154" s="6" t="n">
        <v>7</v>
      </c>
      <c r="I154" s="6" t="n">
        <v>18</v>
      </c>
      <c r="J154" s="6" t="n">
        <v>58</v>
      </c>
      <c r="K154" s="6" t="n">
        <v>33</v>
      </c>
      <c r="L154" s="6" t="n">
        <v>62</v>
      </c>
      <c r="M154" s="7" t="n">
        <v>42</v>
      </c>
      <c r="N154" s="8" t="n">
        <v>286</v>
      </c>
      <c r="O154" s="5" t="n">
        <v>0</v>
      </c>
      <c r="P154" s="5" t="n">
        <v>0</v>
      </c>
      <c r="Q154" s="5" t="n">
        <v>0</v>
      </c>
      <c r="R154" s="9" t="inlineStr">
        <is>
          <t>COMPRAR</t>
        </is>
      </c>
      <c r="S154" s="5" t="n">
        <v>286</v>
      </c>
      <c r="T154" s="5" t="n">
        <v>-25</v>
      </c>
      <c r="U154" s="5" t="inlineStr">
        <is>
          <t>GASTON VECCHIO</t>
        </is>
      </c>
      <c r="V154" s="94">
        <f>_xlfn.XMATCH(Tabla4[[#This Row],[EAN CORREGIDO]],'Calcular necesidad'!L:L)</f>
        <v/>
      </c>
      <c r="W154" s="94">
        <f>TRIM(Tabla4[[#This Row],[CodInternoArti]])</f>
        <v/>
      </c>
    </row>
    <row r="155" hidden="1">
      <c r="A155" s="5" t="n">
        <v>2006835</v>
      </c>
      <c r="B155" s="35" t="n">
        <v>7798161675719</v>
      </c>
      <c r="C155" s="7" t="inlineStr">
        <is>
          <t>GUANTE LATEX M X 100 EUROMIX</t>
        </is>
      </c>
      <c r="D155" s="7" t="inlineStr">
        <is>
          <t>VARIOS</t>
        </is>
      </c>
      <c r="E155" s="7" t="inlineStr">
        <is>
          <t>DESCARTABLES</t>
        </is>
      </c>
      <c r="F155" s="7" t="inlineStr">
        <is>
          <t>GUANTE LATEX</t>
        </is>
      </c>
      <c r="G155" s="7" t="inlineStr">
        <is>
          <t>Ciudadela</t>
        </is>
      </c>
      <c r="H155" s="6" t="n">
        <v>22</v>
      </c>
      <c r="I155" s="6" t="n">
        <v>2</v>
      </c>
      <c r="J155" s="6" t="n">
        <v>15</v>
      </c>
      <c r="K155" s="6" t="n">
        <v>97</v>
      </c>
      <c r="L155" s="6" t="n">
        <v>82</v>
      </c>
      <c r="M155" s="7" t="n">
        <v>72</v>
      </c>
      <c r="N155" s="8" t="n">
        <v>377</v>
      </c>
      <c r="O155" s="5" t="n">
        <v>0</v>
      </c>
      <c r="P155" s="5" t="n">
        <v>0</v>
      </c>
      <c r="Q155" s="5" t="n">
        <v>0</v>
      </c>
      <c r="R155" s="9" t="inlineStr">
        <is>
          <t>COMPRAR</t>
        </is>
      </c>
      <c r="S155" s="5" t="n">
        <v>377</v>
      </c>
      <c r="T155" s="5" t="n">
        <v>-24</v>
      </c>
      <c r="U155" s="5" t="inlineStr">
        <is>
          <t>GASTON VECCHIO</t>
        </is>
      </c>
      <c r="V155" s="94">
        <f>_xlfn.XMATCH(Tabla4[[#This Row],[EAN CORREGIDO]],'Calcular necesidad'!L:L)</f>
        <v/>
      </c>
      <c r="W155" s="94">
        <f>TRIM(Tabla4[[#This Row],[CodInternoArti]])</f>
        <v/>
      </c>
    </row>
    <row r="156" hidden="1">
      <c r="A156" s="5" t="n">
        <v>2006204</v>
      </c>
      <c r="B156" s="35" t="inlineStr">
        <is>
          <t>BAZ00011</t>
        </is>
      </c>
      <c r="C156" s="7" t="inlineStr">
        <is>
          <t>ENS. CRISTAL TAPA X600U BANDEX</t>
        </is>
      </c>
      <c r="D156" s="7" t="inlineStr">
        <is>
          <t>TAPAS BAND DESC</t>
        </is>
      </c>
      <c r="E156" s="7" t="inlineStr">
        <is>
          <t>TAPAS PLASTICAS</t>
        </is>
      </c>
      <c r="F156" s="7" t="inlineStr">
        <is>
          <t>TAPA ENSALADERA</t>
        </is>
      </c>
      <c r="G156" s="7" t="inlineStr">
        <is>
          <t>Ciudadela</t>
        </is>
      </c>
      <c r="H156" s="6" t="n">
        <v>2</v>
      </c>
      <c r="I156" s="6" t="n"/>
      <c r="J156" s="6" t="n"/>
      <c r="K156" s="6" t="n"/>
      <c r="L156" s="6" t="n">
        <v>1</v>
      </c>
      <c r="M156" s="7" t="n"/>
      <c r="N156" s="8" t="n">
        <v>3.9</v>
      </c>
      <c r="O156" s="5" t="n">
        <v>0</v>
      </c>
      <c r="P156" s="5" t="n">
        <v>0</v>
      </c>
      <c r="Q156" s="5" t="n">
        <v>0</v>
      </c>
      <c r="R156" s="9" t="inlineStr">
        <is>
          <t>COMPRAR</t>
        </is>
      </c>
      <c r="S156" s="5" t="n">
        <v>3.9</v>
      </c>
      <c r="T156" s="5" t="n">
        <v>-2</v>
      </c>
      <c r="U156" s="5" t="inlineStr">
        <is>
          <t>GASTON VECCHIO</t>
        </is>
      </c>
      <c r="V156" s="94">
        <f>_xlfn.XMATCH(Tabla4[[#This Row],[EAN CORREGIDO]],'Calcular necesidad'!L:L)</f>
        <v/>
      </c>
      <c r="W156" s="94">
        <f>TRIM(Tabla4[[#This Row],[CodInternoArti]])</f>
        <v/>
      </c>
    </row>
    <row r="157" hidden="1">
      <c r="A157" s="5" t="n">
        <v>2007576</v>
      </c>
      <c r="B157" s="35" t="n">
        <v>7790000000522</v>
      </c>
      <c r="C157" s="7" t="inlineStr">
        <is>
          <t>GL CUCHILLO COMPOS.16CM X100 BIOPAC</t>
        </is>
      </c>
      <c r="D157" s="7" t="inlineStr">
        <is>
          <t>CUBIERTOS DESC</t>
        </is>
      </c>
      <c r="E157" s="7" t="inlineStr">
        <is>
          <t>CUCHILLOS</t>
        </is>
      </c>
      <c r="F157" s="7" t="inlineStr">
        <is>
          <t>CUCHILLOS</t>
        </is>
      </c>
      <c r="G157" s="7" t="inlineStr">
        <is>
          <t>Ciudadela</t>
        </is>
      </c>
      <c r="H157" s="6" t="n"/>
      <c r="I157" s="6" t="n">
        <v>20</v>
      </c>
      <c r="J157" s="6" t="n">
        <v>10</v>
      </c>
      <c r="K157" s="6" t="n"/>
      <c r="L157" s="6" t="n">
        <v>50</v>
      </c>
      <c r="M157" s="7" t="n">
        <v>20</v>
      </c>
      <c r="N157" s="8" t="n">
        <v>130</v>
      </c>
      <c r="O157" s="5" t="n">
        <v>0</v>
      </c>
      <c r="P157" s="5" t="n">
        <v>0</v>
      </c>
      <c r="Q157" s="5" t="n">
        <v>0</v>
      </c>
      <c r="R157" s="9" t="inlineStr">
        <is>
          <t>COMPRAR</t>
        </is>
      </c>
      <c r="S157" s="5" t="n">
        <v>130</v>
      </c>
      <c r="T157" s="5" t="n">
        <v>-20</v>
      </c>
      <c r="U157" s="5" t="inlineStr">
        <is>
          <t>GASTON VECCHIO</t>
        </is>
      </c>
      <c r="V157" s="94">
        <f>_xlfn.XMATCH(Tabla4[[#This Row],[EAN CORREGIDO]],'Calcular necesidad'!L:L)</f>
        <v/>
      </c>
      <c r="W157" s="94">
        <f>TRIM(Tabla4[[#This Row],[CodInternoArti]])</f>
        <v/>
      </c>
    </row>
    <row r="158" hidden="1">
      <c r="A158" s="5" t="inlineStr">
        <is>
          <t>NO SE ENCUENTRA EAN</t>
        </is>
      </c>
      <c r="B158" s="35" t="n">
        <v>7798452810027</v>
      </c>
      <c r="C158" s="7" t="inlineStr">
        <is>
          <t>GUANTES LATEX M X100U ALUMAX</t>
        </is>
      </c>
      <c r="D158" s="7" t="inlineStr">
        <is>
          <t>VARIOS</t>
        </is>
      </c>
      <c r="E158" s="7" t="inlineStr">
        <is>
          <t>DESCARTABLES</t>
        </is>
      </c>
      <c r="F158" s="7" t="inlineStr">
        <is>
          <t>GUANTE LATEX</t>
        </is>
      </c>
      <c r="G158" s="7" t="inlineStr">
        <is>
          <t>Ciudadela</t>
        </is>
      </c>
      <c r="H158" s="6" t="n">
        <v>14</v>
      </c>
      <c r="I158" s="6" t="n"/>
      <c r="J158" s="6" t="n"/>
      <c r="K158" s="6" t="n"/>
      <c r="L158" s="6" t="n"/>
      <c r="M158" s="7" t="n"/>
      <c r="N158" s="8" t="n">
        <v>18.2</v>
      </c>
      <c r="O158" s="5" t="n">
        <v>200</v>
      </c>
      <c r="P158" s="5" t="n">
        <v>0</v>
      </c>
      <c r="Q158" s="5" t="n">
        <v>83</v>
      </c>
      <c r="R158" s="9" t="inlineStr">
        <is>
          <t>OK</t>
        </is>
      </c>
      <c r="S158" s="5" t="n">
        <v>0</v>
      </c>
      <c r="T158" s="5" t="n">
        <v>186</v>
      </c>
      <c r="U158" s="5" t="inlineStr">
        <is>
          <t>GASTON VECCHIO</t>
        </is>
      </c>
      <c r="V158" s="94">
        <f>_xlfn.XMATCH(Tabla4[[#This Row],[EAN CORREGIDO]],'Calcular necesidad'!L:L)</f>
        <v/>
      </c>
      <c r="W158" s="94">
        <f>TRIM(Tabla4[[#This Row],[CodInternoArti]])</f>
        <v/>
      </c>
    </row>
    <row r="159" hidden="1">
      <c r="A159" s="5" t="inlineStr">
        <is>
          <t>NO SE ENCUENTRA EAN</t>
        </is>
      </c>
      <c r="B159" s="35" t="n">
        <v>7798011210022</v>
      </c>
      <c r="C159" s="7" t="inlineStr">
        <is>
          <t>TAPA BANDEJA 121 MICR X100U</t>
        </is>
      </c>
      <c r="D159" s="7" t="inlineStr">
        <is>
          <t>TAPAS BAND DESC</t>
        </is>
      </c>
      <c r="E159" s="7" t="inlineStr">
        <is>
          <t>TAPAS PLASTICAS</t>
        </is>
      </c>
      <c r="F159" s="7" t="inlineStr">
        <is>
          <t>TAPA 101</t>
        </is>
      </c>
      <c r="G159" s="7" t="inlineStr">
        <is>
          <t>CD Moreno 3</t>
        </is>
      </c>
      <c r="H159" s="6" t="n"/>
      <c r="I159" s="6" t="n"/>
      <c r="J159" s="6" t="n"/>
      <c r="K159" s="6" t="n"/>
      <c r="L159" s="6" t="n"/>
      <c r="M159" s="7" t="n"/>
      <c r="N159" s="8" t="n">
        <v>0</v>
      </c>
      <c r="O159" s="5" t="n">
        <v>31</v>
      </c>
      <c r="P159" s="5" t="n">
        <v>0</v>
      </c>
      <c r="Q159" s="5" t="n">
        <v>496</v>
      </c>
      <c r="R159" s="9" t="inlineStr">
        <is>
          <t>OK</t>
        </is>
      </c>
      <c r="S159" s="5" t="n">
        <v>0</v>
      </c>
      <c r="T159" s="5" t="n">
        <v>31</v>
      </c>
      <c r="U159" s="5" t="inlineStr">
        <is>
          <t>GASTON VECCHIO</t>
        </is>
      </c>
      <c r="V159" s="94">
        <f>_xlfn.XMATCH(Tabla4[[#This Row],[EAN CORREGIDO]],'Calcular necesidad'!L:L)</f>
        <v/>
      </c>
      <c r="W159" s="94">
        <f>TRIM(Tabla4[[#This Row],[CodInternoArti]])</f>
        <v/>
      </c>
    </row>
    <row r="160" hidden="1">
      <c r="A160" s="5" t="n">
        <v>2007560</v>
      </c>
      <c r="B160" s="35" t="n">
        <v>7790250912828</v>
      </c>
      <c r="C160" s="7" t="inlineStr">
        <is>
          <t>GL_SERV FASTFOOD 16X21X8400U ELITE</t>
        </is>
      </c>
      <c r="D160" s="7" t="inlineStr">
        <is>
          <t>DESCARTABLES</t>
        </is>
      </c>
      <c r="E160" s="7" t="inlineStr">
        <is>
          <t>SERVILLETAS DESC S/LOGO</t>
        </is>
      </c>
      <c r="F160" s="7" t="inlineStr">
        <is>
          <t>SERVILLETA DESC S/LOGO</t>
        </is>
      </c>
      <c r="G160" s="7" t="inlineStr">
        <is>
          <t>Ciudadela</t>
        </is>
      </c>
      <c r="H160" s="6" t="n">
        <v>1</v>
      </c>
      <c r="I160" s="6" t="n">
        <v>3</v>
      </c>
      <c r="J160" s="6" t="n">
        <v>1</v>
      </c>
      <c r="K160" s="6" t="n">
        <v>2</v>
      </c>
      <c r="L160" s="6" t="n">
        <v>2</v>
      </c>
      <c r="M160" s="7" t="n"/>
      <c r="N160" s="8" t="n">
        <v>11.7</v>
      </c>
      <c r="O160" s="5" t="n">
        <v>0</v>
      </c>
      <c r="P160" s="5" t="n">
        <v>0</v>
      </c>
      <c r="Q160" s="5" t="n">
        <v>0</v>
      </c>
      <c r="R160" s="9" t="inlineStr">
        <is>
          <t>COMPRAR</t>
        </is>
      </c>
      <c r="S160" s="5" t="n">
        <v>11.7</v>
      </c>
      <c r="T160" s="5" t="n">
        <v>-4</v>
      </c>
      <c r="U160" s="5" t="inlineStr">
        <is>
          <t>GASTON VECCHIO</t>
        </is>
      </c>
      <c r="V160" s="94">
        <f>_xlfn.XMATCH(Tabla4[[#This Row],[EAN CORREGIDO]],'Calcular necesidad'!L:L)</f>
        <v/>
      </c>
      <c r="W160" s="94">
        <f>TRIM(Tabla4[[#This Row],[CodInternoArti]])</f>
        <v/>
      </c>
    </row>
    <row r="161" hidden="1">
      <c r="A161" s="5" t="n">
        <v>2006381</v>
      </c>
      <c r="B161" s="35" t="n">
        <v>756058757297</v>
      </c>
      <c r="C161" s="7" t="inlineStr">
        <is>
          <t>FILM APTO TEMP 38X1000M XU CAC</t>
        </is>
      </c>
      <c r="D161" s="7" t="inlineStr">
        <is>
          <t>VARIOS</t>
        </is>
      </c>
      <c r="E161" s="7" t="inlineStr">
        <is>
          <t>RESINITE</t>
        </is>
      </c>
      <c r="F161" s="7" t="inlineStr">
        <is>
          <t>RESINITE APTO TEMPERATURA</t>
        </is>
      </c>
      <c r="G161" s="7" t="inlineStr">
        <is>
          <t>Ciudadela</t>
        </is>
      </c>
      <c r="H161" s="6" t="n">
        <v>2</v>
      </c>
      <c r="I161" s="6" t="n">
        <v>7</v>
      </c>
      <c r="J161" s="6" t="n">
        <v>2</v>
      </c>
      <c r="K161" s="6" t="n">
        <v>10</v>
      </c>
      <c r="L161" s="6" t="n">
        <v>8</v>
      </c>
      <c r="M161" s="7" t="n">
        <v>1</v>
      </c>
      <c r="N161" s="8" t="n">
        <v>39</v>
      </c>
      <c r="O161" s="5" t="n">
        <v>0</v>
      </c>
      <c r="P161" s="5" t="n">
        <v>0</v>
      </c>
      <c r="Q161" s="5" t="n">
        <v>0</v>
      </c>
      <c r="R161" s="9" t="inlineStr">
        <is>
          <t>COMPRAR</t>
        </is>
      </c>
      <c r="S161" s="5" t="n">
        <v>39</v>
      </c>
      <c r="T161" s="5" t="n">
        <v>-9</v>
      </c>
      <c r="U161" s="5" t="inlineStr">
        <is>
          <t>GASTON VECCHIO</t>
        </is>
      </c>
      <c r="V161" s="94">
        <f>_xlfn.XMATCH(Tabla4[[#This Row],[EAN CORREGIDO]],'Calcular necesidad'!L:L)</f>
        <v/>
      </c>
      <c r="W161" s="94">
        <f>TRIM(Tabla4[[#This Row],[CodInternoArti]])</f>
        <v/>
      </c>
    </row>
    <row r="162" hidden="1">
      <c r="A162" s="5" t="n">
        <v>2007192</v>
      </c>
      <c r="B162" s="35" t="n">
        <v>7790000000236</v>
      </c>
      <c r="C162" s="7" t="inlineStr">
        <is>
          <t>NDIVIDUAL CHEF GOURMET FOOD UN X1000</t>
        </is>
      </c>
      <c r="D162" s="7" t="inlineStr">
        <is>
          <t>VARIOS</t>
        </is>
      </c>
      <c r="E162" s="7" t="inlineStr">
        <is>
          <t>DESCARTABLES</t>
        </is>
      </c>
      <c r="F162" s="7" t="inlineStr">
        <is>
          <t>MANTEL LOGO CHEF</t>
        </is>
      </c>
      <c r="G162" s="7" t="inlineStr">
        <is>
          <t>Ciudadela</t>
        </is>
      </c>
      <c r="H162" s="6" t="n">
        <v>43</v>
      </c>
      <c r="I162" s="6" t="n">
        <v>14</v>
      </c>
      <c r="J162" s="6" t="n">
        <v>8</v>
      </c>
      <c r="K162" s="6" t="n">
        <v>14</v>
      </c>
      <c r="L162" s="6" t="n">
        <v>34</v>
      </c>
      <c r="M162" s="7" t="n">
        <v>6</v>
      </c>
      <c r="N162" s="8" t="n">
        <v>154.7</v>
      </c>
      <c r="O162" s="5" t="n">
        <v>147</v>
      </c>
      <c r="P162" s="5" t="n">
        <v>0</v>
      </c>
      <c r="Q162" s="5" t="n">
        <v>704</v>
      </c>
      <c r="R162" s="9" t="inlineStr">
        <is>
          <t>TRANSFERIR</t>
        </is>
      </c>
      <c r="S162" s="5" t="n">
        <v>0</v>
      </c>
      <c r="T162" s="5" t="n">
        <v>90</v>
      </c>
      <c r="U162" s="5" t="inlineStr">
        <is>
          <t>GASTON VECCHIO</t>
        </is>
      </c>
      <c r="V162" s="94">
        <f>_xlfn.XMATCH(Tabla4[[#This Row],[EAN CORREGIDO]],'Calcular necesidad'!L:L)</f>
        <v/>
      </c>
      <c r="W162" s="94">
        <f>TRIM(Tabla4[[#This Row],[CodInternoArti]])</f>
        <v/>
      </c>
    </row>
    <row r="163" hidden="1">
      <c r="A163" s="5" t="inlineStr">
        <is>
          <t>NO SE ENCUENTRA EAN</t>
        </is>
      </c>
      <c r="B163" s="35" t="n">
        <v>7790000000904</v>
      </c>
      <c r="C163" s="7" t="inlineStr">
        <is>
          <t>MANGA TERMICA 12 OZ BLUE XUN</t>
        </is>
      </c>
      <c r="D163" s="7" t="inlineStr">
        <is>
          <t>UTENSILLOS</t>
        </is>
      </c>
      <c r="E163" s="7" t="inlineStr">
        <is>
          <t>BAZAR</t>
        </is>
      </c>
      <c r="F163" s="7" t="inlineStr">
        <is>
          <t>MANGA DESCARTABLE</t>
        </is>
      </c>
      <c r="G163" s="7" t="inlineStr">
        <is>
          <t>Ciudadela</t>
        </is>
      </c>
      <c r="H163" s="6" t="n"/>
      <c r="I163" s="6" t="n">
        <v>1</v>
      </c>
      <c r="J163" s="6" t="n"/>
      <c r="K163" s="6" t="n">
        <v>1</v>
      </c>
      <c r="L163" s="6" t="n"/>
      <c r="M163" s="7" t="n">
        <v>1</v>
      </c>
      <c r="N163" s="8" t="n">
        <v>3.9</v>
      </c>
      <c r="O163" s="5" t="n">
        <v>0</v>
      </c>
      <c r="P163" s="5" t="n">
        <v>0</v>
      </c>
      <c r="Q163" s="5" t="n">
        <v>0</v>
      </c>
      <c r="R163" s="9" t="inlineStr">
        <is>
          <t>COMPRAR</t>
        </is>
      </c>
      <c r="S163" s="5" t="n">
        <v>3.9</v>
      </c>
      <c r="T163" s="5" t="n">
        <v>-1</v>
      </c>
      <c r="U163" s="5" t="inlineStr">
        <is>
          <t>GASTON VECCHIO</t>
        </is>
      </c>
      <c r="V163" s="94">
        <f>_xlfn.XMATCH(Tabla4[[#This Row],[EAN CORREGIDO]],'Calcular necesidad'!L:L)</f>
        <v/>
      </c>
      <c r="W163" s="94">
        <f>TRIM(Tabla4[[#This Row],[CodInternoArti]])</f>
        <v/>
      </c>
    </row>
    <row r="164" hidden="1">
      <c r="A164" s="5" t="inlineStr">
        <is>
          <t>NO SE ENCUENTRA EAN</t>
        </is>
      </c>
      <c r="B164" s="35" t="n">
        <v>7790000000897</v>
      </c>
      <c r="C164" s="7" t="inlineStr">
        <is>
          <t>PORTA VASOSC/MANIJABLUEX100U</t>
        </is>
      </c>
      <c r="D164" s="7" t="inlineStr">
        <is>
          <t>DESCARTABLES</t>
        </is>
      </c>
      <c r="E164" s="7" t="inlineStr">
        <is>
          <t>DESCARTABLES</t>
        </is>
      </c>
      <c r="F164" s="7" t="inlineStr">
        <is>
          <t>PORTA VASO DESC</t>
        </is>
      </c>
      <c r="G164" s="7" t="inlineStr">
        <is>
          <t>Ciudadela</t>
        </is>
      </c>
      <c r="H164" s="6" t="n">
        <v>5</v>
      </c>
      <c r="I164" s="6" t="n">
        <v>1</v>
      </c>
      <c r="J164" s="6" t="n">
        <v>1</v>
      </c>
      <c r="K164" s="6" t="n">
        <v>1</v>
      </c>
      <c r="L164" s="6" t="n">
        <v>3</v>
      </c>
      <c r="M164" s="7" t="n">
        <v>1</v>
      </c>
      <c r="N164" s="8" t="n">
        <v>15.6</v>
      </c>
      <c r="O164" s="5" t="n">
        <v>0</v>
      </c>
      <c r="P164" s="5" t="n">
        <v>0</v>
      </c>
      <c r="Q164" s="5" t="n">
        <v>0</v>
      </c>
      <c r="R164" s="9" t="inlineStr">
        <is>
          <t>COMPRAR</t>
        </is>
      </c>
      <c r="S164" s="5" t="n">
        <v>15.6</v>
      </c>
      <c r="T164" s="5" t="n">
        <v>-6</v>
      </c>
      <c r="U164" s="5" t="inlineStr">
        <is>
          <t>GASTON VECCHIO</t>
        </is>
      </c>
      <c r="V164" s="94">
        <f>_xlfn.XMATCH(Tabla4[[#This Row],[EAN CORREGIDO]],'Calcular necesidad'!L:L)</f>
        <v/>
      </c>
      <c r="W164" s="94">
        <f>TRIM(Tabla4[[#This Row],[CodInternoArti]])</f>
        <v/>
      </c>
    </row>
    <row r="165" hidden="1">
      <c r="A165" s="5" t="inlineStr">
        <is>
          <t>NO SE ENCUENTRA EAN</t>
        </is>
      </c>
      <c r="B165" s="35" t="n">
        <v>9992016801775</v>
      </c>
      <c r="C165" s="7" t="inlineStr">
        <is>
          <t>SERVILLETA BLUE 18X18 1.1KGX1450U</t>
        </is>
      </c>
      <c r="D165" s="7" t="inlineStr">
        <is>
          <t>SERVILLETAS DESC</t>
        </is>
      </c>
      <c r="E165" s="7" t="inlineStr">
        <is>
          <t>SERVILLETAS DESC S/LOGO</t>
        </is>
      </c>
      <c r="F165" s="7" t="inlineStr">
        <is>
          <t>SERVILLETA C/LOGO BL</t>
        </is>
      </c>
      <c r="G165" s="7" t="inlineStr">
        <is>
          <t>CD Moreno 3</t>
        </is>
      </c>
      <c r="H165" s="6" t="n"/>
      <c r="I165" s="6" t="n"/>
      <c r="J165" s="6" t="n"/>
      <c r="K165" s="6" t="n"/>
      <c r="L165" s="6" t="n"/>
      <c r="M165" s="7" t="n"/>
      <c r="N165" s="8" t="n">
        <v>0</v>
      </c>
      <c r="O165" s="5" t="n">
        <v>0</v>
      </c>
      <c r="P165" s="5" t="n">
        <v>0</v>
      </c>
      <c r="Q165" s="5" t="n">
        <v>0</v>
      </c>
      <c r="R165" s="9" t="inlineStr">
        <is>
          <t>OK</t>
        </is>
      </c>
      <c r="S165" s="5" t="n">
        <v>0</v>
      </c>
      <c r="T165" s="5" t="n">
        <v>0</v>
      </c>
      <c r="U165" s="5" t="inlineStr">
        <is>
          <t>GASTON VECCHIO</t>
        </is>
      </c>
      <c r="V165" s="94">
        <f>_xlfn.XMATCH(Tabla4[[#This Row],[EAN CORREGIDO]],'Calcular necesidad'!L:L)</f>
        <v/>
      </c>
      <c r="W165" s="94">
        <f>TRIM(Tabla4[[#This Row],[CodInternoArti]])</f>
        <v/>
      </c>
    </row>
    <row r="166" hidden="1">
      <c r="A166" s="5" t="n">
        <v>2006822</v>
      </c>
      <c r="B166" s="35" t="n">
        <v>610000108746</v>
      </c>
      <c r="C166" s="7" t="inlineStr">
        <is>
          <t>BANDEJA ALUM R3/F275 X500U</t>
        </is>
      </c>
      <c r="D166" s="7" t="inlineStr">
        <is>
          <t>BANDEJAS DESC</t>
        </is>
      </c>
      <c r="E166" s="7" t="inlineStr">
        <is>
          <t>BANDEJAS ALUMINIO</t>
        </is>
      </c>
      <c r="F166" s="7" t="inlineStr">
        <is>
          <t>BAND ALUMINIO R3</t>
        </is>
      </c>
      <c r="G166" s="7" t="inlineStr">
        <is>
          <t>Ciudadela</t>
        </is>
      </c>
      <c r="H166" s="6" t="n"/>
      <c r="I166" s="6" t="n"/>
      <c r="J166" s="6" t="n"/>
      <c r="K166" s="6" t="n">
        <v>5</v>
      </c>
      <c r="L166" s="6" t="n">
        <v>5</v>
      </c>
      <c r="M166" s="7" t="n">
        <v>5</v>
      </c>
      <c r="N166" s="8" t="n">
        <v>19.5</v>
      </c>
      <c r="O166" s="5" t="n">
        <v>30</v>
      </c>
      <c r="P166" s="5" t="n">
        <v>0</v>
      </c>
      <c r="Q166" s="5" t="n">
        <v>57</v>
      </c>
      <c r="R166" s="9" t="inlineStr">
        <is>
          <t>OK</t>
        </is>
      </c>
      <c r="S166" s="5" t="n">
        <v>0</v>
      </c>
      <c r="T166" s="5" t="n">
        <v>30</v>
      </c>
      <c r="U166" s="5" t="inlineStr">
        <is>
          <t>GASTON VECCHIO</t>
        </is>
      </c>
      <c r="V166" s="94">
        <f>_xlfn.XMATCH(Tabla4[[#This Row],[EAN CORREGIDO]],'Calcular necesidad'!L:L)</f>
        <v/>
      </c>
      <c r="W166" s="94">
        <f>TRIM(Tabla4[[#This Row],[CodInternoArti]])</f>
        <v/>
      </c>
    </row>
    <row r="167" hidden="1">
      <c r="A167" s="5" t="n">
        <v>2006233</v>
      </c>
      <c r="B167" s="35" t="inlineStr">
        <is>
          <t>PS0241</t>
        </is>
      </c>
      <c r="C167" s="7" t="inlineStr">
        <is>
          <t>SERVILLETA BAR X 10000U BARMAN</t>
        </is>
      </c>
      <c r="D167" s="7" t="inlineStr">
        <is>
          <t>SERVILLETAS DESC</t>
        </is>
      </c>
      <c r="E167" s="7" t="inlineStr">
        <is>
          <t>SERVILLETAS DESC S/LOGO</t>
        </is>
      </c>
      <c r="F167" s="7" t="inlineStr">
        <is>
          <t>SERVILLETA BAR</t>
        </is>
      </c>
      <c r="G167" s="7" t="inlineStr">
        <is>
          <t>Ciudadela</t>
        </is>
      </c>
      <c r="H167" s="6" t="n"/>
      <c r="I167" s="6" t="n"/>
      <c r="J167" s="6" t="n"/>
      <c r="K167" s="6" t="n">
        <v>5</v>
      </c>
      <c r="L167" s="6" t="n"/>
      <c r="M167" s="7" t="n"/>
      <c r="N167" s="8" t="n">
        <v>6.5</v>
      </c>
      <c r="O167" s="5" t="n">
        <v>0</v>
      </c>
      <c r="P167" s="5" t="n">
        <v>0</v>
      </c>
      <c r="Q167" s="5" t="n">
        <v>0</v>
      </c>
      <c r="R167" s="9" t="inlineStr">
        <is>
          <t>COMPRAR</t>
        </is>
      </c>
      <c r="S167" s="5" t="n">
        <v>6.5</v>
      </c>
      <c r="T167" s="5" t="n">
        <v>0</v>
      </c>
      <c r="U167" s="5" t="inlineStr">
        <is>
          <t>GASTON VECCHIO</t>
        </is>
      </c>
      <c r="V167" s="94">
        <f>_xlfn.XMATCH(Tabla4[[#This Row],[EAN CORREGIDO]],'Calcular necesidad'!L:L)</f>
        <v/>
      </c>
      <c r="W167" s="94">
        <f>TRIM(Tabla4[[#This Row],[CodInternoArti]])</f>
        <v/>
      </c>
    </row>
    <row r="168" hidden="1">
      <c r="A168" s="5" t="inlineStr">
        <is>
          <t>NO SE ENCUENTRA EAN</t>
        </is>
      </c>
      <c r="B168" s="35" t="n">
        <v>7790000000710</v>
      </c>
      <c r="C168" s="7" t="inlineStr">
        <is>
          <t>INDIVIDUAL BLUE PERFECTO X1000UN</t>
        </is>
      </c>
      <c r="D168" s="7" t="inlineStr">
        <is>
          <t>VARIOS</t>
        </is>
      </c>
      <c r="E168" s="7" t="inlineStr">
        <is>
          <t>DESCARTABLES</t>
        </is>
      </c>
      <c r="F168" s="7" t="inlineStr">
        <is>
          <t>MANTEL LOGO GL</t>
        </is>
      </c>
      <c r="G168" s="7" t="inlineStr">
        <is>
          <t>Ciudadela</t>
        </is>
      </c>
      <c r="H168" s="6" t="n"/>
      <c r="I168" s="6" t="n">
        <v>1</v>
      </c>
      <c r="J168" s="6" t="n"/>
      <c r="K168" s="6" t="n">
        <v>1</v>
      </c>
      <c r="L168" s="6" t="n"/>
      <c r="M168" s="7" t="n">
        <v>1</v>
      </c>
      <c r="N168" s="8" t="n">
        <v>3.9</v>
      </c>
      <c r="O168" s="5" t="n">
        <v>18</v>
      </c>
      <c r="P168" s="5" t="n">
        <v>0</v>
      </c>
      <c r="Q168" s="5" t="n">
        <v>20</v>
      </c>
      <c r="R168" s="9" t="inlineStr">
        <is>
          <t>OK</t>
        </is>
      </c>
      <c r="S168" s="5" t="n">
        <v>0</v>
      </c>
      <c r="T168" s="5" t="n">
        <v>17</v>
      </c>
      <c r="U168" s="5" t="inlineStr">
        <is>
          <t>GASTON VECCHIO</t>
        </is>
      </c>
      <c r="V168" s="94">
        <f>_xlfn.XMATCH(Tabla4[[#This Row],[EAN CORREGIDO]],'Calcular necesidad'!L:L)</f>
        <v/>
      </c>
      <c r="W168" s="94">
        <f>TRIM(Tabla4[[#This Row],[CodInternoArti]])</f>
        <v/>
      </c>
    </row>
    <row r="169" hidden="1">
      <c r="A169" s="71" t="n">
        <v>2007232</v>
      </c>
      <c r="B169" s="72" t="n">
        <v>7790000000278</v>
      </c>
      <c r="C169" s="73" t="inlineStr">
        <is>
          <t>VO BAND PLAST 101 X 50U RECT COTNYL</t>
        </is>
      </c>
      <c r="D169" s="73" t="inlineStr">
        <is>
          <t>BANDEJAS DESC</t>
        </is>
      </c>
      <c r="E169" s="73" t="inlineStr">
        <is>
          <t>BANDEJAS PLASTICAS</t>
        </is>
      </c>
      <c r="F169" s="73" t="inlineStr">
        <is>
          <t>BAND 101</t>
        </is>
      </c>
      <c r="G169" s="74" t="inlineStr">
        <is>
          <t>Ciudadela</t>
        </is>
      </c>
      <c r="H169" s="75" t="n">
        <v>1</v>
      </c>
      <c r="I169" s="76" t="n">
        <v>2</v>
      </c>
      <c r="J169" s="76" t="n"/>
      <c r="K169" s="76" t="n">
        <v>1</v>
      </c>
      <c r="L169" s="76" t="n">
        <v>2</v>
      </c>
      <c r="M169" s="71" t="n"/>
      <c r="N169" s="77" t="n">
        <v>7.800000000000001</v>
      </c>
      <c r="O169" s="71" t="n">
        <v>0</v>
      </c>
      <c r="P169" s="71" t="n">
        <v>0</v>
      </c>
      <c r="Q169" s="71" t="n">
        <v>0</v>
      </c>
      <c r="R169" s="78" t="inlineStr">
        <is>
          <t>COMPRAR</t>
        </is>
      </c>
      <c r="S169" s="71" t="n">
        <v>7.800000000000001</v>
      </c>
      <c r="T169" s="71" t="n">
        <v>-3</v>
      </c>
      <c r="U169" s="71" t="inlineStr">
        <is>
          <t>GASTON VECCHIO</t>
        </is>
      </c>
      <c r="V169" s="94">
        <f>_xlfn.XMATCH(Tabla4[[#This Row],[EAN CORREGIDO]],'Calcular necesidad'!L:L)</f>
        <v/>
      </c>
      <c r="W169" s="94">
        <f>TRIM(Tabla4[[#This Row],[CodInternoArti]])</f>
        <v/>
      </c>
    </row>
    <row r="170" hidden="1">
      <c r="A170" s="71" t="inlineStr">
        <is>
          <t>NO SE ENCUENTRA EAN</t>
        </is>
      </c>
      <c r="B170" s="72" t="n">
        <v>798011214860</v>
      </c>
      <c r="C170" s="73" t="inlineStr">
        <is>
          <t>BANDEJA 101 X100U COTNYL</t>
        </is>
      </c>
      <c r="D170" s="73" t="inlineStr">
        <is>
          <t>BANDEJAS DESC</t>
        </is>
      </c>
      <c r="E170" s="73" t="inlineStr">
        <is>
          <t>BANDEJAS PLASTICAS</t>
        </is>
      </c>
      <c r="F170" s="73" t="inlineStr">
        <is>
          <t>BAND 101</t>
        </is>
      </c>
      <c r="G170" s="74" t="inlineStr">
        <is>
          <t>Ciudadela</t>
        </is>
      </c>
      <c r="H170" s="75" t="n"/>
      <c r="I170" s="76" t="n"/>
      <c r="J170" s="76" t="n">
        <v>1</v>
      </c>
      <c r="K170" s="76" t="n"/>
      <c r="L170" s="76" t="n"/>
      <c r="M170" s="71" t="n"/>
      <c r="N170" s="77" t="n">
        <v>1.3</v>
      </c>
      <c r="O170" s="71" t="n">
        <v>0</v>
      </c>
      <c r="P170" s="71" t="n">
        <v>0</v>
      </c>
      <c r="Q170" s="71" t="n">
        <v>0</v>
      </c>
      <c r="R170" s="78" t="inlineStr">
        <is>
          <t>COMPRAR</t>
        </is>
      </c>
      <c r="S170" s="71" t="n">
        <v>1.3</v>
      </c>
      <c r="T170" s="71" t="n">
        <v>0</v>
      </c>
      <c r="U170" s="71" t="inlineStr">
        <is>
          <t>GASTON VECCHIO</t>
        </is>
      </c>
      <c r="V170" s="94">
        <f>_xlfn.XMATCH(Tabla4[[#This Row],[EAN CORREGIDO]],'Calcular necesidad'!L:L)</f>
        <v/>
      </c>
      <c r="W170" s="94">
        <f>TRIM(Tabla4[[#This Row],[CodInternoArti]])</f>
        <v/>
      </c>
    </row>
    <row r="171" hidden="1">
      <c r="A171" s="71" t="n">
        <v>2007321</v>
      </c>
      <c r="B171" s="72" t="n">
        <v>7790000000379</v>
      </c>
      <c r="C171" s="73" t="inlineStr">
        <is>
          <t>GL_BANDEJA 102 BIODEG. X 1400U</t>
        </is>
      </c>
      <c r="D171" s="73" t="inlineStr">
        <is>
          <t>BANDEJAS DESC</t>
        </is>
      </c>
      <c r="E171" s="73" t="inlineStr">
        <is>
          <t>BANDEJAS PLASTICAS</t>
        </is>
      </c>
      <c r="F171" s="73" t="inlineStr">
        <is>
          <t>BAND 102</t>
        </is>
      </c>
      <c r="G171" s="74" t="inlineStr">
        <is>
          <t>Ciudadela</t>
        </is>
      </c>
      <c r="H171" s="75" t="n">
        <v>1</v>
      </c>
      <c r="I171" s="76" t="n">
        <v>3</v>
      </c>
      <c r="J171" s="76" t="n">
        <v>3</v>
      </c>
      <c r="K171" s="76" t="n"/>
      <c r="L171" s="76" t="n"/>
      <c r="M171" s="71" t="n"/>
      <c r="N171" s="77" t="n">
        <v>9.1</v>
      </c>
      <c r="O171" s="71" t="n">
        <v>5</v>
      </c>
      <c r="P171" s="71" t="n">
        <v>0</v>
      </c>
      <c r="Q171" s="71" t="n">
        <v>0</v>
      </c>
      <c r="R171" s="78" t="inlineStr">
        <is>
          <t>COMPRAR</t>
        </is>
      </c>
      <c r="S171" s="71" t="n">
        <v>4.1</v>
      </c>
      <c r="T171" s="71" t="n">
        <v>1</v>
      </c>
      <c r="U171" s="71" t="inlineStr">
        <is>
          <t>GASTON VECCHIO</t>
        </is>
      </c>
      <c r="V171" s="94">
        <f>_xlfn.XMATCH(Tabla4[[#This Row],[EAN CORREGIDO]],'Calcular necesidad'!L:L)</f>
        <v/>
      </c>
      <c r="W171" s="94">
        <f>TRIM(Tabla4[[#This Row],[CodInternoArti]])</f>
        <v/>
      </c>
    </row>
    <row r="172" hidden="1">
      <c r="A172" s="71" t="n">
        <v>2006666</v>
      </c>
      <c r="B172" s="72" t="n">
        <v>7790013877012</v>
      </c>
      <c r="C172" s="73" t="inlineStr">
        <is>
          <t>SERVILLETA BCA 18X18X1000U BLUE</t>
        </is>
      </c>
      <c r="D172" s="73" t="inlineStr">
        <is>
          <t>SERVILLETAS DESC</t>
        </is>
      </c>
      <c r="E172" s="73" t="inlineStr">
        <is>
          <t>SERVILLETAS DESC C/LOGO</t>
        </is>
      </c>
      <c r="F172" s="73" t="inlineStr">
        <is>
          <t>SERVILLETA DESC C/LOGO</t>
        </is>
      </c>
      <c r="G172" s="74" t="inlineStr">
        <is>
          <t>Ciudadela</t>
        </is>
      </c>
      <c r="H172" s="75" t="n"/>
      <c r="I172" s="76" t="n"/>
      <c r="J172" s="76" t="n"/>
      <c r="K172" s="76" t="n">
        <v>1</v>
      </c>
      <c r="L172" s="76" t="n">
        <v>4</v>
      </c>
      <c r="M172" s="71" t="n"/>
      <c r="N172" s="77" t="n">
        <v>6.5</v>
      </c>
      <c r="O172" s="71" t="n">
        <v>0</v>
      </c>
      <c r="P172" s="71" t="n">
        <v>0</v>
      </c>
      <c r="Q172" s="71" t="n">
        <v>0</v>
      </c>
      <c r="R172" s="78" t="inlineStr">
        <is>
          <t>COMPRAR</t>
        </is>
      </c>
      <c r="S172" s="71" t="n">
        <v>6.5</v>
      </c>
      <c r="T172" s="71" t="n">
        <v>0</v>
      </c>
      <c r="U172" s="71" t="inlineStr">
        <is>
          <t>GASTON VECCHIO</t>
        </is>
      </c>
      <c r="V172" s="94">
        <f>_xlfn.XMATCH(Tabla4[[#This Row],[EAN CORREGIDO]],'Calcular necesidad'!L:L)</f>
        <v/>
      </c>
      <c r="W172" s="94">
        <f>TRIM(Tabla4[[#This Row],[CodInternoArti]])</f>
        <v/>
      </c>
    </row>
    <row r="173" hidden="1">
      <c r="A173" s="71" t="inlineStr">
        <is>
          <t>NO SE ENCUENTRA EAN</t>
        </is>
      </c>
      <c r="B173" s="72" t="n">
        <v>7790000000713</v>
      </c>
      <c r="C173" s="73" t="inlineStr">
        <is>
          <t>SERVI SIMIL TELA S/LOGO X2000U</t>
        </is>
      </c>
      <c r="D173" s="73" t="inlineStr">
        <is>
          <t>SERVILLETAS DESC</t>
        </is>
      </c>
      <c r="E173" s="73" t="inlineStr">
        <is>
          <t>SERVILLETAS DESC S/LOGO</t>
        </is>
      </c>
      <c r="F173" s="73" t="inlineStr">
        <is>
          <t>SERVILLETA DESC S/LOGO</t>
        </is>
      </c>
      <c r="G173" s="74" t="inlineStr">
        <is>
          <t>Ciudadela</t>
        </is>
      </c>
      <c r="H173" s="75" t="n">
        <v>2</v>
      </c>
      <c r="I173" s="76" t="n">
        <v>3</v>
      </c>
      <c r="J173" s="76" t="n">
        <v>3</v>
      </c>
      <c r="K173" s="76" t="n">
        <v>3</v>
      </c>
      <c r="L173" s="76" t="n"/>
      <c r="M173" s="71" t="n"/>
      <c r="N173" s="77" t="n">
        <v>14.3</v>
      </c>
      <c r="O173" s="71" t="n">
        <v>36</v>
      </c>
      <c r="P173" s="71" t="n">
        <v>0</v>
      </c>
      <c r="Q173" s="71" t="n">
        <v>26</v>
      </c>
      <c r="R173" s="78" t="inlineStr">
        <is>
          <t>OK</t>
        </is>
      </c>
      <c r="S173" s="71" t="n">
        <v>0</v>
      </c>
      <c r="T173" s="71" t="n">
        <v>31</v>
      </c>
      <c r="U173" s="71" t="inlineStr">
        <is>
          <t>GASTON VECCHIO</t>
        </is>
      </c>
      <c r="V173" s="94">
        <f>_xlfn.XMATCH(Tabla4[[#This Row],[EAN CORREGIDO]],'Calcular necesidad'!L:L)</f>
        <v/>
      </c>
      <c r="W173" s="94">
        <f>TRIM(Tabla4[[#This Row],[CodInternoArti]])</f>
        <v/>
      </c>
    </row>
    <row r="174" hidden="1">
      <c r="A174" s="71" t="n">
        <v>2007133</v>
      </c>
      <c r="B174" s="72" t="n">
        <v>7790000000250</v>
      </c>
      <c r="C174" s="73" t="inlineStr">
        <is>
          <t>TAPA BOWL COMPOS.17x7 960CC BIO X600UN</t>
        </is>
      </c>
      <c r="D174" s="73" t="inlineStr">
        <is>
          <t>TAPAS BAND DESC</t>
        </is>
      </c>
      <c r="E174" s="73" t="inlineStr">
        <is>
          <t>TAPAS PLASTICAS</t>
        </is>
      </c>
      <c r="F174" s="73" t="inlineStr">
        <is>
          <t>TAPA BOWL ECOLOGICA</t>
        </is>
      </c>
      <c r="G174" s="74" t="inlineStr">
        <is>
          <t>Ciudadela</t>
        </is>
      </c>
      <c r="H174" s="75" t="n">
        <v>4</v>
      </c>
      <c r="I174" s="76" t="n">
        <v>4</v>
      </c>
      <c r="J174" s="76" t="n">
        <v>4</v>
      </c>
      <c r="K174" s="76" t="n">
        <v>4</v>
      </c>
      <c r="L174" s="76" t="n">
        <v>4</v>
      </c>
      <c r="M174" s="71" t="n">
        <v>4</v>
      </c>
      <c r="N174" s="77" t="n">
        <v>31.2</v>
      </c>
      <c r="O174" s="71" t="n">
        <v>0</v>
      </c>
      <c r="P174" s="71" t="n">
        <v>0</v>
      </c>
      <c r="Q174" s="71" t="n">
        <v>15</v>
      </c>
      <c r="R174" s="78" t="inlineStr">
        <is>
          <t>COMPRAR</t>
        </is>
      </c>
      <c r="S174" s="71" t="n">
        <v>16.2</v>
      </c>
      <c r="T174" s="71" t="n">
        <v>-8</v>
      </c>
      <c r="U174" s="71" t="inlineStr">
        <is>
          <t>GASTON VECCHIO</t>
        </is>
      </c>
      <c r="V174" s="94">
        <f>_xlfn.XMATCH(Tabla4[[#This Row],[EAN CORREGIDO]],'Calcular necesidad'!L:L)</f>
        <v/>
      </c>
      <c r="W174" s="94">
        <f>TRIM(Tabla4[[#This Row],[CodInternoArti]])</f>
        <v/>
      </c>
    </row>
    <row r="175" hidden="1">
      <c r="A175" s="71" t="n">
        <v>2011434</v>
      </c>
      <c r="B175" s="72" t="n">
        <v>7790000000676</v>
      </c>
      <c r="C175" s="73" t="inlineStr">
        <is>
          <t>VASO 8OZ POLIP BLUE X50U ESTISO</t>
        </is>
      </c>
      <c r="D175" s="73" t="inlineStr">
        <is>
          <t>VASOS</t>
        </is>
      </c>
      <c r="E175" s="73" t="inlineStr">
        <is>
          <t>VASOS PLASTICOS</t>
        </is>
      </c>
      <c r="F175" s="73" t="inlineStr">
        <is>
          <t>VASO PLASTICO</t>
        </is>
      </c>
      <c r="G175" s="74" t="inlineStr">
        <is>
          <t>Ciudadela</t>
        </is>
      </c>
      <c r="H175" s="75" t="n">
        <v>4</v>
      </c>
      <c r="I175" s="76" t="n">
        <v>2</v>
      </c>
      <c r="J175" s="76" t="n">
        <v>2</v>
      </c>
      <c r="K175" s="76" t="n">
        <v>2</v>
      </c>
      <c r="L175" s="76" t="n">
        <v>4</v>
      </c>
      <c r="M175" s="71" t="n">
        <v>4</v>
      </c>
      <c r="N175" s="77" t="n">
        <v>23.4</v>
      </c>
      <c r="O175" s="71" t="n">
        <v>0</v>
      </c>
      <c r="P175" s="71" t="n">
        <v>0</v>
      </c>
      <c r="Q175" s="71" t="n">
        <v>0</v>
      </c>
      <c r="R175" s="78" t="inlineStr">
        <is>
          <t>COMPRAR</t>
        </is>
      </c>
      <c r="S175" s="71" t="n">
        <v>23.4</v>
      </c>
      <c r="T175" s="71" t="n">
        <v>-6</v>
      </c>
      <c r="U175" s="71" t="inlineStr">
        <is>
          <t>GASTON VECCHIO</t>
        </is>
      </c>
      <c r="V175" s="94">
        <f>_xlfn.XMATCH(Tabla4[[#This Row],[EAN CORREGIDO]],'Calcular necesidad'!L:L)</f>
        <v/>
      </c>
      <c r="W175" s="94">
        <f>TRIM(Tabla4[[#This Row],[CodInternoArti]])</f>
        <v/>
      </c>
    </row>
    <row r="176" hidden="1">
      <c r="A176" s="71" t="inlineStr">
        <is>
          <t>NO SE ENCUENTRA EAN</t>
        </is>
      </c>
      <c r="B176" s="72" t="n">
        <v>7790000000899</v>
      </c>
      <c r="C176" s="73" t="inlineStr">
        <is>
          <t>TAPA 12 0Z BLUE X UN</t>
        </is>
      </c>
      <c r="D176" s="73" t="inlineStr">
        <is>
          <t>TAPAS VASOS DESC</t>
        </is>
      </c>
      <c r="E176" s="73" t="inlineStr">
        <is>
          <t>TAPAS PLASTICAS</t>
        </is>
      </c>
      <c r="F176" s="73" t="inlineStr">
        <is>
          <t>TAPA VASO</t>
        </is>
      </c>
      <c r="G176" s="74" t="inlineStr">
        <is>
          <t>Ciudadela</t>
        </is>
      </c>
      <c r="H176" s="75" t="n">
        <v>500</v>
      </c>
      <c r="I176" s="79" t="n">
        <v>300</v>
      </c>
      <c r="J176" s="76" t="n">
        <v>300</v>
      </c>
      <c r="K176" s="76" t="n">
        <v>300</v>
      </c>
      <c r="L176" s="76" t="n">
        <v>300</v>
      </c>
      <c r="M176" s="71" t="n">
        <v>300</v>
      </c>
      <c r="N176" s="77" t="n">
        <v>2600</v>
      </c>
      <c r="O176" s="71" t="n">
        <v>0</v>
      </c>
      <c r="P176" s="71" t="n">
        <v>0</v>
      </c>
      <c r="Q176" s="71" t="n">
        <v>0</v>
      </c>
      <c r="R176" s="78" t="inlineStr">
        <is>
          <t>COMPRAR</t>
        </is>
      </c>
      <c r="S176" s="71" t="n">
        <v>2600</v>
      </c>
      <c r="T176" s="71" t="n">
        <v>-800</v>
      </c>
      <c r="U176" s="71" t="inlineStr">
        <is>
          <t>GASTON VECCHIO</t>
        </is>
      </c>
      <c r="V176" s="94">
        <f>_xlfn.XMATCH(Tabla4[[#This Row],[EAN CORREGIDO]],'Calcular necesidad'!L:L)</f>
        <v/>
      </c>
      <c r="W176" s="94">
        <f>TRIM(Tabla4[[#This Row],[CodInternoArti]])</f>
        <v/>
      </c>
    </row>
    <row r="177" hidden="1">
      <c r="A177" s="71" t="inlineStr">
        <is>
          <t>NO SE ENCUENTRA EAN</t>
        </is>
      </c>
      <c r="B177" s="72" t="n">
        <v>7790000000905</v>
      </c>
      <c r="C177" s="73" t="inlineStr">
        <is>
          <t>FILM PVC 2.3KG XUN</t>
        </is>
      </c>
      <c r="D177" s="73" t="inlineStr">
        <is>
          <t>VARIOS</t>
        </is>
      </c>
      <c r="E177" s="73" t="inlineStr">
        <is>
          <t>RESINITE</t>
        </is>
      </c>
      <c r="F177" s="73" t="inlineStr">
        <is>
          <t>RESINITE PVC</t>
        </is>
      </c>
      <c r="G177" s="74" t="inlineStr">
        <is>
          <t>Ciudadela</t>
        </is>
      </c>
      <c r="H177" s="75" t="n"/>
      <c r="I177" s="79" t="n"/>
      <c r="J177" s="76" t="n"/>
      <c r="K177" s="76" t="n"/>
      <c r="L177" s="76" t="n">
        <v>1</v>
      </c>
      <c r="M177" s="71" t="n"/>
      <c r="N177" s="77" t="n">
        <v>1.3</v>
      </c>
      <c r="O177" s="71" t="n">
        <v>0</v>
      </c>
      <c r="P177" s="71" t="n">
        <v>0</v>
      </c>
      <c r="Q177" s="71" t="n">
        <v>0</v>
      </c>
      <c r="R177" s="78" t="inlineStr">
        <is>
          <t>COMPRAR</t>
        </is>
      </c>
      <c r="S177" s="71" t="n">
        <v>1.3</v>
      </c>
      <c r="T177" s="71" t="n">
        <v>0</v>
      </c>
      <c r="U177" s="71" t="inlineStr">
        <is>
          <t>GASTON VECCHIO</t>
        </is>
      </c>
      <c r="V177" s="94">
        <f>_xlfn.XMATCH(Tabla4[[#This Row],[EAN CORREGIDO]],'Calcular necesidad'!L:L)</f>
        <v/>
      </c>
      <c r="W177" s="94">
        <f>TRIM(Tabla4[[#This Row],[CodInternoArti]])</f>
        <v/>
      </c>
    </row>
    <row r="178" hidden="1">
      <c r="A178" s="71" t="inlineStr">
        <is>
          <t>NO SE ENCUENTRA EAN</t>
        </is>
      </c>
      <c r="B178" s="72" t="inlineStr">
        <is>
          <t xml:space="preserve">7798452810027 </t>
        </is>
      </c>
      <c r="C178" s="73" t="inlineStr">
        <is>
          <t xml:space="preserve">GUANTES LATEX M X1000U ALUMAX  </t>
        </is>
      </c>
      <c r="D178" s="73" t="inlineStr">
        <is>
          <t>VARIOS</t>
        </is>
      </c>
      <c r="E178" s="73" t="inlineStr">
        <is>
          <t>DESCARTABLES</t>
        </is>
      </c>
      <c r="F178" s="73" t="inlineStr">
        <is>
          <t>GUANTE LATEX</t>
        </is>
      </c>
      <c r="G178" s="74" t="inlineStr">
        <is>
          <t>Ciudadela</t>
        </is>
      </c>
      <c r="H178" s="75" t="n">
        <v>12</v>
      </c>
      <c r="I178" s="79" t="n">
        <v>13</v>
      </c>
      <c r="J178" s="76" t="n">
        <v>8</v>
      </c>
      <c r="K178" s="76" t="n">
        <v>2</v>
      </c>
      <c r="L178" s="76" t="n"/>
      <c r="M178" s="71" t="n">
        <v>2</v>
      </c>
      <c r="N178" s="77" t="n">
        <v>48.1</v>
      </c>
      <c r="O178" s="71" t="n">
        <v>0</v>
      </c>
      <c r="P178" s="71" t="n">
        <v>0</v>
      </c>
      <c r="Q178" s="71" t="n">
        <v>0</v>
      </c>
      <c r="R178" s="78" t="inlineStr">
        <is>
          <t>COMPRAR</t>
        </is>
      </c>
      <c r="S178" s="71" t="n">
        <v>48.1</v>
      </c>
      <c r="T178" s="71" t="n">
        <v>-25</v>
      </c>
      <c r="U178" s="71" t="inlineStr">
        <is>
          <t>GASTON VECCHIO</t>
        </is>
      </c>
      <c r="V178" s="94">
        <f>_xlfn.XMATCH(Tabla4[[#This Row],[EAN CORREGIDO]],'Calcular necesidad'!L:L)</f>
        <v/>
      </c>
      <c r="W178" s="94">
        <f>TRIM(Tabla4[[#This Row],[CodInternoArti]])</f>
        <v/>
      </c>
    </row>
    <row r="179" hidden="1">
      <c r="A179" s="71" t="inlineStr">
        <is>
          <t>NO SE ENCUENTRA EAN</t>
        </is>
      </c>
      <c r="B179" s="72" t="n">
        <v>7798011210060</v>
      </c>
      <c r="C179" s="73" t="inlineStr">
        <is>
          <t>TAPA BAND 103 MICRO COTNYL X100U</t>
        </is>
      </c>
      <c r="D179" s="73" t="inlineStr">
        <is>
          <t>TAPAS BAND DESC</t>
        </is>
      </c>
      <c r="E179" s="73" t="inlineStr">
        <is>
          <t>TAPAS PLASTICAS</t>
        </is>
      </c>
      <c r="F179" s="73" t="inlineStr">
        <is>
          <t>TAPA 103</t>
        </is>
      </c>
      <c r="G179" s="74" t="inlineStr">
        <is>
          <t>Ciudadela</t>
        </is>
      </c>
      <c r="H179" s="75" t="n">
        <v>20</v>
      </c>
      <c r="I179" s="79" t="n">
        <v>40</v>
      </c>
      <c r="J179" s="76" t="n"/>
      <c r="K179" s="76" t="n">
        <v>20</v>
      </c>
      <c r="L179" s="76" t="n">
        <v>40</v>
      </c>
      <c r="M179" s="71" t="n"/>
      <c r="N179" s="77" t="n">
        <v>156</v>
      </c>
      <c r="O179" s="71" t="n">
        <v>295</v>
      </c>
      <c r="P179" s="71" t="n">
        <v>0</v>
      </c>
      <c r="Q179" s="71" t="n">
        <v>230</v>
      </c>
      <c r="R179" s="78" t="inlineStr">
        <is>
          <t>OK</t>
        </is>
      </c>
      <c r="S179" s="71" t="n">
        <v>0</v>
      </c>
      <c r="T179" s="71" t="n">
        <v>235</v>
      </c>
      <c r="U179" s="71" t="inlineStr">
        <is>
          <t>GASTON VECCHIO</t>
        </is>
      </c>
      <c r="V179" s="94">
        <f>_xlfn.XMATCH(Tabla4[[#This Row],[EAN CORREGIDO]],'Calcular necesidad'!L:L)</f>
        <v/>
      </c>
      <c r="W179" s="94">
        <f>TRIM(Tabla4[[#This Row],[CodInternoArti]])</f>
        <v/>
      </c>
    </row>
    <row r="180" hidden="1">
      <c r="A180" s="71" t="n">
        <v>2007090</v>
      </c>
      <c r="B180" s="72" t="n">
        <v>7798161675702</v>
      </c>
      <c r="C180" s="73" t="inlineStr">
        <is>
          <t>GL_GUANTE LATEX L X100UN EUROMIX</t>
        </is>
      </c>
      <c r="D180" s="73" t="inlineStr">
        <is>
          <t>VARIOS</t>
        </is>
      </c>
      <c r="E180" s="73" t="inlineStr">
        <is>
          <t>DESCARTABLES</t>
        </is>
      </c>
      <c r="F180" s="73" t="inlineStr">
        <is>
          <t>GUANTE LATEX</t>
        </is>
      </c>
      <c r="G180" s="74" t="inlineStr">
        <is>
          <t>Ciudadela</t>
        </is>
      </c>
      <c r="H180" s="75" t="n">
        <v>65</v>
      </c>
      <c r="I180" s="79" t="n">
        <v>141</v>
      </c>
      <c r="J180" s="76" t="n">
        <v>31</v>
      </c>
      <c r="K180" s="76" t="n">
        <v>88</v>
      </c>
      <c r="L180" s="76" t="n">
        <v>104</v>
      </c>
      <c r="M180" s="71" t="n">
        <v>91</v>
      </c>
      <c r="N180" s="77" t="n">
        <v>676</v>
      </c>
      <c r="O180" s="71" t="n">
        <v>0</v>
      </c>
      <c r="P180" s="71" t="n">
        <v>0</v>
      </c>
      <c r="Q180" s="71" t="n">
        <v>0</v>
      </c>
      <c r="R180" s="78" t="inlineStr">
        <is>
          <t>COMPRAR</t>
        </is>
      </c>
      <c r="S180" s="71" t="n">
        <v>676</v>
      </c>
      <c r="T180" s="71" t="n">
        <v>-206</v>
      </c>
      <c r="U180" s="71" t="inlineStr">
        <is>
          <t>GASTON VECCHIO</t>
        </is>
      </c>
      <c r="V180" s="94">
        <f>_xlfn.XMATCH(Tabla4[[#This Row],[EAN CORREGIDO]],'Calcular necesidad'!L:L)</f>
        <v/>
      </c>
      <c r="W180" s="94">
        <f>TRIM(Tabla4[[#This Row],[CodInternoArti]])</f>
        <v/>
      </c>
    </row>
    <row r="181" hidden="1">
      <c r="A181" s="71" t="inlineStr">
        <is>
          <t>NO SE ENCUENTRA EAN</t>
        </is>
      </c>
      <c r="B181" s="72" t="n">
        <v>7798044557721</v>
      </c>
      <c r="C181" s="73" t="inlineStr">
        <is>
          <t>ROLLO MANGA REPOS N5 25X28X25U</t>
        </is>
      </c>
      <c r="D181" s="73" t="inlineStr">
        <is>
          <t>UTENSILLOS</t>
        </is>
      </c>
      <c r="E181" s="73" t="inlineStr">
        <is>
          <t>BAZAR</t>
        </is>
      </c>
      <c r="F181" s="73" t="inlineStr">
        <is>
          <t>MANGA DESCARTABLE</t>
        </is>
      </c>
      <c r="G181" s="74" t="inlineStr">
        <is>
          <t>Ciudadela</t>
        </is>
      </c>
      <c r="H181" s="75" t="n"/>
      <c r="I181" s="79" t="n"/>
      <c r="J181" s="76" t="n"/>
      <c r="K181" s="76" t="n"/>
      <c r="L181" s="76" t="n"/>
      <c r="M181" s="71" t="n"/>
      <c r="N181" s="77" t="n">
        <v>0</v>
      </c>
      <c r="O181" s="71" t="n">
        <v>0</v>
      </c>
      <c r="P181" s="71" t="n">
        <v>0</v>
      </c>
      <c r="Q181" s="71" t="n">
        <v>0</v>
      </c>
      <c r="R181" s="78" t="inlineStr">
        <is>
          <t>OK</t>
        </is>
      </c>
      <c r="S181" s="71" t="n">
        <v>0</v>
      </c>
      <c r="T181" s="71" t="n">
        <v>0</v>
      </c>
      <c r="U181" s="71" t="inlineStr">
        <is>
          <t>GASTON VECCHIO</t>
        </is>
      </c>
      <c r="V181" s="94">
        <f>_xlfn.XMATCH(Tabla4[[#This Row],[EAN CORREGIDO]],'Calcular necesidad'!L:L)</f>
        <v/>
      </c>
      <c r="W181" s="94">
        <f>TRIM(Tabla4[[#This Row],[CodInternoArti]])</f>
        <v/>
      </c>
    </row>
    <row r="182" hidden="1">
      <c r="A182" s="71" t="n">
        <v>2007578</v>
      </c>
      <c r="B182" s="72" t="n">
        <v>7790000000524</v>
      </c>
      <c r="C182" s="73" t="inlineStr">
        <is>
          <t>GL SERVILLETA ECO 33x33 X500 BIOPAC</t>
        </is>
      </c>
      <c r="D182" s="73" t="inlineStr">
        <is>
          <t>SERVILLETAS DESC</t>
        </is>
      </c>
      <c r="E182" s="73" t="inlineStr">
        <is>
          <t>SERVILLETAS DESC S/LOGO</t>
        </is>
      </c>
      <c r="F182" s="73" t="inlineStr">
        <is>
          <t>SERVILLETA DESC S/LOGO</t>
        </is>
      </c>
      <c r="G182" s="74" t="inlineStr">
        <is>
          <t>Ciudadela</t>
        </is>
      </c>
      <c r="H182" s="75" t="n">
        <v>1</v>
      </c>
      <c r="I182" s="79" t="n"/>
      <c r="J182" s="76" t="n">
        <v>1</v>
      </c>
      <c r="K182" s="76" t="n"/>
      <c r="L182" s="76" t="n">
        <v>1</v>
      </c>
      <c r="M182" s="71" t="n"/>
      <c r="N182" s="77" t="n">
        <v>3.9</v>
      </c>
      <c r="O182" s="71" t="n">
        <v>0</v>
      </c>
      <c r="P182" s="71" t="n">
        <v>0</v>
      </c>
      <c r="Q182" s="71" t="n">
        <v>0</v>
      </c>
      <c r="R182" s="78" t="inlineStr">
        <is>
          <t>COMPRAR</t>
        </is>
      </c>
      <c r="S182" s="71" t="n">
        <v>3.9</v>
      </c>
      <c r="T182" s="71" t="n">
        <v>-1</v>
      </c>
      <c r="U182" s="71" t="inlineStr">
        <is>
          <t>GASTON VECCHIO</t>
        </is>
      </c>
      <c r="V182" s="94">
        <f>_xlfn.XMATCH(Tabla4[[#This Row],[EAN CORREGIDO]],'Calcular necesidad'!L:L)</f>
        <v/>
      </c>
      <c r="W182" s="94">
        <f>TRIM(Tabla4[[#This Row],[CodInternoArti]])</f>
        <v/>
      </c>
    </row>
    <row r="183" hidden="1">
      <c r="A183" s="71" t="n">
        <v>2006953</v>
      </c>
      <c r="B183" s="72" t="n">
        <v>7795618001244</v>
      </c>
      <c r="C183" s="73" t="inlineStr">
        <is>
          <t>VO BOLSA CAMISETA BCA 40X50X50UN</t>
        </is>
      </c>
      <c r="D183" s="73" t="inlineStr">
        <is>
          <t>BOLSAS</t>
        </is>
      </c>
      <c r="E183" s="73" t="inlineStr">
        <is>
          <t>BOLSAS CAMISETA</t>
        </is>
      </c>
      <c r="F183" s="73" t="inlineStr">
        <is>
          <t>BOLSAS CAMISETA</t>
        </is>
      </c>
      <c r="G183" s="74" t="inlineStr">
        <is>
          <t>Ciudadela</t>
        </is>
      </c>
      <c r="H183" s="75" t="n">
        <v>32</v>
      </c>
      <c r="I183" s="79" t="n">
        <v>140</v>
      </c>
      <c r="J183" s="76" t="n">
        <v>118</v>
      </c>
      <c r="K183" s="76" t="n">
        <v>126</v>
      </c>
      <c r="L183" s="76" t="n">
        <v>140</v>
      </c>
      <c r="M183" s="71" t="n">
        <v>118</v>
      </c>
      <c r="N183" s="77" t="n">
        <v>876.2</v>
      </c>
      <c r="O183" s="71" t="n">
        <v>373</v>
      </c>
      <c r="P183" s="71" t="n">
        <v>0</v>
      </c>
      <c r="Q183" s="71" t="n">
        <v>578</v>
      </c>
      <c r="R183" s="78" t="inlineStr">
        <is>
          <t>TRANSFERIR</t>
        </is>
      </c>
      <c r="S183" s="71" t="n">
        <v>0</v>
      </c>
      <c r="T183" s="71" t="n">
        <v>201</v>
      </c>
      <c r="U183" s="71" t="inlineStr">
        <is>
          <t>GASTON VECCHIO</t>
        </is>
      </c>
      <c r="V183" s="94">
        <f>_xlfn.XMATCH(Tabla4[[#This Row],[EAN CORREGIDO]],'Calcular necesidad'!L:L)</f>
        <v/>
      </c>
      <c r="W183" s="94">
        <f>TRIM(Tabla4[[#This Row],[CodInternoArti]])</f>
        <v/>
      </c>
    </row>
    <row r="184" hidden="1">
      <c r="A184" s="71" t="inlineStr">
        <is>
          <t>NO SE ENCUENTRA EAN</t>
        </is>
      </c>
      <c r="B184" s="72" t="n">
        <v>7798068951879</v>
      </c>
      <c r="C184" s="73" t="inlineStr">
        <is>
          <t>BANDEJA 103 MICROONDAS COTNYL X100U</t>
        </is>
      </c>
      <c r="D184" s="73" t="inlineStr">
        <is>
          <t>BANDEJAS DESC</t>
        </is>
      </c>
      <c r="E184" s="73" t="inlineStr">
        <is>
          <t>BANDEJAS PLASTICAS</t>
        </is>
      </c>
      <c r="F184" s="73" t="inlineStr">
        <is>
          <t>BAND 103</t>
        </is>
      </c>
      <c r="G184" s="74" t="inlineStr">
        <is>
          <t>Ciudadela</t>
        </is>
      </c>
      <c r="H184" s="75" t="n"/>
      <c r="I184" s="76" t="n">
        <v>10</v>
      </c>
      <c r="J184" s="76" t="n"/>
      <c r="K184" s="76" t="n">
        <v>10</v>
      </c>
      <c r="L184" s="76" t="n">
        <v>10</v>
      </c>
      <c r="M184" s="71" t="n"/>
      <c r="N184" s="77" t="n">
        <v>39</v>
      </c>
      <c r="O184" s="71" t="n">
        <v>0</v>
      </c>
      <c r="P184" s="71" t="n">
        <v>0</v>
      </c>
      <c r="Q184" s="71" t="n">
        <v>0</v>
      </c>
      <c r="R184" s="78" t="inlineStr">
        <is>
          <t>COMPRAR</t>
        </is>
      </c>
      <c r="S184" s="71" t="n">
        <v>39</v>
      </c>
      <c r="T184" s="71" t="n">
        <v>-10</v>
      </c>
      <c r="U184" s="71" t="inlineStr">
        <is>
          <t>GASTON VECCHIO</t>
        </is>
      </c>
      <c r="V184" s="94">
        <f>_xlfn.XMATCH(Tabla4[[#This Row],[EAN CORREGIDO]],'Calcular necesidad'!L:L)</f>
        <v/>
      </c>
      <c r="W184" s="94">
        <f>TRIM(Tabla4[[#This Row],[CodInternoArti]])</f>
        <v/>
      </c>
    </row>
    <row r="185" hidden="1">
      <c r="A185" s="71" t="n">
        <v>2007329</v>
      </c>
      <c r="B185" s="72" t="n">
        <v>7790000000386</v>
      </c>
      <c r="C185" s="73" t="inlineStr">
        <is>
          <t>BOLSA CAM NEGR REF 50X60X100U EVADEC</t>
        </is>
      </c>
      <c r="D185" s="73" t="inlineStr">
        <is>
          <t>BOLSAS</t>
        </is>
      </c>
      <c r="E185" s="73" t="inlineStr">
        <is>
          <t>BOLSAS CAMISETA</t>
        </is>
      </c>
      <c r="F185" s="73" t="inlineStr">
        <is>
          <t>BOLSA CAMISETA REFORZADA</t>
        </is>
      </c>
      <c r="G185" s="74" t="inlineStr">
        <is>
          <t>Moreno</t>
        </is>
      </c>
      <c r="H185" s="75" t="n">
        <v>1</v>
      </c>
      <c r="I185" s="76" t="n">
        <v>10</v>
      </c>
      <c r="J185" s="76" t="n">
        <v>1</v>
      </c>
      <c r="K185" s="76" t="n">
        <v>10</v>
      </c>
      <c r="L185" s="76" t="n">
        <v>1</v>
      </c>
      <c r="M185" s="71" t="n">
        <v>10</v>
      </c>
      <c r="N185" s="77" t="n">
        <v>42.9</v>
      </c>
      <c r="O185" s="71" t="n">
        <v>110</v>
      </c>
      <c r="P185" s="71" t="n">
        <v>580</v>
      </c>
      <c r="Q185" s="71" t="n">
        <v>0</v>
      </c>
      <c r="R185" s="78" t="inlineStr">
        <is>
          <t>OK</t>
        </is>
      </c>
      <c r="S185" s="71" t="n">
        <v>0</v>
      </c>
      <c r="T185" s="71" t="n">
        <v>99</v>
      </c>
      <c r="U185" s="71" t="inlineStr">
        <is>
          <t>GASTON VECCHIO</t>
        </is>
      </c>
      <c r="V185" s="94">
        <f>_xlfn.XMATCH(Tabla4[[#This Row],[EAN CORREGIDO]],'Calcular necesidad'!L:L)</f>
        <v/>
      </c>
      <c r="W185" s="94">
        <f>TRIM(Tabla4[[#This Row],[CodInternoArti]])</f>
        <v/>
      </c>
    </row>
    <row r="186" hidden="1">
      <c r="A186" s="71" t="n">
        <v>2007506</v>
      </c>
      <c r="B186" s="72" t="n">
        <v>7790000000480</v>
      </c>
      <c r="C186" s="73" t="inlineStr">
        <is>
          <t xml:space="preserve">GL_ROLLO BOLSA ARRANQ 40X60 MPROP </t>
        </is>
      </c>
      <c r="D186" s="73" t="inlineStr">
        <is>
          <t>BOLSAS</t>
        </is>
      </c>
      <c r="E186" s="73" t="inlineStr">
        <is>
          <t>BOLSAS ARRANQUE</t>
        </is>
      </c>
      <c r="F186" s="73" t="inlineStr">
        <is>
          <t>BOLSAS ARRANQUE</t>
        </is>
      </c>
      <c r="G186" s="74" t="inlineStr">
        <is>
          <t>Ciudadela</t>
        </is>
      </c>
      <c r="H186" s="75" t="n">
        <v>6</v>
      </c>
      <c r="I186" s="76" t="n"/>
      <c r="J186" s="76" t="n"/>
      <c r="K186" s="76" t="n"/>
      <c r="L186" s="76" t="n">
        <v>1</v>
      </c>
      <c r="M186" s="71" t="n"/>
      <c r="N186" s="77" t="n">
        <v>9.1</v>
      </c>
      <c r="O186" s="71" t="n">
        <v>212</v>
      </c>
      <c r="P186" s="71" t="n">
        <v>0</v>
      </c>
      <c r="Q186" s="71" t="n">
        <v>0</v>
      </c>
      <c r="R186" s="78" t="inlineStr">
        <is>
          <t>OK</t>
        </is>
      </c>
      <c r="S186" s="71" t="n">
        <v>0</v>
      </c>
      <c r="T186" s="71" t="n">
        <v>206</v>
      </c>
      <c r="U186" s="71" t="inlineStr">
        <is>
          <t>GASTON VECCHIO</t>
        </is>
      </c>
      <c r="V186" s="94">
        <f>_xlfn.XMATCH(Tabla4[[#This Row],[EAN CORREGIDO]],'Calcular necesidad'!L:L)</f>
        <v/>
      </c>
      <c r="W186" s="94">
        <f>TRIM(Tabla4[[#This Row],[CodInternoArti]])</f>
        <v/>
      </c>
    </row>
    <row r="187" hidden="1">
      <c r="A187" s="71" t="inlineStr">
        <is>
          <t>NO SE ENCUENTRA EAN</t>
        </is>
      </c>
      <c r="B187" s="72" t="n">
        <v>7798011210039</v>
      </c>
      <c r="C187" s="73" t="inlineStr">
        <is>
          <t>BANDEJA 102 MICRO COTNYL X100U</t>
        </is>
      </c>
      <c r="D187" s="73" t="inlineStr">
        <is>
          <t>BANDEJAS DESC</t>
        </is>
      </c>
      <c r="E187" s="73" t="inlineStr">
        <is>
          <t>BANDEJAS PLASTICAS</t>
        </is>
      </c>
      <c r="F187" s="73" t="inlineStr">
        <is>
          <t>BAND 102</t>
        </is>
      </c>
      <c r="G187" s="74" t="inlineStr">
        <is>
          <t>Ciudadela</t>
        </is>
      </c>
      <c r="H187" s="75" t="n">
        <v>17</v>
      </c>
      <c r="I187" s="76" t="n">
        <v>30</v>
      </c>
      <c r="J187" s="76" t="n">
        <v>36</v>
      </c>
      <c r="K187" s="76" t="n">
        <v>28</v>
      </c>
      <c r="L187" s="76" t="n">
        <v>30</v>
      </c>
      <c r="M187" s="71" t="n">
        <v>26</v>
      </c>
      <c r="N187" s="77" t="n">
        <v>217.1</v>
      </c>
      <c r="O187" s="71" t="n">
        <v>159</v>
      </c>
      <c r="P187" s="71" t="n">
        <v>0</v>
      </c>
      <c r="Q187" s="71" t="n">
        <v>495</v>
      </c>
      <c r="R187" s="78" t="inlineStr">
        <is>
          <t>TRANSFERIR</t>
        </is>
      </c>
      <c r="S187" s="71" t="n">
        <v>0</v>
      </c>
      <c r="T187" s="71" t="n">
        <v>112</v>
      </c>
      <c r="U187" s="71" t="inlineStr">
        <is>
          <t>GASTON VECCHIO</t>
        </is>
      </c>
      <c r="V187" s="94">
        <f>_xlfn.XMATCH(Tabla4[[#This Row],[EAN CORREGIDO]],'Calcular necesidad'!L:L)</f>
        <v/>
      </c>
      <c r="W187" s="94">
        <f>TRIM(Tabla4[[#This Row],[CodInternoArti]])</f>
        <v/>
      </c>
    </row>
    <row r="188" hidden="1">
      <c r="A188" s="71" t="n">
        <v>2007132</v>
      </c>
      <c r="B188" s="72" t="n">
        <v>7790000000218</v>
      </c>
      <c r="C188" s="73" t="inlineStr">
        <is>
          <t>BOWL COMPOST.17x7 960CC BIO X600UN</t>
        </is>
      </c>
      <c r="D188" s="73" t="inlineStr">
        <is>
          <t>DESCARTABLES</t>
        </is>
      </c>
      <c r="E188" s="73" t="inlineStr">
        <is>
          <t>DESCARTABLES</t>
        </is>
      </c>
      <c r="F188" s="73" t="inlineStr">
        <is>
          <t>BOWL DESCARTABLE COMPOST</t>
        </is>
      </c>
      <c r="G188" s="74" t="inlineStr">
        <is>
          <t>Ciudadela</t>
        </is>
      </c>
      <c r="H188" s="75" t="n"/>
      <c r="I188" s="76" t="n"/>
      <c r="J188" s="76" t="n"/>
      <c r="K188" s="76" t="n">
        <v>4</v>
      </c>
      <c r="L188" s="76" t="n">
        <v>4</v>
      </c>
      <c r="M188" s="71" t="n">
        <v>4</v>
      </c>
      <c r="N188" s="77" t="n">
        <v>15.6</v>
      </c>
      <c r="O188" s="71" t="n">
        <v>6</v>
      </c>
      <c r="P188" s="71" t="n">
        <v>0</v>
      </c>
      <c r="Q188" s="71" t="n">
        <v>0</v>
      </c>
      <c r="R188" s="78" t="inlineStr">
        <is>
          <t>COMPRAR</t>
        </is>
      </c>
      <c r="S188" s="71" t="n">
        <v>9.600000000000001</v>
      </c>
      <c r="T188" s="71" t="n">
        <v>6</v>
      </c>
      <c r="U188" s="71" t="inlineStr">
        <is>
          <t>GASTON VECCHIO</t>
        </is>
      </c>
      <c r="V188" s="94">
        <f>_xlfn.XMATCH(Tabla4[[#This Row],[EAN CORREGIDO]],'Calcular necesidad'!L:L)</f>
        <v/>
      </c>
      <c r="W188" s="94">
        <f>TRIM(Tabla4[[#This Row],[CodInternoArti]])</f>
        <v/>
      </c>
    </row>
    <row r="189" hidden="1">
      <c r="A189" s="71" t="inlineStr">
        <is>
          <t>NO SE ENCUENTRA EAN</t>
        </is>
      </c>
      <c r="B189" s="72" t="n">
        <v>7790000000762</v>
      </c>
      <c r="C189" s="73" t="inlineStr">
        <is>
          <t xml:space="preserve">TAPA BOWL COMP 17X7 960C X300U  </t>
        </is>
      </c>
      <c r="D189" s="73" t="inlineStr">
        <is>
          <t>TAPAS VASOS DESC</t>
        </is>
      </c>
      <c r="E189" s="73" t="inlineStr">
        <is>
          <t>TAPAS PLASTICAS</t>
        </is>
      </c>
      <c r="F189" s="73" t="inlineStr">
        <is>
          <t>TAPA DEGUSTADOR</t>
        </is>
      </c>
      <c r="G189" s="74" t="inlineStr">
        <is>
          <t>Ciudadela</t>
        </is>
      </c>
      <c r="H189" s="75" t="n"/>
      <c r="I189" s="76" t="n"/>
      <c r="J189" s="76" t="n">
        <v>7</v>
      </c>
      <c r="K189" s="76" t="n"/>
      <c r="L189" s="76" t="n">
        <v>7</v>
      </c>
      <c r="M189" s="71" t="n"/>
      <c r="N189" s="77" t="n">
        <v>18.2</v>
      </c>
      <c r="O189" s="71" t="n">
        <v>0</v>
      </c>
      <c r="P189" s="71" t="n">
        <v>0</v>
      </c>
      <c r="Q189" s="71" t="n">
        <v>0</v>
      </c>
      <c r="R189" s="78" t="inlineStr">
        <is>
          <t>COMPRAR</t>
        </is>
      </c>
      <c r="S189" s="71" t="n">
        <v>18.2</v>
      </c>
      <c r="T189" s="71" t="n">
        <v>0</v>
      </c>
      <c r="U189" s="71" t="inlineStr">
        <is>
          <t>GASTON VECCHIO</t>
        </is>
      </c>
      <c r="V189" s="94">
        <f>_xlfn.XMATCH(Tabla4[[#This Row],[EAN CORREGIDO]],'Calcular necesidad'!L:L)</f>
        <v/>
      </c>
      <c r="W189" s="94">
        <f>TRIM(Tabla4[[#This Row],[CodInternoArti]])</f>
        <v/>
      </c>
    </row>
    <row r="190" hidden="1">
      <c r="A190" s="71" t="n">
        <v>2006822</v>
      </c>
      <c r="B190" s="72" t="n">
        <v>610000108746</v>
      </c>
      <c r="C190" s="73" t="inlineStr">
        <is>
          <t>BANDEJA ALUM R3/F275 X500U</t>
        </is>
      </c>
      <c r="D190" s="73" t="inlineStr">
        <is>
          <t>BANDEJAS DESC</t>
        </is>
      </c>
      <c r="E190" s="73" t="inlineStr">
        <is>
          <t>BANDEJAS ALUMINIO</t>
        </is>
      </c>
      <c r="F190" s="73" t="inlineStr">
        <is>
          <t>BAND ALUMINIO R3</t>
        </is>
      </c>
      <c r="G190" s="89" t="inlineStr">
        <is>
          <t>CD Moreno 3</t>
        </is>
      </c>
      <c r="H190" s="75" t="n"/>
      <c r="I190" s="76" t="n"/>
      <c r="J190" s="76" t="n"/>
      <c r="K190" s="76" t="n"/>
      <c r="L190" s="76" t="n"/>
      <c r="M190" s="71" t="n"/>
      <c r="N190" s="77" t="n">
        <v>0</v>
      </c>
      <c r="O190" s="71" t="n">
        <v>30</v>
      </c>
      <c r="P190" s="71" t="n">
        <v>0</v>
      </c>
      <c r="Q190" s="71" t="n">
        <v>57</v>
      </c>
      <c r="R190" s="78" t="inlineStr">
        <is>
          <t>OK</t>
        </is>
      </c>
      <c r="S190" s="71" t="n">
        <v>0</v>
      </c>
      <c r="T190" s="71" t="n">
        <v>30</v>
      </c>
      <c r="U190" s="71" t="inlineStr">
        <is>
          <t>GASTON VECCHIO</t>
        </is>
      </c>
      <c r="V190" s="94">
        <f>_xlfn.XMATCH(Tabla4[[#This Row],[EAN CORREGIDO]],'Calcular necesidad'!L:L)</f>
        <v/>
      </c>
      <c r="W190" s="95">
        <f>TRIM(Tabla4[[#This Row],[CodInternoArti]])</f>
        <v/>
      </c>
    </row>
    <row r="191" hidden="1">
      <c r="A191" s="71" t="n">
        <v>2006735</v>
      </c>
      <c r="B191" s="72" t="n">
        <v>4968420500356</v>
      </c>
      <c r="C191" s="73" t="inlineStr">
        <is>
          <t>GUANTES LATEX TAMAÑO L X100U</t>
        </is>
      </c>
      <c r="D191" s="73" t="inlineStr">
        <is>
          <t>VARIOS</t>
        </is>
      </c>
      <c r="E191" s="73" t="inlineStr">
        <is>
          <t>DESCARTABLES</t>
        </is>
      </c>
      <c r="F191" s="73" t="inlineStr">
        <is>
          <t>GUANTE LATEX</t>
        </is>
      </c>
      <c r="G191" s="89" t="inlineStr">
        <is>
          <t>Ciudadela</t>
        </is>
      </c>
      <c r="H191" s="75" t="n">
        <v>3</v>
      </c>
      <c r="I191" s="76" t="n"/>
      <c r="J191" s="76" t="n">
        <v>3</v>
      </c>
      <c r="K191" s="76" t="n"/>
      <c r="L191" s="76" t="n">
        <v>3</v>
      </c>
      <c r="M191" s="71" t="n"/>
      <c r="N191" s="77" t="n">
        <v>11.7</v>
      </c>
      <c r="O191" s="71" t="n">
        <v>0</v>
      </c>
      <c r="P191" s="71" t="n">
        <v>0</v>
      </c>
      <c r="Q191" s="71" t="n">
        <v>0</v>
      </c>
      <c r="R191" s="78" t="inlineStr">
        <is>
          <t>COMPRAR</t>
        </is>
      </c>
      <c r="S191" s="71" t="n">
        <v>11.7</v>
      </c>
      <c r="T191" s="71" t="n">
        <v>-3</v>
      </c>
      <c r="U191" s="71" t="inlineStr">
        <is>
          <t>GASTON VECCHIO</t>
        </is>
      </c>
      <c r="V191" s="94">
        <f>_xlfn.XMATCH(Tabla4[[#This Row],[EAN CORREGIDO]],'Calcular necesidad'!L:L)</f>
        <v/>
      </c>
      <c r="W191" s="95">
        <f>TRIM(Tabla4[[#This Row],[CodInternoArti]])</f>
        <v/>
      </c>
    </row>
    <row r="192" hidden="1">
      <c r="A192" s="71" t="n">
        <v>2007004</v>
      </c>
      <c r="B192" s="72" t="n">
        <v>7790000000043</v>
      </c>
      <c r="C192" s="73" t="inlineStr">
        <is>
          <t>MANTEL INDIVIDUAL KRAFT LISO X200U</t>
        </is>
      </c>
      <c r="D192" s="73" t="inlineStr">
        <is>
          <t>VARIOS</t>
        </is>
      </c>
      <c r="E192" s="73" t="inlineStr">
        <is>
          <t>DESCARTABLES</t>
        </is>
      </c>
      <c r="F192" s="73" t="inlineStr">
        <is>
          <t>MANTEL INDIVIDUAL LISO</t>
        </is>
      </c>
      <c r="G192" s="89" t="inlineStr">
        <is>
          <t>Ciudadela</t>
        </is>
      </c>
      <c r="H192" s="75" t="n"/>
      <c r="I192" s="76" t="n">
        <v>1</v>
      </c>
      <c r="J192" s="76" t="n"/>
      <c r="K192" s="76" t="n">
        <v>1</v>
      </c>
      <c r="L192" s="76" t="n">
        <v>1</v>
      </c>
      <c r="M192" s="71" t="n"/>
      <c r="N192" s="77" t="n">
        <v>3.9</v>
      </c>
      <c r="O192" s="71" t="n">
        <v>0</v>
      </c>
      <c r="P192" s="71" t="n">
        <v>0</v>
      </c>
      <c r="Q192" s="71" t="n">
        <v>0</v>
      </c>
      <c r="R192" s="78" t="inlineStr">
        <is>
          <t>COMPRAR</t>
        </is>
      </c>
      <c r="S192" s="71" t="n">
        <v>3.9</v>
      </c>
      <c r="T192" s="71" t="n">
        <v>-1</v>
      </c>
      <c r="U192" s="71" t="inlineStr">
        <is>
          <t>GASTON VECCHIO</t>
        </is>
      </c>
      <c r="V192" s="94">
        <f>_xlfn.XMATCH(Tabla4[[#This Row],[EAN CORREGIDO]],'Calcular necesidad'!L:L)</f>
        <v/>
      </c>
      <c r="W192" s="95">
        <f>TRIM(Tabla4[[#This Row],[CodInternoArti]])</f>
        <v/>
      </c>
    </row>
    <row r="193" hidden="1">
      <c r="A193" s="71" t="n">
        <v>2007323</v>
      </c>
      <c r="B193" s="72" t="n">
        <v>7790000000381</v>
      </c>
      <c r="C193" s="73" t="inlineStr">
        <is>
          <t>BANDEJA 105 BIODEG. X 700UN MPROPIA</t>
        </is>
      </c>
      <c r="D193" s="73" t="inlineStr">
        <is>
          <t>BANDEJAS DESC</t>
        </is>
      </c>
      <c r="E193" s="73" t="inlineStr">
        <is>
          <t>BANDEJAS PLASTICAS</t>
        </is>
      </c>
      <c r="F193" s="73" t="inlineStr">
        <is>
          <t>BANDEJA 105 CUADRADA</t>
        </is>
      </c>
      <c r="G193" s="89" t="inlineStr">
        <is>
          <t>Ciudadela</t>
        </is>
      </c>
      <c r="H193" s="75" t="n">
        <v>5</v>
      </c>
      <c r="I193" s="76" t="n">
        <v>5</v>
      </c>
      <c r="J193" s="76" t="n">
        <v>5</v>
      </c>
      <c r="K193" s="76" t="n"/>
      <c r="L193" s="76" t="n"/>
      <c r="M193" s="71" t="n"/>
      <c r="N193" s="77" t="n">
        <v>19.5</v>
      </c>
      <c r="O193" s="71" t="n">
        <v>0</v>
      </c>
      <c r="P193" s="71" t="n">
        <v>0</v>
      </c>
      <c r="Q193" s="71" t="n">
        <v>0</v>
      </c>
      <c r="R193" s="78" t="inlineStr">
        <is>
          <t>COMPRAR</t>
        </is>
      </c>
      <c r="S193" s="71" t="n">
        <v>19.5</v>
      </c>
      <c r="T193" s="71" t="n">
        <v>-10</v>
      </c>
      <c r="U193" s="71" t="inlineStr">
        <is>
          <t>GASTON VECCHIO</t>
        </is>
      </c>
      <c r="V193" s="94">
        <f>_xlfn.XMATCH(Tabla4[[#This Row],[EAN CORREGIDO]],'Calcular necesidad'!L:L)</f>
        <v/>
      </c>
      <c r="W193" s="95">
        <f>TRIM(Tabla4[[#This Row],[CodInternoArti]])</f>
        <v/>
      </c>
    </row>
    <row r="194" hidden="1">
      <c r="A194" s="71" t="inlineStr">
        <is>
          <t>NO SE ENCUENTRA EAN</t>
        </is>
      </c>
      <c r="B194" s="72" t="n">
        <v>7790000000251</v>
      </c>
      <c r="C194" s="73" t="inlineStr">
        <is>
          <t>TENEDOR DESC. BLANCO ALUM X1000UN</t>
        </is>
      </c>
      <c r="D194" s="73" t="inlineStr">
        <is>
          <t>CUBIERTOS DESC</t>
        </is>
      </c>
      <c r="E194" s="73" t="inlineStr">
        <is>
          <t>TENEDORES</t>
        </is>
      </c>
      <c r="F194" s="73" t="inlineStr">
        <is>
          <t xml:space="preserve">TENEDOR </t>
        </is>
      </c>
      <c r="G194" s="89" t="inlineStr">
        <is>
          <t>Ciudadela</t>
        </is>
      </c>
      <c r="H194" s="75" t="n">
        <v>7</v>
      </c>
      <c r="I194" s="76" t="n"/>
      <c r="J194" s="76" t="n"/>
      <c r="K194" s="76" t="n"/>
      <c r="L194" s="76" t="n"/>
      <c r="M194" s="71" t="n"/>
      <c r="N194" s="77" t="n">
        <v>9.1</v>
      </c>
      <c r="O194" s="71" t="n">
        <v>62</v>
      </c>
      <c r="P194" s="71" t="n">
        <v>0</v>
      </c>
      <c r="Q194" s="71" t="n">
        <v>109</v>
      </c>
      <c r="R194" s="78" t="inlineStr">
        <is>
          <t>OK</t>
        </is>
      </c>
      <c r="S194" s="71" t="n">
        <v>0</v>
      </c>
      <c r="T194" s="71" t="n">
        <v>55</v>
      </c>
      <c r="U194" s="71" t="inlineStr">
        <is>
          <t>GASTON VECCHIO</t>
        </is>
      </c>
      <c r="V194" s="94">
        <f>_xlfn.XMATCH(Tabla4[[#This Row],[EAN CORREGIDO]],'Calcular necesidad'!L:L)</f>
        <v/>
      </c>
      <c r="W194" s="95">
        <f>TRIM(Tabla4[[#This Row],[CodInternoArti]])</f>
        <v/>
      </c>
    </row>
    <row r="195" hidden="1">
      <c r="A195" s="71" t="inlineStr">
        <is>
          <t>NO SE ENCUENTRA EAN</t>
        </is>
      </c>
      <c r="B195" s="72" t="n">
        <v>7790000000901</v>
      </c>
      <c r="C195" s="73" t="inlineStr">
        <is>
          <t>BOLSA KRAFT FM5 BLUE X 100 U</t>
        </is>
      </c>
      <c r="D195" s="73" t="inlineStr">
        <is>
          <t>BOLSAS</t>
        </is>
      </c>
      <c r="E195" s="73" t="inlineStr">
        <is>
          <t>BOLSAS</t>
        </is>
      </c>
      <c r="F195" s="73" t="inlineStr">
        <is>
          <t>BOLSA KRAFT</t>
        </is>
      </c>
      <c r="G195" s="89" t="inlineStr">
        <is>
          <t>Ciudadela</t>
        </is>
      </c>
      <c r="H195" s="75" t="n">
        <v>4</v>
      </c>
      <c r="I195" s="76" t="n"/>
      <c r="J195" s="76" t="n"/>
      <c r="K195" s="76" t="n"/>
      <c r="L195" s="76" t="n">
        <v>2</v>
      </c>
      <c r="M195" s="71" t="n"/>
      <c r="N195" s="77" t="n">
        <v>7.800000000000001</v>
      </c>
      <c r="O195" s="71" t="n">
        <v>0</v>
      </c>
      <c r="P195" s="71" t="n">
        <v>0</v>
      </c>
      <c r="Q195" s="71" t="n">
        <v>0</v>
      </c>
      <c r="R195" s="78" t="inlineStr">
        <is>
          <t>COMPRAR</t>
        </is>
      </c>
      <c r="S195" s="71" t="n">
        <v>7.800000000000001</v>
      </c>
      <c r="T195" s="71" t="n">
        <v>-4</v>
      </c>
      <c r="U195" s="71" t="inlineStr">
        <is>
          <t>GASTON VECCHIO</t>
        </is>
      </c>
      <c r="V195" s="94">
        <f>_xlfn.XMATCH(Tabla4[[#This Row],[EAN CORREGIDO]],'Calcular necesidad'!L:L)</f>
        <v/>
      </c>
      <c r="W195" s="95">
        <f>TRIM(Tabla4[[#This Row],[CodInternoArti]])</f>
        <v/>
      </c>
    </row>
    <row r="196" hidden="1">
      <c r="A196" s="71" t="inlineStr">
        <is>
          <t>NO SE ENCUENTRA EAN</t>
        </is>
      </c>
      <c r="B196" s="72" t="n">
        <v>7790000000900</v>
      </c>
      <c r="C196" s="73" t="inlineStr">
        <is>
          <t>TAPA 80Z BLUE XUN</t>
        </is>
      </c>
      <c r="D196" s="73" t="inlineStr">
        <is>
          <t>TAPAS VASOS DESC</t>
        </is>
      </c>
      <c r="E196" s="73" t="inlineStr">
        <is>
          <t>TAPAS PLASTICAS</t>
        </is>
      </c>
      <c r="F196" s="73" t="inlineStr">
        <is>
          <t>TAPA VASO</t>
        </is>
      </c>
      <c r="G196" s="89" t="inlineStr">
        <is>
          <t>Ciudadela</t>
        </is>
      </c>
      <c r="H196" s="75" t="n">
        <v>500</v>
      </c>
      <c r="I196" s="76" t="n">
        <v>300</v>
      </c>
      <c r="J196" s="76" t="n">
        <v>300</v>
      </c>
      <c r="K196" s="76" t="n">
        <v>300</v>
      </c>
      <c r="L196" s="76" t="n">
        <v>300</v>
      </c>
      <c r="M196" s="71" t="n">
        <v>300</v>
      </c>
      <c r="N196" s="77" t="n">
        <v>2600</v>
      </c>
      <c r="O196" s="71" t="n">
        <v>0</v>
      </c>
      <c r="P196" s="71" t="n">
        <v>0</v>
      </c>
      <c r="Q196" s="71" t="n">
        <v>0</v>
      </c>
      <c r="R196" s="78" t="inlineStr">
        <is>
          <t>COMPRAR</t>
        </is>
      </c>
      <c r="S196" s="71" t="n">
        <v>2600</v>
      </c>
      <c r="T196" s="71" t="n">
        <v>-800</v>
      </c>
      <c r="U196" s="71" t="inlineStr">
        <is>
          <t>GASTON VECCHIO</t>
        </is>
      </c>
      <c r="V196" s="94">
        <f>_xlfn.XMATCH(Tabla4[[#This Row],[EAN CORREGIDO]],'Calcular necesidad'!L:L)</f>
        <v/>
      </c>
      <c r="W196" s="95">
        <f>TRIM(Tabla4[[#This Row],[CodInternoArti]])</f>
        <v/>
      </c>
    </row>
    <row r="197" hidden="1">
      <c r="A197" s="71" t="inlineStr">
        <is>
          <t>NO SE ENCUENTRA EAN</t>
        </is>
      </c>
      <c r="B197" s="72" t="n">
        <v>7798011210077</v>
      </c>
      <c r="C197" s="73" t="inlineStr">
        <is>
          <t>BANDEJA 105 X100U COTNYL</t>
        </is>
      </c>
      <c r="D197" s="73" t="inlineStr">
        <is>
          <t>BANDEJAS DESC</t>
        </is>
      </c>
      <c r="E197" s="73" t="inlineStr">
        <is>
          <t>BANDEJAS PLASTICAS</t>
        </is>
      </c>
      <c r="F197" s="73" t="inlineStr">
        <is>
          <t>BANDEJA 105 CUADRADA</t>
        </is>
      </c>
      <c r="G197" s="89" t="inlineStr">
        <is>
          <t>Ciudadela</t>
        </is>
      </c>
      <c r="H197" s="75" t="n">
        <v>8</v>
      </c>
      <c r="I197" s="76" t="n">
        <v>10</v>
      </c>
      <c r="J197" s="76" t="n">
        <v>2</v>
      </c>
      <c r="K197" s="76" t="n">
        <v>2</v>
      </c>
      <c r="L197" s="76" t="n">
        <v>2</v>
      </c>
      <c r="M197" s="71" t="n">
        <v>10</v>
      </c>
      <c r="N197" s="77" t="n">
        <v>44.2</v>
      </c>
      <c r="O197" s="71" t="n">
        <v>270</v>
      </c>
      <c r="P197" s="71" t="n">
        <v>0</v>
      </c>
      <c r="Q197" s="71" t="n">
        <v>0</v>
      </c>
      <c r="R197" s="78" t="inlineStr">
        <is>
          <t>OK</t>
        </is>
      </c>
      <c r="S197" s="71" t="n">
        <v>0</v>
      </c>
      <c r="T197" s="71" t="n">
        <v>252</v>
      </c>
      <c r="U197" s="71" t="inlineStr">
        <is>
          <t>GASTON VECCHIO</t>
        </is>
      </c>
      <c r="V197" s="94">
        <f>_xlfn.XMATCH(Tabla4[[#This Row],[EAN CORREGIDO]],'Calcular necesidad'!L:L)</f>
        <v/>
      </c>
      <c r="W197" s="95">
        <f>TRIM(Tabla4[[#This Row],[CodInternoArti]])</f>
        <v/>
      </c>
    </row>
    <row r="198" hidden="1">
      <c r="A198" s="71" t="inlineStr">
        <is>
          <t>NO SE ENCUENTRA EAN</t>
        </is>
      </c>
      <c r="B198" s="72" t="n">
        <v>7790000000272</v>
      </c>
      <c r="C198" s="73" t="inlineStr">
        <is>
          <t>BANDEJA 101 PIM MICRO.COTYL X 100 U</t>
        </is>
      </c>
      <c r="D198" s="73" t="inlineStr">
        <is>
          <t>BANDEJAS DESC</t>
        </is>
      </c>
      <c r="E198" s="73" t="inlineStr">
        <is>
          <t>BANDEJAS PLASTICAS</t>
        </is>
      </c>
      <c r="F198" s="73" t="inlineStr">
        <is>
          <t>BAND 101</t>
        </is>
      </c>
      <c r="G198" s="89" t="inlineStr">
        <is>
          <t>Ciudadela</t>
        </is>
      </c>
      <c r="H198" s="75" t="n">
        <v>40</v>
      </c>
      <c r="I198" s="76" t="n">
        <v>40</v>
      </c>
      <c r="J198" s="76" t="n">
        <v>40</v>
      </c>
      <c r="K198" s="76" t="n">
        <v>52</v>
      </c>
      <c r="L198" s="76" t="n">
        <v>52</v>
      </c>
      <c r="M198" s="71" t="n">
        <v>52</v>
      </c>
      <c r="N198" s="77" t="n">
        <v>358.8</v>
      </c>
      <c r="O198" s="71" t="n">
        <v>0</v>
      </c>
      <c r="P198" s="71" t="n">
        <v>0</v>
      </c>
      <c r="Q198" s="71" t="n">
        <v>0</v>
      </c>
      <c r="R198" s="78" t="inlineStr">
        <is>
          <t>COMPRAR</t>
        </is>
      </c>
      <c r="S198" s="71" t="n">
        <v>358.8</v>
      </c>
      <c r="T198" s="71" t="n">
        <v>-80</v>
      </c>
      <c r="U198" s="71" t="inlineStr">
        <is>
          <t>GASTON VECCHIO</t>
        </is>
      </c>
      <c r="V198" s="94">
        <f>_xlfn.XMATCH(Tabla4[[#This Row],[EAN CORREGIDO]],'Calcular necesidad'!L:L)</f>
        <v/>
      </c>
      <c r="W198" s="95">
        <f>TRIM(Tabla4[[#This Row],[CodInternoArti]])</f>
        <v/>
      </c>
    </row>
    <row r="199" hidden="1">
      <c r="A199" s="71" t="inlineStr">
        <is>
          <t>NO SE ENCUENTRA EAN</t>
        </is>
      </c>
      <c r="B199" s="72" t="n">
        <v>7790000000768</v>
      </c>
      <c r="C199" s="73" t="inlineStr">
        <is>
          <t>FILM 38CM 500M DISPAFILM</t>
        </is>
      </c>
      <c r="D199" s="73" t="inlineStr">
        <is>
          <t>VARIOS</t>
        </is>
      </c>
      <c r="E199" s="73" t="inlineStr">
        <is>
          <t>EMBALAJES</t>
        </is>
      </c>
      <c r="F199" s="73" t="inlineStr">
        <is>
          <t>FILM STREECH</t>
        </is>
      </c>
      <c r="G199" s="89" t="inlineStr">
        <is>
          <t>Ciudadela</t>
        </is>
      </c>
      <c r="H199" s="75" t="n">
        <v>1</v>
      </c>
      <c r="I199" s="76" t="n"/>
      <c r="J199" s="76" t="n"/>
      <c r="K199" s="76" t="n"/>
      <c r="L199" s="76" t="n">
        <v>1</v>
      </c>
      <c r="M199" s="71" t="n"/>
      <c r="N199" s="77" t="n">
        <v>2.6</v>
      </c>
      <c r="O199" s="71" t="n">
        <v>0</v>
      </c>
      <c r="P199" s="71" t="n">
        <v>0</v>
      </c>
      <c r="Q199" s="71" t="n">
        <v>0</v>
      </c>
      <c r="R199" s="78" t="inlineStr">
        <is>
          <t>COMPRAR</t>
        </is>
      </c>
      <c r="S199" s="71" t="n">
        <v>2.6</v>
      </c>
      <c r="T199" s="71" t="n">
        <v>-1</v>
      </c>
      <c r="U199" s="71" t="inlineStr">
        <is>
          <t>GASTON VECCHIO</t>
        </is>
      </c>
      <c r="V199" s="94">
        <f>_xlfn.XMATCH(Tabla4[[#This Row],[EAN CORREGIDO]],'Calcular necesidad'!L:L)</f>
        <v/>
      </c>
      <c r="W199" s="95">
        <f>TRIM(Tabla4[[#This Row],[CodInternoArti]])</f>
        <v/>
      </c>
    </row>
    <row r="200" hidden="1">
      <c r="A200" s="71" t="inlineStr">
        <is>
          <t>NO SE ENCUENTRA EAN</t>
        </is>
      </c>
      <c r="B200" s="72" t="n">
        <v>736372273444</v>
      </c>
      <c r="C200" s="73" t="inlineStr">
        <is>
          <t>ROLLO ALUM. 38CM 14MT 20MIC ALUMAX</t>
        </is>
      </c>
      <c r="D200" s="73" t="inlineStr">
        <is>
          <t>PAPEL</t>
        </is>
      </c>
      <c r="E200" s="73" t="inlineStr">
        <is>
          <t>ROLLO INDUSTRIAL</t>
        </is>
      </c>
      <c r="F200" s="73" t="inlineStr">
        <is>
          <t>PAPEL ALUMINIO</t>
        </is>
      </c>
      <c r="G200" s="89" t="inlineStr">
        <is>
          <t>Ciudadela</t>
        </is>
      </c>
      <c r="H200" s="75" t="n"/>
      <c r="I200" s="76" t="n"/>
      <c r="J200" s="76" t="n"/>
      <c r="K200" s="76" t="n">
        <v>2</v>
      </c>
      <c r="L200" s="76" t="n"/>
      <c r="M200" s="71" t="n"/>
      <c r="N200" s="77" t="n">
        <v>2.6</v>
      </c>
      <c r="O200" s="71" t="n">
        <v>0</v>
      </c>
      <c r="P200" s="71" t="n">
        <v>0</v>
      </c>
      <c r="Q200" s="71" t="n">
        <v>2</v>
      </c>
      <c r="R200" s="78" t="inlineStr">
        <is>
          <t>COMPRAR</t>
        </is>
      </c>
      <c r="S200" s="71" t="n">
        <v>0.6000000000000001</v>
      </c>
      <c r="T200" s="71" t="n">
        <v>0</v>
      </c>
      <c r="U200" s="71" t="inlineStr">
        <is>
          <t>GASTON VECCHIO</t>
        </is>
      </c>
      <c r="V200" s="94">
        <f>_xlfn.XMATCH(Tabla4[[#This Row],[EAN CORREGIDO]],'Calcular necesidad'!L:L)</f>
        <v/>
      </c>
      <c r="W200" s="95">
        <f>TRIM(Tabla4[[#This Row],[CodInternoArti]])</f>
        <v/>
      </c>
    </row>
    <row r="201" hidden="1">
      <c r="A201" s="71" t="inlineStr">
        <is>
          <t>NO SE ENCUENTRA EAN</t>
        </is>
      </c>
      <c r="B201" s="72" t="n">
        <v>7790000000711</v>
      </c>
      <c r="C201" s="73" t="inlineStr">
        <is>
          <t>INDIV BLUE ESPECIALIDAD X1000UN</t>
        </is>
      </c>
      <c r="D201" s="73" t="inlineStr">
        <is>
          <t>VARIOS</t>
        </is>
      </c>
      <c r="E201" s="73" t="inlineStr">
        <is>
          <t>DESCARTABLES</t>
        </is>
      </c>
      <c r="F201" s="73" t="inlineStr">
        <is>
          <t>MANTEL LOGO GL</t>
        </is>
      </c>
      <c r="G201" s="89" t="inlineStr">
        <is>
          <t>Ciudadela</t>
        </is>
      </c>
      <c r="H201" s="75" t="n"/>
      <c r="I201" s="76" t="n">
        <v>1</v>
      </c>
      <c r="J201" s="76" t="n"/>
      <c r="K201" s="76" t="n">
        <v>1</v>
      </c>
      <c r="L201" s="76" t="n"/>
      <c r="M201" s="71" t="n">
        <v>1</v>
      </c>
      <c r="N201" s="77" t="n">
        <v>3.9</v>
      </c>
      <c r="O201" s="71" t="n">
        <v>18</v>
      </c>
      <c r="P201" s="71" t="n">
        <v>0</v>
      </c>
      <c r="Q201" s="71" t="n">
        <v>20</v>
      </c>
      <c r="R201" s="78" t="inlineStr">
        <is>
          <t>OK</t>
        </is>
      </c>
      <c r="S201" s="71" t="n">
        <v>0</v>
      </c>
      <c r="T201" s="71" t="n">
        <v>17</v>
      </c>
      <c r="U201" s="71" t="inlineStr">
        <is>
          <t>GASTON VECCHIO</t>
        </is>
      </c>
      <c r="V201" s="94">
        <f>_xlfn.XMATCH(Tabla4[[#This Row],[EAN CORREGIDO]],'Calcular necesidad'!L:L)</f>
        <v/>
      </c>
      <c r="W201" s="95">
        <f>TRIM(Tabla4[[#This Row],[CodInternoArti]])</f>
        <v/>
      </c>
    </row>
    <row r="202" hidden="1">
      <c r="A202" s="71" t="inlineStr">
        <is>
          <t>NO SE ENCUENTRA EAN</t>
        </is>
      </c>
      <c r="B202" s="72" t="n">
        <v>714604111788</v>
      </c>
      <c r="C202" s="73" t="inlineStr">
        <is>
          <t>GL CUCHILLOS DESCARTABLES X1000</t>
        </is>
      </c>
      <c r="D202" s="73" t="inlineStr">
        <is>
          <t>CUBIERTOS DESC</t>
        </is>
      </c>
      <c r="E202" s="73" t="inlineStr">
        <is>
          <t>CUCHILLOS</t>
        </is>
      </c>
      <c r="F202" s="73" t="inlineStr">
        <is>
          <t>CUCHILLOS</t>
        </is>
      </c>
      <c r="G202" s="89" t="inlineStr">
        <is>
          <t>Ciudadela</t>
        </is>
      </c>
      <c r="H202" s="75" t="n">
        <v>10</v>
      </c>
      <c r="I202" s="76" t="n"/>
      <c r="J202" s="76" t="n"/>
      <c r="K202" s="76" t="n"/>
      <c r="L202" s="76" t="n"/>
      <c r="M202" s="71" t="n"/>
      <c r="N202" s="77" t="n">
        <v>13</v>
      </c>
      <c r="O202" s="71" t="n">
        <v>62</v>
      </c>
      <c r="P202" s="71" t="n">
        <v>0</v>
      </c>
      <c r="Q202" s="71" t="n">
        <v>51</v>
      </c>
      <c r="R202" s="78" t="inlineStr">
        <is>
          <t>OK</t>
        </is>
      </c>
      <c r="S202" s="71" t="n">
        <v>0</v>
      </c>
      <c r="T202" s="71" t="n">
        <v>52</v>
      </c>
      <c r="U202" s="71" t="inlineStr">
        <is>
          <t>GASTON VECCHIO</t>
        </is>
      </c>
      <c r="V202" s="94">
        <f>_xlfn.XMATCH(Tabla4[[#This Row],[EAN CORREGIDO]],'Calcular necesidad'!L:L)</f>
        <v/>
      </c>
      <c r="W202" s="95">
        <f>TRIM(Tabla4[[#This Row],[CodInternoArti]])</f>
        <v/>
      </c>
    </row>
    <row r="203" hidden="1">
      <c r="A203" s="71" t="inlineStr">
        <is>
          <t>NO SE ENCUENTRA EAN</t>
        </is>
      </c>
      <c r="B203" s="72" t="n">
        <v>7794459003554</v>
      </c>
      <c r="C203" s="73" t="inlineStr">
        <is>
          <t>GL ROLLO ARRANQUE 60x90 X4U 2000GR</t>
        </is>
      </c>
      <c r="D203" s="73" t="inlineStr">
        <is>
          <t>BOLSAS</t>
        </is>
      </c>
      <c r="E203" s="73" t="inlineStr">
        <is>
          <t>BOLSAS ARRANQUE</t>
        </is>
      </c>
      <c r="F203" s="73" t="inlineStr">
        <is>
          <t>BOLSAS ARRANQUE</t>
        </is>
      </c>
      <c r="G203" s="89" t="inlineStr">
        <is>
          <t>Ciudadela</t>
        </is>
      </c>
      <c r="H203" s="75" t="n">
        <v>2</v>
      </c>
      <c r="I203" s="76" t="n">
        <v>2</v>
      </c>
      <c r="J203" s="76" t="n">
        <v>4</v>
      </c>
      <c r="K203" s="76" t="n">
        <v>3</v>
      </c>
      <c r="L203" s="76" t="n">
        <v>4</v>
      </c>
      <c r="M203" s="71" t="n">
        <v>2</v>
      </c>
      <c r="N203" s="77" t="n">
        <v>22.1</v>
      </c>
      <c r="O203" s="71" t="n">
        <v>0</v>
      </c>
      <c r="P203" s="71" t="n">
        <v>0</v>
      </c>
      <c r="Q203" s="71" t="n">
        <v>0</v>
      </c>
      <c r="R203" s="78" t="inlineStr">
        <is>
          <t>COMPRAR</t>
        </is>
      </c>
      <c r="S203" s="71" t="n">
        <v>22.1</v>
      </c>
      <c r="T203" s="71" t="n">
        <v>-4</v>
      </c>
      <c r="U203" s="71" t="inlineStr">
        <is>
          <t>GASTON VECCHIO</t>
        </is>
      </c>
      <c r="V203" s="94">
        <f>_xlfn.XMATCH(Tabla4[[#This Row],[EAN CORREGIDO]],'Calcular necesidad'!L:L)</f>
        <v/>
      </c>
      <c r="W203" s="95">
        <f>TRIM(Tabla4[[#This Row],[CodInternoArti]])</f>
        <v/>
      </c>
    </row>
    <row r="204" hidden="1">
      <c r="A204" s="71" t="inlineStr">
        <is>
          <t>NO SE ENCUENTRA EAN</t>
        </is>
      </c>
      <c r="B204" s="72" t="n">
        <v>7798353362403</v>
      </c>
      <c r="C204" s="73" t="inlineStr">
        <is>
          <t>VASO TERMICO 240X1000U WELL CUP</t>
        </is>
      </c>
      <c r="D204" s="73" t="inlineStr">
        <is>
          <t>VASOS</t>
        </is>
      </c>
      <c r="E204" s="73" t="inlineStr">
        <is>
          <t>VASOS TERMICOS</t>
        </is>
      </c>
      <c r="F204" s="73" t="inlineStr">
        <is>
          <t>VASO TERMICO</t>
        </is>
      </c>
      <c r="G204" s="89" t="inlineStr">
        <is>
          <t>Ciudadela</t>
        </is>
      </c>
      <c r="H204" s="75" t="n">
        <v>41</v>
      </c>
      <c r="I204" s="76" t="n"/>
      <c r="J204" s="76" t="n"/>
      <c r="K204" s="76" t="n"/>
      <c r="L204" s="76" t="n"/>
      <c r="M204" s="71" t="n"/>
      <c r="N204" s="77" t="n">
        <v>53.3</v>
      </c>
      <c r="O204" s="71" t="n">
        <v>78</v>
      </c>
      <c r="P204" s="71" t="n">
        <v>0</v>
      </c>
      <c r="Q204" s="71" t="n">
        <v>28</v>
      </c>
      <c r="R204" s="78" t="inlineStr">
        <is>
          <t>OK</t>
        </is>
      </c>
      <c r="S204" s="71" t="n">
        <v>0</v>
      </c>
      <c r="T204" s="71" t="n">
        <v>37</v>
      </c>
      <c r="U204" s="71" t="inlineStr">
        <is>
          <t>GASTON VECCHIO</t>
        </is>
      </c>
      <c r="V204" s="94">
        <f>_xlfn.XMATCH(Tabla4[[#This Row],[EAN CORREGIDO]],'Calcular necesidad'!L:L)</f>
        <v/>
      </c>
      <c r="W204" s="95">
        <f>TRIM(Tabla4[[#This Row],[CodInternoArti]])</f>
        <v/>
      </c>
    </row>
    <row r="205" hidden="1">
      <c r="A205" s="71" t="n">
        <v>2007571</v>
      </c>
      <c r="B205" s="72" t="n">
        <v>7790000000517</v>
      </c>
      <c r="C205" s="73" t="inlineStr">
        <is>
          <t>GL CUCH. COMP.11CM HEL.X100U BIOPAC</t>
        </is>
      </c>
      <c r="D205" s="73" t="inlineStr">
        <is>
          <t>CUBIERTOS DESC</t>
        </is>
      </c>
      <c r="E205" s="73" t="inlineStr">
        <is>
          <t>CUCHARAS</t>
        </is>
      </c>
      <c r="F205" s="73" t="inlineStr">
        <is>
          <t>CUCHARAS</t>
        </is>
      </c>
      <c r="G205" s="89" t="inlineStr">
        <is>
          <t>Ciudadela</t>
        </is>
      </c>
      <c r="H205" s="75" t="n"/>
      <c r="I205" s="76" t="n">
        <v>40</v>
      </c>
      <c r="J205" s="76" t="n">
        <v>40</v>
      </c>
      <c r="K205" s="76" t="n">
        <v>20</v>
      </c>
      <c r="L205" s="76" t="n">
        <v>110</v>
      </c>
      <c r="M205" s="71" t="n">
        <v>60</v>
      </c>
      <c r="N205" s="77" t="n">
        <v>351</v>
      </c>
      <c r="O205" s="71" t="n">
        <v>0</v>
      </c>
      <c r="P205" s="71" t="n">
        <v>0</v>
      </c>
      <c r="Q205" s="71" t="n">
        <v>0</v>
      </c>
      <c r="R205" s="78" t="inlineStr">
        <is>
          <t>COMPRAR</t>
        </is>
      </c>
      <c r="S205" s="71" t="n">
        <v>351</v>
      </c>
      <c r="T205" s="71" t="n">
        <v>-40</v>
      </c>
      <c r="U205" s="71" t="inlineStr">
        <is>
          <t>GASTON VECCHIO</t>
        </is>
      </c>
      <c r="V205" s="94">
        <f>_xlfn.XMATCH(Tabla4[[#This Row],[EAN CORREGIDO]],'Calcular necesidad'!L:L)</f>
        <v/>
      </c>
      <c r="W205" s="95">
        <f>TRIM(Tabla4[[#This Row],[CodInternoArti]])</f>
        <v/>
      </c>
    </row>
    <row r="206" hidden="1">
      <c r="A206" s="71" t="inlineStr">
        <is>
          <t>NO SE ENCUENTRA EAN</t>
        </is>
      </c>
      <c r="B206" s="72" t="n">
        <v>7798188651727</v>
      </c>
      <c r="C206" s="73" t="inlineStr">
        <is>
          <t xml:space="preserve">SERVILLETA S/LOGO 30X30X1000U      </t>
        </is>
      </c>
      <c r="D206" s="73" t="inlineStr">
        <is>
          <t>SERVILLETAS DESC</t>
        </is>
      </c>
      <c r="E206" s="73" t="inlineStr">
        <is>
          <t>SERVILLETAS DESC S/LOGO</t>
        </is>
      </c>
      <c r="F206" s="73" t="inlineStr">
        <is>
          <t>SERVILLETA DESC S/LOGO</t>
        </is>
      </c>
      <c r="G206" s="89" t="inlineStr">
        <is>
          <t>Ciudadela</t>
        </is>
      </c>
      <c r="H206" s="75" t="n">
        <v>24</v>
      </c>
      <c r="I206" s="76" t="n">
        <v>3</v>
      </c>
      <c r="J206" s="76" t="n">
        <v>3</v>
      </c>
      <c r="K206" s="76" t="n">
        <v>3</v>
      </c>
      <c r="L206" s="76" t="n">
        <v>7</v>
      </c>
      <c r="M206" s="71" t="n">
        <v>3</v>
      </c>
      <c r="N206" s="77" t="n">
        <v>55.9</v>
      </c>
      <c r="O206" s="71" t="n">
        <v>189</v>
      </c>
      <c r="P206" s="71" t="n">
        <v>0</v>
      </c>
      <c r="Q206" s="71" t="n">
        <v>384</v>
      </c>
      <c r="R206" s="78" t="inlineStr">
        <is>
          <t>OK</t>
        </is>
      </c>
      <c r="S206" s="71" t="n">
        <v>0</v>
      </c>
      <c r="T206" s="71" t="n">
        <v>162</v>
      </c>
      <c r="U206" s="71" t="inlineStr">
        <is>
          <t>GASTON VECCHIO</t>
        </is>
      </c>
      <c r="V206" s="94">
        <f>_xlfn.XMATCH(Tabla4[[#This Row],[EAN CORREGIDO]],'Calcular necesidad'!L:L)</f>
        <v/>
      </c>
      <c r="W206" s="95">
        <f>TRIM(Tabla4[[#This Row],[CodInternoArti]])</f>
        <v/>
      </c>
    </row>
    <row r="207" hidden="1">
      <c r="A207" s="71" t="inlineStr">
        <is>
          <t>NO SE ENCUENTRA EAN</t>
        </is>
      </c>
      <c r="B207" s="72" t="n">
        <v>714604111849</v>
      </c>
      <c r="C207" s="73" t="inlineStr">
        <is>
          <t>CUCHARA SUNDAE BCA X1000U OASIS</t>
        </is>
      </c>
      <c r="D207" s="73" t="inlineStr">
        <is>
          <t>CUBIERTOS DESC</t>
        </is>
      </c>
      <c r="E207" s="73" t="inlineStr">
        <is>
          <t>CUCHARAS</t>
        </is>
      </c>
      <c r="F207" s="73" t="inlineStr">
        <is>
          <t>CUCHARAS</t>
        </is>
      </c>
      <c r="G207" s="89" t="inlineStr">
        <is>
          <t>Ciudadela</t>
        </is>
      </c>
      <c r="H207" s="75" t="n">
        <v>2</v>
      </c>
      <c r="I207" s="76" t="n"/>
      <c r="J207" s="76" t="n"/>
      <c r="K207" s="76" t="n"/>
      <c r="L207" s="76" t="n"/>
      <c r="M207" s="71" t="n"/>
      <c r="N207" s="77" t="n">
        <v>2.6</v>
      </c>
      <c r="O207" s="71" t="n">
        <v>178</v>
      </c>
      <c r="P207" s="71" t="n">
        <v>0</v>
      </c>
      <c r="Q207" s="71" t="n">
        <v>0</v>
      </c>
      <c r="R207" s="78" t="inlineStr">
        <is>
          <t>OK</t>
        </is>
      </c>
      <c r="S207" s="71" t="n">
        <v>0</v>
      </c>
      <c r="T207" s="71" t="n">
        <v>176</v>
      </c>
      <c r="U207" s="71" t="inlineStr">
        <is>
          <t>GASTON VECCHIO</t>
        </is>
      </c>
      <c r="V207" s="94">
        <f>_xlfn.XMATCH(Tabla4[[#This Row],[EAN CORREGIDO]],'Calcular necesidad'!L:L)</f>
        <v/>
      </c>
      <c r="W207" s="95">
        <f>TRIM(Tabla4[[#This Row],[CodInternoArti]])</f>
        <v/>
      </c>
    </row>
    <row r="208" hidden="1">
      <c r="A208" s="71" t="n">
        <v>2007573</v>
      </c>
      <c r="B208" s="72" t="n">
        <v>7790000000519</v>
      </c>
      <c r="C208" s="73" t="inlineStr">
        <is>
          <t>GL AGITAD MADE ECO 15CM X500 BIOPAC</t>
        </is>
      </c>
      <c r="D208" s="73" t="inlineStr">
        <is>
          <t>DESCARTABLES</t>
        </is>
      </c>
      <c r="E208" s="73" t="inlineStr">
        <is>
          <t>DESCARTABLES</t>
        </is>
      </c>
      <c r="F208" s="73" t="inlineStr">
        <is>
          <t>AGITADOR</t>
        </is>
      </c>
      <c r="G208" s="89" t="inlineStr">
        <is>
          <t>Ciudadela</t>
        </is>
      </c>
      <c r="H208" s="75" t="n"/>
      <c r="I208" s="76" t="n">
        <v>4</v>
      </c>
      <c r="J208" s="76" t="n">
        <v>4</v>
      </c>
      <c r="K208" s="76" t="n">
        <v>8</v>
      </c>
      <c r="L208" s="76" t="n">
        <v>16</v>
      </c>
      <c r="M208" s="71" t="n">
        <v>8</v>
      </c>
      <c r="N208" s="77" t="n">
        <v>52</v>
      </c>
      <c r="O208" s="71" t="n">
        <v>6</v>
      </c>
      <c r="P208" s="71" t="n">
        <v>0</v>
      </c>
      <c r="Q208" s="71" t="n">
        <v>0</v>
      </c>
      <c r="R208" s="78" t="inlineStr">
        <is>
          <t>COMPRAR</t>
        </is>
      </c>
      <c r="S208" s="71" t="n">
        <v>46</v>
      </c>
      <c r="T208" s="71" t="n">
        <v>2</v>
      </c>
      <c r="U208" s="71" t="inlineStr">
        <is>
          <t>GASTON VECCHIO</t>
        </is>
      </c>
      <c r="V208" s="94">
        <f>_xlfn.XMATCH(Tabla4[[#This Row],[EAN CORREGIDO]],'Calcular necesidad'!L:L)</f>
        <v/>
      </c>
      <c r="W208" s="95">
        <f>TRIM(Tabla4[[#This Row],[CodInternoArti]])</f>
        <v/>
      </c>
    </row>
    <row r="209" hidden="1">
      <c r="A209" s="71" t="n">
        <v>2006797</v>
      </c>
      <c r="B209" s="72" t="n">
        <v>7792798664287</v>
      </c>
      <c r="C209" s="73" t="inlineStr">
        <is>
          <t>BANDEJA 105 X200U COTNYL</t>
        </is>
      </c>
      <c r="D209" s="73" t="inlineStr">
        <is>
          <t>BANDEJAS DESC</t>
        </is>
      </c>
      <c r="E209" s="73" t="inlineStr">
        <is>
          <t>BANDEJAS PLASTICAS</t>
        </is>
      </c>
      <c r="F209" s="73" t="inlineStr">
        <is>
          <t>BANDEJA 105 CUADRADA</t>
        </is>
      </c>
      <c r="G209" s="89" t="inlineStr">
        <is>
          <t>Ciudadela</t>
        </is>
      </c>
      <c r="H209" s="75" t="n">
        <v>2</v>
      </c>
      <c r="I209" s="76" t="n">
        <v>2</v>
      </c>
      <c r="J209" s="76" t="n">
        <v>2</v>
      </c>
      <c r="K209" s="76" t="n">
        <v>19</v>
      </c>
      <c r="L209" s="76" t="n">
        <v>19</v>
      </c>
      <c r="M209" s="71" t="n">
        <v>19</v>
      </c>
      <c r="N209" s="77" t="n">
        <v>81.90000000000001</v>
      </c>
      <c r="O209" s="71" t="n">
        <v>0</v>
      </c>
      <c r="P209" s="71" t="n">
        <v>0</v>
      </c>
      <c r="Q209" s="71" t="n">
        <v>0</v>
      </c>
      <c r="R209" s="78" t="inlineStr">
        <is>
          <t>COMPRAR</t>
        </is>
      </c>
      <c r="S209" s="71" t="n">
        <v>81.90000000000001</v>
      </c>
      <c r="T209" s="71" t="n">
        <v>-4</v>
      </c>
      <c r="U209" s="71" t="inlineStr">
        <is>
          <t>GASTON VECCHIO</t>
        </is>
      </c>
      <c r="V209" s="94">
        <f>_xlfn.XMATCH(Tabla4[[#This Row],[EAN CORREGIDO]],'Calcular necesidad'!L:L)</f>
        <v/>
      </c>
      <c r="W209" s="95">
        <f>TRIM(Tabla4[[#This Row],[CodInternoArti]])</f>
        <v/>
      </c>
    </row>
    <row r="210" hidden="1">
      <c r="A210" s="5" t="inlineStr">
        <is>
          <t>NO SE ENCUENTRA EAN</t>
        </is>
      </c>
      <c r="B210" s="83" t="inlineStr">
        <is>
          <t xml:space="preserve">7798452810027 </t>
        </is>
      </c>
      <c r="C210" s="84" t="inlineStr">
        <is>
          <t xml:space="preserve">GUANTES LATEX M X1000U ALUMAX  </t>
        </is>
      </c>
      <c r="D210" s="84" t="inlineStr">
        <is>
          <t>VARIOS</t>
        </is>
      </c>
      <c r="E210" s="84" t="inlineStr">
        <is>
          <t>DESCARTABLES</t>
        </is>
      </c>
      <c r="F210" s="84" t="inlineStr">
        <is>
          <t>GUANTE LATEX</t>
        </is>
      </c>
      <c r="G210" s="85" t="inlineStr">
        <is>
          <t>CD Moreno 3</t>
        </is>
      </c>
      <c r="H210" s="86" t="n"/>
      <c r="I210" s="87" t="n">
        <v>1</v>
      </c>
      <c r="J210" s="87" t="n"/>
      <c r="K210" s="87" t="n"/>
      <c r="L210" s="87" t="n"/>
      <c r="M210" s="5" t="n">
        <v>1</v>
      </c>
      <c r="N210" s="8" t="n">
        <v>2.6</v>
      </c>
      <c r="O210" s="5" t="n">
        <v>0</v>
      </c>
      <c r="P210" s="5" t="n">
        <v>0</v>
      </c>
      <c r="Q210" s="5" t="n">
        <v>0</v>
      </c>
      <c r="R210" s="9" t="inlineStr">
        <is>
          <t>COMPRAR</t>
        </is>
      </c>
      <c r="S210" s="5" t="n">
        <v>2.6</v>
      </c>
      <c r="T210" s="5" t="n">
        <v>-1</v>
      </c>
      <c r="U210" s="5" t="inlineStr">
        <is>
          <t>GASTON VECCHIO</t>
        </is>
      </c>
      <c r="V210" s="94">
        <f>_xlfn.XMATCH(Tabla4[[#This Row],[EAN CORREGIDO]],'Calcular necesidad'!L:L)</f>
        <v/>
      </c>
      <c r="W210" s="93">
        <f>TRIM(Tabla4[[#This Row],[CodInternoArti]])</f>
        <v/>
      </c>
    </row>
    <row r="211" hidden="1">
      <c r="A211" s="71" t="inlineStr">
        <is>
          <t>NO SE ENCUENTRA EAN</t>
        </is>
      </c>
      <c r="B211" s="72" t="n">
        <v>790757820753</v>
      </c>
      <c r="C211" s="73" t="inlineStr">
        <is>
          <t>GL SERVILLETAS 24x24 X2000U</t>
        </is>
      </c>
      <c r="D211" s="73" t="inlineStr">
        <is>
          <t>SERVILLETAS DESC</t>
        </is>
      </c>
      <c r="E211" s="73" t="inlineStr">
        <is>
          <t>SERVILLETAS DESC S/LOGO</t>
        </is>
      </c>
      <c r="F211" s="73" t="inlineStr">
        <is>
          <t>SERVILLETA DESC S/LOGO</t>
        </is>
      </c>
      <c r="G211" s="89" t="inlineStr">
        <is>
          <t>Ciudadela</t>
        </is>
      </c>
      <c r="H211" s="75" t="n">
        <v>3</v>
      </c>
      <c r="I211" s="76" t="n">
        <v>3</v>
      </c>
      <c r="J211" s="76" t="n">
        <v>2</v>
      </c>
      <c r="K211" s="76" t="n">
        <v>5</v>
      </c>
      <c r="L211" s="76" t="n">
        <v>2</v>
      </c>
      <c r="M211" s="71" t="n">
        <v>3</v>
      </c>
      <c r="N211" s="77" t="n">
        <v>23.4</v>
      </c>
      <c r="O211" s="71" t="n">
        <v>0</v>
      </c>
      <c r="P211" s="71" t="n">
        <v>0</v>
      </c>
      <c r="Q211" s="71" t="n">
        <v>0</v>
      </c>
      <c r="R211" s="78" t="inlineStr">
        <is>
          <t>COMPRAR</t>
        </is>
      </c>
      <c r="S211" s="71" t="n">
        <v>23.4</v>
      </c>
      <c r="T211" s="71" t="n">
        <v>-6</v>
      </c>
      <c r="U211" s="71" t="inlineStr">
        <is>
          <t>GASTON VECCHIO</t>
        </is>
      </c>
      <c r="V211" s="94">
        <f>_xlfn.XMATCH(Tabla4[[#This Row],[EAN CORREGIDO]],'Calcular necesidad'!L:L)</f>
        <v/>
      </c>
      <c r="W211" s="95">
        <f>TRIM(Tabla4[[#This Row],[CodInternoArti]])</f>
        <v/>
      </c>
    </row>
    <row r="212" hidden="1">
      <c r="A212" s="71" t="inlineStr">
        <is>
          <t>NO SE ENCUENTRA EAN</t>
        </is>
      </c>
      <c r="B212" s="72" t="n">
        <v>7790000000902</v>
      </c>
      <c r="C212" s="73" t="inlineStr">
        <is>
          <t>BOLSA KRAFT FM8 BLUE X100U</t>
        </is>
      </c>
      <c r="D212" s="73" t="inlineStr">
        <is>
          <t>BOLSAS</t>
        </is>
      </c>
      <c r="E212" s="73" t="inlineStr">
        <is>
          <t>BOLSAS</t>
        </is>
      </c>
      <c r="F212" s="73" t="inlineStr">
        <is>
          <t>BOLSA KRAFT</t>
        </is>
      </c>
      <c r="G212" s="89" t="inlineStr">
        <is>
          <t>CD Moreno 3</t>
        </is>
      </c>
      <c r="H212" s="75" t="n">
        <v>1</v>
      </c>
      <c r="I212" s="76" t="n">
        <v>1</v>
      </c>
      <c r="J212" s="76" t="n">
        <v>2</v>
      </c>
      <c r="K212" s="76" t="n">
        <v>1</v>
      </c>
      <c r="L212" s="76" t="n">
        <v>1</v>
      </c>
      <c r="M212" s="71" t="n">
        <v>1</v>
      </c>
      <c r="N212" s="77" t="n">
        <v>9.1</v>
      </c>
      <c r="O212" s="71" t="n">
        <v>0</v>
      </c>
      <c r="P212" s="71" t="n">
        <v>0</v>
      </c>
      <c r="Q212" s="71" t="n">
        <v>0</v>
      </c>
      <c r="R212" s="78" t="inlineStr">
        <is>
          <t>COMPRAR</t>
        </is>
      </c>
      <c r="S212" s="71" t="n">
        <v>9.1</v>
      </c>
      <c r="T212" s="71" t="n">
        <v>-2</v>
      </c>
      <c r="U212" s="71" t="inlineStr">
        <is>
          <t>GASTON VECCHIO</t>
        </is>
      </c>
      <c r="V212" s="94">
        <f>_xlfn.XMATCH(Tabla4[[#This Row],[EAN CORREGIDO]],'Calcular necesidad'!L:L)</f>
        <v/>
      </c>
      <c r="W212" s="95">
        <f>TRIM(Tabla4[[#This Row],[CodInternoArti]])</f>
        <v/>
      </c>
    </row>
    <row r="213" hidden="1">
      <c r="A213" s="71" t="n">
        <v>2006850</v>
      </c>
      <c r="B213" s="72" t="n">
        <v>7790991126352</v>
      </c>
      <c r="C213" s="73" t="inlineStr">
        <is>
          <t>BANDEJA 101 X200U COTNYL</t>
        </is>
      </c>
      <c r="D213" s="73" t="inlineStr">
        <is>
          <t>BANDEJAS DESC</t>
        </is>
      </c>
      <c r="E213" s="73" t="inlineStr">
        <is>
          <t>BANDEJAS PLASTICAS</t>
        </is>
      </c>
      <c r="F213" s="73" t="inlineStr">
        <is>
          <t>BAND 101</t>
        </is>
      </c>
      <c r="G213" s="89" t="inlineStr">
        <is>
          <t>Ciudadela</t>
        </is>
      </c>
      <c r="H213" s="75" t="n">
        <v>77</v>
      </c>
      <c r="I213" s="76" t="n">
        <v>101</v>
      </c>
      <c r="J213" s="76" t="n">
        <v>73</v>
      </c>
      <c r="K213" s="76" t="n">
        <v>85</v>
      </c>
      <c r="L213" s="76" t="n">
        <v>84</v>
      </c>
      <c r="M213" s="71" t="n">
        <v>74</v>
      </c>
      <c r="N213" s="77" t="n">
        <v>642.2</v>
      </c>
      <c r="O213" s="71" t="n">
        <v>0</v>
      </c>
      <c r="P213" s="71" t="n">
        <v>0</v>
      </c>
      <c r="Q213" s="71" t="n">
        <v>0</v>
      </c>
      <c r="R213" s="78" t="inlineStr">
        <is>
          <t>COMPRAR</t>
        </is>
      </c>
      <c r="S213" s="71" t="n">
        <v>642.2</v>
      </c>
      <c r="T213" s="71" t="n">
        <v>-178</v>
      </c>
      <c r="U213" s="71" t="inlineStr">
        <is>
          <t>GASTON VECCHIO</t>
        </is>
      </c>
      <c r="V213" s="94">
        <f>_xlfn.XMATCH(Tabla4[[#This Row],[EAN CORREGIDO]],'Calcular necesidad'!L:L)</f>
        <v/>
      </c>
      <c r="W213" s="95">
        <f>TRIM(Tabla4[[#This Row],[CodInternoArti]])</f>
        <v/>
      </c>
    </row>
    <row r="214" hidden="1">
      <c r="A214" s="71" t="n">
        <v>2007322</v>
      </c>
      <c r="B214" s="72" t="n">
        <v>7790000000380</v>
      </c>
      <c r="C214" s="73" t="inlineStr">
        <is>
          <t>BANDEJA 103 BIODEG. X 900U MPROPIA</t>
        </is>
      </c>
      <c r="D214" s="73" t="inlineStr">
        <is>
          <t>BANDEJAS DESC</t>
        </is>
      </c>
      <c r="E214" s="73" t="inlineStr">
        <is>
          <t>BANDEJAS PLASTICAS</t>
        </is>
      </c>
      <c r="F214" s="73" t="inlineStr">
        <is>
          <t>BAND 103</t>
        </is>
      </c>
      <c r="G214" s="89" t="inlineStr">
        <is>
          <t>Ciudadela</t>
        </is>
      </c>
      <c r="H214" s="75" t="n">
        <v>4</v>
      </c>
      <c r="I214" s="76" t="n">
        <v>4</v>
      </c>
      <c r="J214" s="76" t="n">
        <v>4</v>
      </c>
      <c r="K214" s="76" t="n">
        <v>4</v>
      </c>
      <c r="L214" s="76" t="n">
        <v>4</v>
      </c>
      <c r="M214" s="71" t="n">
        <v>4</v>
      </c>
      <c r="N214" s="77" t="n">
        <v>31.2</v>
      </c>
      <c r="O214" s="71" t="n">
        <v>0</v>
      </c>
      <c r="P214" s="71" t="n">
        <v>0</v>
      </c>
      <c r="Q214" s="71" t="n">
        <v>0</v>
      </c>
      <c r="R214" s="78" t="inlineStr">
        <is>
          <t>COMPRAR</t>
        </is>
      </c>
      <c r="S214" s="71" t="n">
        <v>31.2</v>
      </c>
      <c r="T214" s="71" t="n">
        <v>-8</v>
      </c>
      <c r="U214" s="71" t="inlineStr">
        <is>
          <t>GASTON VECCHIO</t>
        </is>
      </c>
      <c r="V214" s="94">
        <f>_xlfn.XMATCH(Tabla4[[#This Row],[EAN CORREGIDO]],'Calcular necesidad'!L:L)</f>
        <v/>
      </c>
      <c r="W214" s="95">
        <f>TRIM(Tabla4[[#This Row],[CodInternoArti]])</f>
        <v/>
      </c>
    </row>
    <row r="215" hidden="1">
      <c r="A215" s="5" t="inlineStr">
        <is>
          <t>NO SE ENCUENTRA EAN</t>
        </is>
      </c>
      <c r="B215" s="83" t="n">
        <v>7794459003066</v>
      </c>
      <c r="C215" s="84" t="inlineStr">
        <is>
          <t>GL ROLLO ARRANQUE 50x70 X6U 1500GR</t>
        </is>
      </c>
      <c r="D215" s="84" t="inlineStr">
        <is>
          <t>BOLSAS</t>
        </is>
      </c>
      <c r="E215" s="84" t="inlineStr">
        <is>
          <t>BOLSAS ARRANQUE</t>
        </is>
      </c>
      <c r="F215" s="84" t="inlineStr">
        <is>
          <t>BOLSAS ARRANQUE</t>
        </is>
      </c>
      <c r="G215" s="85" t="inlineStr">
        <is>
          <t>Ciudadela</t>
        </is>
      </c>
      <c r="H215" s="86" t="n"/>
      <c r="I215" s="87" t="n"/>
      <c r="J215" s="87" t="n"/>
      <c r="K215" s="87" t="n"/>
      <c r="L215" s="87" t="n"/>
      <c r="M215" s="5" t="n"/>
      <c r="N215" s="8" t="n">
        <v>0</v>
      </c>
      <c r="O215" s="5" t="n">
        <v>60</v>
      </c>
      <c r="P215" s="5" t="n">
        <v>0</v>
      </c>
      <c r="Q215" s="5" t="n">
        <v>200</v>
      </c>
      <c r="R215" s="9" t="inlineStr">
        <is>
          <t>OK</t>
        </is>
      </c>
      <c r="S215" s="5" t="n">
        <v>0</v>
      </c>
      <c r="T215" s="5" t="n">
        <v>60</v>
      </c>
      <c r="U215" s="5" t="inlineStr">
        <is>
          <t>GASTON VECCHIO</t>
        </is>
      </c>
      <c r="V215" s="94">
        <f>_xlfn.XMATCH(Tabla4[[#This Row],[EAN CORREGIDO]],'Calcular necesidad'!L:L)</f>
        <v/>
      </c>
      <c r="W215" s="93">
        <f>TRIM(Tabla4[[#This Row],[CodInternoArti]])</f>
        <v/>
      </c>
    </row>
    <row r="216" hidden="1">
      <c r="A216" s="5" t="inlineStr">
        <is>
          <t>NO SE ENCUENTRA EAN</t>
        </is>
      </c>
      <c r="B216" s="83" t="n">
        <v>7798102570653</v>
      </c>
      <c r="C216" s="84" t="inlineStr">
        <is>
          <t>PLATO DESCARTABLE 17CM X1000U</t>
        </is>
      </c>
      <c r="D216" s="84" t="inlineStr">
        <is>
          <t>DESCARTABLES</t>
        </is>
      </c>
      <c r="E216" s="84" t="inlineStr">
        <is>
          <t>PLATOS</t>
        </is>
      </c>
      <c r="F216" s="84" t="inlineStr">
        <is>
          <t>PLATOS DESCARTABLES</t>
        </is>
      </c>
      <c r="G216" s="85" t="inlineStr">
        <is>
          <t>CD Moreno 3</t>
        </is>
      </c>
      <c r="H216" s="86" t="n"/>
      <c r="I216" s="87" t="n"/>
      <c r="J216" s="87" t="n"/>
      <c r="K216" s="87" t="n"/>
      <c r="L216" s="87" t="n"/>
      <c r="M216" s="5" t="n"/>
      <c r="N216" s="8" t="n">
        <v>0</v>
      </c>
      <c r="O216" s="5" t="n">
        <v>0</v>
      </c>
      <c r="P216" s="5" t="n">
        <v>0</v>
      </c>
      <c r="Q216" s="5" t="n">
        <v>50</v>
      </c>
      <c r="R216" s="9" t="inlineStr">
        <is>
          <t>OK</t>
        </is>
      </c>
      <c r="S216" s="5" t="n">
        <v>0</v>
      </c>
      <c r="T216" s="5" t="n">
        <v>0</v>
      </c>
      <c r="U216" s="5" t="inlineStr">
        <is>
          <t>GASTON VECCHIO</t>
        </is>
      </c>
      <c r="V216" s="94">
        <f>_xlfn.XMATCH(Tabla4[[#This Row],[EAN CORREGIDO]],'Calcular necesidad'!L:L)</f>
        <v/>
      </c>
      <c r="W216" s="93">
        <f>TRIM(Tabla4[[#This Row],[CodInternoArti]])</f>
        <v/>
      </c>
    </row>
    <row r="217" hidden="1">
      <c r="A217" s="5" t="n">
        <v>2007402</v>
      </c>
      <c r="B217" s="83" t="n">
        <v>7790023000196</v>
      </c>
      <c r="C217" s="84" t="inlineStr">
        <is>
          <t>GL BOBINA DE ARRANQ 20X30X12U</t>
        </is>
      </c>
      <c r="D217" s="84" t="inlineStr">
        <is>
          <t>BOLSAS</t>
        </is>
      </c>
      <c r="E217" s="84" t="inlineStr">
        <is>
          <t>BOLSAS ARRANQUE</t>
        </is>
      </c>
      <c r="F217" s="84" t="inlineStr">
        <is>
          <t>BOLSAS ARRANQUE</t>
        </is>
      </c>
      <c r="G217" s="85" t="inlineStr">
        <is>
          <t>Ciudadela</t>
        </is>
      </c>
      <c r="H217" s="86" t="n"/>
      <c r="I217" s="87" t="n">
        <v>1</v>
      </c>
      <c r="J217" s="87" t="n"/>
      <c r="K217" s="87" t="n">
        <v>1</v>
      </c>
      <c r="L217" s="87" t="n"/>
      <c r="M217" s="5" t="n"/>
      <c r="N217" s="8" t="n">
        <v>2.6</v>
      </c>
      <c r="O217" s="5" t="n">
        <v>0</v>
      </c>
      <c r="P217" s="5" t="n">
        <v>0</v>
      </c>
      <c r="Q217" s="5" t="n">
        <v>0</v>
      </c>
      <c r="R217" s="9" t="inlineStr">
        <is>
          <t>COMPRAR</t>
        </is>
      </c>
      <c r="S217" s="5" t="n">
        <v>2.6</v>
      </c>
      <c r="T217" s="5" t="n">
        <v>-1</v>
      </c>
      <c r="U217" s="5" t="inlineStr">
        <is>
          <t>GASTON VECCHIO</t>
        </is>
      </c>
      <c r="V217" s="94">
        <f>_xlfn.XMATCH(Tabla4[[#This Row],[EAN CORREGIDO]],'Calcular necesidad'!L:L)</f>
        <v/>
      </c>
      <c r="W217" s="93">
        <f>TRIM(Tabla4[[#This Row],[CodInternoArti]])</f>
        <v/>
      </c>
    </row>
    <row r="218" hidden="1">
      <c r="A218" s="5" t="inlineStr">
        <is>
          <t>NO SE ENCUENTRA EAN</t>
        </is>
      </c>
      <c r="B218" s="83" t="n">
        <v>7794459003516</v>
      </c>
      <c r="C218" s="84" t="inlineStr">
        <is>
          <t>GL ROLLO ARRANQUE 20x30 X6U 500GR</t>
        </is>
      </c>
      <c r="D218" s="84" t="inlineStr">
        <is>
          <t>BOLSAS</t>
        </is>
      </c>
      <c r="E218" s="84" t="inlineStr">
        <is>
          <t>BOLSAS ARRANQUE</t>
        </is>
      </c>
      <c r="F218" s="84" t="inlineStr">
        <is>
          <t>BOLSAS ARRANQUE</t>
        </is>
      </c>
      <c r="G218" s="85" t="inlineStr">
        <is>
          <t>Ciudadela</t>
        </is>
      </c>
      <c r="H218" s="86" t="n">
        <v>4</v>
      </c>
      <c r="I218" s="87" t="n"/>
      <c r="J218" s="87" t="n">
        <v>4</v>
      </c>
      <c r="K218" s="87" t="n"/>
      <c r="L218" s="87" t="n">
        <v>4</v>
      </c>
      <c r="M218" s="5" t="n"/>
      <c r="N218" s="8" t="n">
        <v>15.6</v>
      </c>
      <c r="O218" s="5" t="n">
        <v>0</v>
      </c>
      <c r="P218" s="5" t="n">
        <v>0</v>
      </c>
      <c r="Q218" s="5" t="n">
        <v>0</v>
      </c>
      <c r="R218" s="9" t="inlineStr">
        <is>
          <t>COMPRAR</t>
        </is>
      </c>
      <c r="S218" s="5" t="n">
        <v>15.6</v>
      </c>
      <c r="T218" s="5" t="n">
        <v>-4</v>
      </c>
      <c r="U218" s="5" t="inlineStr">
        <is>
          <t>GASTON VECCHIO</t>
        </is>
      </c>
      <c r="V218" s="94">
        <f>_xlfn.XMATCH(Tabla4[[#This Row],[EAN CORREGIDO]],'Calcular necesidad'!L:L)</f>
        <v/>
      </c>
      <c r="W218" s="93">
        <f>TRIM(Tabla4[[#This Row],[CodInternoArti]])</f>
        <v/>
      </c>
    </row>
    <row r="219" hidden="1">
      <c r="A219" s="5" t="inlineStr">
        <is>
          <t>NO SE ENCUENTRA EAN</t>
        </is>
      </c>
      <c r="B219" s="83" t="n">
        <v>7798068951862</v>
      </c>
      <c r="C219" s="84" t="inlineStr">
        <is>
          <t>BANDEJA 105 MICRO X100UN COTNYL</t>
        </is>
      </c>
      <c r="D219" s="84" t="inlineStr">
        <is>
          <t>BANDEJAS DESC</t>
        </is>
      </c>
      <c r="E219" s="84" t="inlineStr">
        <is>
          <t>BANDEJAS PLASTICAS</t>
        </is>
      </c>
      <c r="F219" s="84" t="inlineStr">
        <is>
          <t>BANDEJA 105 CUADRADA</t>
        </is>
      </c>
      <c r="G219" s="85" t="inlineStr">
        <is>
          <t>Ciudadela</t>
        </is>
      </c>
      <c r="H219" s="86" t="n">
        <v>12</v>
      </c>
      <c r="I219" s="87" t="n">
        <v>2</v>
      </c>
      <c r="J219" s="87" t="n">
        <v>2</v>
      </c>
      <c r="K219" s="87" t="n">
        <v>2</v>
      </c>
      <c r="L219" s="87" t="n">
        <v>12</v>
      </c>
      <c r="M219" s="5" t="n">
        <v>2</v>
      </c>
      <c r="N219" s="8" t="n">
        <v>41.6</v>
      </c>
      <c r="O219" s="5" t="n">
        <v>0</v>
      </c>
      <c r="P219" s="5" t="n">
        <v>0</v>
      </c>
      <c r="Q219" s="5" t="n">
        <v>0</v>
      </c>
      <c r="R219" s="9" t="inlineStr">
        <is>
          <t>COMPRAR</t>
        </is>
      </c>
      <c r="S219" s="5" t="n">
        <v>41.6</v>
      </c>
      <c r="T219" s="5" t="n">
        <v>-14</v>
      </c>
      <c r="U219" s="5" t="inlineStr">
        <is>
          <t>GASTON VECCHIO</t>
        </is>
      </c>
      <c r="V219" s="94">
        <f>_xlfn.XMATCH(Tabla4[[#This Row],[EAN CORREGIDO]],'Calcular necesidad'!L:L)</f>
        <v/>
      </c>
      <c r="W219" s="93">
        <f>TRIM(Tabla4[[#This Row],[CodInternoArti]])</f>
        <v/>
      </c>
    </row>
    <row r="220" hidden="1">
      <c r="A220" s="5" t="inlineStr">
        <is>
          <t>NO SE ENCUENTRA EAN</t>
        </is>
      </c>
      <c r="B220" s="83" t="n">
        <v>9992015000094</v>
      </c>
      <c r="C220" s="84" t="inlineStr">
        <is>
          <t xml:space="preserve"> ALUMINIO X1KG XU</t>
        </is>
      </c>
      <c r="D220" s="84" t="inlineStr">
        <is>
          <t>PAPEL</t>
        </is>
      </c>
      <c r="E220" s="84" t="inlineStr">
        <is>
          <t>ROLLO INDUSTRIAL</t>
        </is>
      </c>
      <c r="F220" s="84" t="inlineStr">
        <is>
          <t>PAPEL ALUMINIO</t>
        </is>
      </c>
      <c r="G220" s="85" t="inlineStr">
        <is>
          <t>Ciudadela</t>
        </is>
      </c>
      <c r="H220" s="86" t="n"/>
      <c r="I220" s="87" t="n"/>
      <c r="J220" s="87" t="n"/>
      <c r="K220" s="87" t="n"/>
      <c r="L220" s="87" t="n"/>
      <c r="M220" s="5" t="n"/>
      <c r="N220" s="8" t="n">
        <v>0</v>
      </c>
      <c r="O220" s="5" t="n">
        <v>28</v>
      </c>
      <c r="P220" s="5" t="n">
        <v>0</v>
      </c>
      <c r="Q220" s="5" t="n">
        <v>0</v>
      </c>
      <c r="R220" s="9" t="inlineStr">
        <is>
          <t>OK</t>
        </is>
      </c>
      <c r="S220" s="5" t="n">
        <v>0</v>
      </c>
      <c r="T220" s="5" t="n">
        <v>28</v>
      </c>
      <c r="U220" s="5" t="inlineStr">
        <is>
          <t>GASTON VECCHIO</t>
        </is>
      </c>
      <c r="V220" s="94">
        <f>_xlfn.XMATCH(Tabla4[[#This Row],[EAN CORREGIDO]],'Calcular necesidad'!L:L)</f>
        <v/>
      </c>
      <c r="W220" s="93">
        <f>TRIM(Tabla4[[#This Row],[CodInternoArti]])</f>
        <v/>
      </c>
    </row>
    <row r="221" hidden="1">
      <c r="A221" s="71" t="n">
        <v>2006958</v>
      </c>
      <c r="B221" s="72" t="inlineStr">
        <is>
          <t>BUSAT001150</t>
        </is>
      </c>
      <c r="C221" s="73" t="inlineStr">
        <is>
          <t>BOLSA CRISTAL 80X110 X 100U</t>
        </is>
      </c>
      <c r="D221" s="73" t="inlineStr">
        <is>
          <t>DESCARTABLES</t>
        </is>
      </c>
      <c r="E221" s="73" t="inlineStr">
        <is>
          <t>BOLSAS</t>
        </is>
      </c>
      <c r="F221" s="73" t="inlineStr">
        <is>
          <t>BOLSAS CRISTAL</t>
        </is>
      </c>
      <c r="G221" s="89" t="inlineStr">
        <is>
          <t>Ciudadela</t>
        </is>
      </c>
      <c r="H221" s="75" t="n"/>
      <c r="I221" s="76" t="n">
        <v>10</v>
      </c>
      <c r="J221" s="76" t="n"/>
      <c r="K221" s="76" t="n">
        <v>10</v>
      </c>
      <c r="L221" s="76" t="n">
        <v>10</v>
      </c>
      <c r="M221" s="71" t="n"/>
      <c r="N221" s="77" t="n">
        <v>39</v>
      </c>
      <c r="O221" s="71" t="n">
        <v>0</v>
      </c>
      <c r="P221" s="71" t="n">
        <v>0</v>
      </c>
      <c r="Q221" s="71" t="n">
        <v>0</v>
      </c>
      <c r="R221" s="78" t="inlineStr">
        <is>
          <t>COMPRAR</t>
        </is>
      </c>
      <c r="S221" s="71" t="n">
        <v>39</v>
      </c>
      <c r="T221" s="71" t="n">
        <v>-10</v>
      </c>
      <c r="U221" s="71" t="inlineStr">
        <is>
          <t>GASTON VECCHIO</t>
        </is>
      </c>
      <c r="V221" s="94">
        <f>_xlfn.XMATCH(Tabla4[[#This Row],[EAN CORREGIDO]],'Calcular necesidad'!L:L)</f>
        <v/>
      </c>
      <c r="W221" s="95">
        <f>TRIM(Tabla4[[#This Row],[CodInternoArti]])</f>
        <v/>
      </c>
    </row>
    <row r="222" hidden="1">
      <c r="A222" s="71" t="inlineStr">
        <is>
          <t>NO SE ENCUENTRA EAN</t>
        </is>
      </c>
      <c r="B222" s="72" t="n">
        <v>7790000000902</v>
      </c>
      <c r="C222" s="73" t="inlineStr">
        <is>
          <t>BOLSA KRAFT FM8 BLUE X100U</t>
        </is>
      </c>
      <c r="D222" s="73" t="inlineStr">
        <is>
          <t>BOLSAS</t>
        </is>
      </c>
      <c r="E222" s="73" t="inlineStr">
        <is>
          <t>BOLSAS</t>
        </is>
      </c>
      <c r="F222" s="73" t="inlineStr">
        <is>
          <t>BOLSA KRAFT</t>
        </is>
      </c>
      <c r="G222" s="89" t="inlineStr">
        <is>
          <t>Ciudadela</t>
        </is>
      </c>
      <c r="H222" s="75" t="n">
        <v>2</v>
      </c>
      <c r="I222" s="76" t="n"/>
      <c r="J222" s="76" t="n"/>
      <c r="K222" s="76" t="n"/>
      <c r="L222" s="76" t="n">
        <v>1</v>
      </c>
      <c r="M222" s="71" t="n"/>
      <c r="N222" s="77" t="n">
        <v>3.9</v>
      </c>
      <c r="O222" s="71" t="n">
        <v>0</v>
      </c>
      <c r="P222" s="71" t="n">
        <v>0</v>
      </c>
      <c r="Q222" s="71" t="n">
        <v>0</v>
      </c>
      <c r="R222" s="78" t="inlineStr">
        <is>
          <t>COMPRAR</t>
        </is>
      </c>
      <c r="S222" s="71" t="n">
        <v>3.9</v>
      </c>
      <c r="T222" s="71" t="n">
        <v>-2</v>
      </c>
      <c r="U222" s="71" t="inlineStr">
        <is>
          <t>GASTON VECCHIO</t>
        </is>
      </c>
      <c r="V222" s="94">
        <f>_xlfn.XMATCH(Tabla4[[#This Row],[EAN CORREGIDO]],'Calcular necesidad'!L:L)</f>
        <v/>
      </c>
      <c r="W222" s="95">
        <f>TRIM(Tabla4[[#This Row],[CodInternoArti]])</f>
        <v/>
      </c>
    </row>
    <row r="223" hidden="1">
      <c r="A223" s="71" t="n">
        <v>2011433</v>
      </c>
      <c r="B223" s="72" t="n">
        <v>7790000000675</v>
      </c>
      <c r="C223" s="73" t="inlineStr">
        <is>
          <t>VASO 12OZ POLIP BLUE X50U ETISOL</t>
        </is>
      </c>
      <c r="D223" s="73" t="inlineStr">
        <is>
          <t>VASOS</t>
        </is>
      </c>
      <c r="E223" s="73" t="inlineStr">
        <is>
          <t>VASOS PLASTICOS</t>
        </is>
      </c>
      <c r="F223" s="73" t="inlineStr">
        <is>
          <t>VASO PLASTICO</t>
        </is>
      </c>
      <c r="G223" s="89" t="inlineStr">
        <is>
          <t>CD Moreno 3</t>
        </is>
      </c>
      <c r="H223" s="75" t="n"/>
      <c r="I223" s="76" t="n"/>
      <c r="J223" s="76" t="n"/>
      <c r="K223" s="76" t="n"/>
      <c r="L223" s="76" t="n"/>
      <c r="M223" s="71" t="n"/>
      <c r="N223" s="77" t="n">
        <v>0</v>
      </c>
      <c r="O223" s="71" t="n">
        <v>0</v>
      </c>
      <c r="P223" s="71" t="n">
        <v>0</v>
      </c>
      <c r="Q223" s="71" t="n">
        <v>8</v>
      </c>
      <c r="R223" s="78" t="inlineStr">
        <is>
          <t>OK</t>
        </is>
      </c>
      <c r="S223" s="71" t="n">
        <v>0</v>
      </c>
      <c r="T223" s="71" t="n">
        <v>0</v>
      </c>
      <c r="U223" s="71" t="inlineStr">
        <is>
          <t>GASTON VECCHIO</t>
        </is>
      </c>
      <c r="V223" s="94">
        <f>_xlfn.XMATCH(Tabla4[[#This Row],[EAN CORREGIDO]],'Calcular necesidad'!L:L)</f>
        <v/>
      </c>
      <c r="W223" s="95">
        <f>TRIM(Tabla4[[#This Row],[CodInternoArti]])</f>
        <v/>
      </c>
    </row>
    <row r="224" hidden="1">
      <c r="A224" s="71" t="inlineStr">
        <is>
          <t>NO SE ENCUENTRA EAN</t>
        </is>
      </c>
      <c r="B224" s="72" t="n">
        <v>7790000000227</v>
      </c>
      <c r="C224" s="73" t="inlineStr">
        <is>
          <t>FILM PVC 30CM</t>
        </is>
      </c>
      <c r="D224" s="73" t="inlineStr">
        <is>
          <t>VARIOS</t>
        </is>
      </c>
      <c r="E224" s="73" t="inlineStr">
        <is>
          <t>EMBALAJES</t>
        </is>
      </c>
      <c r="F224" s="73" t="inlineStr">
        <is>
          <t>RESINITE PVC</t>
        </is>
      </c>
      <c r="G224" s="89" t="inlineStr">
        <is>
          <t>Ciudadela</t>
        </is>
      </c>
      <c r="H224" s="75" t="n">
        <v>17</v>
      </c>
      <c r="I224" s="76" t="n">
        <v>20</v>
      </c>
      <c r="J224" s="76" t="n">
        <v>20</v>
      </c>
      <c r="K224" s="76" t="n">
        <v>20</v>
      </c>
      <c r="L224" s="76" t="n">
        <v>20</v>
      </c>
      <c r="M224" s="71" t="n">
        <v>20</v>
      </c>
      <c r="N224" s="77" t="n">
        <v>152.1</v>
      </c>
      <c r="O224" s="71" t="n">
        <v>92</v>
      </c>
      <c r="P224" s="71" t="n">
        <v>0</v>
      </c>
      <c r="Q224" s="71" t="n">
        <v>1144</v>
      </c>
      <c r="R224" s="78" t="inlineStr">
        <is>
          <t>TRANSFERIR</t>
        </is>
      </c>
      <c r="S224" s="71" t="n">
        <v>0</v>
      </c>
      <c r="T224" s="71" t="n">
        <v>55</v>
      </c>
      <c r="U224" s="71" t="inlineStr">
        <is>
          <t>GASTON VECCHIO</t>
        </is>
      </c>
      <c r="V224" s="94">
        <f>_xlfn.XMATCH(Tabla4[[#This Row],[EAN CORREGIDO]],'Calcular necesidad'!L:L)</f>
        <v/>
      </c>
      <c r="W224" s="95">
        <f>TRIM(Tabla4[[#This Row],[CodInternoArti]])</f>
        <v/>
      </c>
    </row>
    <row r="225" hidden="1">
      <c r="A225" s="71" t="n">
        <v>2007184</v>
      </c>
      <c r="B225" s="72" t="n">
        <v>7790000000228</v>
      </c>
      <c r="C225" s="73" t="inlineStr">
        <is>
          <t>GL_FILM PVC 38 CM 3.390KG X1UN</t>
        </is>
      </c>
      <c r="D225" s="73" t="inlineStr">
        <is>
          <t>DESCARTABLES</t>
        </is>
      </c>
      <c r="E225" s="73" t="inlineStr">
        <is>
          <t>BOBINA</t>
        </is>
      </c>
      <c r="F225" s="73" t="inlineStr">
        <is>
          <t>RESINITE PVC</t>
        </is>
      </c>
      <c r="G225" s="89" t="inlineStr">
        <is>
          <t>Ciudadela</t>
        </is>
      </c>
      <c r="H225" s="75" t="n">
        <v>6</v>
      </c>
      <c r="I225" s="76" t="n">
        <v>17</v>
      </c>
      <c r="J225" s="76" t="n">
        <v>4</v>
      </c>
      <c r="K225" s="76" t="n">
        <v>14</v>
      </c>
      <c r="L225" s="76" t="n">
        <v>22</v>
      </c>
      <c r="M225" s="71" t="n"/>
      <c r="N225" s="77" t="n">
        <v>81.90000000000001</v>
      </c>
      <c r="O225" s="71" t="n">
        <v>113</v>
      </c>
      <c r="P225" s="71" t="n">
        <v>0</v>
      </c>
      <c r="Q225" s="71" t="n">
        <v>1250</v>
      </c>
      <c r="R225" s="78" t="inlineStr">
        <is>
          <t>OK</t>
        </is>
      </c>
      <c r="S225" s="71" t="n">
        <v>0</v>
      </c>
      <c r="T225" s="71" t="n">
        <v>90</v>
      </c>
      <c r="U225" s="71" t="inlineStr">
        <is>
          <t>GASTON VECCHIO</t>
        </is>
      </c>
      <c r="V225" s="94">
        <f>_xlfn.XMATCH(Tabla4[[#This Row],[EAN CORREGIDO]],'Calcular necesidad'!L:L)</f>
        <v/>
      </c>
      <c r="W225" s="95">
        <f>TRIM(Tabla4[[#This Row],[CodInternoArti]])</f>
        <v/>
      </c>
    </row>
    <row r="226" hidden="1">
      <c r="A226" s="71" t="inlineStr">
        <is>
          <t>NO SE ENCUENTRA EAN</t>
        </is>
      </c>
      <c r="B226" s="72" t="n">
        <v>7798452810034</v>
      </c>
      <c r="C226" s="73" t="inlineStr">
        <is>
          <t xml:space="preserve">GUANTES LATEX L X100U ALUMAX </t>
        </is>
      </c>
      <c r="D226" s="73" t="inlineStr">
        <is>
          <t>VARIOS</t>
        </is>
      </c>
      <c r="E226" s="73" t="inlineStr">
        <is>
          <t>DESCARTABLES</t>
        </is>
      </c>
      <c r="F226" s="73" t="inlineStr">
        <is>
          <t>GUANTE LATEX</t>
        </is>
      </c>
      <c r="G226" s="89" t="inlineStr">
        <is>
          <t>Ciudadela</t>
        </is>
      </c>
      <c r="H226" s="75" t="n"/>
      <c r="I226" s="76" t="n">
        <v>2</v>
      </c>
      <c r="J226" s="76" t="n"/>
      <c r="K226" s="76" t="n">
        <v>8</v>
      </c>
      <c r="L226" s="76" t="n">
        <v>1</v>
      </c>
      <c r="M226" s="71" t="n">
        <v>1</v>
      </c>
      <c r="N226" s="77" t="n">
        <v>15.6</v>
      </c>
      <c r="O226" s="71" t="n">
        <v>0</v>
      </c>
      <c r="P226" s="71" t="n">
        <v>0</v>
      </c>
      <c r="Q226" s="71" t="n">
        <v>0</v>
      </c>
      <c r="R226" s="78" t="inlineStr">
        <is>
          <t>COMPRAR</t>
        </is>
      </c>
      <c r="S226" s="71" t="n">
        <v>15.6</v>
      </c>
      <c r="T226" s="71" t="n">
        <v>-2</v>
      </c>
      <c r="U226" s="71" t="inlineStr">
        <is>
          <t>GASTON VECCHIO</t>
        </is>
      </c>
      <c r="V226" s="94">
        <f>_xlfn.XMATCH(Tabla4[[#This Row],[EAN CORREGIDO]],'Calcular necesidad'!L:L)</f>
        <v/>
      </c>
      <c r="W226" s="95">
        <f>TRIM(Tabla4[[#This Row],[CodInternoArti]])</f>
        <v/>
      </c>
    </row>
    <row r="227" hidden="1">
      <c r="A227" s="71" t="inlineStr">
        <is>
          <t>NO SE ENCUENTRA EAN</t>
        </is>
      </c>
      <c r="B227" s="72" t="n">
        <v>7798011210053</v>
      </c>
      <c r="C227" s="73" t="inlineStr">
        <is>
          <t>BANDEJA 103 MICRO X100U</t>
        </is>
      </c>
      <c r="D227" s="73" t="inlineStr">
        <is>
          <t>BANDEJAS DESC</t>
        </is>
      </c>
      <c r="E227" s="73" t="inlineStr">
        <is>
          <t>BANDEJAS PLASTICAS</t>
        </is>
      </c>
      <c r="F227" s="73" t="inlineStr">
        <is>
          <t>BAND 103</t>
        </is>
      </c>
      <c r="G227" s="89" t="inlineStr">
        <is>
          <t>Ciudadela</t>
        </is>
      </c>
      <c r="H227" s="75" t="n">
        <v>112</v>
      </c>
      <c r="I227" s="76" t="n">
        <v>71</v>
      </c>
      <c r="J227" s="76" t="n">
        <v>21</v>
      </c>
      <c r="K227" s="76" t="n">
        <v>46</v>
      </c>
      <c r="L227" s="76" t="n">
        <v>71</v>
      </c>
      <c r="M227" s="71" t="n">
        <v>21</v>
      </c>
      <c r="N227" s="77" t="n">
        <v>444.6</v>
      </c>
      <c r="O227" s="71" t="n">
        <v>484</v>
      </c>
      <c r="P227" s="71" t="n">
        <v>0</v>
      </c>
      <c r="Q227" s="71" t="n">
        <v>516</v>
      </c>
      <c r="R227" s="78" t="inlineStr">
        <is>
          <t>OK</t>
        </is>
      </c>
      <c r="S227" s="71" t="n">
        <v>0</v>
      </c>
      <c r="T227" s="71" t="n">
        <v>301</v>
      </c>
      <c r="U227" s="71" t="inlineStr">
        <is>
          <t>GASTON VECCHIO</t>
        </is>
      </c>
      <c r="V227" s="94">
        <f>_xlfn.XMATCH(Tabla4[[#This Row],[EAN CORREGIDO]],'Calcular necesidad'!L:L)</f>
        <v/>
      </c>
      <c r="W227" s="95">
        <f>TRIM(Tabla4[[#This Row],[CodInternoArti]])</f>
        <v/>
      </c>
    </row>
    <row r="228" hidden="1">
      <c r="A228" s="71" t="inlineStr">
        <is>
          <t>NO SE ENCUENTRA EAN</t>
        </is>
      </c>
      <c r="B228" s="72" t="n">
        <v>7794459003547</v>
      </c>
      <c r="C228" s="73" t="inlineStr">
        <is>
          <t>GL ROLLO ARRANQUE 40x60 X6U 1500GR</t>
        </is>
      </c>
      <c r="D228" s="73" t="inlineStr">
        <is>
          <t>BOLSAS</t>
        </is>
      </c>
      <c r="E228" s="73" t="inlineStr">
        <is>
          <t>BOLSAS ARRANQUE</t>
        </is>
      </c>
      <c r="F228" s="73" t="inlineStr">
        <is>
          <t>BOLSAS ARRANQUE</t>
        </is>
      </c>
      <c r="G228" s="89" t="inlineStr">
        <is>
          <t>Ciudadela</t>
        </is>
      </c>
      <c r="H228" s="75" t="n"/>
      <c r="I228" s="76" t="n"/>
      <c r="J228" s="76" t="n"/>
      <c r="K228" s="76" t="n"/>
      <c r="L228" s="76" t="n"/>
      <c r="M228" s="71" t="n">
        <v>2</v>
      </c>
      <c r="N228" s="77" t="n">
        <v>2.6</v>
      </c>
      <c r="O228" s="71" t="n">
        <v>0</v>
      </c>
      <c r="P228" s="71" t="n">
        <v>0</v>
      </c>
      <c r="Q228" s="71" t="n">
        <v>25</v>
      </c>
      <c r="R228" s="78" t="inlineStr">
        <is>
          <t>TRANSFERIR</t>
        </is>
      </c>
      <c r="S228" s="71" t="n">
        <v>0</v>
      </c>
      <c r="T228" s="71" t="n">
        <v>0</v>
      </c>
      <c r="U228" s="71" t="inlineStr">
        <is>
          <t>GASTON VECCHIO</t>
        </is>
      </c>
      <c r="V228" s="94">
        <f>_xlfn.XMATCH(Tabla4[[#This Row],[EAN CORREGIDO]],'Calcular necesidad'!L:L)</f>
        <v/>
      </c>
      <c r="W228" s="95">
        <f>TRIM(Tabla4[[#This Row],[CodInternoArti]])</f>
        <v/>
      </c>
    </row>
    <row r="229" hidden="1">
      <c r="A229" s="71" t="inlineStr">
        <is>
          <t>NO SE ENCUENTRA EAN</t>
        </is>
      </c>
      <c r="B229" s="72" t="n">
        <v>7790000000833</v>
      </c>
      <c r="C229" s="73" t="inlineStr">
        <is>
          <t>BOWL COMPOSTABLE 960CC X800U</t>
        </is>
      </c>
      <c r="D229" s="73" t="inlineStr">
        <is>
          <t>DESCARTABLES</t>
        </is>
      </c>
      <c r="E229" s="73" t="inlineStr">
        <is>
          <t>DESCARTABLES</t>
        </is>
      </c>
      <c r="F229" s="73" t="inlineStr">
        <is>
          <t>BOWL DESCARTABLE COMPOST</t>
        </is>
      </c>
      <c r="G229" s="89" t="inlineStr">
        <is>
          <t>Ciudadela</t>
        </is>
      </c>
      <c r="H229" s="75" t="n">
        <v>3</v>
      </c>
      <c r="I229" s="76" t="n">
        <v>3</v>
      </c>
      <c r="J229" s="76" t="n">
        <v>3</v>
      </c>
      <c r="K229" s="76" t="n"/>
      <c r="L229" s="76" t="n"/>
      <c r="M229" s="71" t="n"/>
      <c r="N229" s="77" t="n">
        <v>11.7</v>
      </c>
      <c r="O229" s="71" t="n">
        <v>0</v>
      </c>
      <c r="P229" s="71" t="n">
        <v>0</v>
      </c>
      <c r="Q229" s="71" t="n">
        <v>0</v>
      </c>
      <c r="R229" s="78" t="inlineStr">
        <is>
          <t>COMPRAR</t>
        </is>
      </c>
      <c r="S229" s="71" t="n">
        <v>11.7</v>
      </c>
      <c r="T229" s="71" t="n">
        <v>-6</v>
      </c>
      <c r="U229" s="71" t="inlineStr">
        <is>
          <t>GASTON VECCHIO</t>
        </is>
      </c>
      <c r="V229" s="94">
        <f>_xlfn.XMATCH(Tabla4[[#This Row],[EAN CORREGIDO]],'Calcular necesidad'!L:L)</f>
        <v/>
      </c>
      <c r="W229" s="95">
        <f>TRIM(Tabla4[[#This Row],[CodInternoArti]])</f>
        <v/>
      </c>
    </row>
    <row r="230" hidden="1">
      <c r="A230" s="5" t="inlineStr">
        <is>
          <t>NO SE ENCUENTRA EAN</t>
        </is>
      </c>
      <c r="B230" s="83" t="n">
        <v>3245424854182</v>
      </c>
      <c r="C230" s="84" t="inlineStr">
        <is>
          <t>GUANTE ULTRA NITRILO T8 MAPA</t>
        </is>
      </c>
      <c r="D230" s="84" t="inlineStr">
        <is>
          <t>GUANTES</t>
        </is>
      </c>
      <c r="E230" s="84" t="inlineStr">
        <is>
          <t>GUANTES NITRILO</t>
        </is>
      </c>
      <c r="F230" s="84" t="inlineStr">
        <is>
          <t>GUANTE NITRILO</t>
        </is>
      </c>
      <c r="G230" s="85" t="inlineStr">
        <is>
          <t>Ciudadela</t>
        </is>
      </c>
      <c r="H230" s="86" t="n"/>
      <c r="I230" s="87" t="n"/>
      <c r="J230" s="87" t="n"/>
      <c r="K230" s="87" t="n">
        <v>150</v>
      </c>
      <c r="L230" s="87" t="n">
        <v>100</v>
      </c>
      <c r="M230" s="5" t="n">
        <v>150</v>
      </c>
      <c r="N230" s="8" t="n">
        <v>520</v>
      </c>
      <c r="O230" s="5" t="n">
        <v>0</v>
      </c>
      <c r="P230" s="5" t="n">
        <v>0</v>
      </c>
      <c r="Q230" s="5" t="n">
        <v>0</v>
      </c>
      <c r="R230" s="9" t="inlineStr">
        <is>
          <t>COMPRAR</t>
        </is>
      </c>
      <c r="S230" s="5" t="n">
        <v>520</v>
      </c>
      <c r="T230" s="5" t="n">
        <v>0</v>
      </c>
      <c r="U230" s="5" t="inlineStr">
        <is>
          <t>GASTON VECCHIO</t>
        </is>
      </c>
      <c r="V230" s="94">
        <f>_xlfn.XMATCH(Tabla4[[#This Row],[EAN CORREGIDO]],'Calcular necesidad'!L:L)</f>
        <v/>
      </c>
      <c r="W230" s="93">
        <f>TRIM(Tabla4[[#This Row],[CodInternoArti]])</f>
        <v/>
      </c>
    </row>
    <row r="231" hidden="1">
      <c r="A231" s="71" t="inlineStr">
        <is>
          <t>NO SE ENCUENTRA EAN</t>
        </is>
      </c>
      <c r="B231" s="72" t="n">
        <v>7790000000901</v>
      </c>
      <c r="C231" s="73" t="inlineStr">
        <is>
          <t>BOLSA KRAFT FM5 BLUE X 100 U</t>
        </is>
      </c>
      <c r="D231" s="73" t="inlineStr">
        <is>
          <t>BOLSAS</t>
        </is>
      </c>
      <c r="E231" s="73" t="inlineStr">
        <is>
          <t>BOLSAS</t>
        </is>
      </c>
      <c r="F231" s="73" t="inlineStr">
        <is>
          <t>BOLSA KRAFT</t>
        </is>
      </c>
      <c r="G231" s="89" t="inlineStr">
        <is>
          <t>CD Moreno 3</t>
        </is>
      </c>
      <c r="H231" s="75" t="n">
        <v>1</v>
      </c>
      <c r="I231" s="76" t="n">
        <v>1</v>
      </c>
      <c r="J231" s="76" t="n">
        <v>3</v>
      </c>
      <c r="K231" s="76" t="n">
        <v>1</v>
      </c>
      <c r="L231" s="76" t="n">
        <v>1</v>
      </c>
      <c r="M231" s="71" t="n">
        <v>1</v>
      </c>
      <c r="N231" s="77" t="n">
        <v>10.4</v>
      </c>
      <c r="O231" s="71" t="n">
        <v>0</v>
      </c>
      <c r="P231" s="71" t="n">
        <v>0</v>
      </c>
      <c r="Q231" s="71" t="n">
        <v>0</v>
      </c>
      <c r="R231" s="78" t="inlineStr">
        <is>
          <t>COMPRAR</t>
        </is>
      </c>
      <c r="S231" s="71" t="n">
        <v>10.4</v>
      </c>
      <c r="T231" s="71" t="n">
        <v>-2</v>
      </c>
      <c r="U231" s="71" t="inlineStr">
        <is>
          <t>GASTON VECCHIO</t>
        </is>
      </c>
      <c r="V231" s="94">
        <f>_xlfn.XMATCH(Tabla4[[#This Row],[EAN CORREGIDO]],'Calcular necesidad'!L:L)</f>
        <v/>
      </c>
      <c r="W231" s="95">
        <f>TRIM(Tabla4[[#This Row],[CodInternoArti]])</f>
        <v/>
      </c>
    </row>
    <row r="232" hidden="1">
      <c r="A232" s="71" t="n">
        <v>2006220</v>
      </c>
      <c r="B232" s="72" t="inlineStr">
        <is>
          <t>16208000A</t>
        </is>
      </c>
      <c r="C232" s="73" t="inlineStr">
        <is>
          <t>ROLLO DE BOLSA DE ARRANQUE 50 x 70</t>
        </is>
      </c>
      <c r="D232" s="73" t="inlineStr">
        <is>
          <t>BOLSAS</t>
        </is>
      </c>
      <c r="E232" s="73" t="inlineStr">
        <is>
          <t>BOLSAS ARRANQUE</t>
        </is>
      </c>
      <c r="F232" s="73" t="inlineStr">
        <is>
          <t>BOLSAS ARRANQUE</t>
        </is>
      </c>
      <c r="G232" s="89" t="inlineStr">
        <is>
          <t>Ciudadela</t>
        </is>
      </c>
      <c r="H232" s="75" t="n">
        <v>5</v>
      </c>
      <c r="I232" s="76" t="n">
        <v>10</v>
      </c>
      <c r="J232" s="76" t="n">
        <v>5</v>
      </c>
      <c r="K232" s="76" t="n">
        <v>10</v>
      </c>
      <c r="L232" s="76" t="n">
        <v>10</v>
      </c>
      <c r="M232" s="71" t="n">
        <v>5</v>
      </c>
      <c r="N232" s="77" t="n">
        <v>58.5</v>
      </c>
      <c r="O232" s="71" t="n">
        <v>0</v>
      </c>
      <c r="P232" s="71" t="n">
        <v>0</v>
      </c>
      <c r="Q232" s="71" t="n">
        <v>0</v>
      </c>
      <c r="R232" s="78" t="inlineStr">
        <is>
          <t>COMPRAR</t>
        </is>
      </c>
      <c r="S232" s="71" t="n">
        <v>58.5</v>
      </c>
      <c r="T232" s="71" t="n">
        <v>-15</v>
      </c>
      <c r="U232" s="71" t="inlineStr">
        <is>
          <t>GASTON VECCHIO</t>
        </is>
      </c>
      <c r="V232" s="94">
        <f>_xlfn.XMATCH(Tabla4[[#This Row],[EAN CORREGIDO]],'Calcular necesidad'!L:L)</f>
        <v/>
      </c>
      <c r="W232" s="95">
        <f>TRIM(Tabla4[[#This Row],[CodInternoArti]])</f>
        <v/>
      </c>
    </row>
    <row r="233" hidden="1">
      <c r="A233" s="71" t="inlineStr">
        <is>
          <t>NO SE ENCUENTRA EAN</t>
        </is>
      </c>
      <c r="B233" s="72" t="inlineStr">
        <is>
          <t>BAZ000525</t>
        </is>
      </c>
      <c r="C233" s="73" t="inlineStr">
        <is>
          <t>DEGUSTADOR X 2000U</t>
        </is>
      </c>
      <c r="D233" s="73" t="inlineStr">
        <is>
          <t>COCINA</t>
        </is>
      </c>
      <c r="E233" s="73" t="inlineStr">
        <is>
          <t>BAZAR</t>
        </is>
      </c>
      <c r="F233" s="73" t="inlineStr">
        <is>
          <t>DEGUSTADORES</t>
        </is>
      </c>
      <c r="G233" s="89" t="inlineStr">
        <is>
          <t>Ciudadela</t>
        </is>
      </c>
      <c r="H233" s="75" t="n">
        <v>2</v>
      </c>
      <c r="I233" s="76" t="n"/>
      <c r="J233" s="76" t="n"/>
      <c r="K233" s="76" t="n"/>
      <c r="L233" s="76" t="n"/>
      <c r="M233" s="71" t="n"/>
      <c r="N233" s="77" t="n">
        <v>2.6</v>
      </c>
      <c r="O233" s="71" t="n">
        <v>0</v>
      </c>
      <c r="P233" s="71" t="n">
        <v>0</v>
      </c>
      <c r="Q233" s="71" t="n">
        <v>0</v>
      </c>
      <c r="R233" s="78" t="inlineStr">
        <is>
          <t>COMPRAR</t>
        </is>
      </c>
      <c r="S233" s="71" t="n">
        <v>2.6</v>
      </c>
      <c r="T233" s="71" t="n">
        <v>-2</v>
      </c>
      <c r="U233" s="71" t="inlineStr">
        <is>
          <t>GASTON VECCHIO</t>
        </is>
      </c>
      <c r="V233" s="94">
        <f>_xlfn.XMATCH(Tabla4[[#This Row],[EAN CORREGIDO]],'Calcular necesidad'!L:L)</f>
        <v/>
      </c>
      <c r="W233" s="95">
        <f>TRIM(Tabla4[[#This Row],[CodInternoArti]])</f>
        <v/>
      </c>
    </row>
    <row r="234" hidden="1">
      <c r="A234" s="71" t="n">
        <v>2006159</v>
      </c>
      <c r="B234" s="72" t="n">
        <v>7790321020535</v>
      </c>
      <c r="C234" s="73" t="inlineStr">
        <is>
          <t xml:space="preserve">SERVILLETA S/LOGO 32X33X1000U	</t>
        </is>
      </c>
      <c r="D234" s="73" t="inlineStr">
        <is>
          <t>SERVILLETAS DESC</t>
        </is>
      </c>
      <c r="E234" s="73" t="inlineStr">
        <is>
          <t>SERVILLETAS DESC S/LOGO</t>
        </is>
      </c>
      <c r="F234" s="73" t="inlineStr">
        <is>
          <t>SERVILLETA DESC S/LOGO</t>
        </is>
      </c>
      <c r="G234" s="89" t="inlineStr">
        <is>
          <t>Ciudadela</t>
        </is>
      </c>
      <c r="H234" s="75" t="n">
        <v>14</v>
      </c>
      <c r="I234" s="76" t="n"/>
      <c r="J234" s="76" t="n"/>
      <c r="K234" s="76" t="n">
        <v>3</v>
      </c>
      <c r="L234" s="76" t="n">
        <v>14</v>
      </c>
      <c r="M234" s="71" t="n"/>
      <c r="N234" s="77" t="n">
        <v>40.3</v>
      </c>
      <c r="O234" s="71" t="n">
        <v>0</v>
      </c>
      <c r="P234" s="71" t="n">
        <v>0</v>
      </c>
      <c r="Q234" s="71" t="n">
        <v>0</v>
      </c>
      <c r="R234" s="78" t="inlineStr">
        <is>
          <t>COMPRAR</t>
        </is>
      </c>
      <c r="S234" s="71" t="n">
        <v>40.3</v>
      </c>
      <c r="T234" s="71" t="n">
        <v>-14</v>
      </c>
      <c r="U234" s="71" t="inlineStr">
        <is>
          <t>GASTON VECCHIO</t>
        </is>
      </c>
      <c r="V234" s="94">
        <f>_xlfn.XMATCH(Tabla4[[#This Row],[EAN CORREGIDO]],'Calcular necesidad'!L:L)</f>
        <v/>
      </c>
      <c r="W234" s="95">
        <f>TRIM(Tabla4[[#This Row],[CodInternoArti]])</f>
        <v/>
      </c>
    </row>
    <row r="235" hidden="1">
      <c r="A235" s="71" t="n">
        <v>2006232</v>
      </c>
      <c r="B235" s="72" t="n">
        <v>7790321284500</v>
      </c>
      <c r="C235" s="73" t="inlineStr">
        <is>
          <t xml:space="preserve">SERVILLETA 30X40X600U AIRLAD </t>
        </is>
      </c>
      <c r="D235" s="73" t="inlineStr">
        <is>
          <t>SERVILLETAS DESC</t>
        </is>
      </c>
      <c r="E235" s="73" t="inlineStr">
        <is>
          <t>SERVILLETAS DESC C/LOGO</t>
        </is>
      </c>
      <c r="F235" s="73" t="inlineStr">
        <is>
          <t>SERVILLETA DESC C/LOGO</t>
        </is>
      </c>
      <c r="G235" s="89" t="inlineStr">
        <is>
          <t>Ciudadela</t>
        </is>
      </c>
      <c r="H235" s="75" t="n"/>
      <c r="I235" s="76" t="n">
        <v>5</v>
      </c>
      <c r="J235" s="76" t="n"/>
      <c r="K235" s="76" t="n">
        <v>4</v>
      </c>
      <c r="L235" s="76" t="n">
        <v>4</v>
      </c>
      <c r="M235" s="71" t="n">
        <v>1</v>
      </c>
      <c r="N235" s="77" t="n">
        <v>18.2</v>
      </c>
      <c r="O235" s="71" t="n">
        <v>0</v>
      </c>
      <c r="P235" s="71" t="n">
        <v>0</v>
      </c>
      <c r="Q235" s="71" t="n">
        <v>0</v>
      </c>
      <c r="R235" s="78" t="inlineStr">
        <is>
          <t>COMPRAR</t>
        </is>
      </c>
      <c r="S235" s="71" t="n">
        <v>18.2</v>
      </c>
      <c r="T235" s="71" t="n">
        <v>-5</v>
      </c>
      <c r="U235" s="71" t="inlineStr">
        <is>
          <t>GASTON VECCHIO</t>
        </is>
      </c>
      <c r="V235" s="94">
        <f>_xlfn.XMATCH(Tabla4[[#This Row],[EAN CORREGIDO]],'Calcular necesidad'!L:L)</f>
        <v/>
      </c>
      <c r="W235" s="95">
        <f>TRIM(Tabla4[[#This Row],[CodInternoArti]])</f>
        <v/>
      </c>
    </row>
    <row r="236" hidden="1">
      <c r="A236" s="71" t="n">
        <v>2006828</v>
      </c>
      <c r="B236" s="72" t="n">
        <v>7790321020330</v>
      </c>
      <c r="C236" s="73" t="inlineStr">
        <is>
          <t>TAPA VASO TERMICO 240CC X80U</t>
        </is>
      </c>
      <c r="D236" s="73" t="inlineStr">
        <is>
          <t>TAPAS VASOS DESC</t>
        </is>
      </c>
      <c r="E236" s="73" t="inlineStr">
        <is>
          <t>TAPAS PLASTICAS</t>
        </is>
      </c>
      <c r="F236" s="73" t="inlineStr">
        <is>
          <t>TAPA VASO TERMICO 240CC</t>
        </is>
      </c>
      <c r="G236" s="89" t="inlineStr">
        <is>
          <t>Ciudadela</t>
        </is>
      </c>
      <c r="H236" s="75" t="n">
        <v>1</v>
      </c>
      <c r="I236" s="76" t="n"/>
      <c r="J236" s="76" t="n">
        <v>1</v>
      </c>
      <c r="K236" s="76" t="n"/>
      <c r="L236" s="76" t="n">
        <v>1</v>
      </c>
      <c r="M236" s="71" t="n"/>
      <c r="N236" s="77" t="n">
        <v>3.9</v>
      </c>
      <c r="O236" s="71" t="n">
        <v>0</v>
      </c>
      <c r="P236" s="71" t="n">
        <v>0</v>
      </c>
      <c r="Q236" s="71" t="n">
        <v>0</v>
      </c>
      <c r="R236" s="78" t="inlineStr">
        <is>
          <t>COMPRAR</t>
        </is>
      </c>
      <c r="S236" s="71" t="n">
        <v>3.9</v>
      </c>
      <c r="T236" s="71" t="n">
        <v>-1</v>
      </c>
      <c r="U236" s="71" t="inlineStr">
        <is>
          <t>GASTON VECCHIO</t>
        </is>
      </c>
      <c r="V236" s="94">
        <f>_xlfn.XMATCH(Tabla4[[#This Row],[EAN CORREGIDO]],'Calcular necesidad'!L:L)</f>
        <v/>
      </c>
      <c r="W236" s="95">
        <f>TRIM(Tabla4[[#This Row],[CodInternoArti]])</f>
        <v/>
      </c>
    </row>
    <row r="237" hidden="1">
      <c r="A237" s="71" t="n">
        <v>2006434</v>
      </c>
      <c r="B237" s="72" t="n">
        <v>7790126328513</v>
      </c>
      <c r="C237" s="73" t="inlineStr">
        <is>
          <t>BANDEJA 103 X200U CELPAK</t>
        </is>
      </c>
      <c r="D237" s="73" t="inlineStr">
        <is>
          <t>BANDEJAS DESC</t>
        </is>
      </c>
      <c r="E237" s="73" t="inlineStr">
        <is>
          <t>BANDEJAS PLASTICAS</t>
        </is>
      </c>
      <c r="F237" s="73" t="inlineStr">
        <is>
          <t>BAND 103</t>
        </is>
      </c>
      <c r="G237" s="89" t="inlineStr">
        <is>
          <t>Ciudadela</t>
        </is>
      </c>
      <c r="H237" s="75" t="n">
        <v>1</v>
      </c>
      <c r="I237" s="76" t="n">
        <v>1</v>
      </c>
      <c r="J237" s="76" t="n">
        <v>1</v>
      </c>
      <c r="K237" s="76" t="n">
        <v>1</v>
      </c>
      <c r="L237" s="76" t="n">
        <v>1</v>
      </c>
      <c r="M237" s="71" t="n">
        <v>1</v>
      </c>
      <c r="N237" s="77" t="n">
        <v>7.800000000000001</v>
      </c>
      <c r="O237" s="71" t="n">
        <v>0</v>
      </c>
      <c r="P237" s="71" t="n">
        <v>0</v>
      </c>
      <c r="Q237" s="71" t="n">
        <v>0</v>
      </c>
      <c r="R237" s="78" t="inlineStr">
        <is>
          <t>COMPRAR</t>
        </is>
      </c>
      <c r="S237" s="71" t="n">
        <v>7.800000000000001</v>
      </c>
      <c r="T237" s="71" t="n">
        <v>-2</v>
      </c>
      <c r="U237" s="71" t="inlineStr">
        <is>
          <t>GASTON VECCHIO</t>
        </is>
      </c>
      <c r="V237" s="94">
        <f>_xlfn.XMATCH(Tabla4[[#This Row],[EAN CORREGIDO]],'Calcular necesidad'!L:L)</f>
        <v/>
      </c>
      <c r="W237" s="95">
        <f>TRIM(Tabla4[[#This Row],[CodInternoArti]])</f>
        <v/>
      </c>
    </row>
    <row r="238" hidden="1">
      <c r="A238" s="71" t="inlineStr">
        <is>
          <t>NO SE ENCUENTRA EAN</t>
        </is>
      </c>
      <c r="B238" s="72" t="n">
        <v>7790000000195</v>
      </c>
      <c r="C238" s="73" t="inlineStr">
        <is>
          <t>BARBIJOS TRICAPA PR MARCA PROP X50U</t>
        </is>
      </c>
      <c r="D238" s="73" t="inlineStr">
        <is>
          <t>VARIOS</t>
        </is>
      </c>
      <c r="E238" s="73" t="inlineStr">
        <is>
          <t>DESCARTABLES</t>
        </is>
      </c>
      <c r="F238" s="73" t="inlineStr">
        <is>
          <t>BARBIJO DESCARTABLE</t>
        </is>
      </c>
      <c r="G238" s="89" t="inlineStr">
        <is>
          <t>Ciudadela</t>
        </is>
      </c>
      <c r="H238" s="75" t="n"/>
      <c r="I238" s="76" t="n">
        <v>3</v>
      </c>
      <c r="J238" s="76" t="n"/>
      <c r="K238" s="76" t="n">
        <v>3</v>
      </c>
      <c r="L238" s="76" t="n">
        <v>3</v>
      </c>
      <c r="M238" s="71" t="n"/>
      <c r="N238" s="77" t="n">
        <v>11.7</v>
      </c>
      <c r="O238" s="71" t="n">
        <v>0</v>
      </c>
      <c r="P238" s="71" t="n">
        <v>0</v>
      </c>
      <c r="Q238" s="71" t="n">
        <v>0</v>
      </c>
      <c r="R238" s="78" t="inlineStr">
        <is>
          <t>COMPRAR</t>
        </is>
      </c>
      <c r="S238" s="71" t="n">
        <v>11.7</v>
      </c>
      <c r="T238" s="71" t="n">
        <v>-3</v>
      </c>
      <c r="U238" s="71" t="inlineStr">
        <is>
          <t>GASTON VECCHIO</t>
        </is>
      </c>
      <c r="V238" s="94">
        <f>_xlfn.XMATCH(Tabla4[[#This Row],[EAN CORREGIDO]],'Calcular necesidad'!L:L)</f>
        <v/>
      </c>
      <c r="W238" s="95">
        <f>TRIM(Tabla4[[#This Row],[CodInternoArti]])</f>
        <v/>
      </c>
    </row>
    <row r="239" hidden="1">
      <c r="A239" s="71" t="n">
        <v>2007577</v>
      </c>
      <c r="B239" s="72" t="n">
        <v>7790000000523</v>
      </c>
      <c r="C239" s="73" t="inlineStr">
        <is>
          <t>GL TENEDOR COMPOST 16CM X100 BIOPAC</t>
        </is>
      </c>
      <c r="D239" s="73" t="inlineStr">
        <is>
          <t>CUBIERTOS DESC</t>
        </is>
      </c>
      <c r="E239" s="73" t="inlineStr">
        <is>
          <t>TENEDORES</t>
        </is>
      </c>
      <c r="F239" s="73" t="inlineStr">
        <is>
          <t xml:space="preserve">TENEDOR </t>
        </is>
      </c>
      <c r="G239" s="89" t="inlineStr">
        <is>
          <t>Ciudadela</t>
        </is>
      </c>
      <c r="H239" s="75" t="n"/>
      <c r="I239" s="76" t="n">
        <v>20</v>
      </c>
      <c r="J239" s="76" t="n">
        <v>10</v>
      </c>
      <c r="K239" s="76" t="n"/>
      <c r="L239" s="76" t="n">
        <v>40</v>
      </c>
      <c r="M239" s="71" t="n">
        <v>20</v>
      </c>
      <c r="N239" s="77" t="n">
        <v>117</v>
      </c>
      <c r="O239" s="71" t="n">
        <v>100</v>
      </c>
      <c r="P239" s="71" t="n">
        <v>0</v>
      </c>
      <c r="Q239" s="71" t="n">
        <v>0</v>
      </c>
      <c r="R239" s="78" t="inlineStr">
        <is>
          <t>COMPRAR</t>
        </is>
      </c>
      <c r="S239" s="71" t="n">
        <v>17</v>
      </c>
      <c r="T239" s="71" t="n">
        <v>80</v>
      </c>
      <c r="U239" s="71" t="inlineStr">
        <is>
          <t>GASTON VECCHIO</t>
        </is>
      </c>
      <c r="V239" s="94">
        <f>_xlfn.XMATCH(Tabla4[[#This Row],[EAN CORREGIDO]],'Calcular necesidad'!L:L)</f>
        <v/>
      </c>
      <c r="W239" s="95">
        <f>TRIM(Tabla4[[#This Row],[CodInternoArti]])</f>
        <v/>
      </c>
    </row>
    <row r="240" hidden="1">
      <c r="A240" s="71" t="inlineStr">
        <is>
          <t>NO SE ENCUENTRA EAN</t>
        </is>
      </c>
      <c r="B240" s="72" t="n">
        <v>648260488628</v>
      </c>
      <c r="C240" s="73" t="inlineStr">
        <is>
          <t>ESCARBADIENTES X 500 UN</t>
        </is>
      </c>
      <c r="D240" s="73" t="inlineStr">
        <is>
          <t>VARIOS</t>
        </is>
      </c>
      <c r="E240" s="73" t="inlineStr">
        <is>
          <t>ESCARBADIENTE</t>
        </is>
      </c>
      <c r="F240" s="73" t="inlineStr">
        <is>
          <t>ESCARBADIENTE DESCARTABLE</t>
        </is>
      </c>
      <c r="G240" s="89" t="inlineStr">
        <is>
          <t>Ciudadela</t>
        </is>
      </c>
      <c r="H240" s="75" t="n">
        <v>10</v>
      </c>
      <c r="I240" s="76" t="n"/>
      <c r="J240" s="76" t="n"/>
      <c r="K240" s="76" t="n"/>
      <c r="L240" s="76" t="n">
        <v>8</v>
      </c>
      <c r="M240" s="71" t="n"/>
      <c r="N240" s="77" t="n">
        <v>23.4</v>
      </c>
      <c r="O240" s="71" t="n">
        <v>147</v>
      </c>
      <c r="P240" s="71" t="n">
        <v>0</v>
      </c>
      <c r="Q240" s="71" t="n">
        <v>2010</v>
      </c>
      <c r="R240" s="78" t="inlineStr">
        <is>
          <t>OK</t>
        </is>
      </c>
      <c r="S240" s="71" t="n">
        <v>0</v>
      </c>
      <c r="T240" s="71" t="n">
        <v>137</v>
      </c>
      <c r="U240" s="71" t="inlineStr">
        <is>
          <t>GASTON VECCHIO</t>
        </is>
      </c>
      <c r="V240" s="94">
        <f>_xlfn.XMATCH(Tabla4[[#This Row],[EAN CORREGIDO]],'Calcular necesidad'!L:L)</f>
        <v/>
      </c>
      <c r="W240" s="95">
        <f>TRIM(Tabla4[[#This Row],[CodInternoArti]])</f>
        <v/>
      </c>
    </row>
    <row r="241" hidden="1">
      <c r="A241" s="5" t="inlineStr">
        <is>
          <t>NO SE ENCUENTRA EAN</t>
        </is>
      </c>
      <c r="B241" s="83" t="n">
        <v>7798452810027</v>
      </c>
      <c r="C241" s="84" t="inlineStr">
        <is>
          <t>GUANTES LATEX M X100U ALUMAX</t>
        </is>
      </c>
      <c r="D241" s="84" t="inlineStr">
        <is>
          <t>VARIOS</t>
        </is>
      </c>
      <c r="E241" s="84" t="inlineStr">
        <is>
          <t>DESCARTABLES</t>
        </is>
      </c>
      <c r="F241" s="84" t="inlineStr">
        <is>
          <t>GUANTE LATEX</t>
        </is>
      </c>
      <c r="G241" s="85" t="inlineStr">
        <is>
          <t>CD Moreno 3</t>
        </is>
      </c>
      <c r="H241" s="86" t="n"/>
      <c r="I241" s="87" t="n"/>
      <c r="J241" s="87" t="n"/>
      <c r="K241" s="87" t="n"/>
      <c r="L241" s="87" t="n"/>
      <c r="M241" s="5" t="n"/>
      <c r="N241" s="8" t="n">
        <v>0</v>
      </c>
      <c r="O241" s="5" t="n">
        <v>200</v>
      </c>
      <c r="P241" s="5" t="n">
        <v>0</v>
      </c>
      <c r="Q241" s="5" t="n">
        <v>83</v>
      </c>
      <c r="R241" s="9" t="inlineStr">
        <is>
          <t>OK</t>
        </is>
      </c>
      <c r="S241" s="5" t="n">
        <v>0</v>
      </c>
      <c r="T241" s="5" t="n">
        <v>200</v>
      </c>
      <c r="U241" s="5" t="inlineStr">
        <is>
          <t>GASTON VECCHIO</t>
        </is>
      </c>
      <c r="V241" s="94">
        <f>_xlfn.XMATCH(Tabla4[[#This Row],[EAN CORREGIDO]],'Calcular necesidad'!L:L)</f>
        <v/>
      </c>
      <c r="W241" s="93">
        <f>TRIM(Tabla4[[#This Row],[CodInternoArti]])</f>
        <v/>
      </c>
    </row>
    <row r="242" hidden="1">
      <c r="A242" s="71" t="inlineStr">
        <is>
          <t>NO SE ENCUENTRA EAN</t>
        </is>
      </c>
      <c r="B242" s="72" t="n">
        <v>7798011210022</v>
      </c>
      <c r="C242" s="73" t="inlineStr">
        <is>
          <t>TAPA BANDEJA 121 MICR X100U</t>
        </is>
      </c>
      <c r="D242" s="73" t="inlineStr">
        <is>
          <t>TAPAS BAND DESC</t>
        </is>
      </c>
      <c r="E242" s="73" t="inlineStr">
        <is>
          <t>TAPAS PLASTICAS</t>
        </is>
      </c>
      <c r="F242" s="73" t="inlineStr">
        <is>
          <t>TAPA 101</t>
        </is>
      </c>
      <c r="G242" s="89" t="inlineStr">
        <is>
          <t>Ciudadela</t>
        </is>
      </c>
      <c r="H242" s="75" t="n">
        <v>27</v>
      </c>
      <c r="I242" s="76" t="n">
        <v>12</v>
      </c>
      <c r="J242" s="76" t="n"/>
      <c r="K242" s="76" t="n">
        <v>6</v>
      </c>
      <c r="L242" s="76" t="n">
        <v>12</v>
      </c>
      <c r="M242" s="71" t="n"/>
      <c r="N242" s="77" t="n">
        <v>74.10000000000001</v>
      </c>
      <c r="O242" s="71" t="n">
        <v>31</v>
      </c>
      <c r="P242" s="71" t="n">
        <v>0</v>
      </c>
      <c r="Q242" s="71" t="n">
        <v>496</v>
      </c>
      <c r="R242" s="78" t="inlineStr">
        <is>
          <t>TRANSFERIR</t>
        </is>
      </c>
      <c r="S242" s="71" t="n">
        <v>0</v>
      </c>
      <c r="T242" s="71" t="n">
        <v>-8</v>
      </c>
      <c r="U242" s="71" t="inlineStr">
        <is>
          <t>GASTON VECCHIO</t>
        </is>
      </c>
      <c r="V242" s="94">
        <f>_xlfn.XMATCH(Tabla4[[#This Row],[EAN CORREGIDO]],'Calcular necesidad'!L:L)</f>
        <v/>
      </c>
      <c r="W242" s="95">
        <f>TRIM(Tabla4[[#This Row],[CodInternoArti]])</f>
        <v/>
      </c>
    </row>
    <row r="243" hidden="1">
      <c r="A243" s="71" t="n">
        <v>2011433</v>
      </c>
      <c r="B243" s="72" t="n">
        <v>7790000000675</v>
      </c>
      <c r="C243" s="73" t="inlineStr">
        <is>
          <t>VASO 12OZ POLIP BLUE X50U ETISOL</t>
        </is>
      </c>
      <c r="D243" s="73" t="inlineStr">
        <is>
          <t>VASOS</t>
        </is>
      </c>
      <c r="E243" s="73" t="inlineStr">
        <is>
          <t>VASOS PLASTICOS</t>
        </is>
      </c>
      <c r="F243" s="73" t="inlineStr">
        <is>
          <t>VASO PLASTICO</t>
        </is>
      </c>
      <c r="G243" s="89" t="inlineStr">
        <is>
          <t>Ciudadela</t>
        </is>
      </c>
      <c r="H243" s="75" t="n">
        <v>4</v>
      </c>
      <c r="I243" s="76" t="n">
        <v>3</v>
      </c>
      <c r="J243" s="76" t="n">
        <v>22</v>
      </c>
      <c r="K243" s="76" t="n">
        <v>3</v>
      </c>
      <c r="L243" s="76" t="n">
        <v>31</v>
      </c>
      <c r="M243" s="71" t="n">
        <v>5</v>
      </c>
      <c r="N243" s="77" t="n">
        <v>88.40000000000001</v>
      </c>
      <c r="O243" s="71" t="n">
        <v>0</v>
      </c>
      <c r="P243" s="71" t="n">
        <v>0</v>
      </c>
      <c r="Q243" s="71" t="n">
        <v>8</v>
      </c>
      <c r="R243" s="78" t="inlineStr">
        <is>
          <t>COMPRAR</t>
        </is>
      </c>
      <c r="S243" s="71" t="n">
        <v>80.40000000000001</v>
      </c>
      <c r="T243" s="71" t="n">
        <v>-7</v>
      </c>
      <c r="U243" s="71" t="inlineStr">
        <is>
          <t>GASTON VECCHIO</t>
        </is>
      </c>
      <c r="V243" s="94">
        <f>_xlfn.XMATCH(Tabla4[[#This Row],[EAN CORREGIDO]],'Calcular necesidad'!L:L)</f>
        <v/>
      </c>
      <c r="W243" s="95">
        <f>TRIM(Tabla4[[#This Row],[CodInternoArti]])</f>
        <v/>
      </c>
    </row>
    <row r="244" hidden="1">
      <c r="A244" s="71" t="inlineStr">
        <is>
          <t>NO SE ENCUENTRA EAN</t>
        </is>
      </c>
      <c r="B244" s="72" t="n">
        <v>7790000000898</v>
      </c>
      <c r="C244" s="73" t="inlineStr">
        <is>
          <t>PAPEL PARAFINADO LOGO BLUE X KG</t>
        </is>
      </c>
      <c r="D244" s="73" t="inlineStr">
        <is>
          <t>PAPEL</t>
        </is>
      </c>
      <c r="E244" s="73" t="inlineStr">
        <is>
          <t>DESCARTABLES</t>
        </is>
      </c>
      <c r="F244" s="73" t="inlineStr">
        <is>
          <t>PAPEL PARAFINADO</t>
        </is>
      </c>
      <c r="G244" s="89" t="inlineStr">
        <is>
          <t>Ciudadela</t>
        </is>
      </c>
      <c r="H244" s="75" t="n">
        <v>2</v>
      </c>
      <c r="I244" s="76" t="n">
        <v>1</v>
      </c>
      <c r="J244" s="76" t="n"/>
      <c r="K244" s="76" t="n">
        <v>1</v>
      </c>
      <c r="L244" s="76" t="n">
        <v>1</v>
      </c>
      <c r="M244" s="71" t="n">
        <v>1</v>
      </c>
      <c r="N244" s="77" t="n">
        <v>7.800000000000001</v>
      </c>
      <c r="O244" s="71" t="n">
        <v>0</v>
      </c>
      <c r="P244" s="71" t="n">
        <v>0</v>
      </c>
      <c r="Q244" s="71" t="n">
        <v>0</v>
      </c>
      <c r="R244" s="78" t="inlineStr">
        <is>
          <t>COMPRAR</t>
        </is>
      </c>
      <c r="S244" s="71" t="n">
        <v>7.800000000000001</v>
      </c>
      <c r="T244" s="71" t="n">
        <v>-3</v>
      </c>
      <c r="U244" s="71" t="inlineStr">
        <is>
          <t>GASTON VECCHIO</t>
        </is>
      </c>
      <c r="V244" s="94">
        <f>_xlfn.XMATCH(Tabla4[[#This Row],[EAN CORREGIDO]],'Calcular necesidad'!L:L)</f>
        <v/>
      </c>
      <c r="W244" s="95">
        <f>TRIM(Tabla4[[#This Row],[CodInternoArti]])</f>
        <v/>
      </c>
    </row>
    <row r="245" hidden="1">
      <c r="A245" s="71" t="inlineStr">
        <is>
          <t>NO SE ENCUENTRA EAN</t>
        </is>
      </c>
      <c r="B245" s="72" t="n">
        <v>9992016801775</v>
      </c>
      <c r="C245" s="73" t="inlineStr">
        <is>
          <t>SERVILLETA BLUE 18X18 1.1KGX1450U</t>
        </is>
      </c>
      <c r="D245" s="73" t="inlineStr">
        <is>
          <t>SERVILLETAS DESC</t>
        </is>
      </c>
      <c r="E245" s="73" t="inlineStr">
        <is>
          <t>SERVILLETAS DESC S/LOGO</t>
        </is>
      </c>
      <c r="F245" s="73" t="inlineStr">
        <is>
          <t>SERVILLETA C/LOGO BL</t>
        </is>
      </c>
      <c r="G245" s="89" t="inlineStr">
        <is>
          <t>Ciudadela</t>
        </is>
      </c>
      <c r="H245" s="75" t="n"/>
      <c r="I245" s="76" t="n"/>
      <c r="J245" s="76" t="n"/>
      <c r="K245" s="76" t="n"/>
      <c r="L245" s="76" t="n"/>
      <c r="M245" s="71" t="n"/>
      <c r="N245" s="77" t="n">
        <v>0</v>
      </c>
      <c r="O245" s="71" t="n">
        <v>0</v>
      </c>
      <c r="P245" s="71" t="n">
        <v>0</v>
      </c>
      <c r="Q245" s="71" t="n">
        <v>0</v>
      </c>
      <c r="R245" s="78" t="inlineStr">
        <is>
          <t>OK</t>
        </is>
      </c>
      <c r="S245" s="71" t="n">
        <v>0</v>
      </c>
      <c r="T245" s="71" t="n">
        <v>0</v>
      </c>
      <c r="U245" s="71" t="inlineStr">
        <is>
          <t>GASTON VECCHIO</t>
        </is>
      </c>
      <c r="V245" s="94">
        <f>_xlfn.XMATCH(Tabla4[[#This Row],[EAN CORREGIDO]],'Calcular necesidad'!L:L)</f>
        <v/>
      </c>
      <c r="W245" s="95">
        <f>TRIM(Tabla4[[#This Row],[CodInternoArti]])</f>
        <v/>
      </c>
    </row>
  </sheetData>
  <conditionalFormatting sqref="A2:A245">
    <cfRule type="containsText" priority="2" operator="containsText" dxfId="10" text="NO SE ENCUENTRA EAN">
      <formula>NOT(ISERROR(SEARCH("NO SE ENCUENTRA EAN",A2)))</formula>
    </cfRule>
  </conditionalFormatting>
  <conditionalFormatting sqref="R1">
    <cfRule type="cellIs" priority="9" operator="equal" dxfId="0">
      <formula>"""COMPRAR"""</formula>
    </cfRule>
  </conditionalFormatting>
  <conditionalFormatting sqref="R2:R245">
    <cfRule type="cellIs" priority="3" operator="equal" dxfId="8">
      <formula>"OK"</formula>
    </cfRule>
    <cfRule type="cellIs" priority="4" operator="equal" dxfId="7">
      <formula>"TRANSFERIR"</formula>
    </cfRule>
    <cfRule type="cellIs" priority="5" operator="equal" dxfId="0">
      <formula>"COMPRAR"</formula>
    </cfRule>
  </conditionalFormatting>
  <conditionalFormatting sqref="T1:T245">
    <cfRule type="cellIs" priority="6" operator="lessThanOrEqual">
      <formula>0</formula>
    </cfRule>
    <cfRule type="cellIs" priority="7" operator="lessThan" dxfId="0">
      <formula>-1</formula>
    </cfRule>
    <cfRule type="cellIs" priority="8" operator="lessThan" dxfId="0">
      <formula>0</formula>
    </cfRule>
  </conditionalFormatting>
  <conditionalFormatting sqref="U2:U245">
    <cfRule type="containsText" priority="1" operator="containsText" dxfId="3" text="ASIGNAR CATEGORIA">
      <formula>NOT(ISERROR(SEARCH("ASIGNAR CATEGORIA",U2)))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Hoja2">
    <tabColor theme="4" tint="0.5999938962981048"/>
    <outlinePr summaryBelow="1" summaryRight="1"/>
    <pageSetUpPr/>
  </sheetPr>
  <dimension ref="A1:L259"/>
  <sheetViews>
    <sheetView workbookViewId="0">
      <selection activeCell="D2" sqref="D2"/>
    </sheetView>
  </sheetViews>
  <sheetFormatPr baseColWidth="10" defaultColWidth="10.81640625" defaultRowHeight="14.5"/>
  <cols>
    <col width="10.453125" customWidth="1" min="1" max="1"/>
    <col width="9" customWidth="1" min="2" max="2"/>
    <col width="17.54296875" bestFit="1" customWidth="1" style="12" min="3" max="3"/>
    <col width="41.54296875" bestFit="1" customWidth="1" style="12" min="4" max="4"/>
    <col width="29.54296875" bestFit="1" customWidth="1" style="12" min="5" max="5"/>
    <col width="11.54296875" bestFit="1" customWidth="1" style="12" min="6" max="6"/>
    <col width="14" bestFit="1" customWidth="1" style="12" min="7" max="7"/>
    <col width="15.81640625" bestFit="1" customWidth="1" style="12" min="8" max="8"/>
    <col width="19.54296875" bestFit="1" customWidth="1" style="12" min="9" max="9"/>
    <col width="15.81640625" bestFit="1" customWidth="1" style="12" min="10" max="10"/>
    <col width="10.81640625" customWidth="1" style="12" min="11" max="11"/>
    <col width="10.81640625" customWidth="1" min="12" max="12"/>
    <col hidden="1" width="13" customWidth="1" min="13" max="13"/>
    <col hidden="1" width="10.81640625" customWidth="1" min="14" max="29"/>
  </cols>
  <sheetData>
    <row r="1">
      <c r="A1" s="37" t="inlineStr">
        <is>
          <t>Esta en "Tablar articulos"?</t>
        </is>
      </c>
      <c r="B1" s="37" t="inlineStr">
        <is>
          <t>"Necesidad x Familia"?</t>
        </is>
      </c>
      <c r="C1" s="31" t="inlineStr">
        <is>
          <t>CodInternoArti</t>
        </is>
      </c>
      <c r="D1" s="31" t="inlineStr">
        <is>
          <t>DescripcionArti</t>
        </is>
      </c>
      <c r="E1" s="31" t="inlineStr">
        <is>
          <t>Familia</t>
        </is>
      </c>
      <c r="F1" s="31" t="inlineStr">
        <is>
          <t>UM</t>
        </is>
      </c>
      <c r="G1" s="32" t="inlineStr">
        <is>
          <t>Moreno</t>
        </is>
      </c>
      <c r="H1" s="32" t="inlineStr">
        <is>
          <t>Ciudadela</t>
        </is>
      </c>
      <c r="I1" s="32" t="inlineStr">
        <is>
          <t>CD Moreno 2</t>
        </is>
      </c>
      <c r="J1" s="32" t="inlineStr">
        <is>
          <t>Operador interior</t>
        </is>
      </c>
      <c r="K1" s="33" t="inlineStr">
        <is>
          <t>CD Moreno 3</t>
        </is>
      </c>
      <c r="L1" s="32" t="inlineStr">
        <is>
          <t>Ean Corregido</t>
        </is>
      </c>
    </row>
    <row r="2">
      <c r="A2" s="38">
        <f>IF(ISNUMBER(_xlfn.XMATCH(Tabla3[[#This Row],[CodInternoArti]],'Tabla Articulos'!B:B)),"OK","NO ESTA")</f>
        <v/>
      </c>
      <c r="B2" s="38">
        <f>IF(ISNUMBER(_xlfn.XMATCH('Calcular necesidad'!E:E,'Necesidad por familia'!A:A)),"OK","NO ESTA")</f>
        <v/>
      </c>
      <c r="C2" s="17" t="inlineStr">
        <is>
          <t>13044000A</t>
        </is>
      </c>
      <c r="D2" s="1" t="inlineStr">
        <is>
          <t>RESINITE (FILM DE PVC) x ROLLO</t>
        </is>
      </c>
      <c r="E2" s="1">
        <f>_xlfn.XLOOKUP(C2,'Tabla Articulos'!B:B,'Tabla Articulos'!D:D)</f>
        <v/>
      </c>
      <c r="F2" s="1">
        <f>_xlfn.XLOOKUP(C2,'Tabla Articulos'!B:B,'Tabla Articulos'!E:E)</f>
        <v/>
      </c>
      <c r="G2" s="15">
        <f>SUM(
    SUMIFS(MRP!$H$2:$H$245, MRP!$B$2:$B$245, $C2, MRP!$G$2:$G$245, G$1),
    SUMIFS(MRP!$I$2:$I$245, MRP!$B$2:$B$245, $C2, MRP!$G$2:$G$245, G$1),
    SUMIFS(MRP!$J$2:$J$245, MRP!$B$2:$B$245, $C2,  MRP!$G$2:$G$245, G$1),
    SUMIFS(MRP!$K$2:$K$245, MRP!$B$2:$B$245, $C2,  MRP!$G$2:$G$245, G$1),
    SUMIFS(MRP!$L$2:$L$245, MRP!$B$2:$B$245, $C2,  MRP!$G$2:$G$245, G$1)
)*F2</f>
        <v/>
      </c>
      <c r="H2" s="15">
        <f>SUM(
    SUMIFS(MRP!$H$2:$H$245, MRP!$B$2:$B$245, $C2, MRP!$G$2:$G$245, H$1),
    SUMIFS(MRP!$I$2:$I$245, MRP!$B$2:$B$245, $C2, MRP!$G$2:$G$245, H$1),
    SUMIFS(MRP!$J$2:$J$245, MRP!$B$2:$B$245, $C2,  MRP!$G$2:$G$245, H$1),
    SUMIFS(MRP!$K$2:$K$245, MRP!$B$2:$B$245, $C2,  MRP!$G$2:$G$245, H$1),
    SUMIFS(MRP!$L$2:$L$245, MRP!$B$2:$B$245, $C2,  MRP!$G$2:$G$245, H$1)
)*F2</f>
        <v/>
      </c>
      <c r="I2" s="15">
        <f>SUM(
    SUMIFS(MRP!$H$2:$H$245, MRP!$B$2:$B$245, $C2, MRP!$G$2:$G$245, I$1),
    SUMIFS(MRP!$I$2:$I$245, MRP!$B$2:$B$245, $C2, MRP!$G$2:$G$245, I$1),
    SUMIFS(MRP!$J$2:$J$245, MRP!$B$2:$B$245, $C2,  MRP!$G$2:$G$245, I$1),
    SUMIFS(MRP!$K$2:$K$245, MRP!$B$2:$B$245, $C2,  MRP!$G$2:$G$245, I$1),
    SUMIFS(MRP!$L$2:$L$245, MRP!$B$2:$B$245, $C2,  MRP!$G$2:$G$245, I$1)
)*F2</f>
        <v/>
      </c>
      <c r="J2" s="15">
        <f>SUM(
    SUMIFS(MRP!$H$2:$H$245, MRP!$B$2:$B$245, $C2, MRP!$G$2:$G$245, J$1),
    SUMIFS(MRP!$I$2:$I$245, MRP!$B$2:$B$245, $C2, MRP!$G$2:$G$245, J$1),
    SUMIFS(MRP!$J$2:$J$245, MRP!$B$2:$B$245, $C2,  MRP!$G$2:$G$245, J$1),
    SUMIFS(MRP!$K$2:$K$245, MRP!$B$2:$B$245, $C2,  MRP!$G$2:$G$245, J$1),
    SUMIFS(MRP!$L$2:$L$245, MRP!$B$2:$B$245, $C2,  MRP!$G$2:$G$245, J$1)
)*F2</f>
        <v/>
      </c>
      <c r="K2" s="15">
        <f>SUM(
    SUMIFS(MRP!$H$2:$H$245, MRP!$B$2:$B$245, $C2, MRP!$G$2:$G$245, K$1),
    SUMIFS(MRP!$I$2:$I$245, MRP!$B$2:$B$245, $C2, MRP!$G$2:$G$245, K$1),
    SUMIFS(MRP!$J$2:$J$245, MRP!$B$2:$B$245, $C2,  MRP!$G$2:$G$245, K$1),
    SUMIFS(MRP!$K$2:$K$245, MRP!$B$2:$B$245, $C2,  MRP!$G$2:$G$245, K$1),
    SUMIFS(MRP!$L$2:$L$245, MRP!$B$2:$B$245, $C2,  MRP!$G$2:$G$245, K$1)
)*F2</f>
        <v/>
      </c>
      <c r="L2" s="55">
        <f>TRIM(Tabla3[[#This Row],[CodInternoArti]])</f>
        <v/>
      </c>
    </row>
    <row r="3">
      <c r="A3" s="38">
        <f>IF(ISNUMBER(_xlfn.XMATCH(Tabla3[[#This Row],[CodInternoArti]],'Tabla Articulos'!B:B)),"OK","NO ESTA")</f>
        <v/>
      </c>
      <c r="B3" s="38">
        <f>IF(ISNUMBER(_xlfn.XMATCH('Calcular necesidad'!E:E,'Necesidad por familia'!A:A)),"OK","NO ESTA")</f>
        <v/>
      </c>
      <c r="C3" s="17" t="inlineStr">
        <is>
          <t>14047000A</t>
        </is>
      </c>
      <c r="D3" s="1" t="inlineStr">
        <is>
          <t>SERVILLE BCA 33X32X1000U S/LOGO</t>
        </is>
      </c>
      <c r="E3" s="1">
        <f>_xlfn.XLOOKUP(C3,'Tabla Articulos'!B:B,'Tabla Articulos'!D:D)</f>
        <v/>
      </c>
      <c r="F3" s="1">
        <f>_xlfn.XLOOKUP(C3,'Tabla Articulos'!B:B,'Tabla Articulos'!E:E)</f>
        <v/>
      </c>
      <c r="G3" s="15">
        <f>SUM(
    SUMIFS(MRP!$H$2:$H$245, MRP!$B$2:$B$245, $C3, MRP!$G$2:$G$245, G$1),
    SUMIFS(MRP!$I$2:$I$245, MRP!$B$2:$B$245, $C3, MRP!$G$2:$G$245, G$1),
    SUMIFS(MRP!$J$2:$J$245, MRP!$B$2:$B$245, $C3,  MRP!$G$2:$G$245, G$1),
    SUMIFS(MRP!$K$2:$K$245, MRP!$B$2:$B$245, $C3,  MRP!$G$2:$G$245, G$1),
    SUMIFS(MRP!$L$2:$L$245, MRP!$B$2:$B$245, $C3,  MRP!$G$2:$G$245, G$1)
)*F3</f>
        <v/>
      </c>
      <c r="H3" s="15">
        <f>SUM(
    SUMIFS(MRP!$H$2:$H$245, MRP!$B$2:$B$245, $C3, MRP!$G$2:$G$245, H$1),
    SUMIFS(MRP!$I$2:$I$245, MRP!$B$2:$B$245, $C3, MRP!$G$2:$G$245, H$1),
    SUMIFS(MRP!$J$2:$J$245, MRP!$B$2:$B$245, $C3,  MRP!$G$2:$G$245, H$1),
    SUMIFS(MRP!$K$2:$K$245, MRP!$B$2:$B$245, $C3,  MRP!$G$2:$G$245, H$1),
    SUMIFS(MRP!$L$2:$L$245, MRP!$B$2:$B$245, $C3,  MRP!$G$2:$G$245, H$1)
)*F3</f>
        <v/>
      </c>
      <c r="I3" s="15">
        <f>SUM(
    SUMIFS(MRP!$H$2:$H$245, MRP!$B$2:$B$245, $C3, MRP!$G$2:$G$245, I$1),
    SUMIFS(MRP!$I$2:$I$245, MRP!$B$2:$B$245, $C3, MRP!$G$2:$G$245, I$1),
    SUMIFS(MRP!$J$2:$J$245, MRP!$B$2:$B$245, $C3,  MRP!$G$2:$G$245, I$1),
    SUMIFS(MRP!$K$2:$K$245, MRP!$B$2:$B$245, $C3,  MRP!$G$2:$G$245, I$1),
    SUMIFS(MRP!$L$2:$L$245, MRP!$B$2:$B$245, $C3,  MRP!$G$2:$G$245, I$1)
)*F3</f>
        <v/>
      </c>
      <c r="J3" s="15">
        <f>SUM(
    SUMIFS(MRP!$H$2:$H$245, MRP!$B$2:$B$245, $C3, MRP!$G$2:$G$245, J$1),
    SUMIFS(MRP!$I$2:$I$245, MRP!$B$2:$B$245, $C3, MRP!$G$2:$G$245, J$1),
    SUMIFS(MRP!$J$2:$J$245, MRP!$B$2:$B$245, $C3,  MRP!$G$2:$G$245, J$1),
    SUMIFS(MRP!$K$2:$K$245, MRP!$B$2:$B$245, $C3,  MRP!$G$2:$G$245, J$1),
    SUMIFS(MRP!$L$2:$L$245, MRP!$B$2:$B$245, $C3,  MRP!$G$2:$G$245, J$1)
)*F3</f>
        <v/>
      </c>
      <c r="K3" s="15">
        <f>SUM(
    SUMIFS(MRP!$H$2:$H$245, MRP!$B$2:$B$245, $C3, MRP!$G$2:$G$245, K$1),
    SUMIFS(MRP!$I$2:$I$245, MRP!$B$2:$B$245, $C3, MRP!$G$2:$G$245, K$1),
    SUMIFS(MRP!$J$2:$J$245, MRP!$B$2:$B$245, $C3,  MRP!$G$2:$G$245, K$1),
    SUMIFS(MRP!$K$2:$K$245, MRP!$B$2:$B$245, $C3,  MRP!$G$2:$G$245, K$1),
    SUMIFS(MRP!$L$2:$L$245, MRP!$B$2:$B$245, $C3,  MRP!$G$2:$G$245, K$1)
)*F3</f>
        <v/>
      </c>
      <c r="L3" s="55">
        <f>TRIM(Tabla3[[#This Row],[CodInternoArti]])</f>
        <v/>
      </c>
    </row>
    <row r="4">
      <c r="A4" s="38">
        <f>IF(ISNUMBER(_xlfn.XMATCH(Tabla3[[#This Row],[CodInternoArti]],'Tabla Articulos'!B:B)),"OK","NO ESTA")</f>
        <v/>
      </c>
      <c r="B4" s="38">
        <f>IF(ISNUMBER(_xlfn.XMATCH('Calcular necesidad'!E:E,'Necesidad por familia'!A:A)),"OK","NO ESTA")</f>
        <v/>
      </c>
      <c r="C4" s="17" t="inlineStr">
        <is>
          <t>13069000A</t>
        </is>
      </c>
      <c r="D4" s="1" t="inlineStr">
        <is>
          <t>AGITADOR x 1000 U</t>
        </is>
      </c>
      <c r="E4" s="1">
        <f>_xlfn.XLOOKUP(C4,'Tabla Articulos'!B:B,'Tabla Articulos'!D:D)</f>
        <v/>
      </c>
      <c r="F4" s="1">
        <f>_xlfn.XLOOKUP(C4,'Tabla Articulos'!B:B,'Tabla Articulos'!E:E)</f>
        <v/>
      </c>
      <c r="G4" s="15">
        <f>SUM(
    SUMIFS(MRP!$H$2:$H$245, MRP!$B$2:$B$245, $C4, MRP!$G$2:$G$245, G$1),
    SUMIFS(MRP!$I$2:$I$245, MRP!$B$2:$B$245, $C4, MRP!$G$2:$G$245, G$1),
    SUMIFS(MRP!$J$2:$J$245, MRP!$B$2:$B$245, $C4,  MRP!$G$2:$G$245, G$1),
    SUMIFS(MRP!$K$2:$K$245, MRP!$B$2:$B$245, $C4,  MRP!$G$2:$G$245, G$1),
    SUMIFS(MRP!$L$2:$L$245, MRP!$B$2:$B$245, $C4,  MRP!$G$2:$G$245, G$1)
)*F4</f>
        <v/>
      </c>
      <c r="H4" s="15">
        <f>SUM(
    SUMIFS(MRP!$H$2:$H$245, MRP!$B$2:$B$245, $C4, MRP!$G$2:$G$245, H$1),
    SUMIFS(MRP!$I$2:$I$245, MRP!$B$2:$B$245, $C4, MRP!$G$2:$G$245, H$1),
    SUMIFS(MRP!$J$2:$J$245, MRP!$B$2:$B$245, $C4,  MRP!$G$2:$G$245, H$1),
    SUMIFS(MRP!$K$2:$K$245, MRP!$B$2:$B$245, $C4,  MRP!$G$2:$G$245, H$1),
    SUMIFS(MRP!$L$2:$L$245, MRP!$B$2:$B$245, $C4,  MRP!$G$2:$G$245, H$1)
)*F4</f>
        <v/>
      </c>
      <c r="I4" s="15">
        <f>SUM(
    SUMIFS(MRP!$H$2:$H$245, MRP!$B$2:$B$245, $C4, MRP!$G$2:$G$245, I$1),
    SUMIFS(MRP!$I$2:$I$245, MRP!$B$2:$B$245, $C4, MRP!$G$2:$G$245, I$1),
    SUMIFS(MRP!$J$2:$J$245, MRP!$B$2:$B$245, $C4,  MRP!$G$2:$G$245, I$1),
    SUMIFS(MRP!$K$2:$K$245, MRP!$B$2:$B$245, $C4,  MRP!$G$2:$G$245, I$1),
    SUMIFS(MRP!$L$2:$L$245, MRP!$B$2:$B$245, $C4,  MRP!$G$2:$G$245, I$1)
)*F4</f>
        <v/>
      </c>
      <c r="J4" s="15">
        <f>SUM(
    SUMIFS(MRP!$H$2:$H$245, MRP!$B$2:$B$245, $C4, MRP!$G$2:$G$245, J$1),
    SUMIFS(MRP!$I$2:$I$245, MRP!$B$2:$B$245, $C4, MRP!$G$2:$G$245, J$1),
    SUMIFS(MRP!$J$2:$J$245, MRP!$B$2:$B$245, $C4,  MRP!$G$2:$G$245, J$1),
    SUMIFS(MRP!$K$2:$K$245, MRP!$B$2:$B$245, $C4,  MRP!$G$2:$G$245, J$1),
    SUMIFS(MRP!$L$2:$L$245, MRP!$B$2:$B$245, $C4,  MRP!$G$2:$G$245, J$1)
)*F4</f>
        <v/>
      </c>
      <c r="K4" s="15">
        <f>SUM(
    SUMIFS(MRP!$H$2:$H$245, MRP!$B$2:$B$245, $C4, MRP!$G$2:$G$245, K$1),
    SUMIFS(MRP!$I$2:$I$245, MRP!$B$2:$B$245, $C4, MRP!$G$2:$G$245, K$1),
    SUMIFS(MRP!$J$2:$J$245, MRP!$B$2:$B$245, $C4,  MRP!$G$2:$G$245, K$1),
    SUMIFS(MRP!$K$2:$K$245, MRP!$B$2:$B$245, $C4,  MRP!$G$2:$G$245, K$1),
    SUMIFS(MRP!$L$2:$L$245, MRP!$B$2:$B$245, $C4,  MRP!$G$2:$G$245, K$1)
)*F4</f>
        <v/>
      </c>
      <c r="L4" s="55">
        <f>TRIM(Tabla3[[#This Row],[CodInternoArti]])</f>
        <v/>
      </c>
    </row>
    <row r="5">
      <c r="A5" s="38">
        <f>IF(ISNUMBER(_xlfn.XMATCH(Tabla3[[#This Row],[CodInternoArti]],'Tabla Articulos'!B:B)),"OK","NO ESTA")</f>
        <v/>
      </c>
      <c r="B5" s="38">
        <f>IF(ISNUMBER(_xlfn.XMATCH('Calcular necesidad'!E:E,'Necesidad por familia'!A:A)),"OK","NO ESTA")</f>
        <v/>
      </c>
      <c r="C5" s="17" t="inlineStr">
        <is>
          <t>16204006A</t>
        </is>
      </c>
      <c r="D5" s="1" t="inlineStr">
        <is>
          <t xml:space="preserve">ROLLO BOLSA ARRANQUE 60 x 90 </t>
        </is>
      </c>
      <c r="E5" s="1">
        <f>_xlfn.XLOOKUP(C5,'Tabla Articulos'!B:B,'Tabla Articulos'!D:D)</f>
        <v/>
      </c>
      <c r="F5" s="1">
        <f>_xlfn.XLOOKUP(C5,'Tabla Articulos'!B:B,'Tabla Articulos'!E:E)</f>
        <v/>
      </c>
      <c r="G5" s="15">
        <f>SUM(
    SUMIFS(MRP!$H$2:$H$245, MRP!$B$2:$B$245, $C5, MRP!$G$2:$G$245, G$1),
    SUMIFS(MRP!$I$2:$I$245, MRP!$B$2:$B$245, $C5, MRP!$G$2:$G$245, G$1),
    SUMIFS(MRP!$J$2:$J$245, MRP!$B$2:$B$245, $C5,  MRP!$G$2:$G$245, G$1),
    SUMIFS(MRP!$K$2:$K$245, MRP!$B$2:$B$245, $C5,  MRP!$G$2:$G$245, G$1),
    SUMIFS(MRP!$L$2:$L$245, MRP!$B$2:$B$245, $C5,  MRP!$G$2:$G$245, G$1)
)*F5</f>
        <v/>
      </c>
      <c r="H5" s="15">
        <f>SUM(
    SUMIFS(MRP!$H$2:$H$245, MRP!$B$2:$B$245, $C5, MRP!$G$2:$G$245, H$1),
    SUMIFS(MRP!$I$2:$I$245, MRP!$B$2:$B$245, $C5, MRP!$G$2:$G$245, H$1),
    SUMIFS(MRP!$J$2:$J$245, MRP!$B$2:$B$245, $C5,  MRP!$G$2:$G$245, H$1),
    SUMIFS(MRP!$K$2:$K$245, MRP!$B$2:$B$245, $C5,  MRP!$G$2:$G$245, H$1),
    SUMIFS(MRP!$L$2:$L$245, MRP!$B$2:$B$245, $C5,  MRP!$G$2:$G$245, H$1)
)*F5</f>
        <v/>
      </c>
      <c r="I5" s="15">
        <f>SUM(
    SUMIFS(MRP!$H$2:$H$245, MRP!$B$2:$B$245, $C5, MRP!$G$2:$G$245, I$1),
    SUMIFS(MRP!$I$2:$I$245, MRP!$B$2:$B$245, $C5, MRP!$G$2:$G$245, I$1),
    SUMIFS(MRP!$J$2:$J$245, MRP!$B$2:$B$245, $C5,  MRP!$G$2:$G$245, I$1),
    SUMIFS(MRP!$K$2:$K$245, MRP!$B$2:$B$245, $C5,  MRP!$G$2:$G$245, I$1),
    SUMIFS(MRP!$L$2:$L$245, MRP!$B$2:$B$245, $C5,  MRP!$G$2:$G$245, I$1)
)*F5</f>
        <v/>
      </c>
      <c r="J5" s="15">
        <f>SUM(
    SUMIFS(MRP!$H$2:$H$245, MRP!$B$2:$B$245, $C5, MRP!$G$2:$G$245, J$1),
    SUMIFS(MRP!$I$2:$I$245, MRP!$B$2:$B$245, $C5, MRP!$G$2:$G$245, J$1),
    SUMIFS(MRP!$J$2:$J$245, MRP!$B$2:$B$245, $C5,  MRP!$G$2:$G$245, J$1),
    SUMIFS(MRP!$K$2:$K$245, MRP!$B$2:$B$245, $C5,  MRP!$G$2:$G$245, J$1),
    SUMIFS(MRP!$L$2:$L$245, MRP!$B$2:$B$245, $C5,  MRP!$G$2:$G$245, J$1)
)*F5</f>
        <v/>
      </c>
      <c r="K5" s="15">
        <f>SUM(
    SUMIFS(MRP!$H$2:$H$245, MRP!$B$2:$B$245, $C5, MRP!$G$2:$G$245, K$1),
    SUMIFS(MRP!$I$2:$I$245, MRP!$B$2:$B$245, $C5, MRP!$G$2:$G$245, K$1),
    SUMIFS(MRP!$J$2:$J$245, MRP!$B$2:$B$245, $C5,  MRP!$G$2:$G$245, K$1),
    SUMIFS(MRP!$K$2:$K$245, MRP!$B$2:$B$245, $C5,  MRP!$G$2:$G$245, K$1),
    SUMIFS(MRP!$L$2:$L$245, MRP!$B$2:$B$245, $C5,  MRP!$G$2:$G$245, K$1)
)*F5</f>
        <v/>
      </c>
      <c r="L5" s="55">
        <f>TRIM(Tabla3[[#This Row],[CodInternoArti]])</f>
        <v/>
      </c>
    </row>
    <row r="6">
      <c r="A6" s="38">
        <f>IF(ISNUMBER(_xlfn.XMATCH(Tabla3[[#This Row],[CodInternoArti]],'Tabla Articulos'!B:B)),"OK","NO ESTA")</f>
        <v/>
      </c>
      <c r="B6" s="38">
        <f>IF(ISNUMBER(_xlfn.XMATCH('Calcular necesidad'!E:E,'Necesidad por familia'!A:A)),"OK","NO ESTA")</f>
        <v/>
      </c>
      <c r="C6" s="17" t="inlineStr">
        <is>
          <t>16204004A</t>
        </is>
      </c>
      <c r="D6" s="1" t="inlineStr">
        <is>
          <t>ROLLO BOLSA ARRANQUE 45 x 60</t>
        </is>
      </c>
      <c r="E6" s="1">
        <f>_xlfn.XLOOKUP(C6,'Tabla Articulos'!B:B,'Tabla Articulos'!D:D)</f>
        <v/>
      </c>
      <c r="F6" s="1">
        <f>_xlfn.XLOOKUP(C6,'Tabla Articulos'!B:B,'Tabla Articulos'!E:E)</f>
        <v/>
      </c>
      <c r="G6" s="15">
        <f>SUM(
    SUMIFS(MRP!$H$2:$H$245, MRP!$B$2:$B$245, $C6, MRP!$G$2:$G$245, G$1),
    SUMIFS(MRP!$I$2:$I$245, MRP!$B$2:$B$245, $C6, MRP!$G$2:$G$245, G$1),
    SUMIFS(MRP!$J$2:$J$245, MRP!$B$2:$B$245, $C6,  MRP!$G$2:$G$245, G$1),
    SUMIFS(MRP!$K$2:$K$245, MRP!$B$2:$B$245, $C6,  MRP!$G$2:$G$245, G$1),
    SUMIFS(MRP!$L$2:$L$245, MRP!$B$2:$B$245, $C6,  MRP!$G$2:$G$245, G$1)
)*F6</f>
        <v/>
      </c>
      <c r="H6" s="15">
        <f>SUM(
    SUMIFS(MRP!$H$2:$H$245, MRP!$B$2:$B$245, $C6, MRP!$G$2:$G$245, H$1),
    SUMIFS(MRP!$I$2:$I$245, MRP!$B$2:$B$245, $C6, MRP!$G$2:$G$245, H$1),
    SUMIFS(MRP!$J$2:$J$245, MRP!$B$2:$B$245, $C6,  MRP!$G$2:$G$245, H$1),
    SUMIFS(MRP!$K$2:$K$245, MRP!$B$2:$B$245, $C6,  MRP!$G$2:$G$245, H$1),
    SUMIFS(MRP!$L$2:$L$245, MRP!$B$2:$B$245, $C6,  MRP!$G$2:$G$245, H$1)
)*F6</f>
        <v/>
      </c>
      <c r="I6" s="15">
        <f>SUM(
    SUMIFS(MRP!$H$2:$H$245, MRP!$B$2:$B$245, $C6, MRP!$G$2:$G$245, I$1),
    SUMIFS(MRP!$I$2:$I$245, MRP!$B$2:$B$245, $C6, MRP!$G$2:$G$245, I$1),
    SUMIFS(MRP!$J$2:$J$245, MRP!$B$2:$B$245, $C6,  MRP!$G$2:$G$245, I$1),
    SUMIFS(MRP!$K$2:$K$245, MRP!$B$2:$B$245, $C6,  MRP!$G$2:$G$245, I$1),
    SUMIFS(MRP!$L$2:$L$245, MRP!$B$2:$B$245, $C6,  MRP!$G$2:$G$245, I$1)
)*F6</f>
        <v/>
      </c>
      <c r="J6" s="15">
        <f>SUM(
    SUMIFS(MRP!$H$2:$H$245, MRP!$B$2:$B$245, $C6, MRP!$G$2:$G$245, J$1),
    SUMIFS(MRP!$I$2:$I$245, MRP!$B$2:$B$245, $C6, MRP!$G$2:$G$245, J$1),
    SUMIFS(MRP!$J$2:$J$245, MRP!$B$2:$B$245, $C6,  MRP!$G$2:$G$245, J$1),
    SUMIFS(MRP!$K$2:$K$245, MRP!$B$2:$B$245, $C6,  MRP!$G$2:$G$245, J$1),
    SUMIFS(MRP!$L$2:$L$245, MRP!$B$2:$B$245, $C6,  MRP!$G$2:$G$245, J$1)
)*F6</f>
        <v/>
      </c>
      <c r="K6" s="15">
        <f>SUM(
    SUMIFS(MRP!$H$2:$H$245, MRP!$B$2:$B$245, $C6, MRP!$G$2:$G$245, K$1),
    SUMIFS(MRP!$I$2:$I$245, MRP!$B$2:$B$245, $C6, MRP!$G$2:$G$245, K$1),
    SUMIFS(MRP!$J$2:$J$245, MRP!$B$2:$B$245, $C6,  MRP!$G$2:$G$245, K$1),
    SUMIFS(MRP!$K$2:$K$245, MRP!$B$2:$B$245, $C6,  MRP!$G$2:$G$245, K$1),
    SUMIFS(MRP!$L$2:$L$245, MRP!$B$2:$B$245, $C6,  MRP!$G$2:$G$245, K$1)
)*F6</f>
        <v/>
      </c>
      <c r="L6" s="55">
        <f>TRIM(Tabla3[[#This Row],[CodInternoArti]])</f>
        <v/>
      </c>
    </row>
    <row r="7">
      <c r="A7" s="38">
        <f>IF(ISNUMBER(_xlfn.XMATCH(Tabla3[[#This Row],[CodInternoArti]],'Tabla Articulos'!B:B)),"OK","NO ESTA")</f>
        <v/>
      </c>
      <c r="B7" s="38">
        <f>IF(ISNUMBER(_xlfn.XMATCH('Calcular necesidad'!E:E,'Necesidad por familia'!A:A)),"OK","NO ESTA")</f>
        <v/>
      </c>
      <c r="C7" s="17" t="inlineStr">
        <is>
          <t>16208001A</t>
        </is>
      </c>
      <c r="D7" s="1" t="inlineStr">
        <is>
          <t>ROLLO DE BOLSA DE ARRANQUE 20 x 30</t>
        </is>
      </c>
      <c r="E7" s="1">
        <f>_xlfn.XLOOKUP(C7,'Tabla Articulos'!B:B,'Tabla Articulos'!D:D)</f>
        <v/>
      </c>
      <c r="F7" s="1">
        <f>_xlfn.XLOOKUP(C7,'Tabla Articulos'!B:B,'Tabla Articulos'!E:E)</f>
        <v/>
      </c>
      <c r="G7" s="15">
        <f>SUM(
    SUMIFS(MRP!$H$2:$H$245, MRP!$B$2:$B$245, $C7, MRP!$G$2:$G$245, G$1),
    SUMIFS(MRP!$I$2:$I$245, MRP!$B$2:$B$245, $C7, MRP!$G$2:$G$245, G$1),
    SUMIFS(MRP!$J$2:$J$245, MRP!$B$2:$B$245, $C7,  MRP!$G$2:$G$245, G$1),
    SUMIFS(MRP!$K$2:$K$245, MRP!$B$2:$B$245, $C7,  MRP!$G$2:$G$245, G$1),
    SUMIFS(MRP!$L$2:$L$245, MRP!$B$2:$B$245, $C7,  MRP!$G$2:$G$245, G$1)
)*F7</f>
        <v/>
      </c>
      <c r="H7" s="15">
        <f>SUM(
    SUMIFS(MRP!$H$2:$H$245, MRP!$B$2:$B$245, $C7, MRP!$G$2:$G$245, H$1),
    SUMIFS(MRP!$I$2:$I$245, MRP!$B$2:$B$245, $C7, MRP!$G$2:$G$245, H$1),
    SUMIFS(MRP!$J$2:$J$245, MRP!$B$2:$B$245, $C7,  MRP!$G$2:$G$245, H$1),
    SUMIFS(MRP!$K$2:$K$245, MRP!$B$2:$B$245, $C7,  MRP!$G$2:$G$245, H$1),
    SUMIFS(MRP!$L$2:$L$245, MRP!$B$2:$B$245, $C7,  MRP!$G$2:$G$245, H$1)
)*F7</f>
        <v/>
      </c>
      <c r="I7" s="15">
        <f>SUM(
    SUMIFS(MRP!$H$2:$H$245, MRP!$B$2:$B$245, $C7, MRP!$G$2:$G$245, I$1),
    SUMIFS(MRP!$I$2:$I$245, MRP!$B$2:$B$245, $C7, MRP!$G$2:$G$245, I$1),
    SUMIFS(MRP!$J$2:$J$245, MRP!$B$2:$B$245, $C7,  MRP!$G$2:$G$245, I$1),
    SUMIFS(MRP!$K$2:$K$245, MRP!$B$2:$B$245, $C7,  MRP!$G$2:$G$245, I$1),
    SUMIFS(MRP!$L$2:$L$245, MRP!$B$2:$B$245, $C7,  MRP!$G$2:$G$245, I$1)
)*F7</f>
        <v/>
      </c>
      <c r="J7" s="15">
        <f>SUM(
    SUMIFS(MRP!$H$2:$H$245, MRP!$B$2:$B$245, $C7, MRP!$G$2:$G$245, J$1),
    SUMIFS(MRP!$I$2:$I$245, MRP!$B$2:$B$245, $C7, MRP!$G$2:$G$245, J$1),
    SUMIFS(MRP!$J$2:$J$245, MRP!$B$2:$B$245, $C7,  MRP!$G$2:$G$245, J$1),
    SUMIFS(MRP!$K$2:$K$245, MRP!$B$2:$B$245, $C7,  MRP!$G$2:$G$245, J$1),
    SUMIFS(MRP!$L$2:$L$245, MRP!$B$2:$B$245, $C7,  MRP!$G$2:$G$245, J$1)
)*F7</f>
        <v/>
      </c>
      <c r="K7" s="15">
        <f>SUM(
    SUMIFS(MRP!$H$2:$H$245, MRP!$B$2:$B$245, $C7, MRP!$G$2:$G$245, K$1),
    SUMIFS(MRP!$I$2:$I$245, MRP!$B$2:$B$245, $C7, MRP!$G$2:$G$245, K$1),
    SUMIFS(MRP!$J$2:$J$245, MRP!$B$2:$B$245, $C7,  MRP!$G$2:$G$245, K$1),
    SUMIFS(MRP!$K$2:$K$245, MRP!$B$2:$B$245, $C7,  MRP!$G$2:$G$245, K$1),
    SUMIFS(MRP!$L$2:$L$245, MRP!$B$2:$B$245, $C7,  MRP!$G$2:$G$245, K$1)
)*F7</f>
        <v/>
      </c>
      <c r="L7" s="55">
        <f>TRIM(Tabla3[[#This Row],[CodInternoArti]])</f>
        <v/>
      </c>
    </row>
    <row r="8">
      <c r="A8" s="38">
        <f>IF(ISNUMBER(_xlfn.XMATCH(Tabla3[[#This Row],[CodInternoArti]],'Tabla Articulos'!B:B)),"OK","NO ESTA")</f>
        <v/>
      </c>
      <c r="B8" s="38">
        <f>IF(ISNUMBER(_xlfn.XMATCH('Calcular necesidad'!E:E,'Necesidad por familia'!A:A)),"OK","NO ESTA")</f>
        <v/>
      </c>
      <c r="C8" s="17" t="inlineStr">
        <is>
          <t>17030001A</t>
        </is>
      </c>
      <c r="D8" s="1" t="inlineStr">
        <is>
          <t>GUANTE DE LATEX x 100 UNID</t>
        </is>
      </c>
      <c r="E8" s="1">
        <f>_xlfn.XLOOKUP(C8,'Tabla Articulos'!B:B,'Tabla Articulos'!D:D)</f>
        <v/>
      </c>
      <c r="F8" s="1">
        <f>_xlfn.XLOOKUP(C8,'Tabla Articulos'!B:B,'Tabla Articulos'!E:E)</f>
        <v/>
      </c>
      <c r="G8" s="15">
        <f>SUM(
    SUMIFS(MRP!$H$2:$H$245, MRP!$B$2:$B$245, $C8, MRP!$G$2:$G$245, G$1),
    SUMIFS(MRP!$I$2:$I$245, MRP!$B$2:$B$245, $C8, MRP!$G$2:$G$245, G$1),
    SUMIFS(MRP!$J$2:$J$245, MRP!$B$2:$B$245, $C8,  MRP!$G$2:$G$245, G$1),
    SUMIFS(MRP!$K$2:$K$245, MRP!$B$2:$B$245, $C8,  MRP!$G$2:$G$245, G$1),
    SUMIFS(MRP!$L$2:$L$245, MRP!$B$2:$B$245, $C8,  MRP!$G$2:$G$245, G$1)
)*F8</f>
        <v/>
      </c>
      <c r="H8" s="15">
        <f>SUM(
    SUMIFS(MRP!$H$2:$H$245, MRP!$B$2:$B$245, $C8, MRP!$G$2:$G$245, H$1),
    SUMIFS(MRP!$I$2:$I$245, MRP!$B$2:$B$245, $C8, MRP!$G$2:$G$245, H$1),
    SUMIFS(MRP!$J$2:$J$245, MRP!$B$2:$B$245, $C8,  MRP!$G$2:$G$245, H$1),
    SUMIFS(MRP!$K$2:$K$245, MRP!$B$2:$B$245, $C8,  MRP!$G$2:$G$245, H$1),
    SUMIFS(MRP!$L$2:$L$245, MRP!$B$2:$B$245, $C8,  MRP!$G$2:$G$245, H$1)
)*F8</f>
        <v/>
      </c>
      <c r="I8" s="15">
        <f>SUM(
    SUMIFS(MRP!$H$2:$H$245, MRP!$B$2:$B$245, $C8, MRP!$G$2:$G$245, I$1),
    SUMIFS(MRP!$I$2:$I$245, MRP!$B$2:$B$245, $C8, MRP!$G$2:$G$245, I$1),
    SUMIFS(MRP!$J$2:$J$245, MRP!$B$2:$B$245, $C8,  MRP!$G$2:$G$245, I$1),
    SUMIFS(MRP!$K$2:$K$245, MRP!$B$2:$B$245, $C8,  MRP!$G$2:$G$245, I$1),
    SUMIFS(MRP!$L$2:$L$245, MRP!$B$2:$B$245, $C8,  MRP!$G$2:$G$245, I$1)
)*F8</f>
        <v/>
      </c>
      <c r="J8" s="15">
        <f>SUM(
    SUMIFS(MRP!$H$2:$H$245, MRP!$B$2:$B$245, $C8, MRP!$G$2:$G$245, J$1),
    SUMIFS(MRP!$I$2:$I$245, MRP!$B$2:$B$245, $C8, MRP!$G$2:$G$245, J$1),
    SUMIFS(MRP!$J$2:$J$245, MRP!$B$2:$B$245, $C8,  MRP!$G$2:$G$245, J$1),
    SUMIFS(MRP!$K$2:$K$245, MRP!$B$2:$B$245, $C8,  MRP!$G$2:$G$245, J$1),
    SUMIFS(MRP!$L$2:$L$245, MRP!$B$2:$B$245, $C8,  MRP!$G$2:$G$245, J$1)
)*F8</f>
        <v/>
      </c>
      <c r="K8" s="15">
        <f>SUM(
    SUMIFS(MRP!$H$2:$H$245, MRP!$B$2:$B$245, $C8, MRP!$G$2:$G$245, K$1),
    SUMIFS(MRP!$I$2:$I$245, MRP!$B$2:$B$245, $C8, MRP!$G$2:$G$245, K$1),
    SUMIFS(MRP!$J$2:$J$245, MRP!$B$2:$B$245, $C8,  MRP!$G$2:$G$245, K$1),
    SUMIFS(MRP!$K$2:$K$245, MRP!$B$2:$B$245, $C8,  MRP!$G$2:$G$245, K$1),
    SUMIFS(MRP!$L$2:$L$245, MRP!$B$2:$B$245, $C8,  MRP!$G$2:$G$245, K$1)
)*F8</f>
        <v/>
      </c>
      <c r="L8" s="55">
        <f>TRIM(Tabla3[[#This Row],[CodInternoArti]])</f>
        <v/>
      </c>
    </row>
    <row r="9">
      <c r="A9" s="38">
        <f>IF(ISNUMBER(_xlfn.XMATCH(Tabla3[[#This Row],[CodInternoArti]],'Tabla Articulos'!B:B)),"OK","NO ESTA")</f>
        <v/>
      </c>
      <c r="B9" s="38">
        <f>IF(ISNUMBER(_xlfn.XMATCH('Calcular necesidad'!E:E,'Necesidad por familia'!A:A)),"OK","NO ESTA")</f>
        <v/>
      </c>
      <c r="C9" s="17" t="inlineStr">
        <is>
          <t>16204003A</t>
        </is>
      </c>
      <c r="D9" s="1" t="inlineStr">
        <is>
          <t>ROLLO BOLSA ARRANQUE 40 x 60</t>
        </is>
      </c>
      <c r="E9" s="1">
        <f>_xlfn.XLOOKUP(C9,'Tabla Articulos'!B:B,'Tabla Articulos'!D:D)</f>
        <v/>
      </c>
      <c r="F9" s="1">
        <f>_xlfn.XLOOKUP(C9,'Tabla Articulos'!B:B,'Tabla Articulos'!E:E)</f>
        <v/>
      </c>
      <c r="G9" s="15">
        <f>SUM(
    SUMIFS(MRP!$H$2:$H$245, MRP!$B$2:$B$245, $C9, MRP!$G$2:$G$245, G$1),
    SUMIFS(MRP!$I$2:$I$245, MRP!$B$2:$B$245, $C9, MRP!$G$2:$G$245, G$1),
    SUMIFS(MRP!$J$2:$J$245, MRP!$B$2:$B$245, $C9,  MRP!$G$2:$G$245, G$1),
    SUMIFS(MRP!$K$2:$K$245, MRP!$B$2:$B$245, $C9,  MRP!$G$2:$G$245, G$1),
    SUMIFS(MRP!$L$2:$L$245, MRP!$B$2:$B$245, $C9,  MRP!$G$2:$G$245, G$1)
)*F9</f>
        <v/>
      </c>
      <c r="H9" s="15">
        <f>SUM(
    SUMIFS(MRP!$H$2:$H$245, MRP!$B$2:$B$245, $C9, MRP!$G$2:$G$245, H$1),
    SUMIFS(MRP!$I$2:$I$245, MRP!$B$2:$B$245, $C9, MRP!$G$2:$G$245, H$1),
    SUMIFS(MRP!$J$2:$J$245, MRP!$B$2:$B$245, $C9,  MRP!$G$2:$G$245, H$1),
    SUMIFS(MRP!$K$2:$K$245, MRP!$B$2:$B$245, $C9,  MRP!$G$2:$G$245, H$1),
    SUMIFS(MRP!$L$2:$L$245, MRP!$B$2:$B$245, $C9,  MRP!$G$2:$G$245, H$1)
)*F9</f>
        <v/>
      </c>
      <c r="I9" s="15">
        <f>SUM(
    SUMIFS(MRP!$H$2:$H$245, MRP!$B$2:$B$245, $C9, MRP!$G$2:$G$245, I$1),
    SUMIFS(MRP!$I$2:$I$245, MRP!$B$2:$B$245, $C9, MRP!$G$2:$G$245, I$1),
    SUMIFS(MRP!$J$2:$J$245, MRP!$B$2:$B$245, $C9,  MRP!$G$2:$G$245, I$1),
    SUMIFS(MRP!$K$2:$K$245, MRP!$B$2:$B$245, $C9,  MRP!$G$2:$G$245, I$1),
    SUMIFS(MRP!$L$2:$L$245, MRP!$B$2:$B$245, $C9,  MRP!$G$2:$G$245, I$1)
)*F9</f>
        <v/>
      </c>
      <c r="J9" s="15">
        <f>SUM(
    SUMIFS(MRP!$H$2:$H$245, MRP!$B$2:$B$245, $C9, MRP!$G$2:$G$245, J$1),
    SUMIFS(MRP!$I$2:$I$245, MRP!$B$2:$B$245, $C9, MRP!$G$2:$G$245, J$1),
    SUMIFS(MRP!$J$2:$J$245, MRP!$B$2:$B$245, $C9,  MRP!$G$2:$G$245, J$1),
    SUMIFS(MRP!$K$2:$K$245, MRP!$B$2:$B$245, $C9,  MRP!$G$2:$G$245, J$1),
    SUMIFS(MRP!$L$2:$L$245, MRP!$B$2:$B$245, $C9,  MRP!$G$2:$G$245, J$1)
)*F9</f>
        <v/>
      </c>
      <c r="K9" s="15">
        <f>SUM(
    SUMIFS(MRP!$H$2:$H$245, MRP!$B$2:$B$245, $C9, MRP!$G$2:$G$245, K$1),
    SUMIFS(MRP!$I$2:$I$245, MRP!$B$2:$B$245, $C9, MRP!$G$2:$G$245, K$1),
    SUMIFS(MRP!$J$2:$J$245, MRP!$B$2:$B$245, $C9,  MRP!$G$2:$G$245, K$1),
    SUMIFS(MRP!$K$2:$K$245, MRP!$B$2:$B$245, $C9,  MRP!$G$2:$G$245, K$1),
    SUMIFS(MRP!$L$2:$L$245, MRP!$B$2:$B$245, $C9,  MRP!$G$2:$G$245, K$1)
)*F9</f>
        <v/>
      </c>
      <c r="L9" s="55">
        <f>TRIM(Tabla3[[#This Row],[CodInternoArti]])</f>
        <v/>
      </c>
    </row>
    <row r="10">
      <c r="A10" s="38">
        <f>IF(ISNUMBER(_xlfn.XMATCH(Tabla3[[#This Row],[CodInternoArti]],'Tabla Articulos'!B:B)),"OK","NO ESTA")</f>
        <v/>
      </c>
      <c r="B10" s="38">
        <f>IF(ISNUMBER(_xlfn.XMATCH('Calcular necesidad'!E:E,'Necesidad por familia'!A:A)),"OK","NO ESTA")</f>
        <v/>
      </c>
      <c r="C10" s="17" t="inlineStr">
        <is>
          <t>13072000A</t>
        </is>
      </c>
      <c r="D10" s="1" t="inlineStr">
        <is>
          <t>FOLEX 20CMX25XCM XKG</t>
        </is>
      </c>
      <c r="E10" s="1">
        <f>_xlfn.XLOOKUP(C10,'Tabla Articulos'!B:B,'Tabla Articulos'!D:D)</f>
        <v/>
      </c>
      <c r="F10" s="1">
        <f>_xlfn.XLOOKUP(C10,'Tabla Articulos'!B:B,'Tabla Articulos'!E:E)</f>
        <v/>
      </c>
      <c r="G10" s="15">
        <f>SUM(
    SUMIFS(MRP!$H$2:$H$245, MRP!$B$2:$B$245, $C10, MRP!$G$2:$G$245, G$1),
    SUMIFS(MRP!$I$2:$I$245, MRP!$B$2:$B$245, $C10, MRP!$G$2:$G$245, G$1),
    SUMIFS(MRP!$J$2:$J$245, MRP!$B$2:$B$245, $C10,  MRP!$G$2:$G$245, G$1),
    SUMIFS(MRP!$K$2:$K$245, MRP!$B$2:$B$245, $C10,  MRP!$G$2:$G$245, G$1),
    SUMIFS(MRP!$L$2:$L$245, MRP!$B$2:$B$245, $C10,  MRP!$G$2:$G$245, G$1)
)*F10</f>
        <v/>
      </c>
      <c r="H10" s="15">
        <f>SUM(
    SUMIFS(MRP!$H$2:$H$245, MRP!$B$2:$B$245, $C10, MRP!$G$2:$G$245, H$1),
    SUMIFS(MRP!$I$2:$I$245, MRP!$B$2:$B$245, $C10, MRP!$G$2:$G$245, H$1),
    SUMIFS(MRP!$J$2:$J$245, MRP!$B$2:$B$245, $C10,  MRP!$G$2:$G$245, H$1),
    SUMIFS(MRP!$K$2:$K$245, MRP!$B$2:$B$245, $C10,  MRP!$G$2:$G$245, H$1),
    SUMIFS(MRP!$L$2:$L$245, MRP!$B$2:$B$245, $C10,  MRP!$G$2:$G$245, H$1)
)*F10</f>
        <v/>
      </c>
      <c r="I10" s="15">
        <f>SUM(
    SUMIFS(MRP!$H$2:$H$245, MRP!$B$2:$B$245, $C10, MRP!$G$2:$G$245, I$1),
    SUMIFS(MRP!$I$2:$I$245, MRP!$B$2:$B$245, $C10, MRP!$G$2:$G$245, I$1),
    SUMIFS(MRP!$J$2:$J$245, MRP!$B$2:$B$245, $C10,  MRP!$G$2:$G$245, I$1),
    SUMIFS(MRP!$K$2:$K$245, MRP!$B$2:$B$245, $C10,  MRP!$G$2:$G$245, I$1),
    SUMIFS(MRP!$L$2:$L$245, MRP!$B$2:$B$245, $C10,  MRP!$G$2:$G$245, I$1)
)*F10</f>
        <v/>
      </c>
      <c r="J10" s="15">
        <f>SUM(
    SUMIFS(MRP!$H$2:$H$245, MRP!$B$2:$B$245, $C10, MRP!$G$2:$G$245, J$1),
    SUMIFS(MRP!$I$2:$I$245, MRP!$B$2:$B$245, $C10, MRP!$G$2:$G$245, J$1),
    SUMIFS(MRP!$J$2:$J$245, MRP!$B$2:$B$245, $C10,  MRP!$G$2:$G$245, J$1),
    SUMIFS(MRP!$K$2:$K$245, MRP!$B$2:$B$245, $C10,  MRP!$G$2:$G$245, J$1),
    SUMIFS(MRP!$L$2:$L$245, MRP!$B$2:$B$245, $C10,  MRP!$G$2:$G$245, J$1)
)*F10</f>
        <v/>
      </c>
      <c r="K10" s="15">
        <f>SUM(
    SUMIFS(MRP!$H$2:$H$245, MRP!$B$2:$B$245, $C10, MRP!$G$2:$G$245, K$1),
    SUMIFS(MRP!$I$2:$I$245, MRP!$B$2:$B$245, $C10, MRP!$G$2:$G$245, K$1),
    SUMIFS(MRP!$J$2:$J$245, MRP!$B$2:$B$245, $C10,  MRP!$G$2:$G$245, K$1),
    SUMIFS(MRP!$K$2:$K$245, MRP!$B$2:$B$245, $C10,  MRP!$G$2:$G$245, K$1),
    SUMIFS(MRP!$L$2:$L$245, MRP!$B$2:$B$245, $C10,  MRP!$G$2:$G$245, K$1)
)*F10</f>
        <v/>
      </c>
      <c r="L10" s="55">
        <f>TRIM(Tabla3[[#This Row],[CodInternoArti]])</f>
        <v/>
      </c>
    </row>
    <row r="11">
      <c r="A11" s="38">
        <f>IF(ISNUMBER(_xlfn.XMATCH(Tabla3[[#This Row],[CodInternoArti]],'Tabla Articulos'!B:B)),"OK","NO ESTA")</f>
        <v/>
      </c>
      <c r="B11" s="38">
        <f>IF(ISNUMBER(_xlfn.XMATCH('Calcular necesidad'!E:E,'Necesidad por familia'!A:A)),"OK","NO ESTA")</f>
        <v/>
      </c>
      <c r="C11" s="17" t="inlineStr">
        <is>
          <t>14004000A</t>
        </is>
      </c>
      <c r="D11" s="1" t="inlineStr">
        <is>
          <t>BARBIJOS x 25 UNID</t>
        </is>
      </c>
      <c r="E11" s="1">
        <f>_xlfn.XLOOKUP(C11,'Tabla Articulos'!B:B,'Tabla Articulos'!D:D)</f>
        <v/>
      </c>
      <c r="F11" s="1">
        <f>_xlfn.XLOOKUP(C11,'Tabla Articulos'!B:B,'Tabla Articulos'!E:E)</f>
        <v/>
      </c>
      <c r="G11" s="15">
        <f>SUM(
    SUMIFS(MRP!$H$2:$H$245, MRP!$B$2:$B$245, $C11, MRP!$G$2:$G$245, G$1),
    SUMIFS(MRP!$I$2:$I$245, MRP!$B$2:$B$245, $C11, MRP!$G$2:$G$245, G$1),
    SUMIFS(MRP!$J$2:$J$245, MRP!$B$2:$B$245, $C11,  MRP!$G$2:$G$245, G$1),
    SUMIFS(MRP!$K$2:$K$245, MRP!$B$2:$B$245, $C11,  MRP!$G$2:$G$245, G$1),
    SUMIFS(MRP!$L$2:$L$245, MRP!$B$2:$B$245, $C11,  MRP!$G$2:$G$245, G$1)
)*F11</f>
        <v/>
      </c>
      <c r="H11" s="15">
        <f>SUM(
    SUMIFS(MRP!$H$2:$H$245, MRP!$B$2:$B$245, $C11, MRP!$G$2:$G$245, H$1),
    SUMIFS(MRP!$I$2:$I$245, MRP!$B$2:$B$245, $C11, MRP!$G$2:$G$245, H$1),
    SUMIFS(MRP!$J$2:$J$245, MRP!$B$2:$B$245, $C11,  MRP!$G$2:$G$245, H$1),
    SUMIFS(MRP!$K$2:$K$245, MRP!$B$2:$B$245, $C11,  MRP!$G$2:$G$245, H$1),
    SUMIFS(MRP!$L$2:$L$245, MRP!$B$2:$B$245, $C11,  MRP!$G$2:$G$245, H$1)
)*F11</f>
        <v/>
      </c>
      <c r="I11" s="15">
        <f>SUM(
    SUMIFS(MRP!$H$2:$H$245, MRP!$B$2:$B$245, $C11, MRP!$G$2:$G$245, I$1),
    SUMIFS(MRP!$I$2:$I$245, MRP!$B$2:$B$245, $C11, MRP!$G$2:$G$245, I$1),
    SUMIFS(MRP!$J$2:$J$245, MRP!$B$2:$B$245, $C11,  MRP!$G$2:$G$245, I$1),
    SUMIFS(MRP!$K$2:$K$245, MRP!$B$2:$B$245, $C11,  MRP!$G$2:$G$245, I$1),
    SUMIFS(MRP!$L$2:$L$245, MRP!$B$2:$B$245, $C11,  MRP!$G$2:$G$245, I$1)
)*F11</f>
        <v/>
      </c>
      <c r="J11" s="15">
        <f>SUM(
    SUMIFS(MRP!$H$2:$H$245, MRP!$B$2:$B$245, $C11, MRP!$G$2:$G$245, J$1),
    SUMIFS(MRP!$I$2:$I$245, MRP!$B$2:$B$245, $C11, MRP!$G$2:$G$245, J$1),
    SUMIFS(MRP!$J$2:$J$245, MRP!$B$2:$B$245, $C11,  MRP!$G$2:$G$245, J$1),
    SUMIFS(MRP!$K$2:$K$245, MRP!$B$2:$B$245, $C11,  MRP!$G$2:$G$245, J$1),
    SUMIFS(MRP!$L$2:$L$245, MRP!$B$2:$B$245, $C11,  MRP!$G$2:$G$245, J$1)
)*F11</f>
        <v/>
      </c>
      <c r="K11" s="15">
        <f>SUM(
    SUMIFS(MRP!$H$2:$H$245, MRP!$B$2:$B$245, $C11, MRP!$G$2:$G$245, K$1),
    SUMIFS(MRP!$I$2:$I$245, MRP!$B$2:$B$245, $C11, MRP!$G$2:$G$245, K$1),
    SUMIFS(MRP!$J$2:$J$245, MRP!$B$2:$B$245, $C11,  MRP!$G$2:$G$245, K$1),
    SUMIFS(MRP!$K$2:$K$245, MRP!$B$2:$B$245, $C11,  MRP!$G$2:$G$245, K$1),
    SUMIFS(MRP!$L$2:$L$245, MRP!$B$2:$B$245, $C11,  MRP!$G$2:$G$245, K$1)
)*F11</f>
        <v/>
      </c>
      <c r="L11" s="55">
        <f>TRIM(Tabla3[[#This Row],[CodInternoArti]])</f>
        <v/>
      </c>
    </row>
    <row r="12">
      <c r="A12" s="38">
        <f>IF(ISNUMBER(_xlfn.XMATCH(Tabla3[[#This Row],[CodInternoArti]],'Tabla Articulos'!B:B)),"OK","NO ESTA")</f>
        <v/>
      </c>
      <c r="B12" s="38">
        <f>IF(ISNUMBER(_xlfn.XMATCH('Calcular necesidad'!E:E,'Necesidad por familia'!A:A)),"OK","NO ESTA")</f>
        <v/>
      </c>
      <c r="C12" s="17" t="inlineStr">
        <is>
          <t>16204005A</t>
        </is>
      </c>
      <c r="D12" s="1" t="inlineStr">
        <is>
          <t>ROLLO BOLSA ARRANQUE 25X35</t>
        </is>
      </c>
      <c r="E12" s="1">
        <f>_xlfn.XLOOKUP(C12,'Tabla Articulos'!B:B,'Tabla Articulos'!D:D)</f>
        <v/>
      </c>
      <c r="F12" s="1">
        <f>_xlfn.XLOOKUP(C12,'Tabla Articulos'!B:B,'Tabla Articulos'!E:E)</f>
        <v/>
      </c>
      <c r="G12" s="15">
        <f>SUM(
    SUMIFS(MRP!$H$2:$H$245, MRP!$B$2:$B$245, $C12, MRP!$G$2:$G$245, G$1),
    SUMIFS(MRP!$I$2:$I$245, MRP!$B$2:$B$245, $C12, MRP!$G$2:$G$245, G$1),
    SUMIFS(MRP!$J$2:$J$245, MRP!$B$2:$B$245, $C12,  MRP!$G$2:$G$245, G$1),
    SUMIFS(MRP!$K$2:$K$245, MRP!$B$2:$B$245, $C12,  MRP!$G$2:$G$245, G$1),
    SUMIFS(MRP!$L$2:$L$245, MRP!$B$2:$B$245, $C12,  MRP!$G$2:$G$245, G$1)
)*F12</f>
        <v/>
      </c>
      <c r="H12" s="15">
        <f>SUM(
    SUMIFS(MRP!$H$2:$H$245, MRP!$B$2:$B$245, $C12, MRP!$G$2:$G$245, H$1),
    SUMIFS(MRP!$I$2:$I$245, MRP!$B$2:$B$245, $C12, MRP!$G$2:$G$245, H$1),
    SUMIFS(MRP!$J$2:$J$245, MRP!$B$2:$B$245, $C12,  MRP!$G$2:$G$245, H$1),
    SUMIFS(MRP!$K$2:$K$245, MRP!$B$2:$B$245, $C12,  MRP!$G$2:$G$245, H$1),
    SUMIFS(MRP!$L$2:$L$245, MRP!$B$2:$B$245, $C12,  MRP!$G$2:$G$245, H$1)
)*F12</f>
        <v/>
      </c>
      <c r="I12" s="15">
        <f>SUM(
    SUMIFS(MRP!$H$2:$H$245, MRP!$B$2:$B$245, $C12, MRP!$G$2:$G$245, I$1),
    SUMIFS(MRP!$I$2:$I$245, MRP!$B$2:$B$245, $C12, MRP!$G$2:$G$245, I$1),
    SUMIFS(MRP!$J$2:$J$245, MRP!$B$2:$B$245, $C12,  MRP!$G$2:$G$245, I$1),
    SUMIFS(MRP!$K$2:$K$245, MRP!$B$2:$B$245, $C12,  MRP!$G$2:$G$245, I$1),
    SUMIFS(MRP!$L$2:$L$245, MRP!$B$2:$B$245, $C12,  MRP!$G$2:$G$245, I$1)
)*F12</f>
        <v/>
      </c>
      <c r="J12" s="15">
        <f>SUM(
    SUMIFS(MRP!$H$2:$H$245, MRP!$B$2:$B$245, $C12, MRP!$G$2:$G$245, J$1),
    SUMIFS(MRP!$I$2:$I$245, MRP!$B$2:$B$245, $C12, MRP!$G$2:$G$245, J$1),
    SUMIFS(MRP!$J$2:$J$245, MRP!$B$2:$B$245, $C12,  MRP!$G$2:$G$245, J$1),
    SUMIFS(MRP!$K$2:$K$245, MRP!$B$2:$B$245, $C12,  MRP!$G$2:$G$245, J$1),
    SUMIFS(MRP!$L$2:$L$245, MRP!$B$2:$B$245, $C12,  MRP!$G$2:$G$245, J$1)
)*F12</f>
        <v/>
      </c>
      <c r="K12" s="15">
        <f>SUM(
    SUMIFS(MRP!$H$2:$H$245, MRP!$B$2:$B$245, $C12, MRP!$G$2:$G$245, K$1),
    SUMIFS(MRP!$I$2:$I$245, MRP!$B$2:$B$245, $C12, MRP!$G$2:$G$245, K$1),
    SUMIFS(MRP!$J$2:$J$245, MRP!$B$2:$B$245, $C12,  MRP!$G$2:$G$245, K$1),
    SUMIFS(MRP!$K$2:$K$245, MRP!$B$2:$B$245, $C12,  MRP!$G$2:$G$245, K$1),
    SUMIFS(MRP!$L$2:$L$245, MRP!$B$2:$B$245, $C12,  MRP!$G$2:$G$245, K$1)
)*F12</f>
        <v/>
      </c>
      <c r="L12" s="55">
        <f>TRIM(Tabla3[[#This Row],[CodInternoArti]])</f>
        <v/>
      </c>
    </row>
    <row r="13">
      <c r="A13" s="38">
        <f>IF(ISNUMBER(_xlfn.XMATCH(Tabla3[[#This Row],[CodInternoArti]],'Tabla Articulos'!B:B)),"OK","NO ESTA")</f>
        <v/>
      </c>
      <c r="B13" s="38">
        <f>IF(ISNUMBER(_xlfn.XMATCH('Calcular necesidad'!E:E,'Necesidad por familia'!A:A)),"OK","NO ESTA")</f>
        <v/>
      </c>
      <c r="C13" s="17" t="inlineStr">
        <is>
          <t>16208000A</t>
        </is>
      </c>
      <c r="D13" s="1" t="inlineStr">
        <is>
          <t>ROLLO DE BOLSA DE ARRANQUE 50 x 70</t>
        </is>
      </c>
      <c r="E13" s="1">
        <f>_xlfn.XLOOKUP(C13,'Tabla Articulos'!B:B,'Tabla Articulos'!D:D)</f>
        <v/>
      </c>
      <c r="F13" s="1">
        <f>_xlfn.XLOOKUP(C13,'Tabla Articulos'!B:B,'Tabla Articulos'!E:E)</f>
        <v/>
      </c>
      <c r="G13" s="15">
        <f>SUM(
    SUMIFS(MRP!$H$2:$H$245, MRP!$B$2:$B$245, $C13, MRP!$G$2:$G$245, G$1),
    SUMIFS(MRP!$I$2:$I$245, MRP!$B$2:$B$245, $C13, MRP!$G$2:$G$245, G$1),
    SUMIFS(MRP!$J$2:$J$245, MRP!$B$2:$B$245, $C13,  MRP!$G$2:$G$245, G$1),
    SUMIFS(MRP!$K$2:$K$245, MRP!$B$2:$B$245, $C13,  MRP!$G$2:$G$245, G$1),
    SUMIFS(MRP!$L$2:$L$245, MRP!$B$2:$B$245, $C13,  MRP!$G$2:$G$245, G$1)
)*F13</f>
        <v/>
      </c>
      <c r="H13" s="15">
        <f>SUM(
    SUMIFS(MRP!$H$2:$H$245, MRP!$B$2:$B$245, $C13, MRP!$G$2:$G$245, H$1),
    SUMIFS(MRP!$I$2:$I$245, MRP!$B$2:$B$245, $C13, MRP!$G$2:$G$245, H$1),
    SUMIFS(MRP!$J$2:$J$245, MRP!$B$2:$B$245, $C13,  MRP!$G$2:$G$245, H$1),
    SUMIFS(MRP!$K$2:$K$245, MRP!$B$2:$B$245, $C13,  MRP!$G$2:$G$245, H$1),
    SUMIFS(MRP!$L$2:$L$245, MRP!$B$2:$B$245, $C13,  MRP!$G$2:$G$245, H$1)
)*F13</f>
        <v/>
      </c>
      <c r="I13" s="15">
        <f>SUM(
    SUMIFS(MRP!$H$2:$H$245, MRP!$B$2:$B$245, $C13, MRP!$G$2:$G$245, I$1),
    SUMIFS(MRP!$I$2:$I$245, MRP!$B$2:$B$245, $C13, MRP!$G$2:$G$245, I$1),
    SUMIFS(MRP!$J$2:$J$245, MRP!$B$2:$B$245, $C13,  MRP!$G$2:$G$245, I$1),
    SUMIFS(MRP!$K$2:$K$245, MRP!$B$2:$B$245, $C13,  MRP!$G$2:$G$245, I$1),
    SUMIFS(MRP!$L$2:$L$245, MRP!$B$2:$B$245, $C13,  MRP!$G$2:$G$245, I$1)
)*F13</f>
        <v/>
      </c>
      <c r="J13" s="15">
        <f>SUM(
    SUMIFS(MRP!$H$2:$H$245, MRP!$B$2:$B$245, $C13, MRP!$G$2:$G$245, J$1),
    SUMIFS(MRP!$I$2:$I$245, MRP!$B$2:$B$245, $C13, MRP!$G$2:$G$245, J$1),
    SUMIFS(MRP!$J$2:$J$245, MRP!$B$2:$B$245, $C13,  MRP!$G$2:$G$245, J$1),
    SUMIFS(MRP!$K$2:$K$245, MRP!$B$2:$B$245, $C13,  MRP!$G$2:$G$245, J$1),
    SUMIFS(MRP!$L$2:$L$245, MRP!$B$2:$B$245, $C13,  MRP!$G$2:$G$245, J$1)
)*F13</f>
        <v/>
      </c>
      <c r="K13" s="15">
        <f>SUM(
    SUMIFS(MRP!$H$2:$H$245, MRP!$B$2:$B$245, $C13, MRP!$G$2:$G$245, K$1),
    SUMIFS(MRP!$I$2:$I$245, MRP!$B$2:$B$245, $C13, MRP!$G$2:$G$245, K$1),
    SUMIFS(MRP!$J$2:$J$245, MRP!$B$2:$B$245, $C13,  MRP!$G$2:$G$245, K$1),
    SUMIFS(MRP!$K$2:$K$245, MRP!$B$2:$B$245, $C13,  MRP!$G$2:$G$245, K$1),
    SUMIFS(MRP!$L$2:$L$245, MRP!$B$2:$B$245, $C13,  MRP!$G$2:$G$245, K$1)
)*F13</f>
        <v/>
      </c>
      <c r="L13" s="55">
        <f>TRIM(Tabla3[[#This Row],[CodInternoArti]])</f>
        <v/>
      </c>
    </row>
    <row r="14">
      <c r="A14" s="38">
        <f>IF(ISNUMBER(_xlfn.XMATCH(Tabla3[[#This Row],[CodInternoArti]],'Tabla Articulos'!B:B)),"OK","NO ESTA")</f>
        <v/>
      </c>
      <c r="B14" s="38">
        <f>IF(ISNUMBER(_xlfn.XMATCH('Calcular necesidad'!E:E,'Necesidad por familia'!A:A)),"OK","NO ESTA")</f>
        <v/>
      </c>
      <c r="C14" s="17" t="inlineStr">
        <is>
          <t>16032005A</t>
        </is>
      </c>
      <c r="D14" s="1" t="inlineStr">
        <is>
          <t>CAJA P/PIZZA GRANDE x U</t>
        </is>
      </c>
      <c r="E14" s="1">
        <f>_xlfn.XLOOKUP(C14,'Tabla Articulos'!B:B,'Tabla Articulos'!D:D)</f>
        <v/>
      </c>
      <c r="F14" s="1">
        <f>_xlfn.XLOOKUP(C14,'Tabla Articulos'!B:B,'Tabla Articulos'!E:E)</f>
        <v/>
      </c>
      <c r="G14" s="15">
        <f>SUM(
    SUMIFS(MRP!$H$2:$H$245, MRP!$B$2:$B$245, $C14, MRP!$G$2:$G$245, G$1),
    SUMIFS(MRP!$I$2:$I$245, MRP!$B$2:$B$245, $C14, MRP!$G$2:$G$245, G$1),
    SUMIFS(MRP!$J$2:$J$245, MRP!$B$2:$B$245, $C14,  MRP!$G$2:$G$245, G$1),
    SUMIFS(MRP!$K$2:$K$245, MRP!$B$2:$B$245, $C14,  MRP!$G$2:$G$245, G$1),
    SUMIFS(MRP!$L$2:$L$245, MRP!$B$2:$B$245, $C14,  MRP!$G$2:$G$245, G$1)
)*F14</f>
        <v/>
      </c>
      <c r="H14" s="15">
        <f>SUM(
    SUMIFS(MRP!$H$2:$H$245, MRP!$B$2:$B$245, $C14, MRP!$G$2:$G$245, H$1),
    SUMIFS(MRP!$I$2:$I$245, MRP!$B$2:$B$245, $C14, MRP!$G$2:$G$245, H$1),
    SUMIFS(MRP!$J$2:$J$245, MRP!$B$2:$B$245, $C14,  MRP!$G$2:$G$245, H$1),
    SUMIFS(MRP!$K$2:$K$245, MRP!$B$2:$B$245, $C14,  MRP!$G$2:$G$245, H$1),
    SUMIFS(MRP!$L$2:$L$245, MRP!$B$2:$B$245, $C14,  MRP!$G$2:$G$245, H$1)
)*F14</f>
        <v/>
      </c>
      <c r="I14" s="15">
        <f>SUM(
    SUMIFS(MRP!$H$2:$H$245, MRP!$B$2:$B$245, $C14, MRP!$G$2:$G$245, I$1),
    SUMIFS(MRP!$I$2:$I$245, MRP!$B$2:$B$245, $C14, MRP!$G$2:$G$245, I$1),
    SUMIFS(MRP!$J$2:$J$245, MRP!$B$2:$B$245, $C14,  MRP!$G$2:$G$245, I$1),
    SUMIFS(MRP!$K$2:$K$245, MRP!$B$2:$B$245, $C14,  MRP!$G$2:$G$245, I$1),
    SUMIFS(MRP!$L$2:$L$245, MRP!$B$2:$B$245, $C14,  MRP!$G$2:$G$245, I$1)
)*F14</f>
        <v/>
      </c>
      <c r="J14" s="15">
        <f>SUM(
    SUMIFS(MRP!$H$2:$H$245, MRP!$B$2:$B$245, $C14, MRP!$G$2:$G$245, J$1),
    SUMIFS(MRP!$I$2:$I$245, MRP!$B$2:$B$245, $C14, MRP!$G$2:$G$245, J$1),
    SUMIFS(MRP!$J$2:$J$245, MRP!$B$2:$B$245, $C14,  MRP!$G$2:$G$245, J$1),
    SUMIFS(MRP!$K$2:$K$245, MRP!$B$2:$B$245, $C14,  MRP!$G$2:$G$245, J$1),
    SUMIFS(MRP!$L$2:$L$245, MRP!$B$2:$B$245, $C14,  MRP!$G$2:$G$245, J$1)
)*F14</f>
        <v/>
      </c>
      <c r="K14" s="15">
        <f>SUM(
    SUMIFS(MRP!$H$2:$H$245, MRP!$B$2:$B$245, $C14, MRP!$G$2:$G$245, K$1),
    SUMIFS(MRP!$I$2:$I$245, MRP!$B$2:$B$245, $C14, MRP!$G$2:$G$245, K$1),
    SUMIFS(MRP!$J$2:$J$245, MRP!$B$2:$B$245, $C14,  MRP!$G$2:$G$245, K$1),
    SUMIFS(MRP!$K$2:$K$245, MRP!$B$2:$B$245, $C14,  MRP!$G$2:$G$245, K$1),
    SUMIFS(MRP!$L$2:$L$245, MRP!$B$2:$B$245, $C14,  MRP!$G$2:$G$245, K$1)
)*F14</f>
        <v/>
      </c>
      <c r="L14" s="55">
        <f>TRIM(Tabla3[[#This Row],[CodInternoArti]])</f>
        <v/>
      </c>
    </row>
    <row r="15">
      <c r="A15" s="38">
        <f>IF(ISNUMBER(_xlfn.XMATCH(Tabla3[[#This Row],[CodInternoArti]],'Tabla Articulos'!B:B)),"OK","NO ESTA")</f>
        <v/>
      </c>
      <c r="B15" s="38">
        <f>IF(ISNUMBER(_xlfn.XMATCH('Calcular necesidad'!E:E,'Necesidad por familia'!A:A)),"OK","NO ESTA")</f>
        <v/>
      </c>
      <c r="C15" s="17" t="inlineStr">
        <is>
          <t>16204001A</t>
        </is>
      </c>
      <c r="D15" s="1" t="inlineStr">
        <is>
          <t>ROLLO BOLSA ARRANQUE 20 x 25</t>
        </is>
      </c>
      <c r="E15" s="1">
        <f>_xlfn.XLOOKUP(C15,'Tabla Articulos'!B:B,'Tabla Articulos'!D:D)</f>
        <v/>
      </c>
      <c r="F15" s="1">
        <f>_xlfn.XLOOKUP(C15,'Tabla Articulos'!B:B,'Tabla Articulos'!E:E)</f>
        <v/>
      </c>
      <c r="G15" s="15">
        <f>SUM(
    SUMIFS(MRP!$H$2:$H$245, MRP!$B$2:$B$245, $C15, MRP!$G$2:$G$245, G$1),
    SUMIFS(MRP!$I$2:$I$245, MRP!$B$2:$B$245, $C15, MRP!$G$2:$G$245, G$1),
    SUMIFS(MRP!$J$2:$J$245, MRP!$B$2:$B$245, $C15,  MRP!$G$2:$G$245, G$1),
    SUMIFS(MRP!$K$2:$K$245, MRP!$B$2:$B$245, $C15,  MRP!$G$2:$G$245, G$1),
    SUMIFS(MRP!$L$2:$L$245, MRP!$B$2:$B$245, $C15,  MRP!$G$2:$G$245, G$1)
)*F15</f>
        <v/>
      </c>
      <c r="H15" s="15">
        <f>SUM(
    SUMIFS(MRP!$H$2:$H$245, MRP!$B$2:$B$245, $C15, MRP!$G$2:$G$245, H$1),
    SUMIFS(MRP!$I$2:$I$245, MRP!$B$2:$B$245, $C15, MRP!$G$2:$G$245, H$1),
    SUMIFS(MRP!$J$2:$J$245, MRP!$B$2:$B$245, $C15,  MRP!$G$2:$G$245, H$1),
    SUMIFS(MRP!$K$2:$K$245, MRP!$B$2:$B$245, $C15,  MRP!$G$2:$G$245, H$1),
    SUMIFS(MRP!$L$2:$L$245, MRP!$B$2:$B$245, $C15,  MRP!$G$2:$G$245, H$1)
)*F15</f>
        <v/>
      </c>
      <c r="I15" s="15">
        <f>SUM(
    SUMIFS(MRP!$H$2:$H$245, MRP!$B$2:$B$245, $C15, MRP!$G$2:$G$245, I$1),
    SUMIFS(MRP!$I$2:$I$245, MRP!$B$2:$B$245, $C15, MRP!$G$2:$G$245, I$1),
    SUMIFS(MRP!$J$2:$J$245, MRP!$B$2:$B$245, $C15,  MRP!$G$2:$G$245, I$1),
    SUMIFS(MRP!$K$2:$K$245, MRP!$B$2:$B$245, $C15,  MRP!$G$2:$G$245, I$1),
    SUMIFS(MRP!$L$2:$L$245, MRP!$B$2:$B$245, $C15,  MRP!$G$2:$G$245, I$1)
)*F15</f>
        <v/>
      </c>
      <c r="J15" s="15">
        <f>SUM(
    SUMIFS(MRP!$H$2:$H$245, MRP!$B$2:$B$245, $C15, MRP!$G$2:$G$245, J$1),
    SUMIFS(MRP!$I$2:$I$245, MRP!$B$2:$B$245, $C15, MRP!$G$2:$G$245, J$1),
    SUMIFS(MRP!$J$2:$J$245, MRP!$B$2:$B$245, $C15,  MRP!$G$2:$G$245, J$1),
    SUMIFS(MRP!$K$2:$K$245, MRP!$B$2:$B$245, $C15,  MRP!$G$2:$G$245, J$1),
    SUMIFS(MRP!$L$2:$L$245, MRP!$B$2:$B$245, $C15,  MRP!$G$2:$G$245, J$1)
)*F15</f>
        <v/>
      </c>
      <c r="K15" s="15">
        <f>SUM(
    SUMIFS(MRP!$H$2:$H$245, MRP!$B$2:$B$245, $C15, MRP!$G$2:$G$245, K$1),
    SUMIFS(MRP!$I$2:$I$245, MRP!$B$2:$B$245, $C15, MRP!$G$2:$G$245, K$1),
    SUMIFS(MRP!$J$2:$J$245, MRP!$B$2:$B$245, $C15,  MRP!$G$2:$G$245, K$1),
    SUMIFS(MRP!$K$2:$K$245, MRP!$B$2:$B$245, $C15,  MRP!$G$2:$G$245, K$1),
    SUMIFS(MRP!$L$2:$L$245, MRP!$B$2:$B$245, $C15,  MRP!$G$2:$G$245, K$1)
)*F15</f>
        <v/>
      </c>
      <c r="L15" s="55">
        <f>TRIM(Tabla3[[#This Row],[CodInternoArti]])</f>
        <v/>
      </c>
    </row>
    <row r="16">
      <c r="A16" s="38">
        <f>IF(ISNUMBER(_xlfn.XMATCH(Tabla3[[#This Row],[CodInternoArti]],'Tabla Articulos'!B:B)),"OK","NO ESTA")</f>
        <v/>
      </c>
      <c r="B16" s="38">
        <f>IF(ISNUMBER(_xlfn.XMATCH('Calcular necesidad'!E:E,'Necesidad por familia'!A:A)),"OK","NO ESTA")</f>
        <v/>
      </c>
      <c r="C16" s="17" t="inlineStr">
        <is>
          <t>17018002A</t>
        </is>
      </c>
      <c r="D16" s="1" t="inlineStr">
        <is>
          <t>COFIAS DESCARTABLES X 100</t>
        </is>
      </c>
      <c r="E16" s="1">
        <f>_xlfn.XLOOKUP(C16,'Tabla Articulos'!B:B,'Tabla Articulos'!D:D)</f>
        <v/>
      </c>
      <c r="F16" s="1">
        <f>_xlfn.XLOOKUP(C16,'Tabla Articulos'!B:B,'Tabla Articulos'!E:E)</f>
        <v/>
      </c>
      <c r="G16" s="15">
        <f>SUM(
    SUMIFS(MRP!$H$2:$H$245, MRP!$B$2:$B$245, $C16, MRP!$G$2:$G$245, G$1),
    SUMIFS(MRP!$I$2:$I$245, MRP!$B$2:$B$245, $C16, MRP!$G$2:$G$245, G$1),
    SUMIFS(MRP!$J$2:$J$245, MRP!$B$2:$B$245, $C16,  MRP!$G$2:$G$245, G$1),
    SUMIFS(MRP!$K$2:$K$245, MRP!$B$2:$B$245, $C16,  MRP!$G$2:$G$245, G$1),
    SUMIFS(MRP!$L$2:$L$245, MRP!$B$2:$B$245, $C16,  MRP!$G$2:$G$245, G$1)
)*F16</f>
        <v/>
      </c>
      <c r="H16" s="15">
        <f>SUM(
    SUMIFS(MRP!$H$2:$H$245, MRP!$B$2:$B$245, $C16, MRP!$G$2:$G$245, H$1),
    SUMIFS(MRP!$I$2:$I$245, MRP!$B$2:$B$245, $C16, MRP!$G$2:$G$245, H$1),
    SUMIFS(MRP!$J$2:$J$245, MRP!$B$2:$B$245, $C16,  MRP!$G$2:$G$245, H$1),
    SUMIFS(MRP!$K$2:$K$245, MRP!$B$2:$B$245, $C16,  MRP!$G$2:$G$245, H$1),
    SUMIFS(MRP!$L$2:$L$245, MRP!$B$2:$B$245, $C16,  MRP!$G$2:$G$245, H$1)
)*F16</f>
        <v/>
      </c>
      <c r="I16" s="15">
        <f>SUM(
    SUMIFS(MRP!$H$2:$H$245, MRP!$B$2:$B$245, $C16, MRP!$G$2:$G$245, I$1),
    SUMIFS(MRP!$I$2:$I$245, MRP!$B$2:$B$245, $C16, MRP!$G$2:$G$245, I$1),
    SUMIFS(MRP!$J$2:$J$245, MRP!$B$2:$B$245, $C16,  MRP!$G$2:$G$245, I$1),
    SUMIFS(MRP!$K$2:$K$245, MRP!$B$2:$B$245, $C16,  MRP!$G$2:$G$245, I$1),
    SUMIFS(MRP!$L$2:$L$245, MRP!$B$2:$B$245, $C16,  MRP!$G$2:$G$245, I$1)
)*F16</f>
        <v/>
      </c>
      <c r="J16" s="15">
        <f>SUM(
    SUMIFS(MRP!$H$2:$H$245, MRP!$B$2:$B$245, $C16, MRP!$G$2:$G$245, J$1),
    SUMIFS(MRP!$I$2:$I$245, MRP!$B$2:$B$245, $C16, MRP!$G$2:$G$245, J$1),
    SUMIFS(MRP!$J$2:$J$245, MRP!$B$2:$B$245, $C16,  MRP!$G$2:$G$245, J$1),
    SUMIFS(MRP!$K$2:$K$245, MRP!$B$2:$B$245, $C16,  MRP!$G$2:$G$245, J$1),
    SUMIFS(MRP!$L$2:$L$245, MRP!$B$2:$B$245, $C16,  MRP!$G$2:$G$245, J$1)
)*F16</f>
        <v/>
      </c>
      <c r="K16" s="15">
        <f>SUM(
    SUMIFS(MRP!$H$2:$H$245, MRP!$B$2:$B$245, $C16, MRP!$G$2:$G$245, K$1),
    SUMIFS(MRP!$I$2:$I$245, MRP!$B$2:$B$245, $C16, MRP!$G$2:$G$245, K$1),
    SUMIFS(MRP!$J$2:$J$245, MRP!$B$2:$B$245, $C16,  MRP!$G$2:$G$245, K$1),
    SUMIFS(MRP!$K$2:$K$245, MRP!$B$2:$B$245, $C16,  MRP!$G$2:$G$245, K$1),
    SUMIFS(MRP!$L$2:$L$245, MRP!$B$2:$B$245, $C16,  MRP!$G$2:$G$245, K$1)
)*F16</f>
        <v/>
      </c>
      <c r="L16" s="55">
        <f>TRIM(Tabla3[[#This Row],[CodInternoArti]])</f>
        <v/>
      </c>
    </row>
    <row r="17">
      <c r="A17" s="38">
        <f>IF(ISNUMBER(_xlfn.XMATCH(Tabla3[[#This Row],[CodInternoArti]],'Tabla Articulos'!B:B)),"OK","NO ESTA")</f>
        <v/>
      </c>
      <c r="B17" s="38">
        <f>IF(ISNUMBER(_xlfn.XMATCH('Calcular necesidad'!E:E,'Necesidad por familia'!A:A)),"OK","NO ESTA")</f>
        <v/>
      </c>
      <c r="C17" s="17" t="inlineStr">
        <is>
          <t>14047013A</t>
        </is>
      </c>
      <c r="D17" s="1" t="inlineStr">
        <is>
          <t>SERVILLE BCA 30X30X1000U S/LOGO</t>
        </is>
      </c>
      <c r="E17" s="1">
        <f>_xlfn.XLOOKUP(C17,'Tabla Articulos'!B:B,'Tabla Articulos'!D:D)</f>
        <v/>
      </c>
      <c r="F17" s="1">
        <f>_xlfn.XLOOKUP(C17,'Tabla Articulos'!B:B,'Tabla Articulos'!E:E)</f>
        <v/>
      </c>
      <c r="G17" s="15">
        <f>SUM(
    SUMIFS(MRP!$H$2:$H$245, MRP!$B$2:$B$245, $C17, MRP!$G$2:$G$245, G$1),
    SUMIFS(MRP!$I$2:$I$245, MRP!$B$2:$B$245, $C17, MRP!$G$2:$G$245, G$1),
    SUMIFS(MRP!$J$2:$J$245, MRP!$B$2:$B$245, $C17,  MRP!$G$2:$G$245, G$1),
    SUMIFS(MRP!$K$2:$K$245, MRP!$B$2:$B$245, $C17,  MRP!$G$2:$G$245, G$1),
    SUMIFS(MRP!$L$2:$L$245, MRP!$B$2:$B$245, $C17,  MRP!$G$2:$G$245, G$1)
)*F17</f>
        <v/>
      </c>
      <c r="H17" s="15">
        <f>SUM(
    SUMIFS(MRP!$H$2:$H$245, MRP!$B$2:$B$245, $C17, MRP!$G$2:$G$245, H$1),
    SUMIFS(MRP!$I$2:$I$245, MRP!$B$2:$B$245, $C17, MRP!$G$2:$G$245, H$1),
    SUMIFS(MRP!$J$2:$J$245, MRP!$B$2:$B$245, $C17,  MRP!$G$2:$G$245, H$1),
    SUMIFS(MRP!$K$2:$K$245, MRP!$B$2:$B$245, $C17,  MRP!$G$2:$G$245, H$1),
    SUMIFS(MRP!$L$2:$L$245, MRP!$B$2:$B$245, $C17,  MRP!$G$2:$G$245, H$1)
)*F17</f>
        <v/>
      </c>
      <c r="I17" s="15">
        <f>SUM(
    SUMIFS(MRP!$H$2:$H$245, MRP!$B$2:$B$245, $C17, MRP!$G$2:$G$245, I$1),
    SUMIFS(MRP!$I$2:$I$245, MRP!$B$2:$B$245, $C17, MRP!$G$2:$G$245, I$1),
    SUMIFS(MRP!$J$2:$J$245, MRP!$B$2:$B$245, $C17,  MRP!$G$2:$G$245, I$1),
    SUMIFS(MRP!$K$2:$K$245, MRP!$B$2:$B$245, $C17,  MRP!$G$2:$G$245, I$1),
    SUMIFS(MRP!$L$2:$L$245, MRP!$B$2:$B$245, $C17,  MRP!$G$2:$G$245, I$1)
)*F17</f>
        <v/>
      </c>
      <c r="J17" s="15">
        <f>SUM(
    SUMIFS(MRP!$H$2:$H$245, MRP!$B$2:$B$245, $C17, MRP!$G$2:$G$245, J$1),
    SUMIFS(MRP!$I$2:$I$245, MRP!$B$2:$B$245, $C17, MRP!$G$2:$G$245, J$1),
    SUMIFS(MRP!$J$2:$J$245, MRP!$B$2:$B$245, $C17,  MRP!$G$2:$G$245, J$1),
    SUMIFS(MRP!$K$2:$K$245, MRP!$B$2:$B$245, $C17,  MRP!$G$2:$G$245, J$1),
    SUMIFS(MRP!$L$2:$L$245, MRP!$B$2:$B$245, $C17,  MRP!$G$2:$G$245, J$1)
)*F17</f>
        <v/>
      </c>
      <c r="K17" s="15">
        <f>SUM(
    SUMIFS(MRP!$H$2:$H$245, MRP!$B$2:$B$245, $C17, MRP!$G$2:$G$245, K$1),
    SUMIFS(MRP!$I$2:$I$245, MRP!$B$2:$B$245, $C17, MRP!$G$2:$G$245, K$1),
    SUMIFS(MRP!$J$2:$J$245, MRP!$B$2:$B$245, $C17,  MRP!$G$2:$G$245, K$1),
    SUMIFS(MRP!$K$2:$K$245, MRP!$B$2:$B$245, $C17,  MRP!$G$2:$G$245, K$1),
    SUMIFS(MRP!$L$2:$L$245, MRP!$B$2:$B$245, $C17,  MRP!$G$2:$G$245, K$1)
)*F17</f>
        <v/>
      </c>
      <c r="L17" s="55">
        <f>TRIM(Tabla3[[#This Row],[CodInternoArti]])</f>
        <v/>
      </c>
    </row>
    <row r="18">
      <c r="A18" s="38">
        <f>IF(ISNUMBER(_xlfn.XMATCH(Tabla3[[#This Row],[CodInternoArti]],'Tabla Articulos'!B:B)),"OK","NO ESTA")</f>
        <v/>
      </c>
      <c r="B18" s="38">
        <f>IF(ISNUMBER(_xlfn.XMATCH('Calcular necesidad'!E:E,'Necesidad por familia'!A:A)),"OK","NO ESTA")</f>
        <v/>
      </c>
      <c r="C18" s="17" t="inlineStr">
        <is>
          <t>14047009A</t>
        </is>
      </c>
      <c r="D18" s="1" t="inlineStr">
        <is>
          <t>SERVILLETA BCA 24X24 X1000U S/LOGO</t>
        </is>
      </c>
      <c r="E18" s="1">
        <f>_xlfn.XLOOKUP(C18,'Tabla Articulos'!B:B,'Tabla Articulos'!D:D)</f>
        <v/>
      </c>
      <c r="F18" s="1">
        <f>_xlfn.XLOOKUP(C18,'Tabla Articulos'!B:B,'Tabla Articulos'!E:E)</f>
        <v/>
      </c>
      <c r="G18" s="15">
        <f>SUM(
    SUMIFS(MRP!$H$2:$H$245, MRP!$B$2:$B$245, $C18, MRP!$G$2:$G$245, G$1),
    SUMIFS(MRP!$I$2:$I$245, MRP!$B$2:$B$245, $C18, MRP!$G$2:$G$245, G$1),
    SUMIFS(MRP!$J$2:$J$245, MRP!$B$2:$B$245, $C18,  MRP!$G$2:$G$245, G$1),
    SUMIFS(MRP!$K$2:$K$245, MRP!$B$2:$B$245, $C18,  MRP!$G$2:$G$245, G$1),
    SUMIFS(MRP!$L$2:$L$245, MRP!$B$2:$B$245, $C18,  MRP!$G$2:$G$245, G$1)
)*F18</f>
        <v/>
      </c>
      <c r="H18" s="15">
        <f>SUM(
    SUMIFS(MRP!$H$2:$H$245, MRP!$B$2:$B$245, $C18, MRP!$G$2:$G$245, H$1),
    SUMIFS(MRP!$I$2:$I$245, MRP!$B$2:$B$245, $C18, MRP!$G$2:$G$245, H$1),
    SUMIFS(MRP!$J$2:$J$245, MRP!$B$2:$B$245, $C18,  MRP!$G$2:$G$245, H$1),
    SUMIFS(MRP!$K$2:$K$245, MRP!$B$2:$B$245, $C18,  MRP!$G$2:$G$245, H$1),
    SUMIFS(MRP!$L$2:$L$245, MRP!$B$2:$B$245, $C18,  MRP!$G$2:$G$245, H$1)
)*F18</f>
        <v/>
      </c>
      <c r="I18" s="15">
        <f>SUM(
    SUMIFS(MRP!$H$2:$H$245, MRP!$B$2:$B$245, $C18, MRP!$G$2:$G$245, I$1),
    SUMIFS(MRP!$I$2:$I$245, MRP!$B$2:$B$245, $C18, MRP!$G$2:$G$245, I$1),
    SUMIFS(MRP!$J$2:$J$245, MRP!$B$2:$B$245, $C18,  MRP!$G$2:$G$245, I$1),
    SUMIFS(MRP!$K$2:$K$245, MRP!$B$2:$B$245, $C18,  MRP!$G$2:$G$245, I$1),
    SUMIFS(MRP!$L$2:$L$245, MRP!$B$2:$B$245, $C18,  MRP!$G$2:$G$245, I$1)
)*F18</f>
        <v/>
      </c>
      <c r="J18" s="15">
        <f>SUM(
    SUMIFS(MRP!$H$2:$H$245, MRP!$B$2:$B$245, $C18, MRP!$G$2:$G$245, J$1),
    SUMIFS(MRP!$I$2:$I$245, MRP!$B$2:$B$245, $C18, MRP!$G$2:$G$245, J$1),
    SUMIFS(MRP!$J$2:$J$245, MRP!$B$2:$B$245, $C18,  MRP!$G$2:$G$245, J$1),
    SUMIFS(MRP!$K$2:$K$245, MRP!$B$2:$B$245, $C18,  MRP!$G$2:$G$245, J$1),
    SUMIFS(MRP!$L$2:$L$245, MRP!$B$2:$B$245, $C18,  MRP!$G$2:$G$245, J$1)
)*F18</f>
        <v/>
      </c>
      <c r="K18" s="15">
        <f>SUM(
    SUMIFS(MRP!$H$2:$H$245, MRP!$B$2:$B$245, $C18, MRP!$G$2:$G$245, K$1),
    SUMIFS(MRP!$I$2:$I$245, MRP!$B$2:$B$245, $C18, MRP!$G$2:$G$245, K$1),
    SUMIFS(MRP!$J$2:$J$245, MRP!$B$2:$B$245, $C18,  MRP!$G$2:$G$245, K$1),
    SUMIFS(MRP!$K$2:$K$245, MRP!$B$2:$B$245, $C18,  MRP!$G$2:$G$245, K$1),
    SUMIFS(MRP!$L$2:$L$245, MRP!$B$2:$B$245, $C18,  MRP!$G$2:$G$245, K$1)
)*F18</f>
        <v/>
      </c>
      <c r="L18" s="55">
        <f>TRIM(Tabla3[[#This Row],[CodInternoArti]])</f>
        <v/>
      </c>
    </row>
    <row r="19">
      <c r="A19" s="38">
        <f>IF(ISNUMBER(_xlfn.XMATCH(Tabla3[[#This Row],[CodInternoArti]],'Tabla Articulos'!B:B)),"OK","NO ESTA")</f>
        <v/>
      </c>
      <c r="B19" s="38">
        <f>IF(ISNUMBER(_xlfn.XMATCH('Calcular necesidad'!E:E,'Necesidad por familia'!A:A)),"OK","NO ESTA")</f>
        <v/>
      </c>
      <c r="C19" s="17" t="inlineStr">
        <is>
          <t>14047015A</t>
        </is>
      </c>
      <c r="D19" s="1" t="inlineStr">
        <is>
          <t>SERVILLETA BCA 33X33X1000U GL</t>
        </is>
      </c>
      <c r="E19" s="1">
        <f>_xlfn.XLOOKUP(C19,'Tabla Articulos'!B:B,'Tabla Articulos'!D:D)</f>
        <v/>
      </c>
      <c r="F19" s="1">
        <f>_xlfn.XLOOKUP(C19,'Tabla Articulos'!B:B,'Tabla Articulos'!E:E)</f>
        <v/>
      </c>
      <c r="G19" s="15">
        <f>SUM(
    SUMIFS(MRP!$H$2:$H$245, MRP!$B$2:$B$245, $C19, MRP!$G$2:$G$245, G$1),
    SUMIFS(MRP!$I$2:$I$245, MRP!$B$2:$B$245, $C19, MRP!$G$2:$G$245, G$1),
    SUMIFS(MRP!$J$2:$J$245, MRP!$B$2:$B$245, $C19,  MRP!$G$2:$G$245, G$1),
    SUMIFS(MRP!$K$2:$K$245, MRP!$B$2:$B$245, $C19,  MRP!$G$2:$G$245, G$1),
    SUMIFS(MRP!$L$2:$L$245, MRP!$B$2:$B$245, $C19,  MRP!$G$2:$G$245, G$1)
)*F19</f>
        <v/>
      </c>
      <c r="H19" s="15">
        <f>SUM(
    SUMIFS(MRP!$H$2:$H$245, MRP!$B$2:$B$245, $C19, MRP!$G$2:$G$245, H$1),
    SUMIFS(MRP!$I$2:$I$245, MRP!$B$2:$B$245, $C19, MRP!$G$2:$G$245, H$1),
    SUMIFS(MRP!$J$2:$J$245, MRP!$B$2:$B$245, $C19,  MRP!$G$2:$G$245, H$1),
    SUMIFS(MRP!$K$2:$K$245, MRP!$B$2:$B$245, $C19,  MRP!$G$2:$G$245, H$1),
    SUMIFS(MRP!$L$2:$L$245, MRP!$B$2:$B$245, $C19,  MRP!$G$2:$G$245, H$1)
)*F19</f>
        <v/>
      </c>
      <c r="I19" s="15">
        <f>SUM(
    SUMIFS(MRP!$H$2:$H$245, MRP!$B$2:$B$245, $C19, MRP!$G$2:$G$245, I$1),
    SUMIFS(MRP!$I$2:$I$245, MRP!$B$2:$B$245, $C19, MRP!$G$2:$G$245, I$1),
    SUMIFS(MRP!$J$2:$J$245, MRP!$B$2:$B$245, $C19,  MRP!$G$2:$G$245, I$1),
    SUMIFS(MRP!$K$2:$K$245, MRP!$B$2:$B$245, $C19,  MRP!$G$2:$G$245, I$1),
    SUMIFS(MRP!$L$2:$L$245, MRP!$B$2:$B$245, $C19,  MRP!$G$2:$G$245, I$1)
)*F19</f>
        <v/>
      </c>
      <c r="J19" s="15">
        <f>SUM(
    SUMIFS(MRP!$H$2:$H$245, MRP!$B$2:$B$245, $C19, MRP!$G$2:$G$245, J$1),
    SUMIFS(MRP!$I$2:$I$245, MRP!$B$2:$B$245, $C19, MRP!$G$2:$G$245, J$1),
    SUMIFS(MRP!$J$2:$J$245, MRP!$B$2:$B$245, $C19,  MRP!$G$2:$G$245, J$1),
    SUMIFS(MRP!$K$2:$K$245, MRP!$B$2:$B$245, $C19,  MRP!$G$2:$G$245, J$1),
    SUMIFS(MRP!$L$2:$L$245, MRP!$B$2:$B$245, $C19,  MRP!$G$2:$G$245, J$1)
)*F19</f>
        <v/>
      </c>
      <c r="K19" s="15">
        <f>SUM(
    SUMIFS(MRP!$H$2:$H$245, MRP!$B$2:$B$245, $C19, MRP!$G$2:$G$245, K$1),
    SUMIFS(MRP!$I$2:$I$245, MRP!$B$2:$B$245, $C19, MRP!$G$2:$G$245, K$1),
    SUMIFS(MRP!$J$2:$J$245, MRP!$B$2:$B$245, $C19,  MRP!$G$2:$G$245, K$1),
    SUMIFS(MRP!$K$2:$K$245, MRP!$B$2:$B$245, $C19,  MRP!$G$2:$G$245, K$1),
    SUMIFS(MRP!$L$2:$L$245, MRP!$B$2:$B$245, $C19,  MRP!$G$2:$G$245, K$1)
)*F19</f>
        <v/>
      </c>
      <c r="L19" s="55">
        <f>TRIM(Tabla3[[#This Row],[CodInternoArti]])</f>
        <v/>
      </c>
    </row>
    <row r="20">
      <c r="A20" s="38">
        <f>IF(ISNUMBER(_xlfn.XMATCH(Tabla3[[#This Row],[CodInternoArti]],'Tabla Articulos'!B:B)),"OK","NO ESTA")</f>
        <v/>
      </c>
      <c r="B20" s="38">
        <f>IF(ISNUMBER(_xlfn.XMATCH('Calcular necesidad'!E:E,'Necesidad por familia'!A:A)),"OK","NO ESTA")</f>
        <v/>
      </c>
      <c r="C20" s="17" t="inlineStr">
        <is>
          <t>BAZ000387</t>
        </is>
      </c>
      <c r="D20" s="1" t="inlineStr">
        <is>
          <t>DELANTALES DESCARTABLES X 100</t>
        </is>
      </c>
      <c r="E20" s="1">
        <f>_xlfn.XLOOKUP(C20,'Tabla Articulos'!B:B,'Tabla Articulos'!D:D)</f>
        <v/>
      </c>
      <c r="F20" s="1">
        <f>_xlfn.XLOOKUP(C20,'Tabla Articulos'!B:B,'Tabla Articulos'!E:E)</f>
        <v/>
      </c>
      <c r="G20" s="15">
        <f>SUM(
    SUMIFS(MRP!$H$2:$H$245, MRP!$B$2:$B$245, $C20, MRP!$G$2:$G$245, G$1),
    SUMIFS(MRP!$I$2:$I$245, MRP!$B$2:$B$245, $C20, MRP!$G$2:$G$245, G$1),
    SUMIFS(MRP!$J$2:$J$245, MRP!$B$2:$B$245, $C20,  MRP!$G$2:$G$245, G$1),
    SUMIFS(MRP!$K$2:$K$245, MRP!$B$2:$B$245, $C20,  MRP!$G$2:$G$245, G$1),
    SUMIFS(MRP!$L$2:$L$245, MRP!$B$2:$B$245, $C20,  MRP!$G$2:$G$245, G$1)
)*F20</f>
        <v/>
      </c>
      <c r="H20" s="15">
        <f>SUM(
    SUMIFS(MRP!$H$2:$H$245, MRP!$B$2:$B$245, $C20, MRP!$G$2:$G$245, H$1),
    SUMIFS(MRP!$I$2:$I$245, MRP!$B$2:$B$245, $C20, MRP!$G$2:$G$245, H$1),
    SUMIFS(MRP!$J$2:$J$245, MRP!$B$2:$B$245, $C20,  MRP!$G$2:$G$245, H$1),
    SUMIFS(MRP!$K$2:$K$245, MRP!$B$2:$B$245, $C20,  MRP!$G$2:$G$245, H$1),
    SUMIFS(MRP!$L$2:$L$245, MRP!$B$2:$B$245, $C20,  MRP!$G$2:$G$245, H$1)
)*F20</f>
        <v/>
      </c>
      <c r="I20" s="15">
        <f>SUM(
    SUMIFS(MRP!$H$2:$H$245, MRP!$B$2:$B$245, $C20, MRP!$G$2:$G$245, I$1),
    SUMIFS(MRP!$I$2:$I$245, MRP!$B$2:$B$245, $C20, MRP!$G$2:$G$245, I$1),
    SUMIFS(MRP!$J$2:$J$245, MRP!$B$2:$B$245, $C20,  MRP!$G$2:$G$245, I$1),
    SUMIFS(MRP!$K$2:$K$245, MRP!$B$2:$B$245, $C20,  MRP!$G$2:$G$245, I$1),
    SUMIFS(MRP!$L$2:$L$245, MRP!$B$2:$B$245, $C20,  MRP!$G$2:$G$245, I$1)
)*F20</f>
        <v/>
      </c>
      <c r="J20" s="15">
        <f>SUM(
    SUMIFS(MRP!$H$2:$H$245, MRP!$B$2:$B$245, $C20, MRP!$G$2:$G$245, J$1),
    SUMIFS(MRP!$I$2:$I$245, MRP!$B$2:$B$245, $C20, MRP!$G$2:$G$245, J$1),
    SUMIFS(MRP!$J$2:$J$245, MRP!$B$2:$B$245, $C20,  MRP!$G$2:$G$245, J$1),
    SUMIFS(MRP!$K$2:$K$245, MRP!$B$2:$B$245, $C20,  MRP!$G$2:$G$245, J$1),
    SUMIFS(MRP!$L$2:$L$245, MRP!$B$2:$B$245, $C20,  MRP!$G$2:$G$245, J$1)
)*F20</f>
        <v/>
      </c>
      <c r="K20" s="15">
        <f>SUM(
    SUMIFS(MRP!$H$2:$H$245, MRP!$B$2:$B$245, $C20, MRP!$G$2:$G$245, K$1),
    SUMIFS(MRP!$I$2:$I$245, MRP!$B$2:$B$245, $C20, MRP!$G$2:$G$245, K$1),
    SUMIFS(MRP!$J$2:$J$245, MRP!$B$2:$B$245, $C20,  MRP!$G$2:$G$245, K$1),
    SUMIFS(MRP!$K$2:$K$245, MRP!$B$2:$B$245, $C20,  MRP!$G$2:$G$245, K$1),
    SUMIFS(MRP!$L$2:$L$245, MRP!$B$2:$B$245, $C20,  MRP!$G$2:$G$245, K$1)
)*F20</f>
        <v/>
      </c>
      <c r="L20" s="55">
        <f>TRIM(Tabla3[[#This Row],[CodInternoArti]])</f>
        <v/>
      </c>
    </row>
    <row r="21">
      <c r="A21" s="38">
        <f>IF(ISNUMBER(_xlfn.XMATCH(Tabla3[[#This Row],[CodInternoArti]],'Tabla Articulos'!B:B)),"OK","NO ESTA")</f>
        <v/>
      </c>
      <c r="B21" s="38">
        <f>IF(ISNUMBER(_xlfn.XMATCH('Calcular necesidad'!E:E,'Necesidad por familia'!A:A)),"OK","NO ESTA")</f>
        <v/>
      </c>
      <c r="C21" s="17" t="inlineStr">
        <is>
          <t>EMB000035</t>
        </is>
      </c>
      <c r="D21" s="1" t="inlineStr">
        <is>
          <t>ROLLO_BOLSA_ARRANQUE_35_x_45</t>
        </is>
      </c>
      <c r="E21" s="1">
        <f>_xlfn.XLOOKUP(C21,'Tabla Articulos'!B:B,'Tabla Articulos'!D:D)</f>
        <v/>
      </c>
      <c r="F21" s="1">
        <f>_xlfn.XLOOKUP(C21,'Tabla Articulos'!B:B,'Tabla Articulos'!E:E)</f>
        <v/>
      </c>
      <c r="G21" s="15">
        <f>SUM(
    SUMIFS(MRP!$H$2:$H$245, MRP!$B$2:$B$245, $C21, MRP!$G$2:$G$245, G$1),
    SUMIFS(MRP!$I$2:$I$245, MRP!$B$2:$B$245, $C21, MRP!$G$2:$G$245, G$1),
    SUMIFS(MRP!$J$2:$J$245, MRP!$B$2:$B$245, $C21,  MRP!$G$2:$G$245, G$1),
    SUMIFS(MRP!$K$2:$K$245, MRP!$B$2:$B$245, $C21,  MRP!$G$2:$G$245, G$1),
    SUMIFS(MRP!$L$2:$L$245, MRP!$B$2:$B$245, $C21,  MRP!$G$2:$G$245, G$1)
)*F21</f>
        <v/>
      </c>
      <c r="H21" s="15">
        <f>SUM(
    SUMIFS(MRP!$H$2:$H$245, MRP!$B$2:$B$245, $C21, MRP!$G$2:$G$245, H$1),
    SUMIFS(MRP!$I$2:$I$245, MRP!$B$2:$B$245, $C21, MRP!$G$2:$G$245, H$1),
    SUMIFS(MRP!$J$2:$J$245, MRP!$B$2:$B$245, $C21,  MRP!$G$2:$G$245, H$1),
    SUMIFS(MRP!$K$2:$K$245, MRP!$B$2:$B$245, $C21,  MRP!$G$2:$G$245, H$1),
    SUMIFS(MRP!$L$2:$L$245, MRP!$B$2:$B$245, $C21,  MRP!$G$2:$G$245, H$1)
)*F21</f>
        <v/>
      </c>
      <c r="I21" s="15">
        <f>SUM(
    SUMIFS(MRP!$H$2:$H$245, MRP!$B$2:$B$245, $C21, MRP!$G$2:$G$245, I$1),
    SUMIFS(MRP!$I$2:$I$245, MRP!$B$2:$B$245, $C21, MRP!$G$2:$G$245, I$1),
    SUMIFS(MRP!$J$2:$J$245, MRP!$B$2:$B$245, $C21,  MRP!$G$2:$G$245, I$1),
    SUMIFS(MRP!$K$2:$K$245, MRP!$B$2:$B$245, $C21,  MRP!$G$2:$G$245, I$1),
    SUMIFS(MRP!$L$2:$L$245, MRP!$B$2:$B$245, $C21,  MRP!$G$2:$G$245, I$1)
)*F21</f>
        <v/>
      </c>
      <c r="J21" s="15">
        <f>SUM(
    SUMIFS(MRP!$H$2:$H$245, MRP!$B$2:$B$245, $C21, MRP!$G$2:$G$245, J$1),
    SUMIFS(MRP!$I$2:$I$245, MRP!$B$2:$B$245, $C21, MRP!$G$2:$G$245, J$1),
    SUMIFS(MRP!$J$2:$J$245, MRP!$B$2:$B$245, $C21,  MRP!$G$2:$G$245, J$1),
    SUMIFS(MRP!$K$2:$K$245, MRP!$B$2:$B$245, $C21,  MRP!$G$2:$G$245, J$1),
    SUMIFS(MRP!$L$2:$L$245, MRP!$B$2:$B$245, $C21,  MRP!$G$2:$G$245, J$1)
)*F21</f>
        <v/>
      </c>
      <c r="K21" s="15">
        <f>SUM(
    SUMIFS(MRP!$H$2:$H$245, MRP!$B$2:$B$245, $C21, MRP!$G$2:$G$245, K$1),
    SUMIFS(MRP!$I$2:$I$245, MRP!$B$2:$B$245, $C21, MRP!$G$2:$G$245, K$1),
    SUMIFS(MRP!$J$2:$J$245, MRP!$B$2:$B$245, $C21,  MRP!$G$2:$G$245, K$1),
    SUMIFS(MRP!$K$2:$K$245, MRP!$B$2:$B$245, $C21,  MRP!$G$2:$G$245, K$1),
    SUMIFS(MRP!$L$2:$L$245, MRP!$B$2:$B$245, $C21,  MRP!$G$2:$G$245, K$1)
)*F21</f>
        <v/>
      </c>
      <c r="L21" s="55">
        <f>TRIM(Tabla3[[#This Row],[CodInternoArti]])</f>
        <v/>
      </c>
    </row>
    <row r="22">
      <c r="A22" s="38">
        <f>IF(ISNUMBER(_xlfn.XMATCH(Tabla3[[#This Row],[CodInternoArti]],'Tabla Articulos'!B:B)),"OK","NO ESTA")</f>
        <v/>
      </c>
      <c r="B22" s="38">
        <f>IF(ISNUMBER(_xlfn.XMATCH('Calcular necesidad'!E:E,'Necesidad por familia'!A:A)),"OK","NO ESTA")</f>
        <v/>
      </c>
      <c r="C22" s="17" t="inlineStr">
        <is>
          <t>14044013A</t>
        </is>
      </c>
      <c r="D22" s="1" t="inlineStr">
        <is>
          <t>ROLLO PAPEL MANTECA</t>
        </is>
      </c>
      <c r="E22" s="1">
        <f>_xlfn.XLOOKUP(C22,'Tabla Articulos'!B:B,'Tabla Articulos'!D:D)</f>
        <v/>
      </c>
      <c r="F22" s="1">
        <f>_xlfn.XLOOKUP(C22,'Tabla Articulos'!B:B,'Tabla Articulos'!E:E)</f>
        <v/>
      </c>
      <c r="G22" s="15">
        <f>SUM(
    SUMIFS(MRP!$H$2:$H$245, MRP!$B$2:$B$245, $C22, MRP!$G$2:$G$245, G$1),
    SUMIFS(MRP!$I$2:$I$245, MRP!$B$2:$B$245, $C22, MRP!$G$2:$G$245, G$1),
    SUMIFS(MRP!$J$2:$J$245, MRP!$B$2:$B$245, $C22,  MRP!$G$2:$G$245, G$1),
    SUMIFS(MRP!$K$2:$K$245, MRP!$B$2:$B$245, $C22,  MRP!$G$2:$G$245, G$1),
    SUMIFS(MRP!$L$2:$L$245, MRP!$B$2:$B$245, $C22,  MRP!$G$2:$G$245, G$1)
)*F22</f>
        <v/>
      </c>
      <c r="H22" s="15">
        <f>SUM(
    SUMIFS(MRP!$H$2:$H$245, MRP!$B$2:$B$245, $C22, MRP!$G$2:$G$245, H$1),
    SUMIFS(MRP!$I$2:$I$245, MRP!$B$2:$B$245, $C22, MRP!$G$2:$G$245, H$1),
    SUMIFS(MRP!$J$2:$J$245, MRP!$B$2:$B$245, $C22,  MRP!$G$2:$G$245, H$1),
    SUMIFS(MRP!$K$2:$K$245, MRP!$B$2:$B$245, $C22,  MRP!$G$2:$G$245, H$1),
    SUMIFS(MRP!$L$2:$L$245, MRP!$B$2:$B$245, $C22,  MRP!$G$2:$G$245, H$1)
)*F22</f>
        <v/>
      </c>
      <c r="I22" s="15">
        <f>SUM(
    SUMIFS(MRP!$H$2:$H$245, MRP!$B$2:$B$245, $C22, MRP!$G$2:$G$245, I$1),
    SUMIFS(MRP!$I$2:$I$245, MRP!$B$2:$B$245, $C22, MRP!$G$2:$G$245, I$1),
    SUMIFS(MRP!$J$2:$J$245, MRP!$B$2:$B$245, $C22,  MRP!$G$2:$G$245, I$1),
    SUMIFS(MRP!$K$2:$K$245, MRP!$B$2:$B$245, $C22,  MRP!$G$2:$G$245, I$1),
    SUMIFS(MRP!$L$2:$L$245, MRP!$B$2:$B$245, $C22,  MRP!$G$2:$G$245, I$1)
)*F22</f>
        <v/>
      </c>
      <c r="J22" s="15">
        <f>SUM(
    SUMIFS(MRP!$H$2:$H$245, MRP!$B$2:$B$245, $C22, MRP!$G$2:$G$245, J$1),
    SUMIFS(MRP!$I$2:$I$245, MRP!$B$2:$B$245, $C22, MRP!$G$2:$G$245, J$1),
    SUMIFS(MRP!$J$2:$J$245, MRP!$B$2:$B$245, $C22,  MRP!$G$2:$G$245, J$1),
    SUMIFS(MRP!$K$2:$K$245, MRP!$B$2:$B$245, $C22,  MRP!$G$2:$G$245, J$1),
    SUMIFS(MRP!$L$2:$L$245, MRP!$B$2:$B$245, $C22,  MRP!$G$2:$G$245, J$1)
)*F22</f>
        <v/>
      </c>
      <c r="K22" s="15">
        <f>SUM(
    SUMIFS(MRP!$H$2:$H$245, MRP!$B$2:$B$245, $C22, MRP!$G$2:$G$245, K$1),
    SUMIFS(MRP!$I$2:$I$245, MRP!$B$2:$B$245, $C22, MRP!$G$2:$G$245, K$1),
    SUMIFS(MRP!$J$2:$J$245, MRP!$B$2:$B$245, $C22,  MRP!$G$2:$G$245, K$1),
    SUMIFS(MRP!$K$2:$K$245, MRP!$B$2:$B$245, $C22,  MRP!$G$2:$G$245, K$1),
    SUMIFS(MRP!$L$2:$L$245, MRP!$B$2:$B$245, $C22,  MRP!$G$2:$G$245, K$1)
)*F22</f>
        <v/>
      </c>
      <c r="L22" s="55">
        <f>TRIM(Tabla3[[#This Row],[CodInternoArti]])</f>
        <v/>
      </c>
    </row>
    <row r="23">
      <c r="A23" s="38">
        <f>IF(ISNUMBER(_xlfn.XMATCH(Tabla3[[#This Row],[CodInternoArti]],'Tabla Articulos'!B:B)),"OK","NO ESTA")</f>
        <v/>
      </c>
      <c r="B23" s="38">
        <f>IF(ISNUMBER(_xlfn.XMATCH('Calcular necesidad'!E:E,'Necesidad por familia'!A:A)),"OK","NO ESTA")</f>
        <v/>
      </c>
      <c r="C23" s="17" t="inlineStr">
        <is>
          <t>16204014A</t>
        </is>
      </c>
      <c r="D23" s="1" t="inlineStr">
        <is>
          <t>ROLLO BOLSA ARRANQUE 15x20</t>
        </is>
      </c>
      <c r="E23" s="1">
        <f>_xlfn.XLOOKUP(C23,'Tabla Articulos'!B:B,'Tabla Articulos'!D:D)</f>
        <v/>
      </c>
      <c r="F23" s="1">
        <f>_xlfn.XLOOKUP(C23,'Tabla Articulos'!B:B,'Tabla Articulos'!E:E)</f>
        <v/>
      </c>
      <c r="G23" s="15">
        <f>SUM(
    SUMIFS(MRP!$H$2:$H$245, MRP!$B$2:$B$245, $C23, MRP!$G$2:$G$245, G$1),
    SUMIFS(MRP!$I$2:$I$245, MRP!$B$2:$B$245, $C23, MRP!$G$2:$G$245, G$1),
    SUMIFS(MRP!$J$2:$J$245, MRP!$B$2:$B$245, $C23,  MRP!$G$2:$G$245, G$1),
    SUMIFS(MRP!$K$2:$K$245, MRP!$B$2:$B$245, $C23,  MRP!$G$2:$G$245, G$1),
    SUMIFS(MRP!$L$2:$L$245, MRP!$B$2:$B$245, $C23,  MRP!$G$2:$G$245, G$1)
)*F23</f>
        <v/>
      </c>
      <c r="H23" s="15">
        <f>SUM(
    SUMIFS(MRP!$H$2:$H$245, MRP!$B$2:$B$245, $C23, MRP!$G$2:$G$245, H$1),
    SUMIFS(MRP!$I$2:$I$245, MRP!$B$2:$B$245, $C23, MRP!$G$2:$G$245, H$1),
    SUMIFS(MRP!$J$2:$J$245, MRP!$B$2:$B$245, $C23,  MRP!$G$2:$G$245, H$1),
    SUMIFS(MRP!$K$2:$K$245, MRP!$B$2:$B$245, $C23,  MRP!$G$2:$G$245, H$1),
    SUMIFS(MRP!$L$2:$L$245, MRP!$B$2:$B$245, $C23,  MRP!$G$2:$G$245, H$1)
)*F23</f>
        <v/>
      </c>
      <c r="I23" s="15">
        <f>SUM(
    SUMIFS(MRP!$H$2:$H$245, MRP!$B$2:$B$245, $C23, MRP!$G$2:$G$245, I$1),
    SUMIFS(MRP!$I$2:$I$245, MRP!$B$2:$B$245, $C23, MRP!$G$2:$G$245, I$1),
    SUMIFS(MRP!$J$2:$J$245, MRP!$B$2:$B$245, $C23,  MRP!$G$2:$G$245, I$1),
    SUMIFS(MRP!$K$2:$K$245, MRP!$B$2:$B$245, $C23,  MRP!$G$2:$G$245, I$1),
    SUMIFS(MRP!$L$2:$L$245, MRP!$B$2:$B$245, $C23,  MRP!$G$2:$G$245, I$1)
)*F23</f>
        <v/>
      </c>
      <c r="J23" s="15">
        <f>SUM(
    SUMIFS(MRP!$H$2:$H$245, MRP!$B$2:$B$245, $C23, MRP!$G$2:$G$245, J$1),
    SUMIFS(MRP!$I$2:$I$245, MRP!$B$2:$B$245, $C23, MRP!$G$2:$G$245, J$1),
    SUMIFS(MRP!$J$2:$J$245, MRP!$B$2:$B$245, $C23,  MRP!$G$2:$G$245, J$1),
    SUMIFS(MRP!$K$2:$K$245, MRP!$B$2:$B$245, $C23,  MRP!$G$2:$G$245, J$1),
    SUMIFS(MRP!$L$2:$L$245, MRP!$B$2:$B$245, $C23,  MRP!$G$2:$G$245, J$1)
)*F23</f>
        <v/>
      </c>
      <c r="K23" s="15">
        <f>SUM(
    SUMIFS(MRP!$H$2:$H$245, MRP!$B$2:$B$245, $C23, MRP!$G$2:$G$245, K$1),
    SUMIFS(MRP!$I$2:$I$245, MRP!$B$2:$B$245, $C23, MRP!$G$2:$G$245, K$1),
    SUMIFS(MRP!$J$2:$J$245, MRP!$B$2:$B$245, $C23,  MRP!$G$2:$G$245, K$1),
    SUMIFS(MRP!$K$2:$K$245, MRP!$B$2:$B$245, $C23,  MRP!$G$2:$G$245, K$1),
    SUMIFS(MRP!$L$2:$L$245, MRP!$B$2:$B$245, $C23,  MRP!$G$2:$G$245, K$1)
)*F23</f>
        <v/>
      </c>
      <c r="L23" s="55">
        <f>TRIM(Tabla3[[#This Row],[CodInternoArti]])</f>
        <v/>
      </c>
    </row>
    <row r="24">
      <c r="A24" s="38">
        <f>IF(ISNUMBER(_xlfn.XMATCH(Tabla3[[#This Row],[CodInternoArti]],'Tabla Articulos'!B:B)),"OK","NO ESTA")</f>
        <v/>
      </c>
      <c r="B24" s="38">
        <f>IF(ISNUMBER(_xlfn.XMATCH('Calcular necesidad'!E:E,'Necesidad por familia'!A:A)),"OK","NO ESTA")</f>
        <v/>
      </c>
      <c r="C24" s="17" t="inlineStr">
        <is>
          <t>EMB000036</t>
        </is>
      </c>
      <c r="D24" s="1" t="inlineStr">
        <is>
          <t>ROLLO_BOLSA_ARRANQUE_40_x_60</t>
        </is>
      </c>
      <c r="E24" s="1">
        <f>_xlfn.XLOOKUP(C24,'Tabla Articulos'!B:B,'Tabla Articulos'!D:D)</f>
        <v/>
      </c>
      <c r="F24" s="1">
        <f>_xlfn.XLOOKUP(C24,'Tabla Articulos'!B:B,'Tabla Articulos'!E:E)</f>
        <v/>
      </c>
      <c r="G24" s="15">
        <f>SUM(
    SUMIFS(MRP!$H$2:$H$245, MRP!$B$2:$B$245, $C24, MRP!$G$2:$G$245, G$1),
    SUMIFS(MRP!$I$2:$I$245, MRP!$B$2:$B$245, $C24, MRP!$G$2:$G$245, G$1),
    SUMIFS(MRP!$J$2:$J$245, MRP!$B$2:$B$245, $C24,  MRP!$G$2:$G$245, G$1),
    SUMIFS(MRP!$K$2:$K$245, MRP!$B$2:$B$245, $C24,  MRP!$G$2:$G$245, G$1),
    SUMIFS(MRP!$L$2:$L$245, MRP!$B$2:$B$245, $C24,  MRP!$G$2:$G$245, G$1)
)*F24</f>
        <v/>
      </c>
      <c r="H24" s="15">
        <f>SUM(
    SUMIFS(MRP!$H$2:$H$245, MRP!$B$2:$B$245, $C24, MRP!$G$2:$G$245, H$1),
    SUMIFS(MRP!$I$2:$I$245, MRP!$B$2:$B$245, $C24, MRP!$G$2:$G$245, H$1),
    SUMIFS(MRP!$J$2:$J$245, MRP!$B$2:$B$245, $C24,  MRP!$G$2:$G$245, H$1),
    SUMIFS(MRP!$K$2:$K$245, MRP!$B$2:$B$245, $C24,  MRP!$G$2:$G$245, H$1),
    SUMIFS(MRP!$L$2:$L$245, MRP!$B$2:$B$245, $C24,  MRP!$G$2:$G$245, H$1)
)*F24</f>
        <v/>
      </c>
      <c r="I24" s="15">
        <f>SUM(
    SUMIFS(MRP!$H$2:$H$245, MRP!$B$2:$B$245, $C24, MRP!$G$2:$G$245, I$1),
    SUMIFS(MRP!$I$2:$I$245, MRP!$B$2:$B$245, $C24, MRP!$G$2:$G$245, I$1),
    SUMIFS(MRP!$J$2:$J$245, MRP!$B$2:$B$245, $C24,  MRP!$G$2:$G$245, I$1),
    SUMIFS(MRP!$K$2:$K$245, MRP!$B$2:$B$245, $C24,  MRP!$G$2:$G$245, I$1),
    SUMIFS(MRP!$L$2:$L$245, MRP!$B$2:$B$245, $C24,  MRP!$G$2:$G$245, I$1)
)*F24</f>
        <v/>
      </c>
      <c r="J24" s="15">
        <f>SUM(
    SUMIFS(MRP!$H$2:$H$245, MRP!$B$2:$B$245, $C24, MRP!$G$2:$G$245, J$1),
    SUMIFS(MRP!$I$2:$I$245, MRP!$B$2:$B$245, $C24, MRP!$G$2:$G$245, J$1),
    SUMIFS(MRP!$J$2:$J$245, MRP!$B$2:$B$245, $C24,  MRP!$G$2:$G$245, J$1),
    SUMIFS(MRP!$K$2:$K$245, MRP!$B$2:$B$245, $C24,  MRP!$G$2:$G$245, J$1),
    SUMIFS(MRP!$L$2:$L$245, MRP!$B$2:$B$245, $C24,  MRP!$G$2:$G$245, J$1)
)*F24</f>
        <v/>
      </c>
      <c r="K24" s="15">
        <f>SUM(
    SUMIFS(MRP!$H$2:$H$245, MRP!$B$2:$B$245, $C24, MRP!$G$2:$G$245, K$1),
    SUMIFS(MRP!$I$2:$I$245, MRP!$B$2:$B$245, $C24, MRP!$G$2:$G$245, K$1),
    SUMIFS(MRP!$J$2:$J$245, MRP!$B$2:$B$245, $C24,  MRP!$G$2:$G$245, K$1),
    SUMIFS(MRP!$K$2:$K$245, MRP!$B$2:$B$245, $C24,  MRP!$G$2:$G$245, K$1),
    SUMIFS(MRP!$L$2:$L$245, MRP!$B$2:$B$245, $C24,  MRP!$G$2:$G$245, K$1)
)*F24</f>
        <v/>
      </c>
      <c r="L24" s="55">
        <f>TRIM(Tabla3[[#This Row],[CodInternoArti]])</f>
        <v/>
      </c>
    </row>
    <row r="25">
      <c r="A25" s="38">
        <f>IF(ISNUMBER(_xlfn.XMATCH(Tabla3[[#This Row],[CodInternoArti]],'Tabla Articulos'!B:B)),"OK","NO ESTA")</f>
        <v/>
      </c>
      <c r="B25" s="38">
        <f>IF(ISNUMBER(_xlfn.XMATCH('Calcular necesidad'!E:E,'Necesidad por familia'!A:A)),"OK","NO ESTA")</f>
        <v/>
      </c>
      <c r="C25" s="17" t="inlineStr">
        <is>
          <t>13014007A</t>
        </is>
      </c>
      <c r="D25" s="1" t="inlineStr">
        <is>
          <t xml:space="preserve">ESCARBADIENTE EN SOBRE x 1000 </t>
        </is>
      </c>
      <c r="E25" s="1">
        <f>_xlfn.XLOOKUP(C25,'Tabla Articulos'!B:B,'Tabla Articulos'!D:D)</f>
        <v/>
      </c>
      <c r="F25" s="1">
        <f>_xlfn.XLOOKUP(C25,'Tabla Articulos'!B:B,'Tabla Articulos'!E:E)</f>
        <v/>
      </c>
      <c r="G25" s="15">
        <f>SUM(
    SUMIFS(MRP!$H$2:$H$245, MRP!$B$2:$B$245, $C25, MRP!$G$2:$G$245, G$1),
    SUMIFS(MRP!$I$2:$I$245, MRP!$B$2:$B$245, $C25, MRP!$G$2:$G$245, G$1),
    SUMIFS(MRP!$J$2:$J$245, MRP!$B$2:$B$245, $C25,  MRP!$G$2:$G$245, G$1),
    SUMIFS(MRP!$K$2:$K$245, MRP!$B$2:$B$245, $C25,  MRP!$G$2:$G$245, G$1),
    SUMIFS(MRP!$L$2:$L$245, MRP!$B$2:$B$245, $C25,  MRP!$G$2:$G$245, G$1)
)*F25</f>
        <v/>
      </c>
      <c r="H25" s="15">
        <f>SUM(
    SUMIFS(MRP!$H$2:$H$245, MRP!$B$2:$B$245, $C25, MRP!$G$2:$G$245, H$1),
    SUMIFS(MRP!$I$2:$I$245, MRP!$B$2:$B$245, $C25, MRP!$G$2:$G$245, H$1),
    SUMIFS(MRP!$J$2:$J$245, MRP!$B$2:$B$245, $C25,  MRP!$G$2:$G$245, H$1),
    SUMIFS(MRP!$K$2:$K$245, MRP!$B$2:$B$245, $C25,  MRP!$G$2:$G$245, H$1),
    SUMIFS(MRP!$L$2:$L$245, MRP!$B$2:$B$245, $C25,  MRP!$G$2:$G$245, H$1)
)*F25</f>
        <v/>
      </c>
      <c r="I25" s="15">
        <f>SUM(
    SUMIFS(MRP!$H$2:$H$245, MRP!$B$2:$B$245, $C25, MRP!$G$2:$G$245, I$1),
    SUMIFS(MRP!$I$2:$I$245, MRP!$B$2:$B$245, $C25, MRP!$G$2:$G$245, I$1),
    SUMIFS(MRP!$J$2:$J$245, MRP!$B$2:$B$245, $C25,  MRP!$G$2:$G$245, I$1),
    SUMIFS(MRP!$K$2:$K$245, MRP!$B$2:$B$245, $C25,  MRP!$G$2:$G$245, I$1),
    SUMIFS(MRP!$L$2:$L$245, MRP!$B$2:$B$245, $C25,  MRP!$G$2:$G$245, I$1)
)*F25</f>
        <v/>
      </c>
      <c r="J25" s="15">
        <f>SUM(
    SUMIFS(MRP!$H$2:$H$245, MRP!$B$2:$B$245, $C25, MRP!$G$2:$G$245, J$1),
    SUMIFS(MRP!$I$2:$I$245, MRP!$B$2:$B$245, $C25, MRP!$G$2:$G$245, J$1),
    SUMIFS(MRP!$J$2:$J$245, MRP!$B$2:$B$245, $C25,  MRP!$G$2:$G$245, J$1),
    SUMIFS(MRP!$K$2:$K$245, MRP!$B$2:$B$245, $C25,  MRP!$G$2:$G$245, J$1),
    SUMIFS(MRP!$L$2:$L$245, MRP!$B$2:$B$245, $C25,  MRP!$G$2:$G$245, J$1)
)*F25</f>
        <v/>
      </c>
      <c r="K25" s="15">
        <f>SUM(
    SUMIFS(MRP!$H$2:$H$245, MRP!$B$2:$B$245, $C25, MRP!$G$2:$G$245, K$1),
    SUMIFS(MRP!$I$2:$I$245, MRP!$B$2:$B$245, $C25, MRP!$G$2:$G$245, K$1),
    SUMIFS(MRP!$J$2:$J$245, MRP!$B$2:$B$245, $C25,  MRP!$G$2:$G$245, K$1),
    SUMIFS(MRP!$K$2:$K$245, MRP!$B$2:$B$245, $C25,  MRP!$G$2:$G$245, K$1),
    SUMIFS(MRP!$L$2:$L$245, MRP!$B$2:$B$245, $C25,  MRP!$G$2:$G$245, K$1)
)*F25</f>
        <v/>
      </c>
      <c r="L25" s="55">
        <f>TRIM(Tabla3[[#This Row],[CodInternoArti]])</f>
        <v/>
      </c>
    </row>
    <row r="26">
      <c r="A26" s="38">
        <f>IF(ISNUMBER(_xlfn.XMATCH(Tabla3[[#This Row],[CodInternoArti]],'Tabla Articulos'!B:B)),"OK","NO ESTA")</f>
        <v/>
      </c>
      <c r="B26" s="38">
        <f>IF(ISNUMBER(_xlfn.XMATCH('Calcular necesidad'!E:E,'Necesidad por familia'!A:A)),"OK","NO ESTA")</f>
        <v/>
      </c>
      <c r="C26" s="17" t="inlineStr">
        <is>
          <t>17146007A</t>
        </is>
      </c>
      <c r="D26" s="1" t="inlineStr">
        <is>
          <t>PAPEL ALUMINIO x 1 KG</t>
        </is>
      </c>
      <c r="E26" s="1">
        <f>_xlfn.XLOOKUP(C26,'Tabla Articulos'!B:B,'Tabla Articulos'!D:D)</f>
        <v/>
      </c>
      <c r="F26" s="1">
        <f>_xlfn.XLOOKUP(C26,'Tabla Articulos'!B:B,'Tabla Articulos'!E:E)</f>
        <v/>
      </c>
      <c r="G26" s="15">
        <f>SUM(
    SUMIFS(MRP!$H$2:$H$245, MRP!$B$2:$B$245, $C26, MRP!$G$2:$G$245, G$1),
    SUMIFS(MRP!$I$2:$I$245, MRP!$B$2:$B$245, $C26, MRP!$G$2:$G$245, G$1),
    SUMIFS(MRP!$J$2:$J$245, MRP!$B$2:$B$245, $C26,  MRP!$G$2:$G$245, G$1),
    SUMIFS(MRP!$K$2:$K$245, MRP!$B$2:$B$245, $C26,  MRP!$G$2:$G$245, G$1),
    SUMIFS(MRP!$L$2:$L$245, MRP!$B$2:$B$245, $C26,  MRP!$G$2:$G$245, G$1)
)*F26</f>
        <v/>
      </c>
      <c r="H26" s="15">
        <f>SUM(
    SUMIFS(MRP!$H$2:$H$245, MRP!$B$2:$B$245, $C26, MRP!$G$2:$G$245, H$1),
    SUMIFS(MRP!$I$2:$I$245, MRP!$B$2:$B$245, $C26, MRP!$G$2:$G$245, H$1),
    SUMIFS(MRP!$J$2:$J$245, MRP!$B$2:$B$245, $C26,  MRP!$G$2:$G$245, H$1),
    SUMIFS(MRP!$K$2:$K$245, MRP!$B$2:$B$245, $C26,  MRP!$G$2:$G$245, H$1),
    SUMIFS(MRP!$L$2:$L$245, MRP!$B$2:$B$245, $C26,  MRP!$G$2:$G$245, H$1)
)*F26</f>
        <v/>
      </c>
      <c r="I26" s="15">
        <f>SUM(
    SUMIFS(MRP!$H$2:$H$245, MRP!$B$2:$B$245, $C26, MRP!$G$2:$G$245, I$1),
    SUMIFS(MRP!$I$2:$I$245, MRP!$B$2:$B$245, $C26, MRP!$G$2:$G$245, I$1),
    SUMIFS(MRP!$J$2:$J$245, MRP!$B$2:$B$245, $C26,  MRP!$G$2:$G$245, I$1),
    SUMIFS(MRP!$K$2:$K$245, MRP!$B$2:$B$245, $C26,  MRP!$G$2:$G$245, I$1),
    SUMIFS(MRP!$L$2:$L$245, MRP!$B$2:$B$245, $C26,  MRP!$G$2:$G$245, I$1)
)*F26</f>
        <v/>
      </c>
      <c r="J26" s="15">
        <f>SUM(
    SUMIFS(MRP!$H$2:$H$245, MRP!$B$2:$B$245, $C26, MRP!$G$2:$G$245, J$1),
    SUMIFS(MRP!$I$2:$I$245, MRP!$B$2:$B$245, $C26, MRP!$G$2:$G$245, J$1),
    SUMIFS(MRP!$J$2:$J$245, MRP!$B$2:$B$245, $C26,  MRP!$G$2:$G$245, J$1),
    SUMIFS(MRP!$K$2:$K$245, MRP!$B$2:$B$245, $C26,  MRP!$G$2:$G$245, J$1),
    SUMIFS(MRP!$L$2:$L$245, MRP!$B$2:$B$245, $C26,  MRP!$G$2:$G$245, J$1)
)*F26</f>
        <v/>
      </c>
      <c r="K26" s="15">
        <f>SUM(
    SUMIFS(MRP!$H$2:$H$245, MRP!$B$2:$B$245, $C26, MRP!$G$2:$G$245, K$1),
    SUMIFS(MRP!$I$2:$I$245, MRP!$B$2:$B$245, $C26, MRP!$G$2:$G$245, K$1),
    SUMIFS(MRP!$J$2:$J$245, MRP!$B$2:$B$245, $C26,  MRP!$G$2:$G$245, K$1),
    SUMIFS(MRP!$K$2:$K$245, MRP!$B$2:$B$245, $C26,  MRP!$G$2:$G$245, K$1),
    SUMIFS(MRP!$L$2:$L$245, MRP!$B$2:$B$245, $C26,  MRP!$G$2:$G$245, K$1)
)*F26</f>
        <v/>
      </c>
      <c r="L26" s="55">
        <f>TRIM(Tabla3[[#This Row],[CodInternoArti]])</f>
        <v/>
      </c>
    </row>
    <row r="27">
      <c r="A27" s="38">
        <f>IF(ISNUMBER(_xlfn.XMATCH(Tabla3[[#This Row],[CodInternoArti]],'Tabla Articulos'!B:B)),"OK","NO ESTA")</f>
        <v/>
      </c>
      <c r="B27" s="38">
        <f>IF(ISNUMBER(_xlfn.XMATCH('Calcular necesidad'!E:E,'Necesidad por familia'!A:A)),"OK","NO ESTA")</f>
        <v/>
      </c>
      <c r="C27" s="17" t="inlineStr">
        <is>
          <t>EMB000037</t>
        </is>
      </c>
      <c r="D27" s="1" t="inlineStr">
        <is>
          <t>ROLLO_BOLSA_ARRANQUE_45_x_60</t>
        </is>
      </c>
      <c r="E27" s="1">
        <f>_xlfn.XLOOKUP(C27,'Tabla Articulos'!B:B,'Tabla Articulos'!D:D)</f>
        <v/>
      </c>
      <c r="F27" s="1">
        <f>_xlfn.XLOOKUP(C27,'Tabla Articulos'!B:B,'Tabla Articulos'!E:E)</f>
        <v/>
      </c>
      <c r="G27" s="15">
        <f>SUM(
    SUMIFS(MRP!$H$2:$H$245, MRP!$B$2:$B$245, $C27, MRP!$G$2:$G$245, G$1),
    SUMIFS(MRP!$I$2:$I$245, MRP!$B$2:$B$245, $C27, MRP!$G$2:$G$245, G$1),
    SUMIFS(MRP!$J$2:$J$245, MRP!$B$2:$B$245, $C27,  MRP!$G$2:$G$245, G$1),
    SUMIFS(MRP!$K$2:$K$245, MRP!$B$2:$B$245, $C27,  MRP!$G$2:$G$245, G$1),
    SUMIFS(MRP!$L$2:$L$245, MRP!$B$2:$B$245, $C27,  MRP!$G$2:$G$245, G$1)
)*F27</f>
        <v/>
      </c>
      <c r="H27" s="15">
        <f>SUM(
    SUMIFS(MRP!$H$2:$H$245, MRP!$B$2:$B$245, $C27, MRP!$G$2:$G$245, H$1),
    SUMIFS(MRP!$I$2:$I$245, MRP!$B$2:$B$245, $C27, MRP!$G$2:$G$245, H$1),
    SUMIFS(MRP!$J$2:$J$245, MRP!$B$2:$B$245, $C27,  MRP!$G$2:$G$245, H$1),
    SUMIFS(MRP!$K$2:$K$245, MRP!$B$2:$B$245, $C27,  MRP!$G$2:$G$245, H$1),
    SUMIFS(MRP!$L$2:$L$245, MRP!$B$2:$B$245, $C27,  MRP!$G$2:$G$245, H$1)
)*F27</f>
        <v/>
      </c>
      <c r="I27" s="15">
        <f>SUM(
    SUMIFS(MRP!$H$2:$H$245, MRP!$B$2:$B$245, $C27, MRP!$G$2:$G$245, I$1),
    SUMIFS(MRP!$I$2:$I$245, MRP!$B$2:$B$245, $C27, MRP!$G$2:$G$245, I$1),
    SUMIFS(MRP!$J$2:$J$245, MRP!$B$2:$B$245, $C27,  MRP!$G$2:$G$245, I$1),
    SUMIFS(MRP!$K$2:$K$245, MRP!$B$2:$B$245, $C27,  MRP!$G$2:$G$245, I$1),
    SUMIFS(MRP!$L$2:$L$245, MRP!$B$2:$B$245, $C27,  MRP!$G$2:$G$245, I$1)
)*F27</f>
        <v/>
      </c>
      <c r="J27" s="15">
        <f>SUM(
    SUMIFS(MRP!$H$2:$H$245, MRP!$B$2:$B$245, $C27, MRP!$G$2:$G$245, J$1),
    SUMIFS(MRP!$I$2:$I$245, MRP!$B$2:$B$245, $C27, MRP!$G$2:$G$245, J$1),
    SUMIFS(MRP!$J$2:$J$245, MRP!$B$2:$B$245, $C27,  MRP!$G$2:$G$245, J$1),
    SUMIFS(MRP!$K$2:$K$245, MRP!$B$2:$B$245, $C27,  MRP!$G$2:$G$245, J$1),
    SUMIFS(MRP!$L$2:$L$245, MRP!$B$2:$B$245, $C27,  MRP!$G$2:$G$245, J$1)
)*F27</f>
        <v/>
      </c>
      <c r="K27" s="15">
        <f>SUM(
    SUMIFS(MRP!$H$2:$H$245, MRP!$B$2:$B$245, $C27, MRP!$G$2:$G$245, K$1),
    SUMIFS(MRP!$I$2:$I$245, MRP!$B$2:$B$245, $C27, MRP!$G$2:$G$245, K$1),
    SUMIFS(MRP!$J$2:$J$245, MRP!$B$2:$B$245, $C27,  MRP!$G$2:$G$245, K$1),
    SUMIFS(MRP!$K$2:$K$245, MRP!$B$2:$B$245, $C27,  MRP!$G$2:$G$245, K$1),
    SUMIFS(MRP!$L$2:$L$245, MRP!$B$2:$B$245, $C27,  MRP!$G$2:$G$245, K$1)
)*F27</f>
        <v/>
      </c>
      <c r="L27" s="55">
        <f>TRIM(Tabla3[[#This Row],[CodInternoArti]])</f>
        <v/>
      </c>
    </row>
    <row r="28">
      <c r="A28" s="38">
        <f>IF(ISNUMBER(_xlfn.XMATCH(Tabla3[[#This Row],[CodInternoArti]],'Tabla Articulos'!B:B)),"OK","NO ESTA")</f>
        <v/>
      </c>
      <c r="B28" s="38">
        <f>IF(ISNUMBER(_xlfn.XMATCH('Calcular necesidad'!E:E,'Necesidad por familia'!A:A)),"OK","NO ESTA")</f>
        <v/>
      </c>
      <c r="C28" s="17" t="inlineStr">
        <is>
          <t>EMB000038</t>
        </is>
      </c>
      <c r="D28" s="1" t="inlineStr">
        <is>
          <t>ROLLO_BOLSA_ARRANQUE_60_x_90_</t>
        </is>
      </c>
      <c r="E28" s="1">
        <f>_xlfn.XLOOKUP(C28,'Tabla Articulos'!B:B,'Tabla Articulos'!D:D)</f>
        <v/>
      </c>
      <c r="F28" s="1">
        <f>_xlfn.XLOOKUP(C28,'Tabla Articulos'!B:B,'Tabla Articulos'!E:E)</f>
        <v/>
      </c>
      <c r="G28" s="15">
        <f>SUM(
    SUMIFS(MRP!$H$2:$H$245, MRP!$B$2:$B$245, $C28, MRP!$G$2:$G$245, G$1),
    SUMIFS(MRP!$I$2:$I$245, MRP!$B$2:$B$245, $C28, MRP!$G$2:$G$245, G$1),
    SUMIFS(MRP!$J$2:$J$245, MRP!$B$2:$B$245, $C28,  MRP!$G$2:$G$245, G$1),
    SUMIFS(MRP!$K$2:$K$245, MRP!$B$2:$B$245, $C28,  MRP!$G$2:$G$245, G$1),
    SUMIFS(MRP!$L$2:$L$245, MRP!$B$2:$B$245, $C28,  MRP!$G$2:$G$245, G$1)
)*F28</f>
        <v/>
      </c>
      <c r="H28" s="15">
        <f>SUM(
    SUMIFS(MRP!$H$2:$H$245, MRP!$B$2:$B$245, $C28, MRP!$G$2:$G$245, H$1),
    SUMIFS(MRP!$I$2:$I$245, MRP!$B$2:$B$245, $C28, MRP!$G$2:$G$245, H$1),
    SUMIFS(MRP!$J$2:$J$245, MRP!$B$2:$B$245, $C28,  MRP!$G$2:$G$245, H$1),
    SUMIFS(MRP!$K$2:$K$245, MRP!$B$2:$B$245, $C28,  MRP!$G$2:$G$245, H$1),
    SUMIFS(MRP!$L$2:$L$245, MRP!$B$2:$B$245, $C28,  MRP!$G$2:$G$245, H$1)
)*F28</f>
        <v/>
      </c>
      <c r="I28" s="15">
        <f>SUM(
    SUMIFS(MRP!$H$2:$H$245, MRP!$B$2:$B$245, $C28, MRP!$G$2:$G$245, I$1),
    SUMIFS(MRP!$I$2:$I$245, MRP!$B$2:$B$245, $C28, MRP!$G$2:$G$245, I$1),
    SUMIFS(MRP!$J$2:$J$245, MRP!$B$2:$B$245, $C28,  MRP!$G$2:$G$245, I$1),
    SUMIFS(MRP!$K$2:$K$245, MRP!$B$2:$B$245, $C28,  MRP!$G$2:$G$245, I$1),
    SUMIFS(MRP!$L$2:$L$245, MRP!$B$2:$B$245, $C28,  MRP!$G$2:$G$245, I$1)
)*F28</f>
        <v/>
      </c>
      <c r="J28" s="15">
        <f>SUM(
    SUMIFS(MRP!$H$2:$H$245, MRP!$B$2:$B$245, $C28, MRP!$G$2:$G$245, J$1),
    SUMIFS(MRP!$I$2:$I$245, MRP!$B$2:$B$245, $C28, MRP!$G$2:$G$245, J$1),
    SUMIFS(MRP!$J$2:$J$245, MRP!$B$2:$B$245, $C28,  MRP!$G$2:$G$245, J$1),
    SUMIFS(MRP!$K$2:$K$245, MRP!$B$2:$B$245, $C28,  MRP!$G$2:$G$245, J$1),
    SUMIFS(MRP!$L$2:$L$245, MRP!$B$2:$B$245, $C28,  MRP!$G$2:$G$245, J$1)
)*F28</f>
        <v/>
      </c>
      <c r="K28" s="15">
        <f>SUM(
    SUMIFS(MRP!$H$2:$H$245, MRP!$B$2:$B$245, $C28, MRP!$G$2:$G$245, K$1),
    SUMIFS(MRP!$I$2:$I$245, MRP!$B$2:$B$245, $C28, MRP!$G$2:$G$245, K$1),
    SUMIFS(MRP!$J$2:$J$245, MRP!$B$2:$B$245, $C28,  MRP!$G$2:$G$245, K$1),
    SUMIFS(MRP!$K$2:$K$245, MRP!$B$2:$B$245, $C28,  MRP!$G$2:$G$245, K$1),
    SUMIFS(MRP!$L$2:$L$245, MRP!$B$2:$B$245, $C28,  MRP!$G$2:$G$245, K$1)
)*F28</f>
        <v/>
      </c>
      <c r="L28" s="55">
        <f>TRIM(Tabla3[[#This Row],[CodInternoArti]])</f>
        <v/>
      </c>
    </row>
    <row r="29">
      <c r="A29" s="38">
        <f>IF(ISNUMBER(_xlfn.XMATCH(Tabla3[[#This Row],[CodInternoArti]],'Tabla Articulos'!B:B)),"OK","NO ESTA")</f>
        <v/>
      </c>
      <c r="B29" s="38">
        <f>IF(ISNUMBER(_xlfn.XMATCH('Calcular necesidad'!E:E,'Necesidad por familia'!A:A)),"OK","NO ESTA")</f>
        <v/>
      </c>
      <c r="C29" s="17" t="inlineStr">
        <is>
          <t>LIM000324</t>
        </is>
      </c>
      <c r="D29" s="1" t="inlineStr">
        <is>
          <t>BARBIJOS X 100 U</t>
        </is>
      </c>
      <c r="E29" s="1">
        <f>_xlfn.XLOOKUP(C29,'Tabla Articulos'!B:B,'Tabla Articulos'!D:D)</f>
        <v/>
      </c>
      <c r="F29" s="1">
        <f>_xlfn.XLOOKUP(C29,'Tabla Articulos'!B:B,'Tabla Articulos'!E:E)</f>
        <v/>
      </c>
      <c r="G29" s="15">
        <f>SUM(
    SUMIFS(MRP!$H$2:$H$245, MRP!$B$2:$B$245, $C29, MRP!$G$2:$G$245, G$1),
    SUMIFS(MRP!$I$2:$I$245, MRP!$B$2:$B$245, $C29, MRP!$G$2:$G$245, G$1),
    SUMIFS(MRP!$J$2:$J$245, MRP!$B$2:$B$245, $C29,  MRP!$G$2:$G$245, G$1),
    SUMIFS(MRP!$K$2:$K$245, MRP!$B$2:$B$245, $C29,  MRP!$G$2:$G$245, G$1),
    SUMIFS(MRP!$L$2:$L$245, MRP!$B$2:$B$245, $C29,  MRP!$G$2:$G$245, G$1)
)*F29</f>
        <v/>
      </c>
      <c r="H29" s="15">
        <f>SUM(
    SUMIFS(MRP!$H$2:$H$245, MRP!$B$2:$B$245, $C29, MRP!$G$2:$G$245, H$1),
    SUMIFS(MRP!$I$2:$I$245, MRP!$B$2:$B$245, $C29, MRP!$G$2:$G$245, H$1),
    SUMIFS(MRP!$J$2:$J$245, MRP!$B$2:$B$245, $C29,  MRP!$G$2:$G$245, H$1),
    SUMIFS(MRP!$K$2:$K$245, MRP!$B$2:$B$245, $C29,  MRP!$G$2:$G$245, H$1),
    SUMIFS(MRP!$L$2:$L$245, MRP!$B$2:$B$245, $C29,  MRP!$G$2:$G$245, H$1)
)*F29</f>
        <v/>
      </c>
      <c r="I29" s="15">
        <f>SUM(
    SUMIFS(MRP!$H$2:$H$245, MRP!$B$2:$B$245, $C29, MRP!$G$2:$G$245, I$1),
    SUMIFS(MRP!$I$2:$I$245, MRP!$B$2:$B$245, $C29, MRP!$G$2:$G$245, I$1),
    SUMIFS(MRP!$J$2:$J$245, MRP!$B$2:$B$245, $C29,  MRP!$G$2:$G$245, I$1),
    SUMIFS(MRP!$K$2:$K$245, MRP!$B$2:$B$245, $C29,  MRP!$G$2:$G$245, I$1),
    SUMIFS(MRP!$L$2:$L$245, MRP!$B$2:$B$245, $C29,  MRP!$G$2:$G$245, I$1)
)*F29</f>
        <v/>
      </c>
      <c r="J29" s="15">
        <f>SUM(
    SUMIFS(MRP!$H$2:$H$245, MRP!$B$2:$B$245, $C29, MRP!$G$2:$G$245, J$1),
    SUMIFS(MRP!$I$2:$I$245, MRP!$B$2:$B$245, $C29, MRP!$G$2:$G$245, J$1),
    SUMIFS(MRP!$J$2:$J$245, MRP!$B$2:$B$245, $C29,  MRP!$G$2:$G$245, J$1),
    SUMIFS(MRP!$K$2:$K$245, MRP!$B$2:$B$245, $C29,  MRP!$G$2:$G$245, J$1),
    SUMIFS(MRP!$L$2:$L$245, MRP!$B$2:$B$245, $C29,  MRP!$G$2:$G$245, J$1)
)*F29</f>
        <v/>
      </c>
      <c r="K29" s="15">
        <f>SUM(
    SUMIFS(MRP!$H$2:$H$245, MRP!$B$2:$B$245, $C29, MRP!$G$2:$G$245, K$1),
    SUMIFS(MRP!$I$2:$I$245, MRP!$B$2:$B$245, $C29, MRP!$G$2:$G$245, K$1),
    SUMIFS(MRP!$J$2:$J$245, MRP!$B$2:$B$245, $C29,  MRP!$G$2:$G$245, K$1),
    SUMIFS(MRP!$K$2:$K$245, MRP!$B$2:$B$245, $C29,  MRP!$G$2:$G$245, K$1),
    SUMIFS(MRP!$L$2:$L$245, MRP!$B$2:$B$245, $C29,  MRP!$G$2:$G$245, K$1)
)*F29</f>
        <v/>
      </c>
      <c r="L29" s="55">
        <f>TRIM(Tabla3[[#This Row],[CodInternoArti]])</f>
        <v/>
      </c>
    </row>
    <row r="30">
      <c r="A30" s="38">
        <f>IF(ISNUMBER(_xlfn.XMATCH(Tabla3[[#This Row],[CodInternoArti]],'Tabla Articulos'!B:B)),"OK","NO ESTA")</f>
        <v/>
      </c>
      <c r="B30" s="38">
        <f>IF(ISNUMBER(_xlfn.XMATCH('Calcular necesidad'!E:E,'Necesidad por familia'!A:A)),"OK","NO ESTA")</f>
        <v/>
      </c>
      <c r="C30" s="17" t="inlineStr">
        <is>
          <t>17030002A</t>
        </is>
      </c>
      <c r="D30" s="1" t="inlineStr">
        <is>
          <t>GUANTES DE POLIPROPILENO x100U</t>
        </is>
      </c>
      <c r="E30" s="1">
        <f>_xlfn.XLOOKUP(C30,'Tabla Articulos'!B:B,'Tabla Articulos'!D:D)</f>
        <v/>
      </c>
      <c r="F30" s="1">
        <f>_xlfn.XLOOKUP(C30,'Tabla Articulos'!B:B,'Tabla Articulos'!E:E)</f>
        <v/>
      </c>
      <c r="G30" s="15">
        <f>SUM(
    SUMIFS(MRP!$H$2:$H$245, MRP!$B$2:$B$245, $C30, MRP!$G$2:$G$245, G$1),
    SUMIFS(MRP!$I$2:$I$245, MRP!$B$2:$B$245, $C30, MRP!$G$2:$G$245, G$1),
    SUMIFS(MRP!$J$2:$J$245, MRP!$B$2:$B$245, $C30,  MRP!$G$2:$G$245, G$1),
    SUMIFS(MRP!$K$2:$K$245, MRP!$B$2:$B$245, $C30,  MRP!$G$2:$G$245, G$1),
    SUMIFS(MRP!$L$2:$L$245, MRP!$B$2:$B$245, $C30,  MRP!$G$2:$G$245, G$1)
)*F30</f>
        <v/>
      </c>
      <c r="H30" s="15">
        <f>SUM(
    SUMIFS(MRP!$H$2:$H$245, MRP!$B$2:$B$245, $C30, MRP!$G$2:$G$245, H$1),
    SUMIFS(MRP!$I$2:$I$245, MRP!$B$2:$B$245, $C30, MRP!$G$2:$G$245, H$1),
    SUMIFS(MRP!$J$2:$J$245, MRP!$B$2:$B$245, $C30,  MRP!$G$2:$G$245, H$1),
    SUMIFS(MRP!$K$2:$K$245, MRP!$B$2:$B$245, $C30,  MRP!$G$2:$G$245, H$1),
    SUMIFS(MRP!$L$2:$L$245, MRP!$B$2:$B$245, $C30,  MRP!$G$2:$G$245, H$1)
)*F30</f>
        <v/>
      </c>
      <c r="I30" s="15">
        <f>SUM(
    SUMIFS(MRP!$H$2:$H$245, MRP!$B$2:$B$245, $C30, MRP!$G$2:$G$245, I$1),
    SUMIFS(MRP!$I$2:$I$245, MRP!$B$2:$B$245, $C30, MRP!$G$2:$G$245, I$1),
    SUMIFS(MRP!$J$2:$J$245, MRP!$B$2:$B$245, $C30,  MRP!$G$2:$G$245, I$1),
    SUMIFS(MRP!$K$2:$K$245, MRP!$B$2:$B$245, $C30,  MRP!$G$2:$G$245, I$1),
    SUMIFS(MRP!$L$2:$L$245, MRP!$B$2:$B$245, $C30,  MRP!$G$2:$G$245, I$1)
)*F30</f>
        <v/>
      </c>
      <c r="J30" s="15">
        <f>SUM(
    SUMIFS(MRP!$H$2:$H$245, MRP!$B$2:$B$245, $C30, MRP!$G$2:$G$245, J$1),
    SUMIFS(MRP!$I$2:$I$245, MRP!$B$2:$B$245, $C30, MRP!$G$2:$G$245, J$1),
    SUMIFS(MRP!$J$2:$J$245, MRP!$B$2:$B$245, $C30,  MRP!$G$2:$G$245, J$1),
    SUMIFS(MRP!$K$2:$K$245, MRP!$B$2:$B$245, $C30,  MRP!$G$2:$G$245, J$1),
    SUMIFS(MRP!$L$2:$L$245, MRP!$B$2:$B$245, $C30,  MRP!$G$2:$G$245, J$1)
)*F30</f>
        <v/>
      </c>
      <c r="K30" s="15">
        <f>SUM(
    SUMIFS(MRP!$H$2:$H$245, MRP!$B$2:$B$245, $C30, MRP!$G$2:$G$245, K$1),
    SUMIFS(MRP!$I$2:$I$245, MRP!$B$2:$B$245, $C30, MRP!$G$2:$G$245, K$1),
    SUMIFS(MRP!$J$2:$J$245, MRP!$B$2:$B$245, $C30,  MRP!$G$2:$G$245, K$1),
    SUMIFS(MRP!$K$2:$K$245, MRP!$B$2:$B$245, $C30,  MRP!$G$2:$G$245, K$1),
    SUMIFS(MRP!$L$2:$L$245, MRP!$B$2:$B$245, $C30,  MRP!$G$2:$G$245, K$1)
)*F30</f>
        <v/>
      </c>
      <c r="L30" s="55">
        <f>TRIM(Tabla3[[#This Row],[CodInternoArti]])</f>
        <v/>
      </c>
    </row>
    <row r="31">
      <c r="A31" s="38">
        <f>IF(ISNUMBER(_xlfn.XMATCH(Tabla3[[#This Row],[CodInternoArti]],'Tabla Articulos'!B:B)),"OK","NO ESTA")</f>
        <v/>
      </c>
      <c r="B31" s="38">
        <f>IF(ISNUMBER(_xlfn.XMATCH('Calcular necesidad'!E:E,'Necesidad por familia'!A:A)),"OK","NO ESTA")</f>
        <v/>
      </c>
      <c r="C31" s="17" t="inlineStr">
        <is>
          <t>LIM000155</t>
        </is>
      </c>
      <c r="D31" s="1" t="inlineStr">
        <is>
          <t>ROLLO ALUMINIO 45cm x 10mts</t>
        </is>
      </c>
      <c r="E31" s="1">
        <f>_xlfn.XLOOKUP(C31,'Tabla Articulos'!B:B,'Tabla Articulos'!D:D)</f>
        <v/>
      </c>
      <c r="F31" s="1">
        <f>_xlfn.XLOOKUP(C31,'Tabla Articulos'!B:B,'Tabla Articulos'!E:E)</f>
        <v/>
      </c>
      <c r="G31" s="15">
        <f>SUM(
    SUMIFS(MRP!$H$2:$H$245, MRP!$B$2:$B$245, $C31, MRP!$G$2:$G$245, G$1),
    SUMIFS(MRP!$I$2:$I$245, MRP!$B$2:$B$245, $C31, MRP!$G$2:$G$245, G$1),
    SUMIFS(MRP!$J$2:$J$245, MRP!$B$2:$B$245, $C31,  MRP!$G$2:$G$245, G$1),
    SUMIFS(MRP!$K$2:$K$245, MRP!$B$2:$B$245, $C31,  MRP!$G$2:$G$245, G$1),
    SUMIFS(MRP!$L$2:$L$245, MRP!$B$2:$B$245, $C31,  MRP!$G$2:$G$245, G$1)
)*F31</f>
        <v/>
      </c>
      <c r="H31" s="15">
        <f>SUM(
    SUMIFS(MRP!$H$2:$H$245, MRP!$B$2:$B$245, $C31, MRP!$G$2:$G$245, H$1),
    SUMIFS(MRP!$I$2:$I$245, MRP!$B$2:$B$245, $C31, MRP!$G$2:$G$245, H$1),
    SUMIFS(MRP!$J$2:$J$245, MRP!$B$2:$B$245, $C31,  MRP!$G$2:$G$245, H$1),
    SUMIFS(MRP!$K$2:$K$245, MRP!$B$2:$B$245, $C31,  MRP!$G$2:$G$245, H$1),
    SUMIFS(MRP!$L$2:$L$245, MRP!$B$2:$B$245, $C31,  MRP!$G$2:$G$245, H$1)
)*F31</f>
        <v/>
      </c>
      <c r="I31" s="15">
        <f>SUM(
    SUMIFS(MRP!$H$2:$H$245, MRP!$B$2:$B$245, $C31, MRP!$G$2:$G$245, I$1),
    SUMIFS(MRP!$I$2:$I$245, MRP!$B$2:$B$245, $C31, MRP!$G$2:$G$245, I$1),
    SUMIFS(MRP!$J$2:$J$245, MRP!$B$2:$B$245, $C31,  MRP!$G$2:$G$245, I$1),
    SUMIFS(MRP!$K$2:$K$245, MRP!$B$2:$B$245, $C31,  MRP!$G$2:$G$245, I$1),
    SUMIFS(MRP!$L$2:$L$245, MRP!$B$2:$B$245, $C31,  MRP!$G$2:$G$245, I$1)
)*F31</f>
        <v/>
      </c>
      <c r="J31" s="15">
        <f>SUM(
    SUMIFS(MRP!$H$2:$H$245, MRP!$B$2:$B$245, $C31, MRP!$G$2:$G$245, J$1),
    SUMIFS(MRP!$I$2:$I$245, MRP!$B$2:$B$245, $C31, MRP!$G$2:$G$245, J$1),
    SUMIFS(MRP!$J$2:$J$245, MRP!$B$2:$B$245, $C31,  MRP!$G$2:$G$245, J$1),
    SUMIFS(MRP!$K$2:$K$245, MRP!$B$2:$B$245, $C31,  MRP!$G$2:$G$245, J$1),
    SUMIFS(MRP!$L$2:$L$245, MRP!$B$2:$B$245, $C31,  MRP!$G$2:$G$245, J$1)
)*F31</f>
        <v/>
      </c>
      <c r="K31" s="15">
        <f>SUM(
    SUMIFS(MRP!$H$2:$H$245, MRP!$B$2:$B$245, $C31, MRP!$G$2:$G$245, K$1),
    SUMIFS(MRP!$I$2:$I$245, MRP!$B$2:$B$245, $C31, MRP!$G$2:$G$245, K$1),
    SUMIFS(MRP!$J$2:$J$245, MRP!$B$2:$B$245, $C31,  MRP!$G$2:$G$245, K$1),
    SUMIFS(MRP!$K$2:$K$245, MRP!$B$2:$B$245, $C31,  MRP!$G$2:$G$245, K$1),
    SUMIFS(MRP!$L$2:$L$245, MRP!$B$2:$B$245, $C31,  MRP!$G$2:$G$245, K$1)
)*F31</f>
        <v/>
      </c>
      <c r="L31" s="55">
        <f>TRIM(Tabla3[[#This Row],[CodInternoArti]])</f>
        <v/>
      </c>
    </row>
    <row r="32">
      <c r="A32" s="38">
        <f>IF(ISNUMBER(_xlfn.XMATCH(Tabla3[[#This Row],[CodInternoArti]],'Tabla Articulos'!B:B)),"OK","NO ESTA")</f>
        <v/>
      </c>
      <c r="B32" s="38">
        <f>IF(ISNUMBER(_xlfn.XMATCH('Calcular necesidad'!E:E,'Necesidad por familia'!A:A)),"OK","NO ESTA")</f>
        <v/>
      </c>
      <c r="C32" s="17" t="inlineStr">
        <is>
          <t>EMB000042</t>
        </is>
      </c>
      <c r="D32" s="1" t="inlineStr">
        <is>
          <t>BOLSA_PAPEL_MADERA_15x35x100U</t>
        </is>
      </c>
      <c r="E32" s="1">
        <f>_xlfn.XLOOKUP(C32,'Tabla Articulos'!B:B,'Tabla Articulos'!D:D)</f>
        <v/>
      </c>
      <c r="F32" s="1">
        <f>_xlfn.XLOOKUP(C32,'Tabla Articulos'!B:B,'Tabla Articulos'!E:E)</f>
        <v/>
      </c>
      <c r="G32" s="15">
        <f>SUM(
    SUMIFS(MRP!$H$2:$H$245, MRP!$B$2:$B$245, $C32, MRP!$G$2:$G$245, G$1),
    SUMIFS(MRP!$I$2:$I$245, MRP!$B$2:$B$245, $C32, MRP!$G$2:$G$245, G$1),
    SUMIFS(MRP!$J$2:$J$245, MRP!$B$2:$B$245, $C32,  MRP!$G$2:$G$245, G$1),
    SUMIFS(MRP!$K$2:$K$245, MRP!$B$2:$B$245, $C32,  MRP!$G$2:$G$245, G$1),
    SUMIFS(MRP!$L$2:$L$245, MRP!$B$2:$B$245, $C32,  MRP!$G$2:$G$245, G$1)
)*F32</f>
        <v/>
      </c>
      <c r="H32" s="15">
        <f>SUM(
    SUMIFS(MRP!$H$2:$H$245, MRP!$B$2:$B$245, $C32, MRP!$G$2:$G$245, H$1),
    SUMIFS(MRP!$I$2:$I$245, MRP!$B$2:$B$245, $C32, MRP!$G$2:$G$245, H$1),
    SUMIFS(MRP!$J$2:$J$245, MRP!$B$2:$B$245, $C32,  MRP!$G$2:$G$245, H$1),
    SUMIFS(MRP!$K$2:$K$245, MRP!$B$2:$B$245, $C32,  MRP!$G$2:$G$245, H$1),
    SUMIFS(MRP!$L$2:$L$245, MRP!$B$2:$B$245, $C32,  MRP!$G$2:$G$245, H$1)
)*F32</f>
        <v/>
      </c>
      <c r="I32" s="15">
        <f>SUM(
    SUMIFS(MRP!$H$2:$H$245, MRP!$B$2:$B$245, $C32, MRP!$G$2:$G$245, I$1),
    SUMIFS(MRP!$I$2:$I$245, MRP!$B$2:$B$245, $C32, MRP!$G$2:$G$245, I$1),
    SUMIFS(MRP!$J$2:$J$245, MRP!$B$2:$B$245, $C32,  MRP!$G$2:$G$245, I$1),
    SUMIFS(MRP!$K$2:$K$245, MRP!$B$2:$B$245, $C32,  MRP!$G$2:$G$245, I$1),
    SUMIFS(MRP!$L$2:$L$245, MRP!$B$2:$B$245, $C32,  MRP!$G$2:$G$245, I$1)
)*F32</f>
        <v/>
      </c>
      <c r="J32" s="15">
        <f>SUM(
    SUMIFS(MRP!$H$2:$H$245, MRP!$B$2:$B$245, $C32, MRP!$G$2:$G$245, J$1),
    SUMIFS(MRP!$I$2:$I$245, MRP!$B$2:$B$245, $C32, MRP!$G$2:$G$245, J$1),
    SUMIFS(MRP!$J$2:$J$245, MRP!$B$2:$B$245, $C32,  MRP!$G$2:$G$245, J$1),
    SUMIFS(MRP!$K$2:$K$245, MRP!$B$2:$B$245, $C32,  MRP!$G$2:$G$245, J$1),
    SUMIFS(MRP!$L$2:$L$245, MRP!$B$2:$B$245, $C32,  MRP!$G$2:$G$245, J$1)
)*F32</f>
        <v/>
      </c>
      <c r="K32" s="15">
        <f>SUM(
    SUMIFS(MRP!$H$2:$H$245, MRP!$B$2:$B$245, $C32, MRP!$G$2:$G$245, K$1),
    SUMIFS(MRP!$I$2:$I$245, MRP!$B$2:$B$245, $C32, MRP!$G$2:$G$245, K$1),
    SUMIFS(MRP!$J$2:$J$245, MRP!$B$2:$B$245, $C32,  MRP!$G$2:$G$245, K$1),
    SUMIFS(MRP!$K$2:$K$245, MRP!$B$2:$B$245, $C32,  MRP!$G$2:$G$245, K$1),
    SUMIFS(MRP!$L$2:$L$245, MRP!$B$2:$B$245, $C32,  MRP!$G$2:$G$245, K$1)
)*F32</f>
        <v/>
      </c>
      <c r="L32" s="55">
        <f>TRIM(Tabla3[[#This Row],[CodInternoArti]])</f>
        <v/>
      </c>
    </row>
    <row r="33">
      <c r="A33" s="38">
        <f>IF(ISNUMBER(_xlfn.XMATCH(Tabla3[[#This Row],[CodInternoArti]],'Tabla Articulos'!B:B)),"OK","NO ESTA")</f>
        <v/>
      </c>
      <c r="B33" s="38">
        <f>IF(ISNUMBER(_xlfn.XMATCH('Calcular necesidad'!E:E,'Necesidad por familia'!A:A)),"OK","NO ESTA")</f>
        <v/>
      </c>
      <c r="C33" s="17" t="inlineStr">
        <is>
          <t>7790321020346</t>
        </is>
      </c>
      <c r="D33" s="1" t="inlineStr">
        <is>
          <t>VASO PLASTICO X180CC X100U</t>
        </is>
      </c>
      <c r="E33" s="1">
        <f>_xlfn.XLOOKUP(C33,'Tabla Articulos'!B:B,'Tabla Articulos'!D:D)</f>
        <v/>
      </c>
      <c r="F33" s="1">
        <f>_xlfn.XLOOKUP(C33,'Tabla Articulos'!B:B,'Tabla Articulos'!E:E)</f>
        <v/>
      </c>
      <c r="G33" s="15">
        <f>SUM(
    SUMIFS(MRP!$H$2:$H$245, MRP!$B$2:$B$245, $C33, MRP!$G$2:$G$245, G$1),
    SUMIFS(MRP!$I$2:$I$245, MRP!$B$2:$B$245, $C33, MRP!$G$2:$G$245, G$1),
    SUMIFS(MRP!$J$2:$J$245, MRP!$B$2:$B$245, $C33,  MRP!$G$2:$G$245, G$1),
    SUMIFS(MRP!$K$2:$K$245, MRP!$B$2:$B$245, $C33,  MRP!$G$2:$G$245, G$1),
    SUMIFS(MRP!$L$2:$L$245, MRP!$B$2:$B$245, $C33,  MRP!$G$2:$G$245, G$1)
)*F33</f>
        <v/>
      </c>
      <c r="H33" s="15">
        <f>SUM(
    SUMIFS(MRP!$H$2:$H$245, MRP!$B$2:$B$245, $C33, MRP!$G$2:$G$245, H$1),
    SUMIFS(MRP!$I$2:$I$245, MRP!$B$2:$B$245, $C33, MRP!$G$2:$G$245, H$1),
    SUMIFS(MRP!$J$2:$J$245, MRP!$B$2:$B$245, $C33,  MRP!$G$2:$G$245, H$1),
    SUMIFS(MRP!$K$2:$K$245, MRP!$B$2:$B$245, $C33,  MRP!$G$2:$G$245, H$1),
    SUMIFS(MRP!$L$2:$L$245, MRP!$B$2:$B$245, $C33,  MRP!$G$2:$G$245, H$1)
)*F33</f>
        <v/>
      </c>
      <c r="I33" s="15">
        <f>SUM(
    SUMIFS(MRP!$H$2:$H$245, MRP!$B$2:$B$245, $C33, MRP!$G$2:$G$245, I$1),
    SUMIFS(MRP!$I$2:$I$245, MRP!$B$2:$B$245, $C33, MRP!$G$2:$G$245, I$1),
    SUMIFS(MRP!$J$2:$J$245, MRP!$B$2:$B$245, $C33,  MRP!$G$2:$G$245, I$1),
    SUMIFS(MRP!$K$2:$K$245, MRP!$B$2:$B$245, $C33,  MRP!$G$2:$G$245, I$1),
    SUMIFS(MRP!$L$2:$L$245, MRP!$B$2:$B$245, $C33,  MRP!$G$2:$G$245, I$1)
)*F33</f>
        <v/>
      </c>
      <c r="J33" s="15">
        <f>SUM(
    SUMIFS(MRP!$H$2:$H$245, MRP!$B$2:$B$245, $C33, MRP!$G$2:$G$245, J$1),
    SUMIFS(MRP!$I$2:$I$245, MRP!$B$2:$B$245, $C33, MRP!$G$2:$G$245, J$1),
    SUMIFS(MRP!$J$2:$J$245, MRP!$B$2:$B$245, $C33,  MRP!$G$2:$G$245, J$1),
    SUMIFS(MRP!$K$2:$K$245, MRP!$B$2:$B$245, $C33,  MRP!$G$2:$G$245, J$1),
    SUMIFS(MRP!$L$2:$L$245, MRP!$B$2:$B$245, $C33,  MRP!$G$2:$G$245, J$1)
)*F33</f>
        <v/>
      </c>
      <c r="K33" s="15">
        <f>SUM(
    SUMIFS(MRP!$H$2:$H$245, MRP!$B$2:$B$245, $C33, MRP!$G$2:$G$245, K$1),
    SUMIFS(MRP!$I$2:$I$245, MRP!$B$2:$B$245, $C33, MRP!$G$2:$G$245, K$1),
    SUMIFS(MRP!$J$2:$J$245, MRP!$B$2:$B$245, $C33,  MRP!$G$2:$G$245, K$1),
    SUMIFS(MRP!$K$2:$K$245, MRP!$B$2:$B$245, $C33,  MRP!$G$2:$G$245, K$1),
    SUMIFS(MRP!$L$2:$L$245, MRP!$B$2:$B$245, $C33,  MRP!$G$2:$G$245, K$1)
)*F33</f>
        <v/>
      </c>
      <c r="L33" s="55">
        <f>TRIM(Tabla3[[#This Row],[CodInternoArti]])</f>
        <v/>
      </c>
    </row>
    <row r="34">
      <c r="A34" s="38">
        <f>IF(ISNUMBER(_xlfn.XMATCH(Tabla3[[#This Row],[CodInternoArti]],'Tabla Articulos'!B:B)),"OK","NO ESTA")</f>
        <v/>
      </c>
      <c r="B34" s="38">
        <f>IF(ISNUMBER(_xlfn.XMATCH('Calcular necesidad'!E:E,'Necesidad por familia'!A:A)),"OK","NO ESTA")</f>
        <v/>
      </c>
      <c r="C34" s="17" t="inlineStr">
        <is>
          <t>EMB000034</t>
        </is>
      </c>
      <c r="D34" s="1" t="inlineStr">
        <is>
          <t>ROLLO BOLSA ARRANQUE 20 x 25</t>
        </is>
      </c>
      <c r="E34" s="1">
        <f>_xlfn.XLOOKUP(C34,'Tabla Articulos'!B:B,'Tabla Articulos'!D:D)</f>
        <v/>
      </c>
      <c r="F34" s="1">
        <f>_xlfn.XLOOKUP(C34,'Tabla Articulos'!B:B,'Tabla Articulos'!E:E)</f>
        <v/>
      </c>
      <c r="G34" s="15">
        <f>SUM(
    SUMIFS(MRP!$H$2:$H$245, MRP!$B$2:$B$245, $C34, MRP!$G$2:$G$245, G$1),
    SUMIFS(MRP!$I$2:$I$245, MRP!$B$2:$B$245, $C34, MRP!$G$2:$G$245, G$1),
    SUMIFS(MRP!$J$2:$J$245, MRP!$B$2:$B$245, $C34,  MRP!$G$2:$G$245, G$1),
    SUMIFS(MRP!$K$2:$K$245, MRP!$B$2:$B$245, $C34,  MRP!$G$2:$G$245, G$1),
    SUMIFS(MRP!$L$2:$L$245, MRP!$B$2:$B$245, $C34,  MRP!$G$2:$G$245, G$1)
)*F34</f>
        <v/>
      </c>
      <c r="H34" s="15">
        <f>SUM(
    SUMIFS(MRP!$H$2:$H$245, MRP!$B$2:$B$245, $C34, MRP!$G$2:$G$245, H$1),
    SUMIFS(MRP!$I$2:$I$245, MRP!$B$2:$B$245, $C34, MRP!$G$2:$G$245, H$1),
    SUMIFS(MRP!$J$2:$J$245, MRP!$B$2:$B$245, $C34,  MRP!$G$2:$G$245, H$1),
    SUMIFS(MRP!$K$2:$K$245, MRP!$B$2:$B$245, $C34,  MRP!$G$2:$G$245, H$1),
    SUMIFS(MRP!$L$2:$L$245, MRP!$B$2:$B$245, $C34,  MRP!$G$2:$G$245, H$1)
)*F34</f>
        <v/>
      </c>
      <c r="I34" s="15">
        <f>SUM(
    SUMIFS(MRP!$H$2:$H$245, MRP!$B$2:$B$245, $C34, MRP!$G$2:$G$245, I$1),
    SUMIFS(MRP!$I$2:$I$245, MRP!$B$2:$B$245, $C34, MRP!$G$2:$G$245, I$1),
    SUMIFS(MRP!$J$2:$J$245, MRP!$B$2:$B$245, $C34,  MRP!$G$2:$G$245, I$1),
    SUMIFS(MRP!$K$2:$K$245, MRP!$B$2:$B$245, $C34,  MRP!$G$2:$G$245, I$1),
    SUMIFS(MRP!$L$2:$L$245, MRP!$B$2:$B$245, $C34,  MRP!$G$2:$G$245, I$1)
)*F34</f>
        <v/>
      </c>
      <c r="J34" s="15">
        <f>SUM(
    SUMIFS(MRP!$H$2:$H$245, MRP!$B$2:$B$245, $C34, MRP!$G$2:$G$245, J$1),
    SUMIFS(MRP!$I$2:$I$245, MRP!$B$2:$B$245, $C34, MRP!$G$2:$G$245, J$1),
    SUMIFS(MRP!$J$2:$J$245, MRP!$B$2:$B$245, $C34,  MRP!$G$2:$G$245, J$1),
    SUMIFS(MRP!$K$2:$K$245, MRP!$B$2:$B$245, $C34,  MRP!$G$2:$G$245, J$1),
    SUMIFS(MRP!$L$2:$L$245, MRP!$B$2:$B$245, $C34,  MRP!$G$2:$G$245, J$1)
)*F34</f>
        <v/>
      </c>
      <c r="K34" s="15">
        <f>SUM(
    SUMIFS(MRP!$H$2:$H$245, MRP!$B$2:$B$245, $C34, MRP!$G$2:$G$245, K$1),
    SUMIFS(MRP!$I$2:$I$245, MRP!$B$2:$B$245, $C34, MRP!$G$2:$G$245, K$1),
    SUMIFS(MRP!$J$2:$J$245, MRP!$B$2:$B$245, $C34,  MRP!$G$2:$G$245, K$1),
    SUMIFS(MRP!$K$2:$K$245, MRP!$B$2:$B$245, $C34,  MRP!$G$2:$G$245, K$1),
    SUMIFS(MRP!$L$2:$L$245, MRP!$B$2:$B$245, $C34,  MRP!$G$2:$G$245, K$1)
)*F34</f>
        <v/>
      </c>
      <c r="L34" s="55">
        <f>TRIM(Tabla3[[#This Row],[CodInternoArti]])</f>
        <v/>
      </c>
    </row>
    <row r="35">
      <c r="A35" s="38">
        <f>IF(ISNUMBER(_xlfn.XMATCH(Tabla3[[#This Row],[CodInternoArti]],'Tabla Articulos'!B:B)),"OK","NO ESTA")</f>
        <v/>
      </c>
      <c r="B35" s="38">
        <f>IF(ISNUMBER(_xlfn.XMATCH('Calcular necesidad'!E:E,'Necesidad por familia'!A:A)),"OK","NO ESTA")</f>
        <v/>
      </c>
      <c r="C35" s="17" t="inlineStr">
        <is>
          <t>LIM000292</t>
        </is>
      </c>
      <c r="D35" s="1" t="inlineStr">
        <is>
          <t>GUANTE NITRILO X100U</t>
        </is>
      </c>
      <c r="E35" s="1">
        <f>_xlfn.XLOOKUP(C35,'Tabla Articulos'!B:B,'Tabla Articulos'!D:D)</f>
        <v/>
      </c>
      <c r="F35" s="1">
        <f>_xlfn.XLOOKUP(C35,'Tabla Articulos'!B:B,'Tabla Articulos'!E:E)</f>
        <v/>
      </c>
      <c r="G35" s="15">
        <f>SUM(
    SUMIFS(MRP!$H$2:$H$245, MRP!$B$2:$B$245, $C35, MRP!$G$2:$G$245, G$1),
    SUMIFS(MRP!$I$2:$I$245, MRP!$B$2:$B$245, $C35, MRP!$G$2:$G$245, G$1),
    SUMIFS(MRP!$J$2:$J$245, MRP!$B$2:$B$245, $C35,  MRP!$G$2:$G$245, G$1),
    SUMIFS(MRP!$K$2:$K$245, MRP!$B$2:$B$245, $C35,  MRP!$G$2:$G$245, G$1),
    SUMIFS(MRP!$L$2:$L$245, MRP!$B$2:$B$245, $C35,  MRP!$G$2:$G$245, G$1)
)*F35</f>
        <v/>
      </c>
      <c r="H35" s="15">
        <f>SUM(
    SUMIFS(MRP!$H$2:$H$245, MRP!$B$2:$B$245, $C35, MRP!$G$2:$G$245, H$1),
    SUMIFS(MRP!$I$2:$I$245, MRP!$B$2:$B$245, $C35, MRP!$G$2:$G$245, H$1),
    SUMIFS(MRP!$J$2:$J$245, MRP!$B$2:$B$245, $C35,  MRP!$G$2:$G$245, H$1),
    SUMIFS(MRP!$K$2:$K$245, MRP!$B$2:$B$245, $C35,  MRP!$G$2:$G$245, H$1),
    SUMIFS(MRP!$L$2:$L$245, MRP!$B$2:$B$245, $C35,  MRP!$G$2:$G$245, H$1)
)*F35</f>
        <v/>
      </c>
      <c r="I35" s="15">
        <f>SUM(
    SUMIFS(MRP!$H$2:$H$245, MRP!$B$2:$B$245, $C35, MRP!$G$2:$G$245, I$1),
    SUMIFS(MRP!$I$2:$I$245, MRP!$B$2:$B$245, $C35, MRP!$G$2:$G$245, I$1),
    SUMIFS(MRP!$J$2:$J$245, MRP!$B$2:$B$245, $C35,  MRP!$G$2:$G$245, I$1),
    SUMIFS(MRP!$K$2:$K$245, MRP!$B$2:$B$245, $C35,  MRP!$G$2:$G$245, I$1),
    SUMIFS(MRP!$L$2:$L$245, MRP!$B$2:$B$245, $C35,  MRP!$G$2:$G$245, I$1)
)*F35</f>
        <v/>
      </c>
      <c r="J35" s="15">
        <f>SUM(
    SUMIFS(MRP!$H$2:$H$245, MRP!$B$2:$B$245, $C35, MRP!$G$2:$G$245, J$1),
    SUMIFS(MRP!$I$2:$I$245, MRP!$B$2:$B$245, $C35, MRP!$G$2:$G$245, J$1),
    SUMIFS(MRP!$J$2:$J$245, MRP!$B$2:$B$245, $C35,  MRP!$G$2:$G$245, J$1),
    SUMIFS(MRP!$K$2:$K$245, MRP!$B$2:$B$245, $C35,  MRP!$G$2:$G$245, J$1),
    SUMIFS(MRP!$L$2:$L$245, MRP!$B$2:$B$245, $C35,  MRP!$G$2:$G$245, J$1)
)*F35</f>
        <v/>
      </c>
      <c r="K35" s="15">
        <f>SUM(
    SUMIFS(MRP!$H$2:$H$245, MRP!$B$2:$B$245, $C35, MRP!$G$2:$G$245, K$1),
    SUMIFS(MRP!$I$2:$I$245, MRP!$B$2:$B$245, $C35, MRP!$G$2:$G$245, K$1),
    SUMIFS(MRP!$J$2:$J$245, MRP!$B$2:$B$245, $C35,  MRP!$G$2:$G$245, K$1),
    SUMIFS(MRP!$K$2:$K$245, MRP!$B$2:$B$245, $C35,  MRP!$G$2:$G$245, K$1),
    SUMIFS(MRP!$L$2:$L$245, MRP!$B$2:$B$245, $C35,  MRP!$G$2:$G$245, K$1)
)*F35</f>
        <v/>
      </c>
      <c r="L35" s="55">
        <f>TRIM(Tabla3[[#This Row],[CodInternoArti]])</f>
        <v/>
      </c>
    </row>
    <row r="36">
      <c r="A36" s="38">
        <f>IF(ISNUMBER(_xlfn.XMATCH(Tabla3[[#This Row],[CodInternoArti]],'Tabla Articulos'!B:B)),"OK","NO ESTA")</f>
        <v/>
      </c>
      <c r="B36" s="38">
        <f>IF(ISNUMBER(_xlfn.XMATCH('Calcular necesidad'!E:E,'Necesidad por familia'!A:A)),"OK","NO ESTA")</f>
        <v/>
      </c>
      <c r="C36" s="17" t="inlineStr">
        <is>
          <t>EMB000044</t>
        </is>
      </c>
      <c r="D36" s="1" t="inlineStr">
        <is>
          <t>ROLLO PAPEL ALUMINIO X 5 M</t>
        </is>
      </c>
      <c r="E36" s="1">
        <f>_xlfn.XLOOKUP(C36,'Tabla Articulos'!B:B,'Tabla Articulos'!D:D)</f>
        <v/>
      </c>
      <c r="F36" s="1">
        <f>_xlfn.XLOOKUP(C36,'Tabla Articulos'!B:B,'Tabla Articulos'!E:E)</f>
        <v/>
      </c>
      <c r="G36" s="15">
        <f>SUM(
    SUMIFS(MRP!$H$2:$H$245, MRP!$B$2:$B$245, $C36, MRP!$G$2:$G$245, G$1),
    SUMIFS(MRP!$I$2:$I$245, MRP!$B$2:$B$245, $C36, MRP!$G$2:$G$245, G$1),
    SUMIFS(MRP!$J$2:$J$245, MRP!$B$2:$B$245, $C36,  MRP!$G$2:$G$245, G$1),
    SUMIFS(MRP!$K$2:$K$245, MRP!$B$2:$B$245, $C36,  MRP!$G$2:$G$245, G$1),
    SUMIFS(MRP!$L$2:$L$245, MRP!$B$2:$B$245, $C36,  MRP!$G$2:$G$245, G$1)
)*F36</f>
        <v/>
      </c>
      <c r="H36" s="15">
        <f>SUM(
    SUMIFS(MRP!$H$2:$H$245, MRP!$B$2:$B$245, $C36, MRP!$G$2:$G$245, H$1),
    SUMIFS(MRP!$I$2:$I$245, MRP!$B$2:$B$245, $C36, MRP!$G$2:$G$245, H$1),
    SUMIFS(MRP!$J$2:$J$245, MRP!$B$2:$B$245, $C36,  MRP!$G$2:$G$245, H$1),
    SUMIFS(MRP!$K$2:$K$245, MRP!$B$2:$B$245, $C36,  MRP!$G$2:$G$245, H$1),
    SUMIFS(MRP!$L$2:$L$245, MRP!$B$2:$B$245, $C36,  MRP!$G$2:$G$245, H$1)
)*F36</f>
        <v/>
      </c>
      <c r="I36" s="15">
        <f>SUM(
    SUMIFS(MRP!$H$2:$H$245, MRP!$B$2:$B$245, $C36, MRP!$G$2:$G$245, I$1),
    SUMIFS(MRP!$I$2:$I$245, MRP!$B$2:$B$245, $C36, MRP!$G$2:$G$245, I$1),
    SUMIFS(MRP!$J$2:$J$245, MRP!$B$2:$B$245, $C36,  MRP!$G$2:$G$245, I$1),
    SUMIFS(MRP!$K$2:$K$245, MRP!$B$2:$B$245, $C36,  MRP!$G$2:$G$245, I$1),
    SUMIFS(MRP!$L$2:$L$245, MRP!$B$2:$B$245, $C36,  MRP!$G$2:$G$245, I$1)
)*F36</f>
        <v/>
      </c>
      <c r="J36" s="15">
        <f>SUM(
    SUMIFS(MRP!$H$2:$H$245, MRP!$B$2:$B$245, $C36, MRP!$G$2:$G$245, J$1),
    SUMIFS(MRP!$I$2:$I$245, MRP!$B$2:$B$245, $C36, MRP!$G$2:$G$245, J$1),
    SUMIFS(MRP!$J$2:$J$245, MRP!$B$2:$B$245, $C36,  MRP!$G$2:$G$245, J$1),
    SUMIFS(MRP!$K$2:$K$245, MRP!$B$2:$B$245, $C36,  MRP!$G$2:$G$245, J$1),
    SUMIFS(MRP!$L$2:$L$245, MRP!$B$2:$B$245, $C36,  MRP!$G$2:$G$245, J$1)
)*F36</f>
        <v/>
      </c>
      <c r="K36" s="15">
        <f>SUM(
    SUMIFS(MRP!$H$2:$H$245, MRP!$B$2:$B$245, $C36, MRP!$G$2:$G$245, K$1),
    SUMIFS(MRP!$I$2:$I$245, MRP!$B$2:$B$245, $C36, MRP!$G$2:$G$245, K$1),
    SUMIFS(MRP!$J$2:$J$245, MRP!$B$2:$B$245, $C36,  MRP!$G$2:$G$245, K$1),
    SUMIFS(MRP!$K$2:$K$245, MRP!$B$2:$B$245, $C36,  MRP!$G$2:$G$245, K$1),
    SUMIFS(MRP!$L$2:$L$245, MRP!$B$2:$B$245, $C36,  MRP!$G$2:$G$245, K$1)
)*F36</f>
        <v/>
      </c>
      <c r="L36" s="55">
        <f>TRIM(Tabla3[[#This Row],[CodInternoArti]])</f>
        <v/>
      </c>
    </row>
    <row r="37">
      <c r="A37" s="38">
        <f>IF(ISNUMBER(_xlfn.XMATCH(Tabla3[[#This Row],[CodInternoArti]],'Tabla Articulos'!B:B)),"OK","NO ESTA")</f>
        <v/>
      </c>
      <c r="B37" s="38">
        <f>IF(ISNUMBER(_xlfn.XMATCH('Calcular necesidad'!E:E,'Necesidad por familia'!A:A)),"OK","NO ESTA")</f>
        <v/>
      </c>
      <c r="C37" s="17" t="inlineStr">
        <is>
          <t>7796613305498</t>
        </is>
      </c>
      <c r="D37" s="1" t="inlineStr">
        <is>
          <t>PLATOS DESCARTABLES X 50 UNID</t>
        </is>
      </c>
      <c r="E37" s="1">
        <f>_xlfn.XLOOKUP(C37,'Tabla Articulos'!B:B,'Tabla Articulos'!D:D)</f>
        <v/>
      </c>
      <c r="F37" s="1">
        <f>_xlfn.XLOOKUP(C37,'Tabla Articulos'!B:B,'Tabla Articulos'!E:E)</f>
        <v/>
      </c>
      <c r="G37" s="15">
        <f>SUM(
    SUMIFS(MRP!$H$2:$H$245, MRP!$B$2:$B$245, $C37, MRP!$G$2:$G$245, G$1),
    SUMIFS(MRP!$I$2:$I$245, MRP!$B$2:$B$245, $C37, MRP!$G$2:$G$245, G$1),
    SUMIFS(MRP!$J$2:$J$245, MRP!$B$2:$B$245, $C37,  MRP!$G$2:$G$245, G$1),
    SUMIFS(MRP!$K$2:$K$245, MRP!$B$2:$B$245, $C37,  MRP!$G$2:$G$245, G$1),
    SUMIFS(MRP!$L$2:$L$245, MRP!$B$2:$B$245, $C37,  MRP!$G$2:$G$245, G$1)
)*F37</f>
        <v/>
      </c>
      <c r="H37" s="15">
        <f>SUM(
    SUMIFS(MRP!$H$2:$H$245, MRP!$B$2:$B$245, $C37, MRP!$G$2:$G$245, H$1),
    SUMIFS(MRP!$I$2:$I$245, MRP!$B$2:$B$245, $C37, MRP!$G$2:$G$245, H$1),
    SUMIFS(MRP!$J$2:$J$245, MRP!$B$2:$B$245, $C37,  MRP!$G$2:$G$245, H$1),
    SUMIFS(MRP!$K$2:$K$245, MRP!$B$2:$B$245, $C37,  MRP!$G$2:$G$245, H$1),
    SUMIFS(MRP!$L$2:$L$245, MRP!$B$2:$B$245, $C37,  MRP!$G$2:$G$245, H$1)
)*F37</f>
        <v/>
      </c>
      <c r="I37" s="15">
        <f>SUM(
    SUMIFS(MRP!$H$2:$H$245, MRP!$B$2:$B$245, $C37, MRP!$G$2:$G$245, I$1),
    SUMIFS(MRP!$I$2:$I$245, MRP!$B$2:$B$245, $C37, MRP!$G$2:$G$245, I$1),
    SUMIFS(MRP!$J$2:$J$245, MRP!$B$2:$B$245, $C37,  MRP!$G$2:$G$245, I$1),
    SUMIFS(MRP!$K$2:$K$245, MRP!$B$2:$B$245, $C37,  MRP!$G$2:$G$245, I$1),
    SUMIFS(MRP!$L$2:$L$245, MRP!$B$2:$B$245, $C37,  MRP!$G$2:$G$245, I$1)
)*F37</f>
        <v/>
      </c>
      <c r="J37" s="15">
        <f>SUM(
    SUMIFS(MRP!$H$2:$H$245, MRP!$B$2:$B$245, $C37, MRP!$G$2:$G$245, J$1),
    SUMIFS(MRP!$I$2:$I$245, MRP!$B$2:$B$245, $C37, MRP!$G$2:$G$245, J$1),
    SUMIFS(MRP!$J$2:$J$245, MRP!$B$2:$B$245, $C37,  MRP!$G$2:$G$245, J$1),
    SUMIFS(MRP!$K$2:$K$245, MRP!$B$2:$B$245, $C37,  MRP!$G$2:$G$245, J$1),
    SUMIFS(MRP!$L$2:$L$245, MRP!$B$2:$B$245, $C37,  MRP!$G$2:$G$245, J$1)
)*F37</f>
        <v/>
      </c>
      <c r="K37" s="15">
        <f>SUM(
    SUMIFS(MRP!$H$2:$H$245, MRP!$B$2:$B$245, $C37, MRP!$G$2:$G$245, K$1),
    SUMIFS(MRP!$I$2:$I$245, MRP!$B$2:$B$245, $C37, MRP!$G$2:$G$245, K$1),
    SUMIFS(MRP!$J$2:$J$245, MRP!$B$2:$B$245, $C37,  MRP!$G$2:$G$245, K$1),
    SUMIFS(MRP!$K$2:$K$245, MRP!$B$2:$B$245, $C37,  MRP!$G$2:$G$245, K$1),
    SUMIFS(MRP!$L$2:$L$245, MRP!$B$2:$B$245, $C37,  MRP!$G$2:$G$245, K$1)
)*F37</f>
        <v/>
      </c>
      <c r="L37" s="55">
        <f>TRIM(Tabla3[[#This Row],[CodInternoArti]])</f>
        <v/>
      </c>
    </row>
    <row r="38">
      <c r="A38" s="38">
        <f>IF(ISNUMBER(_xlfn.XMATCH(Tabla3[[#This Row],[CodInternoArti]],'Tabla Articulos'!B:B)),"OK","NO ESTA")</f>
        <v/>
      </c>
      <c r="B38" s="38">
        <f>IF(ISNUMBER(_xlfn.XMATCH('Calcular necesidad'!E:E,'Necesidad por familia'!A:A)),"OK","NO ESTA")</f>
        <v/>
      </c>
      <c r="C38" s="17" t="inlineStr">
        <is>
          <t>7790321020126</t>
        </is>
      </c>
      <c r="D38" s="1" t="inlineStr">
        <is>
          <t>BOLSA CAMISETA 50X60 X 100U RE</t>
        </is>
      </c>
      <c r="E38" s="1">
        <f>_xlfn.XLOOKUP(C38,'Tabla Articulos'!B:B,'Tabla Articulos'!D:D)</f>
        <v/>
      </c>
      <c r="F38" s="1">
        <f>_xlfn.XLOOKUP(C38,'Tabla Articulos'!B:B,'Tabla Articulos'!E:E)</f>
        <v/>
      </c>
      <c r="G38" s="15">
        <f>SUM(
    SUMIFS(MRP!$H$2:$H$245, MRP!$B$2:$B$245, $C38, MRP!$G$2:$G$245, G$1),
    SUMIFS(MRP!$I$2:$I$245, MRP!$B$2:$B$245, $C38, MRP!$G$2:$G$245, G$1),
    SUMIFS(MRP!$J$2:$J$245, MRP!$B$2:$B$245, $C38,  MRP!$G$2:$G$245, G$1),
    SUMIFS(MRP!$K$2:$K$245, MRP!$B$2:$B$245, $C38,  MRP!$G$2:$G$245, G$1),
    SUMIFS(MRP!$L$2:$L$245, MRP!$B$2:$B$245, $C38,  MRP!$G$2:$G$245, G$1)
)*F38</f>
        <v/>
      </c>
      <c r="H38" s="15">
        <f>SUM(
    SUMIFS(MRP!$H$2:$H$245, MRP!$B$2:$B$245, $C38, MRP!$G$2:$G$245, H$1),
    SUMIFS(MRP!$I$2:$I$245, MRP!$B$2:$B$245, $C38, MRP!$G$2:$G$245, H$1),
    SUMIFS(MRP!$J$2:$J$245, MRP!$B$2:$B$245, $C38,  MRP!$G$2:$G$245, H$1),
    SUMIFS(MRP!$K$2:$K$245, MRP!$B$2:$B$245, $C38,  MRP!$G$2:$G$245, H$1),
    SUMIFS(MRP!$L$2:$L$245, MRP!$B$2:$B$245, $C38,  MRP!$G$2:$G$245, H$1)
)*F38</f>
        <v/>
      </c>
      <c r="I38" s="15">
        <f>SUM(
    SUMIFS(MRP!$H$2:$H$245, MRP!$B$2:$B$245, $C38, MRP!$G$2:$G$245, I$1),
    SUMIFS(MRP!$I$2:$I$245, MRP!$B$2:$B$245, $C38, MRP!$G$2:$G$245, I$1),
    SUMIFS(MRP!$J$2:$J$245, MRP!$B$2:$B$245, $C38,  MRP!$G$2:$G$245, I$1),
    SUMIFS(MRP!$K$2:$K$245, MRP!$B$2:$B$245, $C38,  MRP!$G$2:$G$245, I$1),
    SUMIFS(MRP!$L$2:$L$245, MRP!$B$2:$B$245, $C38,  MRP!$G$2:$G$245, I$1)
)*F38</f>
        <v/>
      </c>
      <c r="J38" s="15">
        <f>SUM(
    SUMIFS(MRP!$H$2:$H$245, MRP!$B$2:$B$245, $C38, MRP!$G$2:$G$245, J$1),
    SUMIFS(MRP!$I$2:$I$245, MRP!$B$2:$B$245, $C38, MRP!$G$2:$G$245, J$1),
    SUMIFS(MRP!$J$2:$J$245, MRP!$B$2:$B$245, $C38,  MRP!$G$2:$G$245, J$1),
    SUMIFS(MRP!$K$2:$K$245, MRP!$B$2:$B$245, $C38,  MRP!$G$2:$G$245, J$1),
    SUMIFS(MRP!$L$2:$L$245, MRP!$B$2:$B$245, $C38,  MRP!$G$2:$G$245, J$1)
)*F38</f>
        <v/>
      </c>
      <c r="K38" s="15">
        <f>SUM(
    SUMIFS(MRP!$H$2:$H$245, MRP!$B$2:$B$245, $C38, MRP!$G$2:$G$245, K$1),
    SUMIFS(MRP!$I$2:$I$245, MRP!$B$2:$B$245, $C38, MRP!$G$2:$G$245, K$1),
    SUMIFS(MRP!$J$2:$J$245, MRP!$B$2:$B$245, $C38,  MRP!$G$2:$G$245, K$1),
    SUMIFS(MRP!$K$2:$K$245, MRP!$B$2:$B$245, $C38,  MRP!$G$2:$G$245, K$1),
    SUMIFS(MRP!$L$2:$L$245, MRP!$B$2:$B$245, $C38,  MRP!$G$2:$G$245, K$1)
)*F38</f>
        <v/>
      </c>
      <c r="L38" s="55">
        <f>TRIM(Tabla3[[#This Row],[CodInternoArti]])</f>
        <v/>
      </c>
    </row>
    <row r="39">
      <c r="A39" s="38">
        <f>IF(ISNUMBER(_xlfn.XMATCH(Tabla3[[#This Row],[CodInternoArti]],'Tabla Articulos'!B:B)),"OK","NO ESTA")</f>
        <v/>
      </c>
      <c r="B39" s="38">
        <f>IF(ISNUMBER(_xlfn.XMATCH('Calcular necesidad'!E:E,'Necesidad por familia'!A:A)),"OK","NO ESTA")</f>
        <v/>
      </c>
      <c r="C39" s="17" t="inlineStr">
        <is>
          <t>7790221010601</t>
        </is>
      </c>
      <c r="D39" s="1" t="inlineStr">
        <is>
          <t>BANDEJA CARTON N° 1</t>
        </is>
      </c>
      <c r="E39" s="1">
        <f>_xlfn.XLOOKUP(C39,'Tabla Articulos'!B:B,'Tabla Articulos'!D:D)</f>
        <v/>
      </c>
      <c r="F39" s="1">
        <f>_xlfn.XLOOKUP(C39,'Tabla Articulos'!B:B,'Tabla Articulos'!E:E)</f>
        <v/>
      </c>
      <c r="G39" s="15">
        <f>SUM(
    SUMIFS(MRP!$H$2:$H$245, MRP!$B$2:$B$245, $C39, MRP!$G$2:$G$245, G$1),
    SUMIFS(MRP!$I$2:$I$245, MRP!$B$2:$B$245, $C39, MRP!$G$2:$G$245, G$1),
    SUMIFS(MRP!$J$2:$J$245, MRP!$B$2:$B$245, $C39,  MRP!$G$2:$G$245, G$1),
    SUMIFS(MRP!$K$2:$K$245, MRP!$B$2:$B$245, $C39,  MRP!$G$2:$G$245, G$1),
    SUMIFS(MRP!$L$2:$L$245, MRP!$B$2:$B$245, $C39,  MRP!$G$2:$G$245, G$1)
)*F39</f>
        <v/>
      </c>
      <c r="H39" s="15">
        <f>SUM(
    SUMIFS(MRP!$H$2:$H$245, MRP!$B$2:$B$245, $C39, MRP!$G$2:$G$245, H$1),
    SUMIFS(MRP!$I$2:$I$245, MRP!$B$2:$B$245, $C39, MRP!$G$2:$G$245, H$1),
    SUMIFS(MRP!$J$2:$J$245, MRP!$B$2:$B$245, $C39,  MRP!$G$2:$G$245, H$1),
    SUMIFS(MRP!$K$2:$K$245, MRP!$B$2:$B$245, $C39,  MRP!$G$2:$G$245, H$1),
    SUMIFS(MRP!$L$2:$L$245, MRP!$B$2:$B$245, $C39,  MRP!$G$2:$G$245, H$1)
)*F39</f>
        <v/>
      </c>
      <c r="I39" s="15">
        <f>SUM(
    SUMIFS(MRP!$H$2:$H$245, MRP!$B$2:$B$245, $C39, MRP!$G$2:$G$245, I$1),
    SUMIFS(MRP!$I$2:$I$245, MRP!$B$2:$B$245, $C39, MRP!$G$2:$G$245, I$1),
    SUMIFS(MRP!$J$2:$J$245, MRP!$B$2:$B$245, $C39,  MRP!$G$2:$G$245, I$1),
    SUMIFS(MRP!$K$2:$K$245, MRP!$B$2:$B$245, $C39,  MRP!$G$2:$G$245, I$1),
    SUMIFS(MRP!$L$2:$L$245, MRP!$B$2:$B$245, $C39,  MRP!$G$2:$G$245, I$1)
)*F39</f>
        <v/>
      </c>
      <c r="J39" s="15">
        <f>SUM(
    SUMIFS(MRP!$H$2:$H$245, MRP!$B$2:$B$245, $C39, MRP!$G$2:$G$245, J$1),
    SUMIFS(MRP!$I$2:$I$245, MRP!$B$2:$B$245, $C39, MRP!$G$2:$G$245, J$1),
    SUMIFS(MRP!$J$2:$J$245, MRP!$B$2:$B$245, $C39,  MRP!$G$2:$G$245, J$1),
    SUMIFS(MRP!$K$2:$K$245, MRP!$B$2:$B$245, $C39,  MRP!$G$2:$G$245, J$1),
    SUMIFS(MRP!$L$2:$L$245, MRP!$B$2:$B$245, $C39,  MRP!$G$2:$G$245, J$1)
)*F39</f>
        <v/>
      </c>
      <c r="K39" s="15">
        <f>SUM(
    SUMIFS(MRP!$H$2:$H$245, MRP!$B$2:$B$245, $C39, MRP!$G$2:$G$245, K$1),
    SUMIFS(MRP!$I$2:$I$245, MRP!$B$2:$B$245, $C39, MRP!$G$2:$G$245, K$1),
    SUMIFS(MRP!$J$2:$J$245, MRP!$B$2:$B$245, $C39,  MRP!$G$2:$G$245, K$1),
    SUMIFS(MRP!$K$2:$K$245, MRP!$B$2:$B$245, $C39,  MRP!$G$2:$G$245, K$1),
    SUMIFS(MRP!$L$2:$L$245, MRP!$B$2:$B$245, $C39,  MRP!$G$2:$G$245, K$1)
)*F39</f>
        <v/>
      </c>
      <c r="L39" s="55">
        <f>TRIM(Tabla3[[#This Row],[CodInternoArti]])</f>
        <v/>
      </c>
    </row>
    <row r="40">
      <c r="A40" s="38">
        <f>IF(ISNUMBER(_xlfn.XMATCH(Tabla3[[#This Row],[CodInternoArti]],'Tabla Articulos'!B:B)),"OK","NO ESTA")</f>
        <v/>
      </c>
      <c r="B40" s="38">
        <f>IF(ISNUMBER(_xlfn.XMATCH('Calcular necesidad'!E:E,'Necesidad por familia'!A:A)),"OK","NO ESTA")</f>
        <v/>
      </c>
      <c r="C40" s="17" t="inlineStr">
        <is>
          <t>7790321020106</t>
        </is>
      </c>
      <c r="D40" s="1" t="inlineStr">
        <is>
          <t>BANDEJAS PLASTICAS 101 x 100 U RECTANGULAR</t>
        </is>
      </c>
      <c r="E40" s="1">
        <f>_xlfn.XLOOKUP(C40,'Tabla Articulos'!B:B,'Tabla Articulos'!D:D)</f>
        <v/>
      </c>
      <c r="F40" s="1">
        <f>_xlfn.XLOOKUP(C40,'Tabla Articulos'!B:B,'Tabla Articulos'!E:E)</f>
        <v/>
      </c>
      <c r="G40" s="15">
        <f>SUM(
    SUMIFS(MRP!$H$2:$H$245, MRP!$B$2:$B$245, $C40, MRP!$G$2:$G$245, G$1),
    SUMIFS(MRP!$I$2:$I$245, MRP!$B$2:$B$245, $C40, MRP!$G$2:$G$245, G$1),
    SUMIFS(MRP!$J$2:$J$245, MRP!$B$2:$B$245, $C40,  MRP!$G$2:$G$245, G$1),
    SUMIFS(MRP!$K$2:$K$245, MRP!$B$2:$B$245, $C40,  MRP!$G$2:$G$245, G$1),
    SUMIFS(MRP!$L$2:$L$245, MRP!$B$2:$B$245, $C40,  MRP!$G$2:$G$245, G$1)
)*F40</f>
        <v/>
      </c>
      <c r="H40" s="15">
        <f>SUM(
    SUMIFS(MRP!$H$2:$H$245, MRP!$B$2:$B$245, $C40, MRP!$G$2:$G$245, H$1),
    SUMIFS(MRP!$I$2:$I$245, MRP!$B$2:$B$245, $C40, MRP!$G$2:$G$245, H$1),
    SUMIFS(MRP!$J$2:$J$245, MRP!$B$2:$B$245, $C40,  MRP!$G$2:$G$245, H$1),
    SUMIFS(MRP!$K$2:$K$245, MRP!$B$2:$B$245, $C40,  MRP!$G$2:$G$245, H$1),
    SUMIFS(MRP!$L$2:$L$245, MRP!$B$2:$B$245, $C40,  MRP!$G$2:$G$245, H$1)
)*F40</f>
        <v/>
      </c>
      <c r="I40" s="15">
        <f>SUM(
    SUMIFS(MRP!$H$2:$H$245, MRP!$B$2:$B$245, $C40, MRP!$G$2:$G$245, I$1),
    SUMIFS(MRP!$I$2:$I$245, MRP!$B$2:$B$245, $C40, MRP!$G$2:$G$245, I$1),
    SUMIFS(MRP!$J$2:$J$245, MRP!$B$2:$B$245, $C40,  MRP!$G$2:$G$245, I$1),
    SUMIFS(MRP!$K$2:$K$245, MRP!$B$2:$B$245, $C40,  MRP!$G$2:$G$245, I$1),
    SUMIFS(MRP!$L$2:$L$245, MRP!$B$2:$B$245, $C40,  MRP!$G$2:$G$245, I$1)
)*F40</f>
        <v/>
      </c>
      <c r="J40" s="15">
        <f>SUM(
    SUMIFS(MRP!$H$2:$H$245, MRP!$B$2:$B$245, $C40, MRP!$G$2:$G$245, J$1),
    SUMIFS(MRP!$I$2:$I$245, MRP!$B$2:$B$245, $C40, MRP!$G$2:$G$245, J$1),
    SUMIFS(MRP!$J$2:$J$245, MRP!$B$2:$B$245, $C40,  MRP!$G$2:$G$245, J$1),
    SUMIFS(MRP!$K$2:$K$245, MRP!$B$2:$B$245, $C40,  MRP!$G$2:$G$245, J$1),
    SUMIFS(MRP!$L$2:$L$245, MRP!$B$2:$B$245, $C40,  MRP!$G$2:$G$245, J$1)
)*F40</f>
        <v/>
      </c>
      <c r="K40" s="15">
        <f>SUM(
    SUMIFS(MRP!$H$2:$H$245, MRP!$B$2:$B$245, $C40, MRP!$G$2:$G$245, K$1),
    SUMIFS(MRP!$I$2:$I$245, MRP!$B$2:$B$245, $C40, MRP!$G$2:$G$245, K$1),
    SUMIFS(MRP!$J$2:$J$245, MRP!$B$2:$B$245, $C40,  MRP!$G$2:$G$245, K$1),
    SUMIFS(MRP!$K$2:$K$245, MRP!$B$2:$B$245, $C40,  MRP!$G$2:$G$245, K$1),
    SUMIFS(MRP!$L$2:$L$245, MRP!$B$2:$B$245, $C40,  MRP!$G$2:$G$245, K$1)
)*F40</f>
        <v/>
      </c>
      <c r="L40" s="55">
        <f>TRIM(Tabla3[[#This Row],[CodInternoArti]])</f>
        <v/>
      </c>
    </row>
    <row r="41">
      <c r="A41" s="38">
        <f>IF(ISNUMBER(_xlfn.XMATCH(Tabla3[[#This Row],[CodInternoArti]],'Tabla Articulos'!B:B)),"OK","NO ESTA")</f>
        <v/>
      </c>
      <c r="B41" s="38">
        <f>IF(ISNUMBER(_xlfn.XMATCH('Calcular necesidad'!E:E,'Necesidad por familia'!A:A)),"OK","NO ESTA")</f>
        <v/>
      </c>
      <c r="C41" s="17" t="inlineStr">
        <is>
          <t>7790321020176</t>
        </is>
      </c>
      <c r="D41" s="1" t="inlineStr">
        <is>
          <t>CUCHARA PLAST POSTRE x 1000 U</t>
        </is>
      </c>
      <c r="E41" s="1">
        <f>_xlfn.XLOOKUP(C41,'Tabla Articulos'!B:B,'Tabla Articulos'!D:D)</f>
        <v/>
      </c>
      <c r="F41" s="1">
        <f>_xlfn.XLOOKUP(C41,'Tabla Articulos'!B:B,'Tabla Articulos'!E:E)</f>
        <v/>
      </c>
      <c r="G41" s="15">
        <f>SUM(
    SUMIFS(MRP!$H$2:$H$245, MRP!$B$2:$B$245, $C41, MRP!$G$2:$G$245, G$1),
    SUMIFS(MRP!$I$2:$I$245, MRP!$B$2:$B$245, $C41, MRP!$G$2:$G$245, G$1),
    SUMIFS(MRP!$J$2:$J$245, MRP!$B$2:$B$245, $C41,  MRP!$G$2:$G$245, G$1),
    SUMIFS(MRP!$K$2:$K$245, MRP!$B$2:$B$245, $C41,  MRP!$G$2:$G$245, G$1),
    SUMIFS(MRP!$L$2:$L$245, MRP!$B$2:$B$245, $C41,  MRP!$G$2:$G$245, G$1)
)*F41</f>
        <v/>
      </c>
      <c r="H41" s="15">
        <f>SUM(
    SUMIFS(MRP!$H$2:$H$245, MRP!$B$2:$B$245, $C41, MRP!$G$2:$G$245, H$1),
    SUMIFS(MRP!$I$2:$I$245, MRP!$B$2:$B$245, $C41, MRP!$G$2:$G$245, H$1),
    SUMIFS(MRP!$J$2:$J$245, MRP!$B$2:$B$245, $C41,  MRP!$G$2:$G$245, H$1),
    SUMIFS(MRP!$K$2:$K$245, MRP!$B$2:$B$245, $C41,  MRP!$G$2:$G$245, H$1),
    SUMIFS(MRP!$L$2:$L$245, MRP!$B$2:$B$245, $C41,  MRP!$G$2:$G$245, H$1)
)*F41</f>
        <v/>
      </c>
      <c r="I41" s="15">
        <f>SUM(
    SUMIFS(MRP!$H$2:$H$245, MRP!$B$2:$B$245, $C41, MRP!$G$2:$G$245, I$1),
    SUMIFS(MRP!$I$2:$I$245, MRP!$B$2:$B$245, $C41, MRP!$G$2:$G$245, I$1),
    SUMIFS(MRP!$J$2:$J$245, MRP!$B$2:$B$245, $C41,  MRP!$G$2:$G$245, I$1),
    SUMIFS(MRP!$K$2:$K$245, MRP!$B$2:$B$245, $C41,  MRP!$G$2:$G$245, I$1),
    SUMIFS(MRP!$L$2:$L$245, MRP!$B$2:$B$245, $C41,  MRP!$G$2:$G$245, I$1)
)*F41</f>
        <v/>
      </c>
      <c r="J41" s="15">
        <f>SUM(
    SUMIFS(MRP!$H$2:$H$245, MRP!$B$2:$B$245, $C41, MRP!$G$2:$G$245, J$1),
    SUMIFS(MRP!$I$2:$I$245, MRP!$B$2:$B$245, $C41, MRP!$G$2:$G$245, J$1),
    SUMIFS(MRP!$J$2:$J$245, MRP!$B$2:$B$245, $C41,  MRP!$G$2:$G$245, J$1),
    SUMIFS(MRP!$K$2:$K$245, MRP!$B$2:$B$245, $C41,  MRP!$G$2:$G$245, J$1),
    SUMIFS(MRP!$L$2:$L$245, MRP!$B$2:$B$245, $C41,  MRP!$G$2:$G$245, J$1)
)*F41</f>
        <v/>
      </c>
      <c r="K41" s="15">
        <f>SUM(
    SUMIFS(MRP!$H$2:$H$245, MRP!$B$2:$B$245, $C41, MRP!$G$2:$G$245, K$1),
    SUMIFS(MRP!$I$2:$I$245, MRP!$B$2:$B$245, $C41, MRP!$G$2:$G$245, K$1),
    SUMIFS(MRP!$J$2:$J$245, MRP!$B$2:$B$245, $C41,  MRP!$G$2:$G$245, K$1),
    SUMIFS(MRP!$K$2:$K$245, MRP!$B$2:$B$245, $C41,  MRP!$G$2:$G$245, K$1),
    SUMIFS(MRP!$L$2:$L$245, MRP!$B$2:$B$245, $C41,  MRP!$G$2:$G$245, K$1)
)*F41</f>
        <v/>
      </c>
      <c r="L41" s="55">
        <f>TRIM(Tabla3[[#This Row],[CodInternoArti]])</f>
        <v/>
      </c>
    </row>
    <row r="42">
      <c r="A42" s="38">
        <f>IF(ISNUMBER(_xlfn.XMATCH(Tabla3[[#This Row],[CodInternoArti]],'Tabla Articulos'!B:B)),"OK","NO ESTA")</f>
        <v/>
      </c>
      <c r="B42" s="38">
        <f>IF(ISNUMBER(_xlfn.XMATCH('Calcular necesidad'!E:E,'Necesidad por familia'!A:A)),"OK","NO ESTA")</f>
        <v/>
      </c>
      <c r="C42" s="17" t="inlineStr">
        <is>
          <t>7790321020386</t>
        </is>
      </c>
      <c r="D42" s="1" t="inlineStr">
        <is>
          <t>VASO TERMICO x 180 CC X 25 U</t>
        </is>
      </c>
      <c r="E42" s="1">
        <f>_xlfn.XLOOKUP(C42,'Tabla Articulos'!B:B,'Tabla Articulos'!D:D)</f>
        <v/>
      </c>
      <c r="F42" s="1">
        <f>_xlfn.XLOOKUP(C42,'Tabla Articulos'!B:B,'Tabla Articulos'!E:E)</f>
        <v/>
      </c>
      <c r="G42" s="15">
        <f>SUM(
    SUMIFS(MRP!$H$2:$H$245, MRP!$B$2:$B$245, $C42, MRP!$G$2:$G$245, G$1),
    SUMIFS(MRP!$I$2:$I$245, MRP!$B$2:$B$245, $C42, MRP!$G$2:$G$245, G$1),
    SUMIFS(MRP!$J$2:$J$245, MRP!$B$2:$B$245, $C42,  MRP!$G$2:$G$245, G$1),
    SUMIFS(MRP!$K$2:$K$245, MRP!$B$2:$B$245, $C42,  MRP!$G$2:$G$245, G$1),
    SUMIFS(MRP!$L$2:$L$245, MRP!$B$2:$B$245, $C42,  MRP!$G$2:$G$245, G$1)
)*F42</f>
        <v/>
      </c>
      <c r="H42" s="15">
        <f>SUM(
    SUMIFS(MRP!$H$2:$H$245, MRP!$B$2:$B$245, $C42, MRP!$G$2:$G$245, H$1),
    SUMIFS(MRP!$I$2:$I$245, MRP!$B$2:$B$245, $C42, MRP!$G$2:$G$245, H$1),
    SUMIFS(MRP!$J$2:$J$245, MRP!$B$2:$B$245, $C42,  MRP!$G$2:$G$245, H$1),
    SUMIFS(MRP!$K$2:$K$245, MRP!$B$2:$B$245, $C42,  MRP!$G$2:$G$245, H$1),
    SUMIFS(MRP!$L$2:$L$245, MRP!$B$2:$B$245, $C42,  MRP!$G$2:$G$245, H$1)
)*F42</f>
        <v/>
      </c>
      <c r="I42" s="15">
        <f>SUM(
    SUMIFS(MRP!$H$2:$H$245, MRP!$B$2:$B$245, $C42, MRP!$G$2:$G$245, I$1),
    SUMIFS(MRP!$I$2:$I$245, MRP!$B$2:$B$245, $C42, MRP!$G$2:$G$245, I$1),
    SUMIFS(MRP!$J$2:$J$245, MRP!$B$2:$B$245, $C42,  MRP!$G$2:$G$245, I$1),
    SUMIFS(MRP!$K$2:$K$245, MRP!$B$2:$B$245, $C42,  MRP!$G$2:$G$245, I$1),
    SUMIFS(MRP!$L$2:$L$245, MRP!$B$2:$B$245, $C42,  MRP!$G$2:$G$245, I$1)
)*F42</f>
        <v/>
      </c>
      <c r="J42" s="15">
        <f>SUM(
    SUMIFS(MRP!$H$2:$H$245, MRP!$B$2:$B$245, $C42, MRP!$G$2:$G$245, J$1),
    SUMIFS(MRP!$I$2:$I$245, MRP!$B$2:$B$245, $C42, MRP!$G$2:$G$245, J$1),
    SUMIFS(MRP!$J$2:$J$245, MRP!$B$2:$B$245, $C42,  MRP!$G$2:$G$245, J$1),
    SUMIFS(MRP!$K$2:$K$245, MRP!$B$2:$B$245, $C42,  MRP!$G$2:$G$245, J$1),
    SUMIFS(MRP!$L$2:$L$245, MRP!$B$2:$B$245, $C42,  MRP!$G$2:$G$245, J$1)
)*F42</f>
        <v/>
      </c>
      <c r="K42" s="15">
        <f>SUM(
    SUMIFS(MRP!$H$2:$H$245, MRP!$B$2:$B$245, $C42, MRP!$G$2:$G$245, K$1),
    SUMIFS(MRP!$I$2:$I$245, MRP!$B$2:$B$245, $C42, MRP!$G$2:$G$245, K$1),
    SUMIFS(MRP!$J$2:$J$245, MRP!$B$2:$B$245, $C42,  MRP!$G$2:$G$245, K$1),
    SUMIFS(MRP!$K$2:$K$245, MRP!$B$2:$B$245, $C42,  MRP!$G$2:$G$245, K$1),
    SUMIFS(MRP!$L$2:$L$245, MRP!$B$2:$B$245, $C42,  MRP!$G$2:$G$245, K$1)
)*F42</f>
        <v/>
      </c>
      <c r="L42" s="55">
        <f>TRIM(Tabla3[[#This Row],[CodInternoArti]])</f>
        <v/>
      </c>
    </row>
    <row r="43">
      <c r="A43" s="38">
        <f>IF(ISNUMBER(_xlfn.XMATCH(Tabla3[[#This Row],[CodInternoArti]],'Tabla Articulos'!B:B)),"OK","NO ESTA")</f>
        <v/>
      </c>
      <c r="B43" s="38">
        <f>IF(ISNUMBER(_xlfn.XMATCH('Calcular necesidad'!E:E,'Necesidad por familia'!A:A)),"OK","NO ESTA")</f>
        <v/>
      </c>
      <c r="C43" s="17" t="inlineStr">
        <is>
          <t>7790321020086</t>
        </is>
      </c>
      <c r="D43" s="1" t="inlineStr">
        <is>
          <t>BANDEJA PLASTICA 103 x 100 U</t>
        </is>
      </c>
      <c r="E43" s="1">
        <f>_xlfn.XLOOKUP(C43,'Tabla Articulos'!B:B,'Tabla Articulos'!D:D)</f>
        <v/>
      </c>
      <c r="F43" s="1">
        <f>_xlfn.XLOOKUP(C43,'Tabla Articulos'!B:B,'Tabla Articulos'!E:E)</f>
        <v/>
      </c>
      <c r="G43" s="15">
        <f>SUM(
    SUMIFS(MRP!$H$2:$H$245, MRP!$B$2:$B$245, $C43, MRP!$G$2:$G$245, G$1),
    SUMIFS(MRP!$I$2:$I$245, MRP!$B$2:$B$245, $C43, MRP!$G$2:$G$245, G$1),
    SUMIFS(MRP!$J$2:$J$245, MRP!$B$2:$B$245, $C43,  MRP!$G$2:$G$245, G$1),
    SUMIFS(MRP!$K$2:$K$245, MRP!$B$2:$B$245, $C43,  MRP!$G$2:$G$245, G$1),
    SUMIFS(MRP!$L$2:$L$245, MRP!$B$2:$B$245, $C43,  MRP!$G$2:$G$245, G$1)
)*F43</f>
        <v/>
      </c>
      <c r="H43" s="15">
        <f>SUM(
    SUMIFS(MRP!$H$2:$H$245, MRP!$B$2:$B$245, $C43, MRP!$G$2:$G$245, H$1),
    SUMIFS(MRP!$I$2:$I$245, MRP!$B$2:$B$245, $C43, MRP!$G$2:$G$245, H$1),
    SUMIFS(MRP!$J$2:$J$245, MRP!$B$2:$B$245, $C43,  MRP!$G$2:$G$245, H$1),
    SUMIFS(MRP!$K$2:$K$245, MRP!$B$2:$B$245, $C43,  MRP!$G$2:$G$245, H$1),
    SUMIFS(MRP!$L$2:$L$245, MRP!$B$2:$B$245, $C43,  MRP!$G$2:$G$245, H$1)
)*F43</f>
        <v/>
      </c>
      <c r="I43" s="15">
        <f>SUM(
    SUMIFS(MRP!$H$2:$H$245, MRP!$B$2:$B$245, $C43, MRP!$G$2:$G$245, I$1),
    SUMIFS(MRP!$I$2:$I$245, MRP!$B$2:$B$245, $C43, MRP!$G$2:$G$245, I$1),
    SUMIFS(MRP!$J$2:$J$245, MRP!$B$2:$B$245, $C43,  MRP!$G$2:$G$245, I$1),
    SUMIFS(MRP!$K$2:$K$245, MRP!$B$2:$B$245, $C43,  MRP!$G$2:$G$245, I$1),
    SUMIFS(MRP!$L$2:$L$245, MRP!$B$2:$B$245, $C43,  MRP!$G$2:$G$245, I$1)
)*F43</f>
        <v/>
      </c>
      <c r="J43" s="15">
        <f>SUM(
    SUMIFS(MRP!$H$2:$H$245, MRP!$B$2:$B$245, $C43, MRP!$G$2:$G$245, J$1),
    SUMIFS(MRP!$I$2:$I$245, MRP!$B$2:$B$245, $C43, MRP!$G$2:$G$245, J$1),
    SUMIFS(MRP!$J$2:$J$245, MRP!$B$2:$B$245, $C43,  MRP!$G$2:$G$245, J$1),
    SUMIFS(MRP!$K$2:$K$245, MRP!$B$2:$B$245, $C43,  MRP!$G$2:$G$245, J$1),
    SUMIFS(MRP!$L$2:$L$245, MRP!$B$2:$B$245, $C43,  MRP!$G$2:$G$245, J$1)
)*F43</f>
        <v/>
      </c>
      <c r="K43" s="15">
        <f>SUM(
    SUMIFS(MRP!$H$2:$H$245, MRP!$B$2:$B$245, $C43, MRP!$G$2:$G$245, K$1),
    SUMIFS(MRP!$I$2:$I$245, MRP!$B$2:$B$245, $C43, MRP!$G$2:$G$245, K$1),
    SUMIFS(MRP!$J$2:$J$245, MRP!$B$2:$B$245, $C43,  MRP!$G$2:$G$245, K$1),
    SUMIFS(MRP!$K$2:$K$245, MRP!$B$2:$B$245, $C43,  MRP!$G$2:$G$245, K$1),
    SUMIFS(MRP!$L$2:$L$245, MRP!$B$2:$B$245, $C43,  MRP!$G$2:$G$245, K$1)
)*F43</f>
        <v/>
      </c>
      <c r="L43" s="55">
        <f>TRIM(Tabla3[[#This Row],[CodInternoArti]])</f>
        <v/>
      </c>
    </row>
    <row r="44">
      <c r="A44" s="38">
        <f>IF(ISNUMBER(_xlfn.XMATCH(Tabla3[[#This Row],[CodInternoArti]],'Tabla Articulos'!B:B)),"OK","NO ESTA")</f>
        <v/>
      </c>
      <c r="B44" s="38">
        <f>IF(ISNUMBER(_xlfn.XMATCH('Calcular necesidad'!E:E,'Necesidad por familia'!A:A)),"OK","NO ESTA")</f>
        <v/>
      </c>
      <c r="C44" s="17" t="inlineStr">
        <is>
          <t>7790321020206</t>
        </is>
      </c>
      <c r="D44" s="1" t="inlineStr">
        <is>
          <t>CUCHILLO PLAST DESCARTABLE x 1000 U</t>
        </is>
      </c>
      <c r="E44" s="1">
        <f>_xlfn.XLOOKUP(C44,'Tabla Articulos'!B:B,'Tabla Articulos'!D:D)</f>
        <v/>
      </c>
      <c r="F44" s="1">
        <f>_xlfn.XLOOKUP(C44,'Tabla Articulos'!B:B,'Tabla Articulos'!E:E)</f>
        <v/>
      </c>
      <c r="G44" s="15">
        <f>SUM(
    SUMIFS(MRP!$H$2:$H$245, MRP!$B$2:$B$245, $C44, MRP!$G$2:$G$245, G$1),
    SUMIFS(MRP!$I$2:$I$245, MRP!$B$2:$B$245, $C44, MRP!$G$2:$G$245, G$1),
    SUMIFS(MRP!$J$2:$J$245, MRP!$B$2:$B$245, $C44,  MRP!$G$2:$G$245, G$1),
    SUMIFS(MRP!$K$2:$K$245, MRP!$B$2:$B$245, $C44,  MRP!$G$2:$G$245, G$1),
    SUMIFS(MRP!$L$2:$L$245, MRP!$B$2:$B$245, $C44,  MRP!$G$2:$G$245, G$1)
)*F44</f>
        <v/>
      </c>
      <c r="H44" s="15">
        <f>SUM(
    SUMIFS(MRP!$H$2:$H$245, MRP!$B$2:$B$245, $C44, MRP!$G$2:$G$245, H$1),
    SUMIFS(MRP!$I$2:$I$245, MRP!$B$2:$B$245, $C44, MRP!$G$2:$G$245, H$1),
    SUMIFS(MRP!$J$2:$J$245, MRP!$B$2:$B$245, $C44,  MRP!$G$2:$G$245, H$1),
    SUMIFS(MRP!$K$2:$K$245, MRP!$B$2:$B$245, $C44,  MRP!$G$2:$G$245, H$1),
    SUMIFS(MRP!$L$2:$L$245, MRP!$B$2:$B$245, $C44,  MRP!$G$2:$G$245, H$1)
)*F44</f>
        <v/>
      </c>
      <c r="I44" s="15">
        <f>SUM(
    SUMIFS(MRP!$H$2:$H$245, MRP!$B$2:$B$245, $C44, MRP!$G$2:$G$245, I$1),
    SUMIFS(MRP!$I$2:$I$245, MRP!$B$2:$B$245, $C44, MRP!$G$2:$G$245, I$1),
    SUMIFS(MRP!$J$2:$J$245, MRP!$B$2:$B$245, $C44,  MRP!$G$2:$G$245, I$1),
    SUMIFS(MRP!$K$2:$K$245, MRP!$B$2:$B$245, $C44,  MRP!$G$2:$G$245, I$1),
    SUMIFS(MRP!$L$2:$L$245, MRP!$B$2:$B$245, $C44,  MRP!$G$2:$G$245, I$1)
)*F44</f>
        <v/>
      </c>
      <c r="J44" s="15">
        <f>SUM(
    SUMIFS(MRP!$H$2:$H$245, MRP!$B$2:$B$245, $C44, MRP!$G$2:$G$245, J$1),
    SUMIFS(MRP!$I$2:$I$245, MRP!$B$2:$B$245, $C44, MRP!$G$2:$G$245, J$1),
    SUMIFS(MRP!$J$2:$J$245, MRP!$B$2:$B$245, $C44,  MRP!$G$2:$G$245, J$1),
    SUMIFS(MRP!$K$2:$K$245, MRP!$B$2:$B$245, $C44,  MRP!$G$2:$G$245, J$1),
    SUMIFS(MRP!$L$2:$L$245, MRP!$B$2:$B$245, $C44,  MRP!$G$2:$G$245, J$1)
)*F44</f>
        <v/>
      </c>
      <c r="K44" s="15">
        <f>SUM(
    SUMIFS(MRP!$H$2:$H$245, MRP!$B$2:$B$245, $C44, MRP!$G$2:$G$245, K$1),
    SUMIFS(MRP!$I$2:$I$245, MRP!$B$2:$B$245, $C44, MRP!$G$2:$G$245, K$1),
    SUMIFS(MRP!$J$2:$J$245, MRP!$B$2:$B$245, $C44,  MRP!$G$2:$G$245, K$1),
    SUMIFS(MRP!$K$2:$K$245, MRP!$B$2:$B$245, $C44,  MRP!$G$2:$G$245, K$1),
    SUMIFS(MRP!$L$2:$L$245, MRP!$B$2:$B$245, $C44,  MRP!$G$2:$G$245, K$1)
)*F44</f>
        <v/>
      </c>
      <c r="L44" s="55">
        <f>TRIM(Tabla3[[#This Row],[CodInternoArti]])</f>
        <v/>
      </c>
    </row>
    <row r="45">
      <c r="A45" s="38">
        <f>IF(ISNUMBER(_xlfn.XMATCH(Tabla3[[#This Row],[CodInternoArti]],'Tabla Articulos'!B:B)),"OK","NO ESTA")</f>
        <v/>
      </c>
      <c r="B45" s="38">
        <f>IF(ISNUMBER(_xlfn.XMATCH('Calcular necesidad'!E:E,'Necesidad por familia'!A:A)),"OK","NO ESTA")</f>
        <v/>
      </c>
      <c r="C45" s="17" t="inlineStr">
        <is>
          <t>7790321020256</t>
        </is>
      </c>
      <c r="D45" s="1" t="inlineStr">
        <is>
          <t>TAPA 101 x 100 U</t>
        </is>
      </c>
      <c r="E45" s="1">
        <f>_xlfn.XLOOKUP(C45,'Tabla Articulos'!B:B,'Tabla Articulos'!D:D)</f>
        <v/>
      </c>
      <c r="F45" s="1">
        <f>_xlfn.XLOOKUP(C45,'Tabla Articulos'!B:B,'Tabla Articulos'!E:E)</f>
        <v/>
      </c>
      <c r="G45" s="15">
        <f>SUM(
    SUMIFS(MRP!$H$2:$H$245, MRP!$B$2:$B$245, $C45, MRP!$G$2:$G$245, G$1),
    SUMIFS(MRP!$I$2:$I$245, MRP!$B$2:$B$245, $C45, MRP!$G$2:$G$245, G$1),
    SUMIFS(MRP!$J$2:$J$245, MRP!$B$2:$B$245, $C45,  MRP!$G$2:$G$245, G$1),
    SUMIFS(MRP!$K$2:$K$245, MRP!$B$2:$B$245, $C45,  MRP!$G$2:$G$245, G$1),
    SUMIFS(MRP!$L$2:$L$245, MRP!$B$2:$B$245, $C45,  MRP!$G$2:$G$245, G$1)
)*F45</f>
        <v/>
      </c>
      <c r="H45" s="15">
        <f>SUM(
    SUMIFS(MRP!$H$2:$H$245, MRP!$B$2:$B$245, $C45, MRP!$G$2:$G$245, H$1),
    SUMIFS(MRP!$I$2:$I$245, MRP!$B$2:$B$245, $C45, MRP!$G$2:$G$245, H$1),
    SUMIFS(MRP!$J$2:$J$245, MRP!$B$2:$B$245, $C45,  MRP!$G$2:$G$245, H$1),
    SUMIFS(MRP!$K$2:$K$245, MRP!$B$2:$B$245, $C45,  MRP!$G$2:$G$245, H$1),
    SUMIFS(MRP!$L$2:$L$245, MRP!$B$2:$B$245, $C45,  MRP!$G$2:$G$245, H$1)
)*F45</f>
        <v/>
      </c>
      <c r="I45" s="15">
        <f>SUM(
    SUMIFS(MRP!$H$2:$H$245, MRP!$B$2:$B$245, $C45, MRP!$G$2:$G$245, I$1),
    SUMIFS(MRP!$I$2:$I$245, MRP!$B$2:$B$245, $C45, MRP!$G$2:$G$245, I$1),
    SUMIFS(MRP!$J$2:$J$245, MRP!$B$2:$B$245, $C45,  MRP!$G$2:$G$245, I$1),
    SUMIFS(MRP!$K$2:$K$245, MRP!$B$2:$B$245, $C45,  MRP!$G$2:$G$245, I$1),
    SUMIFS(MRP!$L$2:$L$245, MRP!$B$2:$B$245, $C45,  MRP!$G$2:$G$245, I$1)
)*F45</f>
        <v/>
      </c>
      <c r="J45" s="15">
        <f>SUM(
    SUMIFS(MRP!$H$2:$H$245, MRP!$B$2:$B$245, $C45, MRP!$G$2:$G$245, J$1),
    SUMIFS(MRP!$I$2:$I$245, MRP!$B$2:$B$245, $C45, MRP!$G$2:$G$245, J$1),
    SUMIFS(MRP!$J$2:$J$245, MRP!$B$2:$B$245, $C45,  MRP!$G$2:$G$245, J$1),
    SUMIFS(MRP!$K$2:$K$245, MRP!$B$2:$B$245, $C45,  MRP!$G$2:$G$245, J$1),
    SUMIFS(MRP!$L$2:$L$245, MRP!$B$2:$B$245, $C45,  MRP!$G$2:$G$245, J$1)
)*F45</f>
        <v/>
      </c>
      <c r="K45" s="15">
        <f>SUM(
    SUMIFS(MRP!$H$2:$H$245, MRP!$B$2:$B$245, $C45, MRP!$G$2:$G$245, K$1),
    SUMIFS(MRP!$I$2:$I$245, MRP!$B$2:$B$245, $C45, MRP!$G$2:$G$245, K$1),
    SUMIFS(MRP!$J$2:$J$245, MRP!$B$2:$B$245, $C45,  MRP!$G$2:$G$245, K$1),
    SUMIFS(MRP!$K$2:$K$245, MRP!$B$2:$B$245, $C45,  MRP!$G$2:$G$245, K$1),
    SUMIFS(MRP!$L$2:$L$245, MRP!$B$2:$B$245, $C45,  MRP!$G$2:$G$245, K$1)
)*F45</f>
        <v/>
      </c>
      <c r="L45" s="55">
        <f>TRIM(Tabla3[[#This Row],[CodInternoArti]])</f>
        <v/>
      </c>
    </row>
    <row r="46">
      <c r="A46" s="38">
        <f>IF(ISNUMBER(_xlfn.XMATCH(Tabla3[[#This Row],[CodInternoArti]],'Tabla Articulos'!B:B)),"OK","NO ESTA")</f>
        <v/>
      </c>
      <c r="B46" s="38">
        <f>IF(ISNUMBER(_xlfn.XMATCH('Calcular necesidad'!E:E,'Necesidad por familia'!A:A)),"OK","NO ESTA")</f>
        <v/>
      </c>
      <c r="C46" s="17" t="inlineStr">
        <is>
          <t>7790321020904</t>
        </is>
      </c>
      <c r="D46" s="1" t="inlineStr">
        <is>
          <t xml:space="preserve">COLLARIN CARTON 8/12 OZ X 100 </t>
        </is>
      </c>
      <c r="E46" s="1">
        <f>_xlfn.XLOOKUP(C46,'Tabla Articulos'!B:B,'Tabla Articulos'!D:D)</f>
        <v/>
      </c>
      <c r="F46" s="1">
        <f>_xlfn.XLOOKUP(C46,'Tabla Articulos'!B:B,'Tabla Articulos'!E:E)</f>
        <v/>
      </c>
      <c r="G46" s="15">
        <f>SUM(
    SUMIFS(MRP!$H$2:$H$245, MRP!$B$2:$B$245, $C46, MRP!$G$2:$G$245, G$1),
    SUMIFS(MRP!$I$2:$I$245, MRP!$B$2:$B$245, $C46, MRP!$G$2:$G$245, G$1),
    SUMIFS(MRP!$J$2:$J$245, MRP!$B$2:$B$245, $C46,  MRP!$G$2:$G$245, G$1),
    SUMIFS(MRP!$K$2:$K$245, MRP!$B$2:$B$245, $C46,  MRP!$G$2:$G$245, G$1),
    SUMIFS(MRP!$L$2:$L$245, MRP!$B$2:$B$245, $C46,  MRP!$G$2:$G$245, G$1)
)*F46</f>
        <v/>
      </c>
      <c r="H46" s="15">
        <f>SUM(
    SUMIFS(MRP!$H$2:$H$245, MRP!$B$2:$B$245, $C46, MRP!$G$2:$G$245, H$1),
    SUMIFS(MRP!$I$2:$I$245, MRP!$B$2:$B$245, $C46, MRP!$G$2:$G$245, H$1),
    SUMIFS(MRP!$J$2:$J$245, MRP!$B$2:$B$245, $C46,  MRP!$G$2:$G$245, H$1),
    SUMIFS(MRP!$K$2:$K$245, MRP!$B$2:$B$245, $C46,  MRP!$G$2:$G$245, H$1),
    SUMIFS(MRP!$L$2:$L$245, MRP!$B$2:$B$245, $C46,  MRP!$G$2:$G$245, H$1)
)*F46</f>
        <v/>
      </c>
      <c r="I46" s="15">
        <f>SUM(
    SUMIFS(MRP!$H$2:$H$245, MRP!$B$2:$B$245, $C46, MRP!$G$2:$G$245, I$1),
    SUMIFS(MRP!$I$2:$I$245, MRP!$B$2:$B$245, $C46, MRP!$G$2:$G$245, I$1),
    SUMIFS(MRP!$J$2:$J$245, MRP!$B$2:$B$245, $C46,  MRP!$G$2:$G$245, I$1),
    SUMIFS(MRP!$K$2:$K$245, MRP!$B$2:$B$245, $C46,  MRP!$G$2:$G$245, I$1),
    SUMIFS(MRP!$L$2:$L$245, MRP!$B$2:$B$245, $C46,  MRP!$G$2:$G$245, I$1)
)*F46</f>
        <v/>
      </c>
      <c r="J46" s="15">
        <f>SUM(
    SUMIFS(MRP!$H$2:$H$245, MRP!$B$2:$B$245, $C46, MRP!$G$2:$G$245, J$1),
    SUMIFS(MRP!$I$2:$I$245, MRP!$B$2:$B$245, $C46, MRP!$G$2:$G$245, J$1),
    SUMIFS(MRP!$J$2:$J$245, MRP!$B$2:$B$245, $C46,  MRP!$G$2:$G$245, J$1),
    SUMIFS(MRP!$K$2:$K$245, MRP!$B$2:$B$245, $C46,  MRP!$G$2:$G$245, J$1),
    SUMIFS(MRP!$L$2:$L$245, MRP!$B$2:$B$245, $C46,  MRP!$G$2:$G$245, J$1)
)*F46</f>
        <v/>
      </c>
      <c r="K46" s="15">
        <f>SUM(
    SUMIFS(MRP!$H$2:$H$245, MRP!$B$2:$B$245, $C46, MRP!$G$2:$G$245, K$1),
    SUMIFS(MRP!$I$2:$I$245, MRP!$B$2:$B$245, $C46, MRP!$G$2:$G$245, K$1),
    SUMIFS(MRP!$J$2:$J$245, MRP!$B$2:$B$245, $C46,  MRP!$G$2:$G$245, K$1),
    SUMIFS(MRP!$K$2:$K$245, MRP!$B$2:$B$245, $C46,  MRP!$G$2:$G$245, K$1),
    SUMIFS(MRP!$L$2:$L$245, MRP!$B$2:$B$245, $C46,  MRP!$G$2:$G$245, K$1)
)*F46</f>
        <v/>
      </c>
      <c r="L46" s="55">
        <f>TRIM(Tabla3[[#This Row],[CodInternoArti]])</f>
        <v/>
      </c>
    </row>
    <row r="47">
      <c r="A47" s="38">
        <f>IF(ISNUMBER(_xlfn.XMATCH(Tabla3[[#This Row],[CodInternoArti]],'Tabla Articulos'!B:B)),"OK","NO ESTA")</f>
        <v/>
      </c>
      <c r="B47" s="38">
        <f>IF(ISNUMBER(_xlfn.XMATCH('Calcular necesidad'!E:E,'Necesidad por familia'!A:A)),"OK","NO ESTA")</f>
        <v/>
      </c>
      <c r="C47" s="17" t="inlineStr">
        <is>
          <t>7790221010607</t>
        </is>
      </c>
      <c r="D47" s="1" t="inlineStr">
        <is>
          <t>SORBETES ENSOBRADOS X 1000</t>
        </is>
      </c>
      <c r="E47" s="1">
        <f>_xlfn.XLOOKUP(C47,'Tabla Articulos'!B:B,'Tabla Articulos'!D:D)</f>
        <v/>
      </c>
      <c r="F47" s="1">
        <f>_xlfn.XLOOKUP(C47,'Tabla Articulos'!B:B,'Tabla Articulos'!E:E)</f>
        <v/>
      </c>
      <c r="G47" s="15">
        <f>SUM(
    SUMIFS(MRP!$H$2:$H$245, MRP!$B$2:$B$245, $C47, MRP!$G$2:$G$245, G$1),
    SUMIFS(MRP!$I$2:$I$245, MRP!$B$2:$B$245, $C47, MRP!$G$2:$G$245, G$1),
    SUMIFS(MRP!$J$2:$J$245, MRP!$B$2:$B$245, $C47,  MRP!$G$2:$G$245, G$1),
    SUMIFS(MRP!$K$2:$K$245, MRP!$B$2:$B$245, $C47,  MRP!$G$2:$G$245, G$1),
    SUMIFS(MRP!$L$2:$L$245, MRP!$B$2:$B$245, $C47,  MRP!$G$2:$G$245, G$1)
)*F47</f>
        <v/>
      </c>
      <c r="H47" s="15">
        <f>SUM(
    SUMIFS(MRP!$H$2:$H$245, MRP!$B$2:$B$245, $C47, MRP!$G$2:$G$245, H$1),
    SUMIFS(MRP!$I$2:$I$245, MRP!$B$2:$B$245, $C47, MRP!$G$2:$G$245, H$1),
    SUMIFS(MRP!$J$2:$J$245, MRP!$B$2:$B$245, $C47,  MRP!$G$2:$G$245, H$1),
    SUMIFS(MRP!$K$2:$K$245, MRP!$B$2:$B$245, $C47,  MRP!$G$2:$G$245, H$1),
    SUMIFS(MRP!$L$2:$L$245, MRP!$B$2:$B$245, $C47,  MRP!$G$2:$G$245, H$1)
)*F47</f>
        <v/>
      </c>
      <c r="I47" s="15">
        <f>SUM(
    SUMIFS(MRP!$H$2:$H$245, MRP!$B$2:$B$245, $C47, MRP!$G$2:$G$245, I$1),
    SUMIFS(MRP!$I$2:$I$245, MRP!$B$2:$B$245, $C47, MRP!$G$2:$G$245, I$1),
    SUMIFS(MRP!$J$2:$J$245, MRP!$B$2:$B$245, $C47,  MRP!$G$2:$G$245, I$1),
    SUMIFS(MRP!$K$2:$K$245, MRP!$B$2:$B$245, $C47,  MRP!$G$2:$G$245, I$1),
    SUMIFS(MRP!$L$2:$L$245, MRP!$B$2:$B$245, $C47,  MRP!$G$2:$G$245, I$1)
)*F47</f>
        <v/>
      </c>
      <c r="J47" s="15">
        <f>SUM(
    SUMIFS(MRP!$H$2:$H$245, MRP!$B$2:$B$245, $C47, MRP!$G$2:$G$245, J$1),
    SUMIFS(MRP!$I$2:$I$245, MRP!$B$2:$B$245, $C47, MRP!$G$2:$G$245, J$1),
    SUMIFS(MRP!$J$2:$J$245, MRP!$B$2:$B$245, $C47,  MRP!$G$2:$G$245, J$1),
    SUMIFS(MRP!$K$2:$K$245, MRP!$B$2:$B$245, $C47,  MRP!$G$2:$G$245, J$1),
    SUMIFS(MRP!$L$2:$L$245, MRP!$B$2:$B$245, $C47,  MRP!$G$2:$G$245, J$1)
)*F47</f>
        <v/>
      </c>
      <c r="K47" s="15">
        <f>SUM(
    SUMIFS(MRP!$H$2:$H$245, MRP!$B$2:$B$245, $C47, MRP!$G$2:$G$245, K$1),
    SUMIFS(MRP!$I$2:$I$245, MRP!$B$2:$B$245, $C47, MRP!$G$2:$G$245, K$1),
    SUMIFS(MRP!$J$2:$J$245, MRP!$B$2:$B$245, $C47,  MRP!$G$2:$G$245, K$1),
    SUMIFS(MRP!$K$2:$K$245, MRP!$B$2:$B$245, $C47,  MRP!$G$2:$G$245, K$1),
    SUMIFS(MRP!$L$2:$L$245, MRP!$B$2:$B$245, $C47,  MRP!$G$2:$G$245, K$1)
)*F47</f>
        <v/>
      </c>
      <c r="L47" s="55">
        <f>TRIM(Tabla3[[#This Row],[CodInternoArti]])</f>
        <v/>
      </c>
    </row>
    <row r="48">
      <c r="A48" s="38">
        <f>IF(ISNUMBER(_xlfn.XMATCH(Tabla3[[#This Row],[CodInternoArti]],'Tabla Articulos'!B:B)),"OK","NO ESTA")</f>
        <v/>
      </c>
      <c r="B48" s="38">
        <f>IF(ISNUMBER(_xlfn.XMATCH('Calcular necesidad'!E:E,'Necesidad por familia'!A:A)),"OK","NO ESTA")</f>
        <v/>
      </c>
      <c r="C48" s="17" t="inlineStr">
        <is>
          <t>7790321007512</t>
        </is>
      </c>
      <c r="D48" s="1" t="inlineStr">
        <is>
          <t>BAND ALUM R3/F2275 X600U</t>
        </is>
      </c>
      <c r="E48" s="1">
        <f>_xlfn.XLOOKUP(C48,'Tabla Articulos'!B:B,'Tabla Articulos'!D:D)</f>
        <v/>
      </c>
      <c r="F48" s="1">
        <f>_xlfn.XLOOKUP(C48,'Tabla Articulos'!B:B,'Tabla Articulos'!E:E)</f>
        <v/>
      </c>
      <c r="G48" s="15">
        <f>SUM(
    SUMIFS(MRP!$H$2:$H$245, MRP!$B$2:$B$245, $C48, MRP!$G$2:$G$245, G$1),
    SUMIFS(MRP!$I$2:$I$245, MRP!$B$2:$B$245, $C48, MRP!$G$2:$G$245, G$1),
    SUMIFS(MRP!$J$2:$J$245, MRP!$B$2:$B$245, $C48,  MRP!$G$2:$G$245, G$1),
    SUMIFS(MRP!$K$2:$K$245, MRP!$B$2:$B$245, $C48,  MRP!$G$2:$G$245, G$1),
    SUMIFS(MRP!$L$2:$L$245, MRP!$B$2:$B$245, $C48,  MRP!$G$2:$G$245, G$1)
)*F48</f>
        <v/>
      </c>
      <c r="H48" s="15">
        <f>SUM(
    SUMIFS(MRP!$H$2:$H$245, MRP!$B$2:$B$245, $C48, MRP!$G$2:$G$245, H$1),
    SUMIFS(MRP!$I$2:$I$245, MRP!$B$2:$B$245, $C48, MRP!$G$2:$G$245, H$1),
    SUMIFS(MRP!$J$2:$J$245, MRP!$B$2:$B$245, $C48,  MRP!$G$2:$G$245, H$1),
    SUMIFS(MRP!$K$2:$K$245, MRP!$B$2:$B$245, $C48,  MRP!$G$2:$G$245, H$1),
    SUMIFS(MRP!$L$2:$L$245, MRP!$B$2:$B$245, $C48,  MRP!$G$2:$G$245, H$1)
)*F48</f>
        <v/>
      </c>
      <c r="I48" s="15">
        <f>SUM(
    SUMIFS(MRP!$H$2:$H$245, MRP!$B$2:$B$245, $C48, MRP!$G$2:$G$245, I$1),
    SUMIFS(MRP!$I$2:$I$245, MRP!$B$2:$B$245, $C48, MRP!$G$2:$G$245, I$1),
    SUMIFS(MRP!$J$2:$J$245, MRP!$B$2:$B$245, $C48,  MRP!$G$2:$G$245, I$1),
    SUMIFS(MRP!$K$2:$K$245, MRP!$B$2:$B$245, $C48,  MRP!$G$2:$G$245, I$1),
    SUMIFS(MRP!$L$2:$L$245, MRP!$B$2:$B$245, $C48,  MRP!$G$2:$G$245, I$1)
)*F48</f>
        <v/>
      </c>
      <c r="J48" s="15">
        <f>SUM(
    SUMIFS(MRP!$H$2:$H$245, MRP!$B$2:$B$245, $C48, MRP!$G$2:$G$245, J$1),
    SUMIFS(MRP!$I$2:$I$245, MRP!$B$2:$B$245, $C48, MRP!$G$2:$G$245, J$1),
    SUMIFS(MRP!$J$2:$J$245, MRP!$B$2:$B$245, $C48,  MRP!$G$2:$G$245, J$1),
    SUMIFS(MRP!$K$2:$K$245, MRP!$B$2:$B$245, $C48,  MRP!$G$2:$G$245, J$1),
    SUMIFS(MRP!$L$2:$L$245, MRP!$B$2:$B$245, $C48,  MRP!$G$2:$G$245, J$1)
)*F48</f>
        <v/>
      </c>
      <c r="K48" s="15">
        <f>SUM(
    SUMIFS(MRP!$H$2:$H$245, MRP!$B$2:$B$245, $C48, MRP!$G$2:$G$245, K$1),
    SUMIFS(MRP!$I$2:$I$245, MRP!$B$2:$B$245, $C48, MRP!$G$2:$G$245, K$1),
    SUMIFS(MRP!$J$2:$J$245, MRP!$B$2:$B$245, $C48,  MRP!$G$2:$G$245, K$1),
    SUMIFS(MRP!$K$2:$K$245, MRP!$B$2:$B$245, $C48,  MRP!$G$2:$G$245, K$1),
    SUMIFS(MRP!$L$2:$L$245, MRP!$B$2:$B$245, $C48,  MRP!$G$2:$G$245, K$1)
)*F48</f>
        <v/>
      </c>
      <c r="L48" s="55">
        <f>TRIM(Tabla3[[#This Row],[CodInternoArti]])</f>
        <v/>
      </c>
    </row>
    <row r="49">
      <c r="A49" s="38">
        <f>IF(ISNUMBER(_xlfn.XMATCH(Tabla3[[#This Row],[CodInternoArti]],'Tabla Articulos'!B:B)),"OK","NO ESTA")</f>
        <v/>
      </c>
      <c r="B49" s="38">
        <f>IF(ISNUMBER(_xlfn.XMATCH('Calcular necesidad'!E:E,'Necesidad por familia'!A:A)),"OK","NO ESTA")</f>
        <v/>
      </c>
      <c r="C49" s="17" t="inlineStr">
        <is>
          <t>7790321020096</t>
        </is>
      </c>
      <c r="D49" s="1" t="inlineStr">
        <is>
          <t>BAND PLASTICA 105 X100U COTNYL</t>
        </is>
      </c>
      <c r="E49" s="1">
        <f>_xlfn.XLOOKUP(C49,'Tabla Articulos'!B:B,'Tabla Articulos'!D:D)</f>
        <v/>
      </c>
      <c r="F49" s="1">
        <f>_xlfn.XLOOKUP(C49,'Tabla Articulos'!B:B,'Tabla Articulos'!E:E)</f>
        <v/>
      </c>
      <c r="G49" s="15">
        <f>SUM(
    SUMIFS(MRP!$H$2:$H$245, MRP!$B$2:$B$245, $C49, MRP!$G$2:$G$245, G$1),
    SUMIFS(MRP!$I$2:$I$245, MRP!$B$2:$B$245, $C49, MRP!$G$2:$G$245, G$1),
    SUMIFS(MRP!$J$2:$J$245, MRP!$B$2:$B$245, $C49,  MRP!$G$2:$G$245, G$1),
    SUMIFS(MRP!$K$2:$K$245, MRP!$B$2:$B$245, $C49,  MRP!$G$2:$G$245, G$1),
    SUMIFS(MRP!$L$2:$L$245, MRP!$B$2:$B$245, $C49,  MRP!$G$2:$G$245, G$1)
)*F49</f>
        <v/>
      </c>
      <c r="H49" s="15">
        <f>SUM(
    SUMIFS(MRP!$H$2:$H$245, MRP!$B$2:$B$245, $C49, MRP!$G$2:$G$245, H$1),
    SUMIFS(MRP!$I$2:$I$245, MRP!$B$2:$B$245, $C49, MRP!$G$2:$G$245, H$1),
    SUMIFS(MRP!$J$2:$J$245, MRP!$B$2:$B$245, $C49,  MRP!$G$2:$G$245, H$1),
    SUMIFS(MRP!$K$2:$K$245, MRP!$B$2:$B$245, $C49,  MRP!$G$2:$G$245, H$1),
    SUMIFS(MRP!$L$2:$L$245, MRP!$B$2:$B$245, $C49,  MRP!$G$2:$G$245, H$1)
)*F49</f>
        <v/>
      </c>
      <c r="I49" s="15">
        <f>SUM(
    SUMIFS(MRP!$H$2:$H$245, MRP!$B$2:$B$245, $C49, MRP!$G$2:$G$245, I$1),
    SUMIFS(MRP!$I$2:$I$245, MRP!$B$2:$B$245, $C49, MRP!$G$2:$G$245, I$1),
    SUMIFS(MRP!$J$2:$J$245, MRP!$B$2:$B$245, $C49,  MRP!$G$2:$G$245, I$1),
    SUMIFS(MRP!$K$2:$K$245, MRP!$B$2:$B$245, $C49,  MRP!$G$2:$G$245, I$1),
    SUMIFS(MRP!$L$2:$L$245, MRP!$B$2:$B$245, $C49,  MRP!$G$2:$G$245, I$1)
)*F49</f>
        <v/>
      </c>
      <c r="J49" s="15">
        <f>SUM(
    SUMIFS(MRP!$H$2:$H$245, MRP!$B$2:$B$245, $C49, MRP!$G$2:$G$245, J$1),
    SUMIFS(MRP!$I$2:$I$245, MRP!$B$2:$B$245, $C49, MRP!$G$2:$G$245, J$1),
    SUMIFS(MRP!$J$2:$J$245, MRP!$B$2:$B$245, $C49,  MRP!$G$2:$G$245, J$1),
    SUMIFS(MRP!$K$2:$K$245, MRP!$B$2:$B$245, $C49,  MRP!$G$2:$G$245, J$1),
    SUMIFS(MRP!$L$2:$L$245, MRP!$B$2:$B$245, $C49,  MRP!$G$2:$G$245, J$1)
)*F49</f>
        <v/>
      </c>
      <c r="K49" s="15">
        <f>SUM(
    SUMIFS(MRP!$H$2:$H$245, MRP!$B$2:$B$245, $C49, MRP!$G$2:$G$245, K$1),
    SUMIFS(MRP!$I$2:$I$245, MRP!$B$2:$B$245, $C49, MRP!$G$2:$G$245, K$1),
    SUMIFS(MRP!$J$2:$J$245, MRP!$B$2:$B$245, $C49,  MRP!$G$2:$G$245, K$1),
    SUMIFS(MRP!$K$2:$K$245, MRP!$B$2:$B$245, $C49,  MRP!$G$2:$G$245, K$1),
    SUMIFS(MRP!$L$2:$L$245, MRP!$B$2:$B$245, $C49,  MRP!$G$2:$G$245, K$1)
)*F49</f>
        <v/>
      </c>
      <c r="L49" s="55">
        <f>TRIM(Tabla3[[#This Row],[CodInternoArti]])</f>
        <v/>
      </c>
    </row>
    <row r="50">
      <c r="A50" s="38">
        <f>IF(ISNUMBER(_xlfn.XMATCH(Tabla3[[#This Row],[CodInternoArti]],'Tabla Articulos'!B:B)),"OK","NO ESTA")</f>
        <v/>
      </c>
      <c r="B50" s="38">
        <f>IF(ISNUMBER(_xlfn.XMATCH('Calcular necesidad'!E:E,'Necesidad por familia'!A:A)),"OK","NO ESTA")</f>
        <v/>
      </c>
      <c r="C50" s="17" t="inlineStr">
        <is>
          <t>7790321020156</t>
        </is>
      </c>
      <c r="D50" s="1" t="inlineStr">
        <is>
          <t>VO BOLSA CAMIS NEG 45X60X100UN</t>
        </is>
      </c>
      <c r="E50" s="1">
        <f>_xlfn.XLOOKUP(C50,'Tabla Articulos'!B:B,'Tabla Articulos'!D:D)</f>
        <v/>
      </c>
      <c r="F50" s="1">
        <f>_xlfn.XLOOKUP(C50,'Tabla Articulos'!B:B,'Tabla Articulos'!E:E)</f>
        <v/>
      </c>
      <c r="G50" s="15">
        <f>SUM(
    SUMIFS(MRP!$H$2:$H$245, MRP!$B$2:$B$245, $C50, MRP!$G$2:$G$245, G$1),
    SUMIFS(MRP!$I$2:$I$245, MRP!$B$2:$B$245, $C50, MRP!$G$2:$G$245, G$1),
    SUMIFS(MRP!$J$2:$J$245, MRP!$B$2:$B$245, $C50,  MRP!$G$2:$G$245, G$1),
    SUMIFS(MRP!$K$2:$K$245, MRP!$B$2:$B$245, $C50,  MRP!$G$2:$G$245, G$1),
    SUMIFS(MRP!$L$2:$L$245, MRP!$B$2:$B$245, $C50,  MRP!$G$2:$G$245, G$1)
)*F50</f>
        <v/>
      </c>
      <c r="H50" s="15">
        <f>SUM(
    SUMIFS(MRP!$H$2:$H$245, MRP!$B$2:$B$245, $C50, MRP!$G$2:$G$245, H$1),
    SUMIFS(MRP!$I$2:$I$245, MRP!$B$2:$B$245, $C50, MRP!$G$2:$G$245, H$1),
    SUMIFS(MRP!$J$2:$J$245, MRP!$B$2:$B$245, $C50,  MRP!$G$2:$G$245, H$1),
    SUMIFS(MRP!$K$2:$K$245, MRP!$B$2:$B$245, $C50,  MRP!$G$2:$G$245, H$1),
    SUMIFS(MRP!$L$2:$L$245, MRP!$B$2:$B$245, $C50,  MRP!$G$2:$G$245, H$1)
)*F50</f>
        <v/>
      </c>
      <c r="I50" s="15">
        <f>SUM(
    SUMIFS(MRP!$H$2:$H$245, MRP!$B$2:$B$245, $C50, MRP!$G$2:$G$245, I$1),
    SUMIFS(MRP!$I$2:$I$245, MRP!$B$2:$B$245, $C50, MRP!$G$2:$G$245, I$1),
    SUMIFS(MRP!$J$2:$J$245, MRP!$B$2:$B$245, $C50,  MRP!$G$2:$G$245, I$1),
    SUMIFS(MRP!$K$2:$K$245, MRP!$B$2:$B$245, $C50,  MRP!$G$2:$G$245, I$1),
    SUMIFS(MRP!$L$2:$L$245, MRP!$B$2:$B$245, $C50,  MRP!$G$2:$G$245, I$1)
)*F50</f>
        <v/>
      </c>
      <c r="J50" s="15">
        <f>SUM(
    SUMIFS(MRP!$H$2:$H$245, MRP!$B$2:$B$245, $C50, MRP!$G$2:$G$245, J$1),
    SUMIFS(MRP!$I$2:$I$245, MRP!$B$2:$B$245, $C50, MRP!$G$2:$G$245, J$1),
    SUMIFS(MRP!$J$2:$J$245, MRP!$B$2:$B$245, $C50,  MRP!$G$2:$G$245, J$1),
    SUMIFS(MRP!$K$2:$K$245, MRP!$B$2:$B$245, $C50,  MRP!$G$2:$G$245, J$1),
    SUMIFS(MRP!$L$2:$L$245, MRP!$B$2:$B$245, $C50,  MRP!$G$2:$G$245, J$1)
)*F50</f>
        <v/>
      </c>
      <c r="K50" s="15">
        <f>SUM(
    SUMIFS(MRP!$H$2:$H$245, MRP!$B$2:$B$245, $C50, MRP!$G$2:$G$245, K$1),
    SUMIFS(MRP!$I$2:$I$245, MRP!$B$2:$B$245, $C50, MRP!$G$2:$G$245, K$1),
    SUMIFS(MRP!$J$2:$J$245, MRP!$B$2:$B$245, $C50,  MRP!$G$2:$G$245, K$1),
    SUMIFS(MRP!$K$2:$K$245, MRP!$B$2:$B$245, $C50,  MRP!$G$2:$G$245, K$1),
    SUMIFS(MRP!$L$2:$L$245, MRP!$B$2:$B$245, $C50,  MRP!$G$2:$G$245, K$1)
)*F50</f>
        <v/>
      </c>
      <c r="L50" s="55">
        <f>TRIM(Tabla3[[#This Row],[CodInternoArti]])</f>
        <v/>
      </c>
    </row>
    <row r="51">
      <c r="A51" s="38">
        <f>IF(ISNUMBER(_xlfn.XMATCH(Tabla3[[#This Row],[CodInternoArti]],'Tabla Articulos'!B:B)),"OK","NO ESTA")</f>
        <v/>
      </c>
      <c r="B51" s="38">
        <f>IF(ISNUMBER(_xlfn.XMATCH('Calcular necesidad'!E:E,'Necesidad por familia'!A:A)),"OK","NO ESTA")</f>
        <v/>
      </c>
      <c r="C51" s="17" t="inlineStr">
        <is>
          <t>7790321020336</t>
        </is>
      </c>
      <c r="D51" s="1" t="inlineStr">
        <is>
          <t>TENEDOR DESCARTABLE x 1000 U</t>
        </is>
      </c>
      <c r="E51" s="1">
        <f>_xlfn.XLOOKUP(C51,'Tabla Articulos'!B:B,'Tabla Articulos'!D:D)</f>
        <v/>
      </c>
      <c r="F51" s="1">
        <f>_xlfn.XLOOKUP(C51,'Tabla Articulos'!B:B,'Tabla Articulos'!E:E)</f>
        <v/>
      </c>
      <c r="G51" s="15">
        <f>SUM(
    SUMIFS(MRP!$H$2:$H$245, MRP!$B$2:$B$245, $C51, MRP!$G$2:$G$245, G$1),
    SUMIFS(MRP!$I$2:$I$245, MRP!$B$2:$B$245, $C51, MRP!$G$2:$G$245, G$1),
    SUMIFS(MRP!$J$2:$J$245, MRP!$B$2:$B$245, $C51,  MRP!$G$2:$G$245, G$1),
    SUMIFS(MRP!$K$2:$K$245, MRP!$B$2:$B$245, $C51,  MRP!$G$2:$G$245, G$1),
    SUMIFS(MRP!$L$2:$L$245, MRP!$B$2:$B$245, $C51,  MRP!$G$2:$G$245, G$1)
)*F51</f>
        <v/>
      </c>
      <c r="H51" s="15">
        <f>SUM(
    SUMIFS(MRP!$H$2:$H$245, MRP!$B$2:$B$245, $C51, MRP!$G$2:$G$245, H$1),
    SUMIFS(MRP!$I$2:$I$245, MRP!$B$2:$B$245, $C51, MRP!$G$2:$G$245, H$1),
    SUMIFS(MRP!$J$2:$J$245, MRP!$B$2:$B$245, $C51,  MRP!$G$2:$G$245, H$1),
    SUMIFS(MRP!$K$2:$K$245, MRP!$B$2:$B$245, $C51,  MRP!$G$2:$G$245, H$1),
    SUMIFS(MRP!$L$2:$L$245, MRP!$B$2:$B$245, $C51,  MRP!$G$2:$G$245, H$1)
)*F51</f>
        <v/>
      </c>
      <c r="I51" s="15">
        <f>SUM(
    SUMIFS(MRP!$H$2:$H$245, MRP!$B$2:$B$245, $C51, MRP!$G$2:$G$245, I$1),
    SUMIFS(MRP!$I$2:$I$245, MRP!$B$2:$B$245, $C51, MRP!$G$2:$G$245, I$1),
    SUMIFS(MRP!$J$2:$J$245, MRP!$B$2:$B$245, $C51,  MRP!$G$2:$G$245, I$1),
    SUMIFS(MRP!$K$2:$K$245, MRP!$B$2:$B$245, $C51,  MRP!$G$2:$G$245, I$1),
    SUMIFS(MRP!$L$2:$L$245, MRP!$B$2:$B$245, $C51,  MRP!$G$2:$G$245, I$1)
)*F51</f>
        <v/>
      </c>
      <c r="J51" s="15">
        <f>SUM(
    SUMIFS(MRP!$H$2:$H$245, MRP!$B$2:$B$245, $C51, MRP!$G$2:$G$245, J$1),
    SUMIFS(MRP!$I$2:$I$245, MRP!$B$2:$B$245, $C51, MRP!$G$2:$G$245, J$1),
    SUMIFS(MRP!$J$2:$J$245, MRP!$B$2:$B$245, $C51,  MRP!$G$2:$G$245, J$1),
    SUMIFS(MRP!$K$2:$K$245, MRP!$B$2:$B$245, $C51,  MRP!$G$2:$G$245, J$1),
    SUMIFS(MRP!$L$2:$L$245, MRP!$B$2:$B$245, $C51,  MRP!$G$2:$G$245, J$1)
)*F51</f>
        <v/>
      </c>
      <c r="K51" s="15">
        <f>SUM(
    SUMIFS(MRP!$H$2:$H$245, MRP!$B$2:$B$245, $C51, MRP!$G$2:$G$245, K$1),
    SUMIFS(MRP!$I$2:$I$245, MRP!$B$2:$B$245, $C51, MRP!$G$2:$G$245, K$1),
    SUMIFS(MRP!$J$2:$J$245, MRP!$B$2:$B$245, $C51,  MRP!$G$2:$G$245, K$1),
    SUMIFS(MRP!$K$2:$K$245, MRP!$B$2:$B$245, $C51,  MRP!$G$2:$G$245, K$1),
    SUMIFS(MRP!$L$2:$L$245, MRP!$B$2:$B$245, $C51,  MRP!$G$2:$G$245, K$1)
)*F51</f>
        <v/>
      </c>
      <c r="L51" s="55">
        <f>TRIM(Tabla3[[#This Row],[CodInternoArti]])</f>
        <v/>
      </c>
    </row>
    <row r="52">
      <c r="A52" s="38">
        <f>IF(ISNUMBER(_xlfn.XMATCH(Tabla3[[#This Row],[CodInternoArti]],'Tabla Articulos'!B:B)),"OK","NO ESTA")</f>
        <v/>
      </c>
      <c r="B52" s="38">
        <f>IF(ISNUMBER(_xlfn.XMATCH('Calcular necesidad'!E:E,'Necesidad por familia'!A:A)),"OK","NO ESTA")</f>
        <v/>
      </c>
      <c r="C52" s="17" t="inlineStr">
        <is>
          <t>7790321006512</t>
        </is>
      </c>
      <c r="D52" s="1" t="inlineStr">
        <is>
          <t>BAND. ALUMINIO R5/F2100x600 U</t>
        </is>
      </c>
      <c r="E52" s="1">
        <f>_xlfn.XLOOKUP(C52,'Tabla Articulos'!B:B,'Tabla Articulos'!D:D)</f>
        <v/>
      </c>
      <c r="F52" s="1">
        <f>_xlfn.XLOOKUP(C52,'Tabla Articulos'!B:B,'Tabla Articulos'!E:E)</f>
        <v/>
      </c>
      <c r="G52" s="15">
        <f>SUM(
    SUMIFS(MRP!$H$2:$H$245, MRP!$B$2:$B$245, $C52, MRP!$G$2:$G$245, G$1),
    SUMIFS(MRP!$I$2:$I$245, MRP!$B$2:$B$245, $C52, MRP!$G$2:$G$245, G$1),
    SUMIFS(MRP!$J$2:$J$245, MRP!$B$2:$B$245, $C52,  MRP!$G$2:$G$245, G$1),
    SUMIFS(MRP!$K$2:$K$245, MRP!$B$2:$B$245, $C52,  MRP!$G$2:$G$245, G$1),
    SUMIFS(MRP!$L$2:$L$245, MRP!$B$2:$B$245, $C52,  MRP!$G$2:$G$245, G$1)
)*F52</f>
        <v/>
      </c>
      <c r="H52" s="15">
        <f>SUM(
    SUMIFS(MRP!$H$2:$H$245, MRP!$B$2:$B$245, $C52, MRP!$G$2:$G$245, H$1),
    SUMIFS(MRP!$I$2:$I$245, MRP!$B$2:$B$245, $C52, MRP!$G$2:$G$245, H$1),
    SUMIFS(MRP!$J$2:$J$245, MRP!$B$2:$B$245, $C52,  MRP!$G$2:$G$245, H$1),
    SUMIFS(MRP!$K$2:$K$245, MRP!$B$2:$B$245, $C52,  MRP!$G$2:$G$245, H$1),
    SUMIFS(MRP!$L$2:$L$245, MRP!$B$2:$B$245, $C52,  MRP!$G$2:$G$245, H$1)
)*F52</f>
        <v/>
      </c>
      <c r="I52" s="15">
        <f>SUM(
    SUMIFS(MRP!$H$2:$H$245, MRP!$B$2:$B$245, $C52, MRP!$G$2:$G$245, I$1),
    SUMIFS(MRP!$I$2:$I$245, MRP!$B$2:$B$245, $C52, MRP!$G$2:$G$245, I$1),
    SUMIFS(MRP!$J$2:$J$245, MRP!$B$2:$B$245, $C52,  MRP!$G$2:$G$245, I$1),
    SUMIFS(MRP!$K$2:$K$245, MRP!$B$2:$B$245, $C52,  MRP!$G$2:$G$245, I$1),
    SUMIFS(MRP!$L$2:$L$245, MRP!$B$2:$B$245, $C52,  MRP!$G$2:$G$245, I$1)
)*F52</f>
        <v/>
      </c>
      <c r="J52" s="15">
        <f>SUM(
    SUMIFS(MRP!$H$2:$H$245, MRP!$B$2:$B$245, $C52, MRP!$G$2:$G$245, J$1),
    SUMIFS(MRP!$I$2:$I$245, MRP!$B$2:$B$245, $C52, MRP!$G$2:$G$245, J$1),
    SUMIFS(MRP!$J$2:$J$245, MRP!$B$2:$B$245, $C52,  MRP!$G$2:$G$245, J$1),
    SUMIFS(MRP!$K$2:$K$245, MRP!$B$2:$B$245, $C52,  MRP!$G$2:$G$245, J$1),
    SUMIFS(MRP!$L$2:$L$245, MRP!$B$2:$B$245, $C52,  MRP!$G$2:$G$245, J$1)
)*F52</f>
        <v/>
      </c>
      <c r="K52" s="15">
        <f>SUM(
    SUMIFS(MRP!$H$2:$H$245, MRP!$B$2:$B$245, $C52, MRP!$G$2:$G$245, K$1),
    SUMIFS(MRP!$I$2:$I$245, MRP!$B$2:$B$245, $C52, MRP!$G$2:$G$245, K$1),
    SUMIFS(MRP!$J$2:$J$245, MRP!$B$2:$B$245, $C52,  MRP!$G$2:$G$245, K$1),
    SUMIFS(MRP!$K$2:$K$245, MRP!$B$2:$B$245, $C52,  MRP!$G$2:$G$245, K$1),
    SUMIFS(MRP!$L$2:$L$245, MRP!$B$2:$B$245, $C52,  MRP!$G$2:$G$245, K$1)
)*F52</f>
        <v/>
      </c>
      <c r="L52" s="55">
        <f>TRIM(Tabla3[[#This Row],[CodInternoArti]])</f>
        <v/>
      </c>
    </row>
    <row r="53">
      <c r="A53" s="38">
        <f>IF(ISNUMBER(_xlfn.XMATCH(Tabla3[[#This Row],[CodInternoArti]],'Tabla Articulos'!B:B)),"OK","NO ESTA")</f>
        <v/>
      </c>
      <c r="B53" s="38">
        <f>IF(ISNUMBER(_xlfn.XMATCH('Calcular necesidad'!E:E,'Necesidad por familia'!A:A)),"OK","NO ESTA")</f>
        <v/>
      </c>
      <c r="C53" s="17" t="inlineStr">
        <is>
          <t>7790321020186</t>
        </is>
      </c>
      <c r="D53" s="1" t="inlineStr">
        <is>
          <t>CUCHARA SOPERA DESCARTABLE x  1000 U</t>
        </is>
      </c>
      <c r="E53" s="1">
        <f>_xlfn.XLOOKUP(C53,'Tabla Articulos'!B:B,'Tabla Articulos'!D:D)</f>
        <v/>
      </c>
      <c r="F53" s="1">
        <f>_xlfn.XLOOKUP(C53,'Tabla Articulos'!B:B,'Tabla Articulos'!E:E)</f>
        <v/>
      </c>
      <c r="G53" s="15">
        <f>SUM(
    SUMIFS(MRP!$H$2:$H$245, MRP!$B$2:$B$245, $C53, MRP!$G$2:$G$245, G$1),
    SUMIFS(MRP!$I$2:$I$245, MRP!$B$2:$B$245, $C53, MRP!$G$2:$G$245, G$1),
    SUMIFS(MRP!$J$2:$J$245, MRP!$B$2:$B$245, $C53,  MRP!$G$2:$G$245, G$1),
    SUMIFS(MRP!$K$2:$K$245, MRP!$B$2:$B$245, $C53,  MRP!$G$2:$G$245, G$1),
    SUMIFS(MRP!$L$2:$L$245, MRP!$B$2:$B$245, $C53,  MRP!$G$2:$G$245, G$1)
)*F53</f>
        <v/>
      </c>
      <c r="H53" s="15">
        <f>SUM(
    SUMIFS(MRP!$H$2:$H$245, MRP!$B$2:$B$245, $C53, MRP!$G$2:$G$245, H$1),
    SUMIFS(MRP!$I$2:$I$245, MRP!$B$2:$B$245, $C53, MRP!$G$2:$G$245, H$1),
    SUMIFS(MRP!$J$2:$J$245, MRP!$B$2:$B$245, $C53,  MRP!$G$2:$G$245, H$1),
    SUMIFS(MRP!$K$2:$K$245, MRP!$B$2:$B$245, $C53,  MRP!$G$2:$G$245, H$1),
    SUMIFS(MRP!$L$2:$L$245, MRP!$B$2:$B$245, $C53,  MRP!$G$2:$G$245, H$1)
)*F53</f>
        <v/>
      </c>
      <c r="I53" s="15">
        <f>SUM(
    SUMIFS(MRP!$H$2:$H$245, MRP!$B$2:$B$245, $C53, MRP!$G$2:$G$245, I$1),
    SUMIFS(MRP!$I$2:$I$245, MRP!$B$2:$B$245, $C53, MRP!$G$2:$G$245, I$1),
    SUMIFS(MRP!$J$2:$J$245, MRP!$B$2:$B$245, $C53,  MRP!$G$2:$G$245, I$1),
    SUMIFS(MRP!$K$2:$K$245, MRP!$B$2:$B$245, $C53,  MRP!$G$2:$G$245, I$1),
    SUMIFS(MRP!$L$2:$L$245, MRP!$B$2:$B$245, $C53,  MRP!$G$2:$G$245, I$1)
)*F53</f>
        <v/>
      </c>
      <c r="J53" s="15">
        <f>SUM(
    SUMIFS(MRP!$H$2:$H$245, MRP!$B$2:$B$245, $C53, MRP!$G$2:$G$245, J$1),
    SUMIFS(MRP!$I$2:$I$245, MRP!$B$2:$B$245, $C53, MRP!$G$2:$G$245, J$1),
    SUMIFS(MRP!$J$2:$J$245, MRP!$B$2:$B$245, $C53,  MRP!$G$2:$G$245, J$1),
    SUMIFS(MRP!$K$2:$K$245, MRP!$B$2:$B$245, $C53,  MRP!$G$2:$G$245, J$1),
    SUMIFS(MRP!$L$2:$L$245, MRP!$B$2:$B$245, $C53,  MRP!$G$2:$G$245, J$1)
)*F53</f>
        <v/>
      </c>
      <c r="K53" s="15">
        <f>SUM(
    SUMIFS(MRP!$H$2:$H$245, MRP!$B$2:$B$245, $C53, MRP!$G$2:$G$245, K$1),
    SUMIFS(MRP!$I$2:$I$245, MRP!$B$2:$B$245, $C53, MRP!$G$2:$G$245, K$1),
    SUMIFS(MRP!$J$2:$J$245, MRP!$B$2:$B$245, $C53,  MRP!$G$2:$G$245, K$1),
    SUMIFS(MRP!$K$2:$K$245, MRP!$B$2:$B$245, $C53,  MRP!$G$2:$G$245, K$1),
    SUMIFS(MRP!$L$2:$L$245, MRP!$B$2:$B$245, $C53,  MRP!$G$2:$G$245, K$1)
)*F53</f>
        <v/>
      </c>
      <c r="L53" s="55">
        <f>TRIM(Tabla3[[#This Row],[CodInternoArti]])</f>
        <v/>
      </c>
    </row>
    <row r="54">
      <c r="A54" s="38">
        <f>IF(ISNUMBER(_xlfn.XMATCH(Tabla3[[#This Row],[CodInternoArti]],'Tabla Articulos'!B:B)),"OK","NO ESTA")</f>
        <v/>
      </c>
      <c r="B54" s="38">
        <f>IF(ISNUMBER(_xlfn.XMATCH('Calcular necesidad'!E:E,'Necesidad por familia'!A:A)),"OK","NO ESTA")</f>
        <v/>
      </c>
      <c r="C54" s="17" t="inlineStr">
        <is>
          <t>7790321020196</t>
        </is>
      </c>
      <c r="D54" s="1" t="inlineStr">
        <is>
          <t>CUCHARA SUNDAE DESCARTABLE x 1000 U</t>
        </is>
      </c>
      <c r="E54" s="1">
        <f>_xlfn.XLOOKUP(C54,'Tabla Articulos'!B:B,'Tabla Articulos'!D:D)</f>
        <v/>
      </c>
      <c r="F54" s="1">
        <f>_xlfn.XLOOKUP(C54,'Tabla Articulos'!B:B,'Tabla Articulos'!E:E)</f>
        <v/>
      </c>
      <c r="G54" s="15">
        <f>SUM(
    SUMIFS(MRP!$H$2:$H$245, MRP!$B$2:$B$245, $C54, MRP!$G$2:$G$245, G$1),
    SUMIFS(MRP!$I$2:$I$245, MRP!$B$2:$B$245, $C54, MRP!$G$2:$G$245, G$1),
    SUMIFS(MRP!$J$2:$J$245, MRP!$B$2:$B$245, $C54,  MRP!$G$2:$G$245, G$1),
    SUMIFS(MRP!$K$2:$K$245, MRP!$B$2:$B$245, $C54,  MRP!$G$2:$G$245, G$1),
    SUMIFS(MRP!$L$2:$L$245, MRP!$B$2:$B$245, $C54,  MRP!$G$2:$G$245, G$1)
)*F54</f>
        <v/>
      </c>
      <c r="H54" s="15">
        <f>SUM(
    SUMIFS(MRP!$H$2:$H$245, MRP!$B$2:$B$245, $C54, MRP!$G$2:$G$245, H$1),
    SUMIFS(MRP!$I$2:$I$245, MRP!$B$2:$B$245, $C54, MRP!$G$2:$G$245, H$1),
    SUMIFS(MRP!$J$2:$J$245, MRP!$B$2:$B$245, $C54,  MRP!$G$2:$G$245, H$1),
    SUMIFS(MRP!$K$2:$K$245, MRP!$B$2:$B$245, $C54,  MRP!$G$2:$G$245, H$1),
    SUMIFS(MRP!$L$2:$L$245, MRP!$B$2:$B$245, $C54,  MRP!$G$2:$G$245, H$1)
)*F54</f>
        <v/>
      </c>
      <c r="I54" s="15">
        <f>SUM(
    SUMIFS(MRP!$H$2:$H$245, MRP!$B$2:$B$245, $C54, MRP!$G$2:$G$245, I$1),
    SUMIFS(MRP!$I$2:$I$245, MRP!$B$2:$B$245, $C54, MRP!$G$2:$G$245, I$1),
    SUMIFS(MRP!$J$2:$J$245, MRP!$B$2:$B$245, $C54,  MRP!$G$2:$G$245, I$1),
    SUMIFS(MRP!$K$2:$K$245, MRP!$B$2:$B$245, $C54,  MRP!$G$2:$G$245, I$1),
    SUMIFS(MRP!$L$2:$L$245, MRP!$B$2:$B$245, $C54,  MRP!$G$2:$G$245, I$1)
)*F54</f>
        <v/>
      </c>
      <c r="J54" s="15">
        <f>SUM(
    SUMIFS(MRP!$H$2:$H$245, MRP!$B$2:$B$245, $C54, MRP!$G$2:$G$245, J$1),
    SUMIFS(MRP!$I$2:$I$245, MRP!$B$2:$B$245, $C54, MRP!$G$2:$G$245, J$1),
    SUMIFS(MRP!$J$2:$J$245, MRP!$B$2:$B$245, $C54,  MRP!$G$2:$G$245, J$1),
    SUMIFS(MRP!$K$2:$K$245, MRP!$B$2:$B$245, $C54,  MRP!$G$2:$G$245, J$1),
    SUMIFS(MRP!$L$2:$L$245, MRP!$B$2:$B$245, $C54,  MRP!$G$2:$G$245, J$1)
)*F54</f>
        <v/>
      </c>
      <c r="K54" s="15">
        <f>SUM(
    SUMIFS(MRP!$H$2:$H$245, MRP!$B$2:$B$245, $C54, MRP!$G$2:$G$245, K$1),
    SUMIFS(MRP!$I$2:$I$245, MRP!$B$2:$B$245, $C54, MRP!$G$2:$G$245, K$1),
    SUMIFS(MRP!$J$2:$J$245, MRP!$B$2:$B$245, $C54,  MRP!$G$2:$G$245, K$1),
    SUMIFS(MRP!$K$2:$K$245, MRP!$B$2:$B$245, $C54,  MRP!$G$2:$G$245, K$1),
    SUMIFS(MRP!$L$2:$L$245, MRP!$B$2:$B$245, $C54,  MRP!$G$2:$G$245, K$1)
)*F54</f>
        <v/>
      </c>
      <c r="L54" s="55">
        <f>TRIM(Tabla3[[#This Row],[CodInternoArti]])</f>
        <v/>
      </c>
    </row>
    <row r="55">
      <c r="A55" s="38">
        <f>IF(ISNUMBER(_xlfn.XMATCH(Tabla3[[#This Row],[CodInternoArti]],'Tabla Articulos'!B:B)),"OK","NO ESTA")</f>
        <v/>
      </c>
      <c r="B55" s="38">
        <f>IF(ISNUMBER(_xlfn.XMATCH('Calcular necesidad'!E:E,'Necesidad por familia'!A:A)),"OK","NO ESTA")</f>
        <v/>
      </c>
      <c r="C55" s="17" t="inlineStr">
        <is>
          <t>7790321020526</t>
        </is>
      </c>
      <c r="D55" s="1" t="inlineStr">
        <is>
          <t>SERVILLETA S/ LOGO 18X18X1000U</t>
        </is>
      </c>
      <c r="E55" s="1">
        <f>_xlfn.XLOOKUP(C55,'Tabla Articulos'!B:B,'Tabla Articulos'!D:D)</f>
        <v/>
      </c>
      <c r="F55" s="1">
        <f>_xlfn.XLOOKUP(C55,'Tabla Articulos'!B:B,'Tabla Articulos'!E:E)</f>
        <v/>
      </c>
      <c r="G55" s="15">
        <f>SUM(
    SUMIFS(MRP!$H$2:$H$245, MRP!$B$2:$B$245, $C55, MRP!$G$2:$G$245, G$1),
    SUMIFS(MRP!$I$2:$I$245, MRP!$B$2:$B$245, $C55, MRP!$G$2:$G$245, G$1),
    SUMIFS(MRP!$J$2:$J$245, MRP!$B$2:$B$245, $C55,  MRP!$G$2:$G$245, G$1),
    SUMIFS(MRP!$K$2:$K$245, MRP!$B$2:$B$245, $C55,  MRP!$G$2:$G$245, G$1),
    SUMIFS(MRP!$L$2:$L$245, MRP!$B$2:$B$245, $C55,  MRP!$G$2:$G$245, G$1)
)*F55</f>
        <v/>
      </c>
      <c r="H55" s="15">
        <f>SUM(
    SUMIFS(MRP!$H$2:$H$245, MRP!$B$2:$B$245, $C55, MRP!$G$2:$G$245, H$1),
    SUMIFS(MRP!$I$2:$I$245, MRP!$B$2:$B$245, $C55, MRP!$G$2:$G$245, H$1),
    SUMIFS(MRP!$J$2:$J$245, MRP!$B$2:$B$245, $C55,  MRP!$G$2:$G$245, H$1),
    SUMIFS(MRP!$K$2:$K$245, MRP!$B$2:$B$245, $C55,  MRP!$G$2:$G$245, H$1),
    SUMIFS(MRP!$L$2:$L$245, MRP!$B$2:$B$245, $C55,  MRP!$G$2:$G$245, H$1)
)*F55</f>
        <v/>
      </c>
      <c r="I55" s="15">
        <f>SUM(
    SUMIFS(MRP!$H$2:$H$245, MRP!$B$2:$B$245, $C55, MRP!$G$2:$G$245, I$1),
    SUMIFS(MRP!$I$2:$I$245, MRP!$B$2:$B$245, $C55, MRP!$G$2:$G$245, I$1),
    SUMIFS(MRP!$J$2:$J$245, MRP!$B$2:$B$245, $C55,  MRP!$G$2:$G$245, I$1),
    SUMIFS(MRP!$K$2:$K$245, MRP!$B$2:$B$245, $C55,  MRP!$G$2:$G$245, I$1),
    SUMIFS(MRP!$L$2:$L$245, MRP!$B$2:$B$245, $C55,  MRP!$G$2:$G$245, I$1)
)*F55</f>
        <v/>
      </c>
      <c r="J55" s="15">
        <f>SUM(
    SUMIFS(MRP!$H$2:$H$245, MRP!$B$2:$B$245, $C55, MRP!$G$2:$G$245, J$1),
    SUMIFS(MRP!$I$2:$I$245, MRP!$B$2:$B$245, $C55, MRP!$G$2:$G$245, J$1),
    SUMIFS(MRP!$J$2:$J$245, MRP!$B$2:$B$245, $C55,  MRP!$G$2:$G$245, J$1),
    SUMIFS(MRP!$K$2:$K$245, MRP!$B$2:$B$245, $C55,  MRP!$G$2:$G$245, J$1),
    SUMIFS(MRP!$L$2:$L$245, MRP!$B$2:$B$245, $C55,  MRP!$G$2:$G$245, J$1)
)*F55</f>
        <v/>
      </c>
      <c r="K55" s="15">
        <f>SUM(
    SUMIFS(MRP!$H$2:$H$245, MRP!$B$2:$B$245, $C55, MRP!$G$2:$G$245, K$1),
    SUMIFS(MRP!$I$2:$I$245, MRP!$B$2:$B$245, $C55, MRP!$G$2:$G$245, K$1),
    SUMIFS(MRP!$J$2:$J$245, MRP!$B$2:$B$245, $C55,  MRP!$G$2:$G$245, K$1),
    SUMIFS(MRP!$K$2:$K$245, MRP!$B$2:$B$245, $C55,  MRP!$G$2:$G$245, K$1),
    SUMIFS(MRP!$L$2:$L$245, MRP!$B$2:$B$245, $C55,  MRP!$G$2:$G$245, K$1)
)*F55</f>
        <v/>
      </c>
      <c r="L55" s="55">
        <f>TRIM(Tabla3[[#This Row],[CodInternoArti]])</f>
        <v/>
      </c>
    </row>
    <row r="56">
      <c r="A56" s="38">
        <f>IF(ISNUMBER(_xlfn.XMATCH(Tabla3[[#This Row],[CodInternoArti]],'Tabla Articulos'!B:B)),"OK","NO ESTA")</f>
        <v/>
      </c>
      <c r="B56" s="38">
        <f>IF(ISNUMBER(_xlfn.XMATCH('Calcular necesidad'!E:E,'Necesidad por familia'!A:A)),"OK","NO ESTA")</f>
        <v/>
      </c>
      <c r="C56" s="17" t="inlineStr">
        <is>
          <t>7790321020326</t>
        </is>
      </c>
      <c r="D56" s="1" t="inlineStr">
        <is>
          <t>TAPA VASO TERM 240 CC x 100 U</t>
        </is>
      </c>
      <c r="E56" s="1">
        <f>_xlfn.XLOOKUP(C56,'Tabla Articulos'!B:B,'Tabla Articulos'!D:D)</f>
        <v/>
      </c>
      <c r="F56" s="1">
        <f>_xlfn.XLOOKUP(C56,'Tabla Articulos'!B:B,'Tabla Articulos'!E:E)</f>
        <v/>
      </c>
      <c r="G56" s="15">
        <f>SUM(
    SUMIFS(MRP!$H$2:$H$245, MRP!$B$2:$B$245, $C56, MRP!$G$2:$G$245, G$1),
    SUMIFS(MRP!$I$2:$I$245, MRP!$B$2:$B$245, $C56, MRP!$G$2:$G$245, G$1),
    SUMIFS(MRP!$J$2:$J$245, MRP!$B$2:$B$245, $C56,  MRP!$G$2:$G$245, G$1),
    SUMIFS(MRP!$K$2:$K$245, MRP!$B$2:$B$245, $C56,  MRP!$G$2:$G$245, G$1),
    SUMIFS(MRP!$L$2:$L$245, MRP!$B$2:$B$245, $C56,  MRP!$G$2:$G$245, G$1)
)*F56</f>
        <v/>
      </c>
      <c r="H56" s="15">
        <f>SUM(
    SUMIFS(MRP!$H$2:$H$245, MRP!$B$2:$B$245, $C56, MRP!$G$2:$G$245, H$1),
    SUMIFS(MRP!$I$2:$I$245, MRP!$B$2:$B$245, $C56, MRP!$G$2:$G$245, H$1),
    SUMIFS(MRP!$J$2:$J$245, MRP!$B$2:$B$245, $C56,  MRP!$G$2:$G$245, H$1),
    SUMIFS(MRP!$K$2:$K$245, MRP!$B$2:$B$245, $C56,  MRP!$G$2:$G$245, H$1),
    SUMIFS(MRP!$L$2:$L$245, MRP!$B$2:$B$245, $C56,  MRP!$G$2:$G$245, H$1)
)*F56</f>
        <v/>
      </c>
      <c r="I56" s="15">
        <f>SUM(
    SUMIFS(MRP!$H$2:$H$245, MRP!$B$2:$B$245, $C56, MRP!$G$2:$G$245, I$1),
    SUMIFS(MRP!$I$2:$I$245, MRP!$B$2:$B$245, $C56, MRP!$G$2:$G$245, I$1),
    SUMIFS(MRP!$J$2:$J$245, MRP!$B$2:$B$245, $C56,  MRP!$G$2:$G$245, I$1),
    SUMIFS(MRP!$K$2:$K$245, MRP!$B$2:$B$245, $C56,  MRP!$G$2:$G$245, I$1),
    SUMIFS(MRP!$L$2:$L$245, MRP!$B$2:$B$245, $C56,  MRP!$G$2:$G$245, I$1)
)*F56</f>
        <v/>
      </c>
      <c r="J56" s="15">
        <f>SUM(
    SUMIFS(MRP!$H$2:$H$245, MRP!$B$2:$B$245, $C56, MRP!$G$2:$G$245, J$1),
    SUMIFS(MRP!$I$2:$I$245, MRP!$B$2:$B$245, $C56, MRP!$G$2:$G$245, J$1),
    SUMIFS(MRP!$J$2:$J$245, MRP!$B$2:$B$245, $C56,  MRP!$G$2:$G$245, J$1),
    SUMIFS(MRP!$K$2:$K$245, MRP!$B$2:$B$245, $C56,  MRP!$G$2:$G$245, J$1),
    SUMIFS(MRP!$L$2:$L$245, MRP!$B$2:$B$245, $C56,  MRP!$G$2:$G$245, J$1)
)*F56</f>
        <v/>
      </c>
      <c r="K56" s="15">
        <f>SUM(
    SUMIFS(MRP!$H$2:$H$245, MRP!$B$2:$B$245, $C56, MRP!$G$2:$G$245, K$1),
    SUMIFS(MRP!$I$2:$I$245, MRP!$B$2:$B$245, $C56, MRP!$G$2:$G$245, K$1),
    SUMIFS(MRP!$J$2:$J$245, MRP!$B$2:$B$245, $C56,  MRP!$G$2:$G$245, K$1),
    SUMIFS(MRP!$K$2:$K$245, MRP!$B$2:$B$245, $C56,  MRP!$G$2:$G$245, K$1),
    SUMIFS(MRP!$L$2:$L$245, MRP!$B$2:$B$245, $C56,  MRP!$G$2:$G$245, K$1)
)*F56</f>
        <v/>
      </c>
      <c r="L56" s="55">
        <f>TRIM(Tabla3[[#This Row],[CodInternoArti]])</f>
        <v/>
      </c>
    </row>
    <row r="57">
      <c r="A57" s="38">
        <f>IF(ISNUMBER(_xlfn.XMATCH(Tabla3[[#This Row],[CodInternoArti]],'Tabla Articulos'!B:B)),"OK","NO ESTA")</f>
        <v/>
      </c>
      <c r="B57" s="38">
        <f>IF(ISNUMBER(_xlfn.XMATCH('Calcular necesidad'!E:E,'Necesidad por familia'!A:A)),"OK","NO ESTA")</f>
        <v/>
      </c>
      <c r="C57" s="17" t="inlineStr">
        <is>
          <t>7790321020056</t>
        </is>
      </c>
      <c r="D57" s="1" t="inlineStr">
        <is>
          <t>BAND ALUMINIO R3/F275 x 600 U</t>
        </is>
      </c>
      <c r="E57" s="1">
        <f>_xlfn.XLOOKUP(C57,'Tabla Articulos'!B:B,'Tabla Articulos'!D:D)</f>
        <v/>
      </c>
      <c r="F57" s="1">
        <f>_xlfn.XLOOKUP(C57,'Tabla Articulos'!B:B,'Tabla Articulos'!E:E)</f>
        <v/>
      </c>
      <c r="G57" s="15">
        <f>SUM(
    SUMIFS(MRP!$H$2:$H$245, MRP!$B$2:$B$245, $C57, MRP!$G$2:$G$245, G$1),
    SUMIFS(MRP!$I$2:$I$245, MRP!$B$2:$B$245, $C57, MRP!$G$2:$G$245, G$1),
    SUMIFS(MRP!$J$2:$J$245, MRP!$B$2:$B$245, $C57,  MRP!$G$2:$G$245, G$1),
    SUMIFS(MRP!$K$2:$K$245, MRP!$B$2:$B$245, $C57,  MRP!$G$2:$G$245, G$1),
    SUMIFS(MRP!$L$2:$L$245, MRP!$B$2:$B$245, $C57,  MRP!$G$2:$G$245, G$1)
)*F57</f>
        <v/>
      </c>
      <c r="H57" s="15">
        <f>SUM(
    SUMIFS(MRP!$H$2:$H$245, MRP!$B$2:$B$245, $C57, MRP!$G$2:$G$245, H$1),
    SUMIFS(MRP!$I$2:$I$245, MRP!$B$2:$B$245, $C57, MRP!$G$2:$G$245, H$1),
    SUMIFS(MRP!$J$2:$J$245, MRP!$B$2:$B$245, $C57,  MRP!$G$2:$G$245, H$1),
    SUMIFS(MRP!$K$2:$K$245, MRP!$B$2:$B$245, $C57,  MRP!$G$2:$G$245, H$1),
    SUMIFS(MRP!$L$2:$L$245, MRP!$B$2:$B$245, $C57,  MRP!$G$2:$G$245, H$1)
)*F57</f>
        <v/>
      </c>
      <c r="I57" s="15">
        <f>SUM(
    SUMIFS(MRP!$H$2:$H$245, MRP!$B$2:$B$245, $C57, MRP!$G$2:$G$245, I$1),
    SUMIFS(MRP!$I$2:$I$245, MRP!$B$2:$B$245, $C57, MRP!$G$2:$G$245, I$1),
    SUMIFS(MRP!$J$2:$J$245, MRP!$B$2:$B$245, $C57,  MRP!$G$2:$G$245, I$1),
    SUMIFS(MRP!$K$2:$K$245, MRP!$B$2:$B$245, $C57,  MRP!$G$2:$G$245, I$1),
    SUMIFS(MRP!$L$2:$L$245, MRP!$B$2:$B$245, $C57,  MRP!$G$2:$G$245, I$1)
)*F57</f>
        <v/>
      </c>
      <c r="J57" s="15">
        <f>SUM(
    SUMIFS(MRP!$H$2:$H$245, MRP!$B$2:$B$245, $C57, MRP!$G$2:$G$245, J$1),
    SUMIFS(MRP!$I$2:$I$245, MRP!$B$2:$B$245, $C57, MRP!$G$2:$G$245, J$1),
    SUMIFS(MRP!$J$2:$J$245, MRP!$B$2:$B$245, $C57,  MRP!$G$2:$G$245, J$1),
    SUMIFS(MRP!$K$2:$K$245, MRP!$B$2:$B$245, $C57,  MRP!$G$2:$G$245, J$1),
    SUMIFS(MRP!$L$2:$L$245, MRP!$B$2:$B$245, $C57,  MRP!$G$2:$G$245, J$1)
)*F57</f>
        <v/>
      </c>
      <c r="K57" s="15">
        <f>SUM(
    SUMIFS(MRP!$H$2:$H$245, MRP!$B$2:$B$245, $C57, MRP!$G$2:$G$245, K$1),
    SUMIFS(MRP!$I$2:$I$245, MRP!$B$2:$B$245, $C57, MRP!$G$2:$G$245, K$1),
    SUMIFS(MRP!$J$2:$J$245, MRP!$B$2:$B$245, $C57,  MRP!$G$2:$G$245, K$1),
    SUMIFS(MRP!$K$2:$K$245, MRP!$B$2:$B$245, $C57,  MRP!$G$2:$G$245, K$1),
    SUMIFS(MRP!$L$2:$L$245, MRP!$B$2:$B$245, $C57,  MRP!$G$2:$G$245, K$1)
)*F57</f>
        <v/>
      </c>
      <c r="L57" s="55">
        <f>TRIM(Tabla3[[#This Row],[CodInternoArti]])</f>
        <v/>
      </c>
    </row>
    <row r="58">
      <c r="A58" s="38">
        <f>IF(ISNUMBER(_xlfn.XMATCH(Tabla3[[#This Row],[CodInternoArti]],'Tabla Articulos'!B:B)),"OK","NO ESTA")</f>
        <v/>
      </c>
      <c r="B58" s="38">
        <f>IF(ISNUMBER(_xlfn.XMATCH('Calcular necesidad'!E:E,'Necesidad por familia'!A:A)),"OK","NO ESTA")</f>
        <v/>
      </c>
      <c r="C58" s="17" t="inlineStr">
        <is>
          <t>7790321020296</t>
        </is>
      </c>
      <c r="D58" s="1" t="inlineStr">
        <is>
          <t>TAPA ALUMINIO R3/F275 x 600 U</t>
        </is>
      </c>
      <c r="E58" s="1">
        <f>_xlfn.XLOOKUP(C58,'Tabla Articulos'!B:B,'Tabla Articulos'!D:D)</f>
        <v/>
      </c>
      <c r="F58" s="1">
        <f>_xlfn.XLOOKUP(C58,'Tabla Articulos'!B:B,'Tabla Articulos'!E:E)</f>
        <v/>
      </c>
      <c r="G58" s="15">
        <f>SUM(
    SUMIFS(MRP!$H$2:$H$245, MRP!$B$2:$B$245, $C58, MRP!$G$2:$G$245, G$1),
    SUMIFS(MRP!$I$2:$I$245, MRP!$B$2:$B$245, $C58, MRP!$G$2:$G$245, G$1),
    SUMIFS(MRP!$J$2:$J$245, MRP!$B$2:$B$245, $C58,  MRP!$G$2:$G$245, G$1),
    SUMIFS(MRP!$K$2:$K$245, MRP!$B$2:$B$245, $C58,  MRP!$G$2:$G$245, G$1),
    SUMIFS(MRP!$L$2:$L$245, MRP!$B$2:$B$245, $C58,  MRP!$G$2:$G$245, G$1)
)*F58</f>
        <v/>
      </c>
      <c r="H58" s="15">
        <f>SUM(
    SUMIFS(MRP!$H$2:$H$245, MRP!$B$2:$B$245, $C58, MRP!$G$2:$G$245, H$1),
    SUMIFS(MRP!$I$2:$I$245, MRP!$B$2:$B$245, $C58, MRP!$G$2:$G$245, H$1),
    SUMIFS(MRP!$J$2:$J$245, MRP!$B$2:$B$245, $C58,  MRP!$G$2:$G$245, H$1),
    SUMIFS(MRP!$K$2:$K$245, MRP!$B$2:$B$245, $C58,  MRP!$G$2:$G$245, H$1),
    SUMIFS(MRP!$L$2:$L$245, MRP!$B$2:$B$245, $C58,  MRP!$G$2:$G$245, H$1)
)*F58</f>
        <v/>
      </c>
      <c r="I58" s="15">
        <f>SUM(
    SUMIFS(MRP!$H$2:$H$245, MRP!$B$2:$B$245, $C58, MRP!$G$2:$G$245, I$1),
    SUMIFS(MRP!$I$2:$I$245, MRP!$B$2:$B$245, $C58, MRP!$G$2:$G$245, I$1),
    SUMIFS(MRP!$J$2:$J$245, MRP!$B$2:$B$245, $C58,  MRP!$G$2:$G$245, I$1),
    SUMIFS(MRP!$K$2:$K$245, MRP!$B$2:$B$245, $C58,  MRP!$G$2:$G$245, I$1),
    SUMIFS(MRP!$L$2:$L$245, MRP!$B$2:$B$245, $C58,  MRP!$G$2:$G$245, I$1)
)*F58</f>
        <v/>
      </c>
      <c r="J58" s="15">
        <f>SUM(
    SUMIFS(MRP!$H$2:$H$245, MRP!$B$2:$B$245, $C58, MRP!$G$2:$G$245, J$1),
    SUMIFS(MRP!$I$2:$I$245, MRP!$B$2:$B$245, $C58, MRP!$G$2:$G$245, J$1),
    SUMIFS(MRP!$J$2:$J$245, MRP!$B$2:$B$245, $C58,  MRP!$G$2:$G$245, J$1),
    SUMIFS(MRP!$K$2:$K$245, MRP!$B$2:$B$245, $C58,  MRP!$G$2:$G$245, J$1),
    SUMIFS(MRP!$L$2:$L$245, MRP!$B$2:$B$245, $C58,  MRP!$G$2:$G$245, J$1)
)*F58</f>
        <v/>
      </c>
      <c r="K58" s="15">
        <f>SUM(
    SUMIFS(MRP!$H$2:$H$245, MRP!$B$2:$B$245, $C58, MRP!$G$2:$G$245, K$1),
    SUMIFS(MRP!$I$2:$I$245, MRP!$B$2:$B$245, $C58, MRP!$G$2:$G$245, K$1),
    SUMIFS(MRP!$J$2:$J$245, MRP!$B$2:$B$245, $C58,  MRP!$G$2:$G$245, K$1),
    SUMIFS(MRP!$K$2:$K$245, MRP!$B$2:$B$245, $C58,  MRP!$G$2:$G$245, K$1),
    SUMIFS(MRP!$L$2:$L$245, MRP!$B$2:$B$245, $C58,  MRP!$G$2:$G$245, K$1)
)*F58</f>
        <v/>
      </c>
      <c r="L58" s="55">
        <f>TRIM(Tabla3[[#This Row],[CodInternoArti]])</f>
        <v/>
      </c>
    </row>
    <row r="59">
      <c r="A59" s="38">
        <f>IF(ISNUMBER(_xlfn.XMATCH(Tabla3[[#This Row],[CodInternoArti]],'Tabla Articulos'!B:B)),"OK","NO ESTA")</f>
        <v/>
      </c>
      <c r="B59" s="38">
        <f>IF(ISNUMBER(_xlfn.XMATCH('Calcular necesidad'!E:E,'Necesidad por familia'!A:A)),"OK","NO ESTA")</f>
        <v/>
      </c>
      <c r="C59" s="17" t="inlineStr">
        <is>
          <t>7790321009512</t>
        </is>
      </c>
      <c r="D59" s="1" t="inlineStr">
        <is>
          <t>TAPA ALUM R3/F275x1000u W.PLAS</t>
        </is>
      </c>
      <c r="E59" s="1">
        <f>_xlfn.XLOOKUP(C59,'Tabla Articulos'!B:B,'Tabla Articulos'!D:D)</f>
        <v/>
      </c>
      <c r="F59" s="1">
        <f>_xlfn.XLOOKUP(C59,'Tabla Articulos'!B:B,'Tabla Articulos'!E:E)</f>
        <v/>
      </c>
      <c r="G59" s="15">
        <f>SUM(
    SUMIFS(MRP!$H$2:$H$245, MRP!$B$2:$B$245, $C59, MRP!$G$2:$G$245, G$1),
    SUMIFS(MRP!$I$2:$I$245, MRP!$B$2:$B$245, $C59, MRP!$G$2:$G$245, G$1),
    SUMIFS(MRP!$J$2:$J$245, MRP!$B$2:$B$245, $C59,  MRP!$G$2:$G$245, G$1),
    SUMIFS(MRP!$K$2:$K$245, MRP!$B$2:$B$245, $C59,  MRP!$G$2:$G$245, G$1),
    SUMIFS(MRP!$L$2:$L$245, MRP!$B$2:$B$245, $C59,  MRP!$G$2:$G$245, G$1)
)*F59</f>
        <v/>
      </c>
      <c r="H59" s="15">
        <f>SUM(
    SUMIFS(MRP!$H$2:$H$245, MRP!$B$2:$B$245, $C59, MRP!$G$2:$G$245, H$1),
    SUMIFS(MRP!$I$2:$I$245, MRP!$B$2:$B$245, $C59, MRP!$G$2:$G$245, H$1),
    SUMIFS(MRP!$J$2:$J$245, MRP!$B$2:$B$245, $C59,  MRP!$G$2:$G$245, H$1),
    SUMIFS(MRP!$K$2:$K$245, MRP!$B$2:$B$245, $C59,  MRP!$G$2:$G$245, H$1),
    SUMIFS(MRP!$L$2:$L$245, MRP!$B$2:$B$245, $C59,  MRP!$G$2:$G$245, H$1)
)*F59</f>
        <v/>
      </c>
      <c r="I59" s="15">
        <f>SUM(
    SUMIFS(MRP!$H$2:$H$245, MRP!$B$2:$B$245, $C59, MRP!$G$2:$G$245, I$1),
    SUMIFS(MRP!$I$2:$I$245, MRP!$B$2:$B$245, $C59, MRP!$G$2:$G$245, I$1),
    SUMIFS(MRP!$J$2:$J$245, MRP!$B$2:$B$245, $C59,  MRP!$G$2:$G$245, I$1),
    SUMIFS(MRP!$K$2:$K$245, MRP!$B$2:$B$245, $C59,  MRP!$G$2:$G$245, I$1),
    SUMIFS(MRP!$L$2:$L$245, MRP!$B$2:$B$245, $C59,  MRP!$G$2:$G$245, I$1)
)*F59</f>
        <v/>
      </c>
      <c r="J59" s="15">
        <f>SUM(
    SUMIFS(MRP!$H$2:$H$245, MRP!$B$2:$B$245, $C59, MRP!$G$2:$G$245, J$1),
    SUMIFS(MRP!$I$2:$I$245, MRP!$B$2:$B$245, $C59, MRP!$G$2:$G$245, J$1),
    SUMIFS(MRP!$J$2:$J$245, MRP!$B$2:$B$245, $C59,  MRP!$G$2:$G$245, J$1),
    SUMIFS(MRP!$K$2:$K$245, MRP!$B$2:$B$245, $C59,  MRP!$G$2:$G$245, J$1),
    SUMIFS(MRP!$L$2:$L$245, MRP!$B$2:$B$245, $C59,  MRP!$G$2:$G$245, J$1)
)*F59</f>
        <v/>
      </c>
      <c r="K59" s="15">
        <f>SUM(
    SUMIFS(MRP!$H$2:$H$245, MRP!$B$2:$B$245, $C59, MRP!$G$2:$G$245, K$1),
    SUMIFS(MRP!$I$2:$I$245, MRP!$B$2:$B$245, $C59, MRP!$G$2:$G$245, K$1),
    SUMIFS(MRP!$J$2:$J$245, MRP!$B$2:$B$245, $C59,  MRP!$G$2:$G$245, K$1),
    SUMIFS(MRP!$K$2:$K$245, MRP!$B$2:$B$245, $C59,  MRP!$G$2:$G$245, K$1),
    SUMIFS(MRP!$L$2:$L$245, MRP!$B$2:$B$245, $C59,  MRP!$G$2:$G$245, K$1)
)*F59</f>
        <v/>
      </c>
      <c r="L59" s="55">
        <f>TRIM(Tabla3[[#This Row],[CodInternoArti]])</f>
        <v/>
      </c>
    </row>
    <row r="60">
      <c r="A60" s="38">
        <f>IF(ISNUMBER(_xlfn.XMATCH(Tabla3[[#This Row],[CodInternoArti]],'Tabla Articulos'!B:B)),"OK","NO ESTA")</f>
        <v/>
      </c>
      <c r="B60" s="38">
        <f>IF(ISNUMBER(_xlfn.XMATCH('Calcular necesidad'!E:E,'Necesidad por familia'!A:A)),"OK","NO ESTA")</f>
        <v/>
      </c>
      <c r="C60" s="17" t="inlineStr">
        <is>
          <t>7790321020286</t>
        </is>
      </c>
      <c r="D60" s="1" t="inlineStr">
        <is>
          <t>TAPA 105 RECT X 50 U</t>
        </is>
      </c>
      <c r="E60" s="1">
        <f>_xlfn.XLOOKUP(C60,'Tabla Articulos'!B:B,'Tabla Articulos'!D:D)</f>
        <v/>
      </c>
      <c r="F60" s="1">
        <f>_xlfn.XLOOKUP(C60,'Tabla Articulos'!B:B,'Tabla Articulos'!E:E)</f>
        <v/>
      </c>
      <c r="G60" s="15">
        <f>SUM(
    SUMIFS(MRP!$H$2:$H$245, MRP!$B$2:$B$245, $C60, MRP!$G$2:$G$245, G$1),
    SUMIFS(MRP!$I$2:$I$245, MRP!$B$2:$B$245, $C60, MRP!$G$2:$G$245, G$1),
    SUMIFS(MRP!$J$2:$J$245, MRP!$B$2:$B$245, $C60,  MRP!$G$2:$G$245, G$1),
    SUMIFS(MRP!$K$2:$K$245, MRP!$B$2:$B$245, $C60,  MRP!$G$2:$G$245, G$1),
    SUMIFS(MRP!$L$2:$L$245, MRP!$B$2:$B$245, $C60,  MRP!$G$2:$G$245, G$1)
)*F60</f>
        <v/>
      </c>
      <c r="H60" s="15">
        <f>SUM(
    SUMIFS(MRP!$H$2:$H$245, MRP!$B$2:$B$245, $C60, MRP!$G$2:$G$245, H$1),
    SUMIFS(MRP!$I$2:$I$245, MRP!$B$2:$B$245, $C60, MRP!$G$2:$G$245, H$1),
    SUMIFS(MRP!$J$2:$J$245, MRP!$B$2:$B$245, $C60,  MRP!$G$2:$G$245, H$1),
    SUMIFS(MRP!$K$2:$K$245, MRP!$B$2:$B$245, $C60,  MRP!$G$2:$G$245, H$1),
    SUMIFS(MRP!$L$2:$L$245, MRP!$B$2:$B$245, $C60,  MRP!$G$2:$G$245, H$1)
)*F60</f>
        <v/>
      </c>
      <c r="I60" s="15">
        <f>SUM(
    SUMIFS(MRP!$H$2:$H$245, MRP!$B$2:$B$245, $C60, MRP!$G$2:$G$245, I$1),
    SUMIFS(MRP!$I$2:$I$245, MRP!$B$2:$B$245, $C60, MRP!$G$2:$G$245, I$1),
    SUMIFS(MRP!$J$2:$J$245, MRP!$B$2:$B$245, $C60,  MRP!$G$2:$G$245, I$1),
    SUMIFS(MRP!$K$2:$K$245, MRP!$B$2:$B$245, $C60,  MRP!$G$2:$G$245, I$1),
    SUMIFS(MRP!$L$2:$L$245, MRP!$B$2:$B$245, $C60,  MRP!$G$2:$G$245, I$1)
)*F60</f>
        <v/>
      </c>
      <c r="J60" s="15">
        <f>SUM(
    SUMIFS(MRP!$H$2:$H$245, MRP!$B$2:$B$245, $C60, MRP!$G$2:$G$245, J$1),
    SUMIFS(MRP!$I$2:$I$245, MRP!$B$2:$B$245, $C60, MRP!$G$2:$G$245, J$1),
    SUMIFS(MRP!$J$2:$J$245, MRP!$B$2:$B$245, $C60,  MRP!$G$2:$G$245, J$1),
    SUMIFS(MRP!$K$2:$K$245, MRP!$B$2:$B$245, $C60,  MRP!$G$2:$G$245, J$1),
    SUMIFS(MRP!$L$2:$L$245, MRP!$B$2:$B$245, $C60,  MRP!$G$2:$G$245, J$1)
)*F60</f>
        <v/>
      </c>
      <c r="K60" s="15">
        <f>SUM(
    SUMIFS(MRP!$H$2:$H$245, MRP!$B$2:$B$245, $C60, MRP!$G$2:$G$245, K$1),
    SUMIFS(MRP!$I$2:$I$245, MRP!$B$2:$B$245, $C60, MRP!$G$2:$G$245, K$1),
    SUMIFS(MRP!$J$2:$J$245, MRP!$B$2:$B$245, $C60,  MRP!$G$2:$G$245, K$1),
    SUMIFS(MRP!$K$2:$K$245, MRP!$B$2:$B$245, $C60,  MRP!$G$2:$G$245, K$1),
    SUMIFS(MRP!$L$2:$L$245, MRP!$B$2:$B$245, $C60,  MRP!$G$2:$G$245, K$1)
)*F60</f>
        <v/>
      </c>
      <c r="L60" s="55">
        <f>TRIM(Tabla3[[#This Row],[CodInternoArti]])</f>
        <v/>
      </c>
    </row>
    <row r="61">
      <c r="A61" s="38">
        <f>IF(ISNUMBER(_xlfn.XMATCH(Tabla3[[#This Row],[CodInternoArti]],'Tabla Articulos'!B:B)),"OK","NO ESTA")</f>
        <v/>
      </c>
      <c r="B61" s="38">
        <f>IF(ISNUMBER(_xlfn.XMATCH('Calcular necesidad'!E:E,'Necesidad por familia'!A:A)),"OK","NO ESTA")</f>
        <v/>
      </c>
      <c r="C61" s="17" t="inlineStr">
        <is>
          <t>7790321020396</t>
        </is>
      </c>
      <c r="D61" s="1" t="inlineStr">
        <is>
          <t>VASO TERMICO X 240 CC X 25 U</t>
        </is>
      </c>
      <c r="E61" s="1">
        <f>_xlfn.XLOOKUP(C61,'Tabla Articulos'!B:B,'Tabla Articulos'!D:D)</f>
        <v/>
      </c>
      <c r="F61" s="1">
        <f>_xlfn.XLOOKUP(C61,'Tabla Articulos'!B:B,'Tabla Articulos'!E:E)</f>
        <v/>
      </c>
      <c r="G61" s="15">
        <f>SUM(
    SUMIFS(MRP!$H$2:$H$245, MRP!$B$2:$B$245, $C61, MRP!$G$2:$G$245, G$1),
    SUMIFS(MRP!$I$2:$I$245, MRP!$B$2:$B$245, $C61, MRP!$G$2:$G$245, G$1),
    SUMIFS(MRP!$J$2:$J$245, MRP!$B$2:$B$245, $C61,  MRP!$G$2:$G$245, G$1),
    SUMIFS(MRP!$K$2:$K$245, MRP!$B$2:$B$245, $C61,  MRP!$G$2:$G$245, G$1),
    SUMIFS(MRP!$L$2:$L$245, MRP!$B$2:$B$245, $C61,  MRP!$G$2:$G$245, G$1)
)*F61</f>
        <v/>
      </c>
      <c r="H61" s="15">
        <f>SUM(
    SUMIFS(MRP!$H$2:$H$245, MRP!$B$2:$B$245, $C61, MRP!$G$2:$G$245, H$1),
    SUMIFS(MRP!$I$2:$I$245, MRP!$B$2:$B$245, $C61, MRP!$G$2:$G$245, H$1),
    SUMIFS(MRP!$J$2:$J$245, MRP!$B$2:$B$245, $C61,  MRP!$G$2:$G$245, H$1),
    SUMIFS(MRP!$K$2:$K$245, MRP!$B$2:$B$245, $C61,  MRP!$G$2:$G$245, H$1),
    SUMIFS(MRP!$L$2:$L$245, MRP!$B$2:$B$245, $C61,  MRP!$G$2:$G$245, H$1)
)*F61</f>
        <v/>
      </c>
      <c r="I61" s="15">
        <f>SUM(
    SUMIFS(MRP!$H$2:$H$245, MRP!$B$2:$B$245, $C61, MRP!$G$2:$G$245, I$1),
    SUMIFS(MRP!$I$2:$I$245, MRP!$B$2:$B$245, $C61, MRP!$G$2:$G$245, I$1),
    SUMIFS(MRP!$J$2:$J$245, MRP!$B$2:$B$245, $C61,  MRP!$G$2:$G$245, I$1),
    SUMIFS(MRP!$K$2:$K$245, MRP!$B$2:$B$245, $C61,  MRP!$G$2:$G$245, I$1),
    SUMIFS(MRP!$L$2:$L$245, MRP!$B$2:$B$245, $C61,  MRP!$G$2:$G$245, I$1)
)*F61</f>
        <v/>
      </c>
      <c r="J61" s="15">
        <f>SUM(
    SUMIFS(MRP!$H$2:$H$245, MRP!$B$2:$B$245, $C61, MRP!$G$2:$G$245, J$1),
    SUMIFS(MRP!$I$2:$I$245, MRP!$B$2:$B$245, $C61, MRP!$G$2:$G$245, J$1),
    SUMIFS(MRP!$J$2:$J$245, MRP!$B$2:$B$245, $C61,  MRP!$G$2:$G$245, J$1),
    SUMIFS(MRP!$K$2:$K$245, MRP!$B$2:$B$245, $C61,  MRP!$G$2:$G$245, J$1),
    SUMIFS(MRP!$L$2:$L$245, MRP!$B$2:$B$245, $C61,  MRP!$G$2:$G$245, J$1)
)*F61</f>
        <v/>
      </c>
      <c r="K61" s="15">
        <f>SUM(
    SUMIFS(MRP!$H$2:$H$245, MRP!$B$2:$B$245, $C61, MRP!$G$2:$G$245, K$1),
    SUMIFS(MRP!$I$2:$I$245, MRP!$B$2:$B$245, $C61, MRP!$G$2:$G$245, K$1),
    SUMIFS(MRP!$J$2:$J$245, MRP!$B$2:$B$245, $C61,  MRP!$G$2:$G$245, K$1),
    SUMIFS(MRP!$K$2:$K$245, MRP!$B$2:$B$245, $C61,  MRP!$G$2:$G$245, K$1),
    SUMIFS(MRP!$L$2:$L$245, MRP!$B$2:$B$245, $C61,  MRP!$G$2:$G$245, K$1)
)*F61</f>
        <v/>
      </c>
      <c r="L61" s="55">
        <f>TRIM(Tabla3[[#This Row],[CodInternoArti]])</f>
        <v/>
      </c>
    </row>
    <row r="62">
      <c r="A62" s="38">
        <f>IF(ISNUMBER(_xlfn.XMATCH(Tabla3[[#This Row],[CodInternoArti]],'Tabla Articulos'!B:B)),"OK","NO ESTA")</f>
        <v/>
      </c>
      <c r="B62" s="38">
        <f>IF(ISNUMBER(_xlfn.XMATCH('Calcular necesidad'!E:E,'Necesidad por familia'!A:A)),"OK","NO ESTA")</f>
        <v/>
      </c>
      <c r="C62" s="17" t="inlineStr">
        <is>
          <t>7790321020316</t>
        </is>
      </c>
      <c r="D62" s="1" t="inlineStr">
        <is>
          <t>TAPA DE VASO 300 X 100 U</t>
        </is>
      </c>
      <c r="E62" s="1">
        <f>_xlfn.XLOOKUP(C62,'Tabla Articulos'!B:B,'Tabla Articulos'!D:D)</f>
        <v/>
      </c>
      <c r="F62" s="1">
        <f>_xlfn.XLOOKUP(C62,'Tabla Articulos'!B:B,'Tabla Articulos'!E:E)</f>
        <v/>
      </c>
      <c r="G62" s="15">
        <f>SUM(
    SUMIFS(MRP!$H$2:$H$245, MRP!$B$2:$B$245, $C62, MRP!$G$2:$G$245, G$1),
    SUMIFS(MRP!$I$2:$I$245, MRP!$B$2:$B$245, $C62, MRP!$G$2:$G$245, G$1),
    SUMIFS(MRP!$J$2:$J$245, MRP!$B$2:$B$245, $C62,  MRP!$G$2:$G$245, G$1),
    SUMIFS(MRP!$K$2:$K$245, MRP!$B$2:$B$245, $C62,  MRP!$G$2:$G$245, G$1),
    SUMIFS(MRP!$L$2:$L$245, MRP!$B$2:$B$245, $C62,  MRP!$G$2:$G$245, G$1)
)*F62</f>
        <v/>
      </c>
      <c r="H62" s="15">
        <f>SUM(
    SUMIFS(MRP!$H$2:$H$245, MRP!$B$2:$B$245, $C62, MRP!$G$2:$G$245, H$1),
    SUMIFS(MRP!$I$2:$I$245, MRP!$B$2:$B$245, $C62, MRP!$G$2:$G$245, H$1),
    SUMIFS(MRP!$J$2:$J$245, MRP!$B$2:$B$245, $C62,  MRP!$G$2:$G$245, H$1),
    SUMIFS(MRP!$K$2:$K$245, MRP!$B$2:$B$245, $C62,  MRP!$G$2:$G$245, H$1),
    SUMIFS(MRP!$L$2:$L$245, MRP!$B$2:$B$245, $C62,  MRP!$G$2:$G$245, H$1)
)*F62</f>
        <v/>
      </c>
      <c r="I62" s="15">
        <f>SUM(
    SUMIFS(MRP!$H$2:$H$245, MRP!$B$2:$B$245, $C62, MRP!$G$2:$G$245, I$1),
    SUMIFS(MRP!$I$2:$I$245, MRP!$B$2:$B$245, $C62, MRP!$G$2:$G$245, I$1),
    SUMIFS(MRP!$J$2:$J$245, MRP!$B$2:$B$245, $C62,  MRP!$G$2:$G$245, I$1),
    SUMIFS(MRP!$K$2:$K$245, MRP!$B$2:$B$245, $C62,  MRP!$G$2:$G$245, I$1),
    SUMIFS(MRP!$L$2:$L$245, MRP!$B$2:$B$245, $C62,  MRP!$G$2:$G$245, I$1)
)*F62</f>
        <v/>
      </c>
      <c r="J62" s="15">
        <f>SUM(
    SUMIFS(MRP!$H$2:$H$245, MRP!$B$2:$B$245, $C62, MRP!$G$2:$G$245, J$1),
    SUMIFS(MRP!$I$2:$I$245, MRP!$B$2:$B$245, $C62, MRP!$G$2:$G$245, J$1),
    SUMIFS(MRP!$J$2:$J$245, MRP!$B$2:$B$245, $C62,  MRP!$G$2:$G$245, J$1),
    SUMIFS(MRP!$K$2:$K$245, MRP!$B$2:$B$245, $C62,  MRP!$G$2:$G$245, J$1),
    SUMIFS(MRP!$L$2:$L$245, MRP!$B$2:$B$245, $C62,  MRP!$G$2:$G$245, J$1)
)*F62</f>
        <v/>
      </c>
      <c r="K62" s="15">
        <f>SUM(
    SUMIFS(MRP!$H$2:$H$245, MRP!$B$2:$B$245, $C62, MRP!$G$2:$G$245, K$1),
    SUMIFS(MRP!$I$2:$I$245, MRP!$B$2:$B$245, $C62, MRP!$G$2:$G$245, K$1),
    SUMIFS(MRP!$J$2:$J$245, MRP!$B$2:$B$245, $C62,  MRP!$G$2:$G$245, K$1),
    SUMIFS(MRP!$K$2:$K$245, MRP!$B$2:$B$245, $C62,  MRP!$G$2:$G$245, K$1),
    SUMIFS(MRP!$L$2:$L$245, MRP!$B$2:$B$245, $C62,  MRP!$G$2:$G$245, K$1)
)*F62</f>
        <v/>
      </c>
      <c r="L62" s="55">
        <f>TRIM(Tabla3[[#This Row],[CodInternoArti]])</f>
        <v/>
      </c>
    </row>
    <row r="63">
      <c r="A63" s="38">
        <f>IF(ISNUMBER(_xlfn.XMATCH(Tabla3[[#This Row],[CodInternoArti]],'Tabla Articulos'!B:B)),"OK","NO ESTA")</f>
        <v/>
      </c>
      <c r="B63" s="38">
        <f>IF(ISNUMBER(_xlfn.XMATCH('Calcular necesidad'!E:E,'Necesidad por familia'!A:A)),"OK","NO ESTA")</f>
        <v/>
      </c>
      <c r="C63" s="17" t="inlineStr">
        <is>
          <t>7790321008512</t>
        </is>
      </c>
      <c r="D63" s="1" t="inlineStr">
        <is>
          <t>TAPA ALUM R5/F2100x600U</t>
        </is>
      </c>
      <c r="E63" s="1">
        <f>_xlfn.XLOOKUP(C63,'Tabla Articulos'!B:B,'Tabla Articulos'!D:D)</f>
        <v/>
      </c>
      <c r="F63" s="1">
        <f>_xlfn.XLOOKUP(C63,'Tabla Articulos'!B:B,'Tabla Articulos'!E:E)</f>
        <v/>
      </c>
      <c r="G63" s="15">
        <f>SUM(
    SUMIFS(MRP!$H$2:$H$245, MRP!$B$2:$B$245, $C63, MRP!$G$2:$G$245, G$1),
    SUMIFS(MRP!$I$2:$I$245, MRP!$B$2:$B$245, $C63, MRP!$G$2:$G$245, G$1),
    SUMIFS(MRP!$J$2:$J$245, MRP!$B$2:$B$245, $C63,  MRP!$G$2:$G$245, G$1),
    SUMIFS(MRP!$K$2:$K$245, MRP!$B$2:$B$245, $C63,  MRP!$G$2:$G$245, G$1),
    SUMIFS(MRP!$L$2:$L$245, MRP!$B$2:$B$245, $C63,  MRP!$G$2:$G$245, G$1)
)*F63</f>
        <v/>
      </c>
      <c r="H63" s="15">
        <f>SUM(
    SUMIFS(MRP!$H$2:$H$245, MRP!$B$2:$B$245, $C63, MRP!$G$2:$G$245, H$1),
    SUMIFS(MRP!$I$2:$I$245, MRP!$B$2:$B$245, $C63, MRP!$G$2:$G$245, H$1),
    SUMIFS(MRP!$J$2:$J$245, MRP!$B$2:$B$245, $C63,  MRP!$G$2:$G$245, H$1),
    SUMIFS(MRP!$K$2:$K$245, MRP!$B$2:$B$245, $C63,  MRP!$G$2:$G$245, H$1),
    SUMIFS(MRP!$L$2:$L$245, MRP!$B$2:$B$245, $C63,  MRP!$G$2:$G$245, H$1)
)*F63</f>
        <v/>
      </c>
      <c r="I63" s="15">
        <f>SUM(
    SUMIFS(MRP!$H$2:$H$245, MRP!$B$2:$B$245, $C63, MRP!$G$2:$G$245, I$1),
    SUMIFS(MRP!$I$2:$I$245, MRP!$B$2:$B$245, $C63, MRP!$G$2:$G$245, I$1),
    SUMIFS(MRP!$J$2:$J$245, MRP!$B$2:$B$245, $C63,  MRP!$G$2:$G$245, I$1),
    SUMIFS(MRP!$K$2:$K$245, MRP!$B$2:$B$245, $C63,  MRP!$G$2:$G$245, I$1),
    SUMIFS(MRP!$L$2:$L$245, MRP!$B$2:$B$245, $C63,  MRP!$G$2:$G$245, I$1)
)*F63</f>
        <v/>
      </c>
      <c r="J63" s="15">
        <f>SUM(
    SUMIFS(MRP!$H$2:$H$245, MRP!$B$2:$B$245, $C63, MRP!$G$2:$G$245, J$1),
    SUMIFS(MRP!$I$2:$I$245, MRP!$B$2:$B$245, $C63, MRP!$G$2:$G$245, J$1),
    SUMIFS(MRP!$J$2:$J$245, MRP!$B$2:$B$245, $C63,  MRP!$G$2:$G$245, J$1),
    SUMIFS(MRP!$K$2:$K$245, MRP!$B$2:$B$245, $C63,  MRP!$G$2:$G$245, J$1),
    SUMIFS(MRP!$L$2:$L$245, MRP!$B$2:$B$245, $C63,  MRP!$G$2:$G$245, J$1)
)*F63</f>
        <v/>
      </c>
      <c r="K63" s="15">
        <f>SUM(
    SUMIFS(MRP!$H$2:$H$245, MRP!$B$2:$B$245, $C63, MRP!$G$2:$G$245, K$1),
    SUMIFS(MRP!$I$2:$I$245, MRP!$B$2:$B$245, $C63, MRP!$G$2:$G$245, K$1),
    SUMIFS(MRP!$J$2:$J$245, MRP!$B$2:$B$245, $C63,  MRP!$G$2:$G$245, K$1),
    SUMIFS(MRP!$K$2:$K$245, MRP!$B$2:$B$245, $C63,  MRP!$G$2:$G$245, K$1),
    SUMIFS(MRP!$L$2:$L$245, MRP!$B$2:$B$245, $C63,  MRP!$G$2:$G$245, K$1)
)*F63</f>
        <v/>
      </c>
      <c r="L63" s="55">
        <f>TRIM(Tabla3[[#This Row],[CodInternoArti]])</f>
        <v/>
      </c>
    </row>
    <row r="64">
      <c r="A64" s="38">
        <f>IF(ISNUMBER(_xlfn.XMATCH(Tabla3[[#This Row],[CodInternoArti]],'Tabla Articulos'!B:B)),"OK","NO ESTA")</f>
        <v/>
      </c>
      <c r="B64" s="38">
        <f>IF(ISNUMBER(_xlfn.XMATCH('Calcular necesidad'!E:E,'Necesidad por familia'!A:A)),"OK","NO ESTA")</f>
        <v/>
      </c>
      <c r="C64" s="17" t="inlineStr">
        <is>
          <t>7790321020146</t>
        </is>
      </c>
      <c r="D64" s="1" t="inlineStr">
        <is>
          <t xml:space="preserve">BOLSA CAMISETA NEGRA 40X50X100U     </t>
        </is>
      </c>
      <c r="E64" s="1">
        <f>_xlfn.XLOOKUP(C64,'Tabla Articulos'!B:B,'Tabla Articulos'!D:D)</f>
        <v/>
      </c>
      <c r="F64" s="1">
        <f>_xlfn.XLOOKUP(C64,'Tabla Articulos'!B:B,'Tabla Articulos'!E:E)</f>
        <v/>
      </c>
      <c r="G64" s="15">
        <f>SUM(
    SUMIFS(MRP!$H$2:$H$245, MRP!$B$2:$B$245, $C64, MRP!$G$2:$G$245, G$1),
    SUMIFS(MRP!$I$2:$I$245, MRP!$B$2:$B$245, $C64, MRP!$G$2:$G$245, G$1),
    SUMIFS(MRP!$J$2:$J$245, MRP!$B$2:$B$245, $C64,  MRP!$G$2:$G$245, G$1),
    SUMIFS(MRP!$K$2:$K$245, MRP!$B$2:$B$245, $C64,  MRP!$G$2:$G$245, G$1),
    SUMIFS(MRP!$L$2:$L$245, MRP!$B$2:$B$245, $C64,  MRP!$G$2:$G$245, G$1)
)*F64</f>
        <v/>
      </c>
      <c r="H64" s="15">
        <f>SUM(
    SUMIFS(MRP!$H$2:$H$245, MRP!$B$2:$B$245, $C64, MRP!$G$2:$G$245, H$1),
    SUMIFS(MRP!$I$2:$I$245, MRP!$B$2:$B$245, $C64, MRP!$G$2:$G$245, H$1),
    SUMIFS(MRP!$J$2:$J$245, MRP!$B$2:$B$245, $C64,  MRP!$G$2:$G$245, H$1),
    SUMIFS(MRP!$K$2:$K$245, MRP!$B$2:$B$245, $C64,  MRP!$G$2:$G$245, H$1),
    SUMIFS(MRP!$L$2:$L$245, MRP!$B$2:$B$245, $C64,  MRP!$G$2:$G$245, H$1)
)*F64</f>
        <v/>
      </c>
      <c r="I64" s="15">
        <f>SUM(
    SUMIFS(MRP!$H$2:$H$245, MRP!$B$2:$B$245, $C64, MRP!$G$2:$G$245, I$1),
    SUMIFS(MRP!$I$2:$I$245, MRP!$B$2:$B$245, $C64, MRP!$G$2:$G$245, I$1),
    SUMIFS(MRP!$J$2:$J$245, MRP!$B$2:$B$245, $C64,  MRP!$G$2:$G$245, I$1),
    SUMIFS(MRP!$K$2:$K$245, MRP!$B$2:$B$245, $C64,  MRP!$G$2:$G$245, I$1),
    SUMIFS(MRP!$L$2:$L$245, MRP!$B$2:$B$245, $C64,  MRP!$G$2:$G$245, I$1)
)*F64</f>
        <v/>
      </c>
      <c r="J64" s="15">
        <f>SUM(
    SUMIFS(MRP!$H$2:$H$245, MRP!$B$2:$B$245, $C64, MRP!$G$2:$G$245, J$1),
    SUMIFS(MRP!$I$2:$I$245, MRP!$B$2:$B$245, $C64, MRP!$G$2:$G$245, J$1),
    SUMIFS(MRP!$J$2:$J$245, MRP!$B$2:$B$245, $C64,  MRP!$G$2:$G$245, J$1),
    SUMIFS(MRP!$K$2:$K$245, MRP!$B$2:$B$245, $C64,  MRP!$G$2:$G$245, J$1),
    SUMIFS(MRP!$L$2:$L$245, MRP!$B$2:$B$245, $C64,  MRP!$G$2:$G$245, J$1)
)*F64</f>
        <v/>
      </c>
      <c r="K64" s="15">
        <f>SUM(
    SUMIFS(MRP!$H$2:$H$245, MRP!$B$2:$B$245, $C64, MRP!$G$2:$G$245, K$1),
    SUMIFS(MRP!$I$2:$I$245, MRP!$B$2:$B$245, $C64, MRP!$G$2:$G$245, K$1),
    SUMIFS(MRP!$J$2:$J$245, MRP!$B$2:$B$245, $C64,  MRP!$G$2:$G$245, K$1),
    SUMIFS(MRP!$K$2:$K$245, MRP!$B$2:$B$245, $C64,  MRP!$G$2:$G$245, K$1),
    SUMIFS(MRP!$L$2:$L$245, MRP!$B$2:$B$245, $C64,  MRP!$G$2:$G$245, K$1)
)*F64</f>
        <v/>
      </c>
      <c r="L64" s="55">
        <f>TRIM(Tabla3[[#This Row],[CodInternoArti]])</f>
        <v/>
      </c>
    </row>
    <row r="65">
      <c r="A65" s="38">
        <f>IF(ISNUMBER(_xlfn.XMATCH(Tabla3[[#This Row],[CodInternoArti]],'Tabla Articulos'!B:B)),"OK","NO ESTA")</f>
        <v/>
      </c>
      <c r="B65" s="38">
        <f>IF(ISNUMBER(_xlfn.XMATCH('Calcular necesidad'!E:E,'Necesidad por familia'!A:A)),"OK","NO ESTA")</f>
        <v/>
      </c>
      <c r="C65" s="17" t="inlineStr">
        <is>
          <t>7790321020047</t>
        </is>
      </c>
      <c r="D65" s="1" t="inlineStr">
        <is>
          <t>BANDEJA 105 CUADRADA x 100 U</t>
        </is>
      </c>
      <c r="E65" s="1">
        <f>_xlfn.XLOOKUP(C65,'Tabla Articulos'!B:B,'Tabla Articulos'!D:D)</f>
        <v/>
      </c>
      <c r="F65" s="1">
        <f>_xlfn.XLOOKUP(C65,'Tabla Articulos'!B:B,'Tabla Articulos'!E:E)</f>
        <v/>
      </c>
      <c r="G65" s="15">
        <f>SUM(
    SUMIFS(MRP!$H$2:$H$245, MRP!$B$2:$B$245, $C65, MRP!$G$2:$G$245, G$1),
    SUMIFS(MRP!$I$2:$I$245, MRP!$B$2:$B$245, $C65, MRP!$G$2:$G$245, G$1),
    SUMIFS(MRP!$J$2:$J$245, MRP!$B$2:$B$245, $C65,  MRP!$G$2:$G$245, G$1),
    SUMIFS(MRP!$K$2:$K$245, MRP!$B$2:$B$245, $C65,  MRP!$G$2:$G$245, G$1),
    SUMIFS(MRP!$L$2:$L$245, MRP!$B$2:$B$245, $C65,  MRP!$G$2:$G$245, G$1)
)*F65</f>
        <v/>
      </c>
      <c r="H65" s="15">
        <f>SUM(
    SUMIFS(MRP!$H$2:$H$245, MRP!$B$2:$B$245, $C65, MRP!$G$2:$G$245, H$1),
    SUMIFS(MRP!$I$2:$I$245, MRP!$B$2:$B$245, $C65, MRP!$G$2:$G$245, H$1),
    SUMIFS(MRP!$J$2:$J$245, MRP!$B$2:$B$245, $C65,  MRP!$G$2:$G$245, H$1),
    SUMIFS(MRP!$K$2:$K$245, MRP!$B$2:$B$245, $C65,  MRP!$G$2:$G$245, H$1),
    SUMIFS(MRP!$L$2:$L$245, MRP!$B$2:$B$245, $C65,  MRP!$G$2:$G$245, H$1)
)*F65</f>
        <v/>
      </c>
      <c r="I65" s="15">
        <f>SUM(
    SUMIFS(MRP!$H$2:$H$245, MRP!$B$2:$B$245, $C65, MRP!$G$2:$G$245, I$1),
    SUMIFS(MRP!$I$2:$I$245, MRP!$B$2:$B$245, $C65, MRP!$G$2:$G$245, I$1),
    SUMIFS(MRP!$J$2:$J$245, MRP!$B$2:$B$245, $C65,  MRP!$G$2:$G$245, I$1),
    SUMIFS(MRP!$K$2:$K$245, MRP!$B$2:$B$245, $C65,  MRP!$G$2:$G$245, I$1),
    SUMIFS(MRP!$L$2:$L$245, MRP!$B$2:$B$245, $C65,  MRP!$G$2:$G$245, I$1)
)*F65</f>
        <v/>
      </c>
      <c r="J65" s="15">
        <f>SUM(
    SUMIFS(MRP!$H$2:$H$245, MRP!$B$2:$B$245, $C65, MRP!$G$2:$G$245, J$1),
    SUMIFS(MRP!$I$2:$I$245, MRP!$B$2:$B$245, $C65, MRP!$G$2:$G$245, J$1),
    SUMIFS(MRP!$J$2:$J$245, MRP!$B$2:$B$245, $C65,  MRP!$G$2:$G$245, J$1),
    SUMIFS(MRP!$K$2:$K$245, MRP!$B$2:$B$245, $C65,  MRP!$G$2:$G$245, J$1),
    SUMIFS(MRP!$L$2:$L$245, MRP!$B$2:$B$245, $C65,  MRP!$G$2:$G$245, J$1)
)*F65</f>
        <v/>
      </c>
      <c r="K65" s="15">
        <f>SUM(
    SUMIFS(MRP!$H$2:$H$245, MRP!$B$2:$B$245, $C65, MRP!$G$2:$G$245, K$1),
    SUMIFS(MRP!$I$2:$I$245, MRP!$B$2:$B$245, $C65, MRP!$G$2:$G$245, K$1),
    SUMIFS(MRP!$J$2:$J$245, MRP!$B$2:$B$245, $C65,  MRP!$G$2:$G$245, K$1),
    SUMIFS(MRP!$K$2:$K$245, MRP!$B$2:$B$245, $C65,  MRP!$G$2:$G$245, K$1),
    SUMIFS(MRP!$L$2:$L$245, MRP!$B$2:$B$245, $C65,  MRP!$G$2:$G$245, K$1)
)*F65</f>
        <v/>
      </c>
      <c r="L65" s="55">
        <f>TRIM(Tabla3[[#This Row],[CodInternoArti]])</f>
        <v/>
      </c>
    </row>
    <row r="66">
      <c r="A66" s="38">
        <f>IF(ISNUMBER(_xlfn.XMATCH(Tabla3[[#This Row],[CodInternoArti]],'Tabla Articulos'!B:B)),"OK","NO ESTA")</f>
        <v/>
      </c>
      <c r="B66" s="38">
        <f>IF(ISNUMBER(_xlfn.XMATCH('Calcular necesidad'!E:E,'Necesidad por familia'!A:A)),"OK","NO ESTA")</f>
        <v/>
      </c>
      <c r="C66" s="17" t="inlineStr">
        <is>
          <t>LIM000462</t>
        </is>
      </c>
      <c r="D66" s="1" t="inlineStr">
        <is>
          <t>BARBIJO QUIRURGICO X 50 U</t>
        </is>
      </c>
      <c r="E66" s="1">
        <f>_xlfn.XLOOKUP(C66,'Tabla Articulos'!B:B,'Tabla Articulos'!D:D)</f>
        <v/>
      </c>
      <c r="F66" s="1">
        <f>_xlfn.XLOOKUP(C66,'Tabla Articulos'!B:B,'Tabla Articulos'!E:E)</f>
        <v/>
      </c>
      <c r="G66" s="15">
        <f>SUM(
    SUMIFS(MRP!$H$2:$H$245, MRP!$B$2:$B$245, $C66, MRP!$G$2:$G$245, G$1),
    SUMIFS(MRP!$I$2:$I$245, MRP!$B$2:$B$245, $C66, MRP!$G$2:$G$245, G$1),
    SUMIFS(MRP!$J$2:$J$245, MRP!$B$2:$B$245, $C66,  MRP!$G$2:$G$245, G$1),
    SUMIFS(MRP!$K$2:$K$245, MRP!$B$2:$B$245, $C66,  MRP!$G$2:$G$245, G$1),
    SUMIFS(MRP!$L$2:$L$245, MRP!$B$2:$B$245, $C66,  MRP!$G$2:$G$245, G$1)
)*F66</f>
        <v/>
      </c>
      <c r="H66" s="15">
        <f>SUM(
    SUMIFS(MRP!$H$2:$H$245, MRP!$B$2:$B$245, $C66, MRP!$G$2:$G$245, H$1),
    SUMIFS(MRP!$I$2:$I$245, MRP!$B$2:$B$245, $C66, MRP!$G$2:$G$245, H$1),
    SUMIFS(MRP!$J$2:$J$245, MRP!$B$2:$B$245, $C66,  MRP!$G$2:$G$245, H$1),
    SUMIFS(MRP!$K$2:$K$245, MRP!$B$2:$B$245, $C66,  MRP!$G$2:$G$245, H$1),
    SUMIFS(MRP!$L$2:$L$245, MRP!$B$2:$B$245, $C66,  MRP!$G$2:$G$245, H$1)
)*F66</f>
        <v/>
      </c>
      <c r="I66" s="15">
        <f>SUM(
    SUMIFS(MRP!$H$2:$H$245, MRP!$B$2:$B$245, $C66, MRP!$G$2:$G$245, I$1),
    SUMIFS(MRP!$I$2:$I$245, MRP!$B$2:$B$245, $C66, MRP!$G$2:$G$245, I$1),
    SUMIFS(MRP!$J$2:$J$245, MRP!$B$2:$B$245, $C66,  MRP!$G$2:$G$245, I$1),
    SUMIFS(MRP!$K$2:$K$245, MRP!$B$2:$B$245, $C66,  MRP!$G$2:$G$245, I$1),
    SUMIFS(MRP!$L$2:$L$245, MRP!$B$2:$B$245, $C66,  MRP!$G$2:$G$245, I$1)
)*F66</f>
        <v/>
      </c>
      <c r="J66" s="15">
        <f>SUM(
    SUMIFS(MRP!$H$2:$H$245, MRP!$B$2:$B$245, $C66, MRP!$G$2:$G$245, J$1),
    SUMIFS(MRP!$I$2:$I$245, MRP!$B$2:$B$245, $C66, MRP!$G$2:$G$245, J$1),
    SUMIFS(MRP!$J$2:$J$245, MRP!$B$2:$B$245, $C66,  MRP!$G$2:$G$245, J$1),
    SUMIFS(MRP!$K$2:$K$245, MRP!$B$2:$B$245, $C66,  MRP!$G$2:$G$245, J$1),
    SUMIFS(MRP!$L$2:$L$245, MRP!$B$2:$B$245, $C66,  MRP!$G$2:$G$245, J$1)
)*F66</f>
        <v/>
      </c>
      <c r="K66" s="15">
        <f>SUM(
    SUMIFS(MRP!$H$2:$H$245, MRP!$B$2:$B$245, $C66, MRP!$G$2:$G$245, K$1),
    SUMIFS(MRP!$I$2:$I$245, MRP!$B$2:$B$245, $C66, MRP!$G$2:$G$245, K$1),
    SUMIFS(MRP!$J$2:$J$245, MRP!$B$2:$B$245, $C66,  MRP!$G$2:$G$245, K$1),
    SUMIFS(MRP!$K$2:$K$245, MRP!$B$2:$B$245, $C66,  MRP!$G$2:$G$245, K$1),
    SUMIFS(MRP!$L$2:$L$245, MRP!$B$2:$B$245, $C66,  MRP!$G$2:$G$245, K$1)
)*F66</f>
        <v/>
      </c>
      <c r="L66" s="55">
        <f>TRIM(Tabla3[[#This Row],[CodInternoArti]])</f>
        <v/>
      </c>
    </row>
    <row r="67">
      <c r="A67" s="38">
        <f>IF(ISNUMBER(_xlfn.XMATCH(Tabla3[[#This Row],[CodInternoArti]],'Tabla Articulos'!B:B)),"OK","NO ESTA")</f>
        <v/>
      </c>
      <c r="B67" s="38">
        <f>IF(ISNUMBER(_xlfn.XMATCH('Calcular necesidad'!E:E,'Necesidad por familia'!A:A)),"OK","NO ESTA")</f>
        <v/>
      </c>
      <c r="C67" s="17" t="inlineStr">
        <is>
          <t>7790321020116</t>
        </is>
      </c>
      <c r="D67" s="1" t="inlineStr">
        <is>
          <t>BANDEJAS PLASTICAS 102 x 100 U</t>
        </is>
      </c>
      <c r="E67" s="1">
        <f>_xlfn.XLOOKUP(C67,'Tabla Articulos'!B:B,'Tabla Articulos'!D:D)</f>
        <v/>
      </c>
      <c r="F67" s="1">
        <f>_xlfn.XLOOKUP(C67,'Tabla Articulos'!B:B,'Tabla Articulos'!E:E)</f>
        <v/>
      </c>
      <c r="G67" s="15">
        <f>SUM(
    SUMIFS(MRP!$H$2:$H$245, MRP!$B$2:$B$245, $C67, MRP!$G$2:$G$245, G$1),
    SUMIFS(MRP!$I$2:$I$245, MRP!$B$2:$B$245, $C67, MRP!$G$2:$G$245, G$1),
    SUMIFS(MRP!$J$2:$J$245, MRP!$B$2:$B$245, $C67,  MRP!$G$2:$G$245, G$1),
    SUMIFS(MRP!$K$2:$K$245, MRP!$B$2:$B$245, $C67,  MRP!$G$2:$G$245, G$1),
    SUMIFS(MRP!$L$2:$L$245, MRP!$B$2:$B$245, $C67,  MRP!$G$2:$G$245, G$1)
)*F67</f>
        <v/>
      </c>
      <c r="H67" s="15">
        <f>SUM(
    SUMIFS(MRP!$H$2:$H$245, MRP!$B$2:$B$245, $C67, MRP!$G$2:$G$245, H$1),
    SUMIFS(MRP!$I$2:$I$245, MRP!$B$2:$B$245, $C67, MRP!$G$2:$G$245, H$1),
    SUMIFS(MRP!$J$2:$J$245, MRP!$B$2:$B$245, $C67,  MRP!$G$2:$G$245, H$1),
    SUMIFS(MRP!$K$2:$K$245, MRP!$B$2:$B$245, $C67,  MRP!$G$2:$G$245, H$1),
    SUMIFS(MRP!$L$2:$L$245, MRP!$B$2:$B$245, $C67,  MRP!$G$2:$G$245, H$1)
)*F67</f>
        <v/>
      </c>
      <c r="I67" s="15">
        <f>SUM(
    SUMIFS(MRP!$H$2:$H$245, MRP!$B$2:$B$245, $C67, MRP!$G$2:$G$245, I$1),
    SUMIFS(MRP!$I$2:$I$245, MRP!$B$2:$B$245, $C67, MRP!$G$2:$G$245, I$1),
    SUMIFS(MRP!$J$2:$J$245, MRP!$B$2:$B$245, $C67,  MRP!$G$2:$G$245, I$1),
    SUMIFS(MRP!$K$2:$K$245, MRP!$B$2:$B$245, $C67,  MRP!$G$2:$G$245, I$1),
    SUMIFS(MRP!$L$2:$L$245, MRP!$B$2:$B$245, $C67,  MRP!$G$2:$G$245, I$1)
)*F67</f>
        <v/>
      </c>
      <c r="J67" s="15">
        <f>SUM(
    SUMIFS(MRP!$H$2:$H$245, MRP!$B$2:$B$245, $C67, MRP!$G$2:$G$245, J$1),
    SUMIFS(MRP!$I$2:$I$245, MRP!$B$2:$B$245, $C67, MRP!$G$2:$G$245, J$1),
    SUMIFS(MRP!$J$2:$J$245, MRP!$B$2:$B$245, $C67,  MRP!$G$2:$G$245, J$1),
    SUMIFS(MRP!$K$2:$K$245, MRP!$B$2:$B$245, $C67,  MRP!$G$2:$G$245, J$1),
    SUMIFS(MRP!$L$2:$L$245, MRP!$B$2:$B$245, $C67,  MRP!$G$2:$G$245, J$1)
)*F67</f>
        <v/>
      </c>
      <c r="K67" s="15">
        <f>SUM(
    SUMIFS(MRP!$H$2:$H$245, MRP!$B$2:$B$245, $C67, MRP!$G$2:$G$245, K$1),
    SUMIFS(MRP!$I$2:$I$245, MRP!$B$2:$B$245, $C67, MRP!$G$2:$G$245, K$1),
    SUMIFS(MRP!$J$2:$J$245, MRP!$B$2:$B$245, $C67,  MRP!$G$2:$G$245, K$1),
    SUMIFS(MRP!$K$2:$K$245, MRP!$B$2:$B$245, $C67,  MRP!$G$2:$G$245, K$1),
    SUMIFS(MRP!$L$2:$L$245, MRP!$B$2:$B$245, $C67,  MRP!$G$2:$G$245, K$1)
)*F67</f>
        <v/>
      </c>
      <c r="L67" s="55">
        <f>TRIM(Tabla3[[#This Row],[CodInternoArti]])</f>
        <v/>
      </c>
    </row>
    <row r="68">
      <c r="A68" s="38">
        <f>IF(ISNUMBER(_xlfn.XMATCH(Tabla3[[#This Row],[CodInternoArti]],'Tabla Articulos'!B:B)),"OK","NO ESTA")</f>
        <v/>
      </c>
      <c r="B68" s="38">
        <f>IF(ISNUMBER(_xlfn.XMATCH('Calcular necesidad'!E:E,'Necesidad por familia'!A:A)),"OK","NO ESTA")</f>
        <v/>
      </c>
      <c r="C68" s="17" t="inlineStr">
        <is>
          <t>LIM000461</t>
        </is>
      </c>
      <c r="D68" s="1" t="inlineStr">
        <is>
          <t>BARBIJO N95 X 100U</t>
        </is>
      </c>
      <c r="E68" s="1">
        <f>_xlfn.XLOOKUP(C68,'Tabla Articulos'!B:B,'Tabla Articulos'!D:D)</f>
        <v/>
      </c>
      <c r="F68" s="1">
        <f>_xlfn.XLOOKUP(C68,'Tabla Articulos'!B:B,'Tabla Articulos'!E:E)</f>
        <v/>
      </c>
      <c r="G68" s="15">
        <f>SUM(
    SUMIFS(MRP!$H$2:$H$245, MRP!$B$2:$B$245, $C68, MRP!$G$2:$G$245, G$1),
    SUMIFS(MRP!$I$2:$I$245, MRP!$B$2:$B$245, $C68, MRP!$G$2:$G$245, G$1),
    SUMIFS(MRP!$J$2:$J$245, MRP!$B$2:$B$245, $C68,  MRP!$G$2:$G$245, G$1),
    SUMIFS(MRP!$K$2:$K$245, MRP!$B$2:$B$245, $C68,  MRP!$G$2:$G$245, G$1),
    SUMIFS(MRP!$L$2:$L$245, MRP!$B$2:$B$245, $C68,  MRP!$G$2:$G$245, G$1)
)*F68</f>
        <v/>
      </c>
      <c r="H68" s="15">
        <f>SUM(
    SUMIFS(MRP!$H$2:$H$245, MRP!$B$2:$B$245, $C68, MRP!$G$2:$G$245, H$1),
    SUMIFS(MRP!$I$2:$I$245, MRP!$B$2:$B$245, $C68, MRP!$G$2:$G$245, H$1),
    SUMIFS(MRP!$J$2:$J$245, MRP!$B$2:$B$245, $C68,  MRP!$G$2:$G$245, H$1),
    SUMIFS(MRP!$K$2:$K$245, MRP!$B$2:$B$245, $C68,  MRP!$G$2:$G$245, H$1),
    SUMIFS(MRP!$L$2:$L$245, MRP!$B$2:$B$245, $C68,  MRP!$G$2:$G$245, H$1)
)*F68</f>
        <v/>
      </c>
      <c r="I68" s="15">
        <f>SUM(
    SUMIFS(MRP!$H$2:$H$245, MRP!$B$2:$B$245, $C68, MRP!$G$2:$G$245, I$1),
    SUMIFS(MRP!$I$2:$I$245, MRP!$B$2:$B$245, $C68, MRP!$G$2:$G$245, I$1),
    SUMIFS(MRP!$J$2:$J$245, MRP!$B$2:$B$245, $C68,  MRP!$G$2:$G$245, I$1),
    SUMIFS(MRP!$K$2:$K$245, MRP!$B$2:$B$245, $C68,  MRP!$G$2:$G$245, I$1),
    SUMIFS(MRP!$L$2:$L$245, MRP!$B$2:$B$245, $C68,  MRP!$G$2:$G$245, I$1)
)*F68</f>
        <v/>
      </c>
      <c r="J68" s="15">
        <f>SUM(
    SUMIFS(MRP!$H$2:$H$245, MRP!$B$2:$B$245, $C68, MRP!$G$2:$G$245, J$1),
    SUMIFS(MRP!$I$2:$I$245, MRP!$B$2:$B$245, $C68, MRP!$G$2:$G$245, J$1),
    SUMIFS(MRP!$J$2:$J$245, MRP!$B$2:$B$245, $C68,  MRP!$G$2:$G$245, J$1),
    SUMIFS(MRP!$K$2:$K$245, MRP!$B$2:$B$245, $C68,  MRP!$G$2:$G$245, J$1),
    SUMIFS(MRP!$L$2:$L$245, MRP!$B$2:$B$245, $C68,  MRP!$G$2:$G$245, J$1)
)*F68</f>
        <v/>
      </c>
      <c r="K68" s="15">
        <f>SUM(
    SUMIFS(MRP!$H$2:$H$245, MRP!$B$2:$B$245, $C68, MRP!$G$2:$G$245, K$1),
    SUMIFS(MRP!$I$2:$I$245, MRP!$B$2:$B$245, $C68, MRP!$G$2:$G$245, K$1),
    SUMIFS(MRP!$J$2:$J$245, MRP!$B$2:$B$245, $C68,  MRP!$G$2:$G$245, K$1),
    SUMIFS(MRP!$K$2:$K$245, MRP!$B$2:$B$245, $C68,  MRP!$G$2:$G$245, K$1),
    SUMIFS(MRP!$L$2:$L$245, MRP!$B$2:$B$245, $C68,  MRP!$G$2:$G$245, K$1)
)*F68</f>
        <v/>
      </c>
      <c r="L68" s="55">
        <f>TRIM(Tabla3[[#This Row],[CodInternoArti]])</f>
        <v/>
      </c>
    </row>
    <row r="69">
      <c r="A69" s="38">
        <f>IF(ISNUMBER(_xlfn.XMATCH(Tabla3[[#This Row],[CodInternoArti]],'Tabla Articulos'!B:B)),"OK","NO ESTA")</f>
        <v/>
      </c>
      <c r="B69" s="38">
        <f>IF(ISNUMBER(_xlfn.XMATCH('Calcular necesidad'!E:E,'Necesidad por familia'!A:A)),"OK","NO ESTA")</f>
        <v/>
      </c>
      <c r="C69" s="17" t="inlineStr">
        <is>
          <t>7790321020266</t>
        </is>
      </c>
      <c r="D69" s="1" t="inlineStr">
        <is>
          <t>TAPA 102 x 50 U</t>
        </is>
      </c>
      <c r="E69" s="1">
        <f>_xlfn.XLOOKUP(C69,'Tabla Articulos'!B:B,'Tabla Articulos'!D:D)</f>
        <v/>
      </c>
      <c r="F69" s="1">
        <f>_xlfn.XLOOKUP(C69,'Tabla Articulos'!B:B,'Tabla Articulos'!E:E)</f>
        <v/>
      </c>
      <c r="G69" s="15">
        <f>SUM(
    SUMIFS(MRP!$H$2:$H$245, MRP!$B$2:$B$245, $C69, MRP!$G$2:$G$245, G$1),
    SUMIFS(MRP!$I$2:$I$245, MRP!$B$2:$B$245, $C69, MRP!$G$2:$G$245, G$1),
    SUMIFS(MRP!$J$2:$J$245, MRP!$B$2:$B$245, $C69,  MRP!$G$2:$G$245, G$1),
    SUMIFS(MRP!$K$2:$K$245, MRP!$B$2:$B$245, $C69,  MRP!$G$2:$G$245, G$1),
    SUMIFS(MRP!$L$2:$L$245, MRP!$B$2:$B$245, $C69,  MRP!$G$2:$G$245, G$1)
)*F69</f>
        <v/>
      </c>
      <c r="H69" s="15">
        <f>SUM(
    SUMIFS(MRP!$H$2:$H$245, MRP!$B$2:$B$245, $C69, MRP!$G$2:$G$245, H$1),
    SUMIFS(MRP!$I$2:$I$245, MRP!$B$2:$B$245, $C69, MRP!$G$2:$G$245, H$1),
    SUMIFS(MRP!$J$2:$J$245, MRP!$B$2:$B$245, $C69,  MRP!$G$2:$G$245, H$1),
    SUMIFS(MRP!$K$2:$K$245, MRP!$B$2:$B$245, $C69,  MRP!$G$2:$G$245, H$1),
    SUMIFS(MRP!$L$2:$L$245, MRP!$B$2:$B$245, $C69,  MRP!$G$2:$G$245, H$1)
)*F69</f>
        <v/>
      </c>
      <c r="I69" s="15">
        <f>SUM(
    SUMIFS(MRP!$H$2:$H$245, MRP!$B$2:$B$245, $C69, MRP!$G$2:$G$245, I$1),
    SUMIFS(MRP!$I$2:$I$245, MRP!$B$2:$B$245, $C69, MRP!$G$2:$G$245, I$1),
    SUMIFS(MRP!$J$2:$J$245, MRP!$B$2:$B$245, $C69,  MRP!$G$2:$G$245, I$1),
    SUMIFS(MRP!$K$2:$K$245, MRP!$B$2:$B$245, $C69,  MRP!$G$2:$G$245, I$1),
    SUMIFS(MRP!$L$2:$L$245, MRP!$B$2:$B$245, $C69,  MRP!$G$2:$G$245, I$1)
)*F69</f>
        <v/>
      </c>
      <c r="J69" s="15">
        <f>SUM(
    SUMIFS(MRP!$H$2:$H$245, MRP!$B$2:$B$245, $C69, MRP!$G$2:$G$245, J$1),
    SUMIFS(MRP!$I$2:$I$245, MRP!$B$2:$B$245, $C69, MRP!$G$2:$G$245, J$1),
    SUMIFS(MRP!$J$2:$J$245, MRP!$B$2:$B$245, $C69,  MRP!$G$2:$G$245, J$1),
    SUMIFS(MRP!$K$2:$K$245, MRP!$B$2:$B$245, $C69,  MRP!$G$2:$G$245, J$1),
    SUMIFS(MRP!$L$2:$L$245, MRP!$B$2:$B$245, $C69,  MRP!$G$2:$G$245, J$1)
)*F69</f>
        <v/>
      </c>
      <c r="K69" s="15">
        <f>SUM(
    SUMIFS(MRP!$H$2:$H$245, MRP!$B$2:$B$245, $C69, MRP!$G$2:$G$245, K$1),
    SUMIFS(MRP!$I$2:$I$245, MRP!$B$2:$B$245, $C69, MRP!$G$2:$G$245, K$1),
    SUMIFS(MRP!$J$2:$J$245, MRP!$B$2:$B$245, $C69,  MRP!$G$2:$G$245, K$1),
    SUMIFS(MRP!$K$2:$K$245, MRP!$B$2:$B$245, $C69,  MRP!$G$2:$G$245, K$1),
    SUMIFS(MRP!$L$2:$L$245, MRP!$B$2:$B$245, $C69,  MRP!$G$2:$G$245, K$1)
)*F69</f>
        <v/>
      </c>
      <c r="L69" s="55">
        <f>TRIM(Tabla3[[#This Row],[CodInternoArti]])</f>
        <v/>
      </c>
    </row>
    <row r="70">
      <c r="A70" s="38">
        <f>IF(ISNUMBER(_xlfn.XMATCH(Tabla3[[#This Row],[CodInternoArti]],'Tabla Articulos'!B:B)),"OK","NO ESTA")</f>
        <v/>
      </c>
      <c r="B70" s="38">
        <f>IF(ISNUMBER(_xlfn.XMATCH('Calcular necesidad'!E:E,'Necesidad por familia'!A:A)),"OK","NO ESTA")</f>
        <v/>
      </c>
      <c r="C70" s="17" t="inlineStr">
        <is>
          <t>7790321020306</t>
        </is>
      </c>
      <c r="D70" s="1" t="inlineStr">
        <is>
          <t>TAPA ALUMINIO R5/F2100 x 400 U</t>
        </is>
      </c>
      <c r="E70" s="1">
        <f>_xlfn.XLOOKUP(C70,'Tabla Articulos'!B:B,'Tabla Articulos'!D:D)</f>
        <v/>
      </c>
      <c r="F70" s="1">
        <f>_xlfn.XLOOKUP(C70,'Tabla Articulos'!B:B,'Tabla Articulos'!E:E)</f>
        <v/>
      </c>
      <c r="G70" s="15">
        <f>SUM(
    SUMIFS(MRP!$H$2:$H$245, MRP!$B$2:$B$245, $C70, MRP!$G$2:$G$245, G$1),
    SUMIFS(MRP!$I$2:$I$245, MRP!$B$2:$B$245, $C70, MRP!$G$2:$G$245, G$1),
    SUMIFS(MRP!$J$2:$J$245, MRP!$B$2:$B$245, $C70,  MRP!$G$2:$G$245, G$1),
    SUMIFS(MRP!$K$2:$K$245, MRP!$B$2:$B$245, $C70,  MRP!$G$2:$G$245, G$1),
    SUMIFS(MRP!$L$2:$L$245, MRP!$B$2:$B$245, $C70,  MRP!$G$2:$G$245, G$1)
)*F70</f>
        <v/>
      </c>
      <c r="H70" s="15">
        <f>SUM(
    SUMIFS(MRP!$H$2:$H$245, MRP!$B$2:$B$245, $C70, MRP!$G$2:$G$245, H$1),
    SUMIFS(MRP!$I$2:$I$245, MRP!$B$2:$B$245, $C70, MRP!$G$2:$G$245, H$1),
    SUMIFS(MRP!$J$2:$J$245, MRP!$B$2:$B$245, $C70,  MRP!$G$2:$G$245, H$1),
    SUMIFS(MRP!$K$2:$K$245, MRP!$B$2:$B$245, $C70,  MRP!$G$2:$G$245, H$1),
    SUMIFS(MRP!$L$2:$L$245, MRP!$B$2:$B$245, $C70,  MRP!$G$2:$G$245, H$1)
)*F70</f>
        <v/>
      </c>
      <c r="I70" s="15">
        <f>SUM(
    SUMIFS(MRP!$H$2:$H$245, MRP!$B$2:$B$245, $C70, MRP!$G$2:$G$245, I$1),
    SUMIFS(MRP!$I$2:$I$245, MRP!$B$2:$B$245, $C70, MRP!$G$2:$G$245, I$1),
    SUMIFS(MRP!$J$2:$J$245, MRP!$B$2:$B$245, $C70,  MRP!$G$2:$G$245, I$1),
    SUMIFS(MRP!$K$2:$K$245, MRP!$B$2:$B$245, $C70,  MRP!$G$2:$G$245, I$1),
    SUMIFS(MRP!$L$2:$L$245, MRP!$B$2:$B$245, $C70,  MRP!$G$2:$G$245, I$1)
)*F70</f>
        <v/>
      </c>
      <c r="J70" s="15">
        <f>SUM(
    SUMIFS(MRP!$H$2:$H$245, MRP!$B$2:$B$245, $C70, MRP!$G$2:$G$245, J$1),
    SUMIFS(MRP!$I$2:$I$245, MRP!$B$2:$B$245, $C70, MRP!$G$2:$G$245, J$1),
    SUMIFS(MRP!$J$2:$J$245, MRP!$B$2:$B$245, $C70,  MRP!$G$2:$G$245, J$1),
    SUMIFS(MRP!$K$2:$K$245, MRP!$B$2:$B$245, $C70,  MRP!$G$2:$G$245, J$1),
    SUMIFS(MRP!$L$2:$L$245, MRP!$B$2:$B$245, $C70,  MRP!$G$2:$G$245, J$1)
)*F70</f>
        <v/>
      </c>
      <c r="K70" s="15">
        <f>SUM(
    SUMIFS(MRP!$H$2:$H$245, MRP!$B$2:$B$245, $C70, MRP!$G$2:$G$245, K$1),
    SUMIFS(MRP!$I$2:$I$245, MRP!$B$2:$B$245, $C70, MRP!$G$2:$G$245, K$1),
    SUMIFS(MRP!$J$2:$J$245, MRP!$B$2:$B$245, $C70,  MRP!$G$2:$G$245, K$1),
    SUMIFS(MRP!$K$2:$K$245, MRP!$B$2:$B$245, $C70,  MRP!$G$2:$G$245, K$1),
    SUMIFS(MRP!$L$2:$L$245, MRP!$B$2:$B$245, $C70,  MRP!$G$2:$G$245, K$1)
)*F70</f>
        <v/>
      </c>
      <c r="L70" s="55">
        <f>TRIM(Tabla3[[#This Row],[CodInternoArti]])</f>
        <v/>
      </c>
    </row>
    <row r="71">
      <c r="A71" s="38">
        <f>IF(ISNUMBER(_xlfn.XMATCH(Tabla3[[#This Row],[CodInternoArti]],'Tabla Articulos'!B:B)),"OK","NO ESTA")</f>
        <v/>
      </c>
      <c r="B71" s="38">
        <f>IF(ISNUMBER(_xlfn.XMATCH('Calcular necesidad'!E:E,'Necesidad por familia'!A:A)),"OK","NO ESTA")</f>
        <v/>
      </c>
      <c r="C71" s="17" t="inlineStr">
        <is>
          <t>7790321020406</t>
        </is>
      </c>
      <c r="D71" s="1" t="inlineStr">
        <is>
          <t>VASO TERMICO x 300 X 25 U</t>
        </is>
      </c>
      <c r="E71" s="1">
        <f>_xlfn.XLOOKUP(C71,'Tabla Articulos'!B:B,'Tabla Articulos'!D:D)</f>
        <v/>
      </c>
      <c r="F71" s="1">
        <f>_xlfn.XLOOKUP(C71,'Tabla Articulos'!B:B,'Tabla Articulos'!E:E)</f>
        <v/>
      </c>
      <c r="G71" s="15">
        <f>SUM(
    SUMIFS(MRP!$H$2:$H$245, MRP!$B$2:$B$245, $C71, MRP!$G$2:$G$245, G$1),
    SUMIFS(MRP!$I$2:$I$245, MRP!$B$2:$B$245, $C71, MRP!$G$2:$G$245, G$1),
    SUMIFS(MRP!$J$2:$J$245, MRP!$B$2:$B$245, $C71,  MRP!$G$2:$G$245, G$1),
    SUMIFS(MRP!$K$2:$K$245, MRP!$B$2:$B$245, $C71,  MRP!$G$2:$G$245, G$1),
    SUMIFS(MRP!$L$2:$L$245, MRP!$B$2:$B$245, $C71,  MRP!$G$2:$G$245, G$1)
)*F71</f>
        <v/>
      </c>
      <c r="H71" s="15">
        <f>SUM(
    SUMIFS(MRP!$H$2:$H$245, MRP!$B$2:$B$245, $C71, MRP!$G$2:$G$245, H$1),
    SUMIFS(MRP!$I$2:$I$245, MRP!$B$2:$B$245, $C71, MRP!$G$2:$G$245, H$1),
    SUMIFS(MRP!$J$2:$J$245, MRP!$B$2:$B$245, $C71,  MRP!$G$2:$G$245, H$1),
    SUMIFS(MRP!$K$2:$K$245, MRP!$B$2:$B$245, $C71,  MRP!$G$2:$G$245, H$1),
    SUMIFS(MRP!$L$2:$L$245, MRP!$B$2:$B$245, $C71,  MRP!$G$2:$G$245, H$1)
)*F71</f>
        <v/>
      </c>
      <c r="I71" s="15">
        <f>SUM(
    SUMIFS(MRP!$H$2:$H$245, MRP!$B$2:$B$245, $C71, MRP!$G$2:$G$245, I$1),
    SUMIFS(MRP!$I$2:$I$245, MRP!$B$2:$B$245, $C71, MRP!$G$2:$G$245, I$1),
    SUMIFS(MRP!$J$2:$J$245, MRP!$B$2:$B$245, $C71,  MRP!$G$2:$G$245, I$1),
    SUMIFS(MRP!$K$2:$K$245, MRP!$B$2:$B$245, $C71,  MRP!$G$2:$G$245, I$1),
    SUMIFS(MRP!$L$2:$L$245, MRP!$B$2:$B$245, $C71,  MRP!$G$2:$G$245, I$1)
)*F71</f>
        <v/>
      </c>
      <c r="J71" s="15">
        <f>SUM(
    SUMIFS(MRP!$H$2:$H$245, MRP!$B$2:$B$245, $C71, MRP!$G$2:$G$245, J$1),
    SUMIFS(MRP!$I$2:$I$245, MRP!$B$2:$B$245, $C71, MRP!$G$2:$G$245, J$1),
    SUMIFS(MRP!$J$2:$J$245, MRP!$B$2:$B$245, $C71,  MRP!$G$2:$G$245, J$1),
    SUMIFS(MRP!$K$2:$K$245, MRP!$B$2:$B$245, $C71,  MRP!$G$2:$G$245, J$1),
    SUMIFS(MRP!$L$2:$L$245, MRP!$B$2:$B$245, $C71,  MRP!$G$2:$G$245, J$1)
)*F71</f>
        <v/>
      </c>
      <c r="K71" s="15">
        <f>SUM(
    SUMIFS(MRP!$H$2:$H$245, MRP!$B$2:$B$245, $C71, MRP!$G$2:$G$245, K$1),
    SUMIFS(MRP!$I$2:$I$245, MRP!$B$2:$B$245, $C71, MRP!$G$2:$G$245, K$1),
    SUMIFS(MRP!$J$2:$J$245, MRP!$B$2:$B$245, $C71,  MRP!$G$2:$G$245, K$1),
    SUMIFS(MRP!$K$2:$K$245, MRP!$B$2:$B$245, $C71,  MRP!$G$2:$G$245, K$1),
    SUMIFS(MRP!$L$2:$L$245, MRP!$B$2:$B$245, $C71,  MRP!$G$2:$G$245, K$1)
)*F71</f>
        <v/>
      </c>
      <c r="L71" s="55">
        <f>TRIM(Tabla3[[#This Row],[CodInternoArti]])</f>
        <v/>
      </c>
    </row>
    <row r="72">
      <c r="A72" s="38">
        <f>IF(ISNUMBER(_xlfn.XMATCH(Tabla3[[#This Row],[CodInternoArti]],'Tabla Articulos'!B:B)),"OK","NO ESTA")</f>
        <v/>
      </c>
      <c r="B72" s="38">
        <f>IF(ISNUMBER(_xlfn.XMATCH('Calcular necesidad'!E:E,'Necesidad por familia'!A:A)),"OK","NO ESTA")</f>
        <v/>
      </c>
      <c r="C72" s="17" t="inlineStr">
        <is>
          <t>7790321020066</t>
        </is>
      </c>
      <c r="D72" s="1" t="inlineStr">
        <is>
          <t>BAND ALUMINIO R5/F2100 x 600 U</t>
        </is>
      </c>
      <c r="E72" s="1">
        <f>_xlfn.XLOOKUP(C72,'Tabla Articulos'!B:B,'Tabla Articulos'!D:D)</f>
        <v/>
      </c>
      <c r="F72" s="1">
        <f>_xlfn.XLOOKUP(C72,'Tabla Articulos'!B:B,'Tabla Articulos'!E:E)</f>
        <v/>
      </c>
      <c r="G72" s="15">
        <f>SUM(
    SUMIFS(MRP!$H$2:$H$245, MRP!$B$2:$B$245, $C72, MRP!$G$2:$G$245, G$1),
    SUMIFS(MRP!$I$2:$I$245, MRP!$B$2:$B$245, $C72, MRP!$G$2:$G$245, G$1),
    SUMIFS(MRP!$J$2:$J$245, MRP!$B$2:$B$245, $C72,  MRP!$G$2:$G$245, G$1),
    SUMIFS(MRP!$K$2:$K$245, MRP!$B$2:$B$245, $C72,  MRP!$G$2:$G$245, G$1),
    SUMIFS(MRP!$L$2:$L$245, MRP!$B$2:$B$245, $C72,  MRP!$G$2:$G$245, G$1)
)*F72</f>
        <v/>
      </c>
      <c r="H72" s="15">
        <f>SUM(
    SUMIFS(MRP!$H$2:$H$245, MRP!$B$2:$B$245, $C72, MRP!$G$2:$G$245, H$1),
    SUMIFS(MRP!$I$2:$I$245, MRP!$B$2:$B$245, $C72, MRP!$G$2:$G$245, H$1),
    SUMIFS(MRP!$J$2:$J$245, MRP!$B$2:$B$245, $C72,  MRP!$G$2:$G$245, H$1),
    SUMIFS(MRP!$K$2:$K$245, MRP!$B$2:$B$245, $C72,  MRP!$G$2:$G$245, H$1),
    SUMIFS(MRP!$L$2:$L$245, MRP!$B$2:$B$245, $C72,  MRP!$G$2:$G$245, H$1)
)*F72</f>
        <v/>
      </c>
      <c r="I72" s="15">
        <f>SUM(
    SUMIFS(MRP!$H$2:$H$245, MRP!$B$2:$B$245, $C72, MRP!$G$2:$G$245, I$1),
    SUMIFS(MRP!$I$2:$I$245, MRP!$B$2:$B$245, $C72, MRP!$G$2:$G$245, I$1),
    SUMIFS(MRP!$J$2:$J$245, MRP!$B$2:$B$245, $C72,  MRP!$G$2:$G$245, I$1),
    SUMIFS(MRP!$K$2:$K$245, MRP!$B$2:$B$245, $C72,  MRP!$G$2:$G$245, I$1),
    SUMIFS(MRP!$L$2:$L$245, MRP!$B$2:$B$245, $C72,  MRP!$G$2:$G$245, I$1)
)*F72</f>
        <v/>
      </c>
      <c r="J72" s="15">
        <f>SUM(
    SUMIFS(MRP!$H$2:$H$245, MRP!$B$2:$B$245, $C72, MRP!$G$2:$G$245, J$1),
    SUMIFS(MRP!$I$2:$I$245, MRP!$B$2:$B$245, $C72, MRP!$G$2:$G$245, J$1),
    SUMIFS(MRP!$J$2:$J$245, MRP!$B$2:$B$245, $C72,  MRP!$G$2:$G$245, J$1),
    SUMIFS(MRP!$K$2:$K$245, MRP!$B$2:$B$245, $C72,  MRP!$G$2:$G$245, J$1),
    SUMIFS(MRP!$L$2:$L$245, MRP!$B$2:$B$245, $C72,  MRP!$G$2:$G$245, J$1)
)*F72</f>
        <v/>
      </c>
      <c r="K72" s="15">
        <f>SUM(
    SUMIFS(MRP!$H$2:$H$245, MRP!$B$2:$B$245, $C72, MRP!$G$2:$G$245, K$1),
    SUMIFS(MRP!$I$2:$I$245, MRP!$B$2:$B$245, $C72, MRP!$G$2:$G$245, K$1),
    SUMIFS(MRP!$J$2:$J$245, MRP!$B$2:$B$245, $C72,  MRP!$G$2:$G$245, K$1),
    SUMIFS(MRP!$K$2:$K$245, MRP!$B$2:$B$245, $C72,  MRP!$G$2:$G$245, K$1),
    SUMIFS(MRP!$L$2:$L$245, MRP!$B$2:$B$245, $C72,  MRP!$G$2:$G$245, K$1)
)*F72</f>
        <v/>
      </c>
      <c r="L72" s="55">
        <f>TRIM(Tabla3[[#This Row],[CodInternoArti]])</f>
        <v/>
      </c>
    </row>
    <row r="73">
      <c r="A73" s="38">
        <f>IF(ISNUMBER(_xlfn.XMATCH(Tabla3[[#This Row],[CodInternoArti]],'Tabla Articulos'!B:B)),"OK","NO ESTA")</f>
        <v/>
      </c>
      <c r="B73" s="38">
        <f>IF(ISNUMBER(_xlfn.XMATCH('Calcular necesidad'!E:E,'Necesidad por familia'!A:A)),"OK","NO ESTA")</f>
        <v/>
      </c>
      <c r="C73" s="17" t="inlineStr">
        <is>
          <t>7790321020276</t>
        </is>
      </c>
      <c r="D73" s="1" t="inlineStr">
        <is>
          <t>TAPA 103 x 50 U</t>
        </is>
      </c>
      <c r="E73" s="1">
        <f>_xlfn.XLOOKUP(C73,'Tabla Articulos'!B:B,'Tabla Articulos'!D:D)</f>
        <v/>
      </c>
      <c r="F73" s="1">
        <f>_xlfn.XLOOKUP(C73,'Tabla Articulos'!B:B,'Tabla Articulos'!E:E)</f>
        <v/>
      </c>
      <c r="G73" s="15">
        <f>SUM(
    SUMIFS(MRP!$H$2:$H$245, MRP!$B$2:$B$245, $C73, MRP!$G$2:$G$245, G$1),
    SUMIFS(MRP!$I$2:$I$245, MRP!$B$2:$B$245, $C73, MRP!$G$2:$G$245, G$1),
    SUMIFS(MRP!$J$2:$J$245, MRP!$B$2:$B$245, $C73,  MRP!$G$2:$G$245, G$1),
    SUMIFS(MRP!$K$2:$K$245, MRP!$B$2:$B$245, $C73,  MRP!$G$2:$G$245, G$1),
    SUMIFS(MRP!$L$2:$L$245, MRP!$B$2:$B$245, $C73,  MRP!$G$2:$G$245, G$1)
)*F73</f>
        <v/>
      </c>
      <c r="H73" s="15">
        <f>SUM(
    SUMIFS(MRP!$H$2:$H$245, MRP!$B$2:$B$245, $C73, MRP!$G$2:$G$245, H$1),
    SUMIFS(MRP!$I$2:$I$245, MRP!$B$2:$B$245, $C73, MRP!$G$2:$G$245, H$1),
    SUMIFS(MRP!$J$2:$J$245, MRP!$B$2:$B$245, $C73,  MRP!$G$2:$G$245, H$1),
    SUMIFS(MRP!$K$2:$K$245, MRP!$B$2:$B$245, $C73,  MRP!$G$2:$G$245, H$1),
    SUMIFS(MRP!$L$2:$L$245, MRP!$B$2:$B$245, $C73,  MRP!$G$2:$G$245, H$1)
)*F73</f>
        <v/>
      </c>
      <c r="I73" s="15">
        <f>SUM(
    SUMIFS(MRP!$H$2:$H$245, MRP!$B$2:$B$245, $C73, MRP!$G$2:$G$245, I$1),
    SUMIFS(MRP!$I$2:$I$245, MRP!$B$2:$B$245, $C73, MRP!$G$2:$G$245, I$1),
    SUMIFS(MRP!$J$2:$J$245, MRP!$B$2:$B$245, $C73,  MRP!$G$2:$G$245, I$1),
    SUMIFS(MRP!$K$2:$K$245, MRP!$B$2:$B$245, $C73,  MRP!$G$2:$G$245, I$1),
    SUMIFS(MRP!$L$2:$L$245, MRP!$B$2:$B$245, $C73,  MRP!$G$2:$G$245, I$1)
)*F73</f>
        <v/>
      </c>
      <c r="J73" s="15">
        <f>SUM(
    SUMIFS(MRP!$H$2:$H$245, MRP!$B$2:$B$245, $C73, MRP!$G$2:$G$245, J$1),
    SUMIFS(MRP!$I$2:$I$245, MRP!$B$2:$B$245, $C73, MRP!$G$2:$G$245, J$1),
    SUMIFS(MRP!$J$2:$J$245, MRP!$B$2:$B$245, $C73,  MRP!$G$2:$G$245, J$1),
    SUMIFS(MRP!$K$2:$K$245, MRP!$B$2:$B$245, $C73,  MRP!$G$2:$G$245, J$1),
    SUMIFS(MRP!$L$2:$L$245, MRP!$B$2:$B$245, $C73,  MRP!$G$2:$G$245, J$1)
)*F73</f>
        <v/>
      </c>
      <c r="K73" s="15">
        <f>SUM(
    SUMIFS(MRP!$H$2:$H$245, MRP!$B$2:$B$245, $C73, MRP!$G$2:$G$245, K$1),
    SUMIFS(MRP!$I$2:$I$245, MRP!$B$2:$B$245, $C73, MRP!$G$2:$G$245, K$1),
    SUMIFS(MRP!$J$2:$J$245, MRP!$B$2:$B$245, $C73,  MRP!$G$2:$G$245, K$1),
    SUMIFS(MRP!$K$2:$K$245, MRP!$B$2:$B$245, $C73,  MRP!$G$2:$G$245, K$1),
    SUMIFS(MRP!$L$2:$L$245, MRP!$B$2:$B$245, $C73,  MRP!$G$2:$G$245, K$1)
)*F73</f>
        <v/>
      </c>
      <c r="L73" s="55">
        <f>TRIM(Tabla3[[#This Row],[CodInternoArti]])</f>
        <v/>
      </c>
    </row>
    <row r="74">
      <c r="A74" s="38">
        <f>IF(ISNUMBER(_xlfn.XMATCH(Tabla3[[#This Row],[CodInternoArti]],'Tabla Articulos'!B:B)),"OK","NO ESTA")</f>
        <v/>
      </c>
      <c r="B74" s="38">
        <f>IF(ISNUMBER(_xlfn.XMATCH('Calcular necesidad'!E:E,'Necesidad por familia'!A:A)),"OK","NO ESTA")</f>
        <v/>
      </c>
      <c r="C74" s="17" t="inlineStr">
        <is>
          <t>7790321020356</t>
        </is>
      </c>
      <c r="D74" s="1" t="inlineStr">
        <is>
          <t>VASO PLASTICO x 220 CC X 100 U</t>
        </is>
      </c>
      <c r="E74" s="1">
        <f>_xlfn.XLOOKUP(C74,'Tabla Articulos'!B:B,'Tabla Articulos'!D:D)</f>
        <v/>
      </c>
      <c r="F74" s="1">
        <f>_xlfn.XLOOKUP(C74,'Tabla Articulos'!B:B,'Tabla Articulos'!E:E)</f>
        <v/>
      </c>
      <c r="G74" s="15">
        <f>SUM(
    SUMIFS(MRP!$H$2:$H$245, MRP!$B$2:$B$245, $C74, MRP!$G$2:$G$245, G$1),
    SUMIFS(MRP!$I$2:$I$245, MRP!$B$2:$B$245, $C74, MRP!$G$2:$G$245, G$1),
    SUMIFS(MRP!$J$2:$J$245, MRP!$B$2:$B$245, $C74,  MRP!$G$2:$G$245, G$1),
    SUMIFS(MRP!$K$2:$K$245, MRP!$B$2:$B$245, $C74,  MRP!$G$2:$G$245, G$1),
    SUMIFS(MRP!$L$2:$L$245, MRP!$B$2:$B$245, $C74,  MRP!$G$2:$G$245, G$1)
)*F74</f>
        <v/>
      </c>
      <c r="H74" s="15">
        <f>SUM(
    SUMIFS(MRP!$H$2:$H$245, MRP!$B$2:$B$245, $C74, MRP!$G$2:$G$245, H$1),
    SUMIFS(MRP!$I$2:$I$245, MRP!$B$2:$B$245, $C74, MRP!$G$2:$G$245, H$1),
    SUMIFS(MRP!$J$2:$J$245, MRP!$B$2:$B$245, $C74,  MRP!$G$2:$G$245, H$1),
    SUMIFS(MRP!$K$2:$K$245, MRP!$B$2:$B$245, $C74,  MRP!$G$2:$G$245, H$1),
    SUMIFS(MRP!$L$2:$L$245, MRP!$B$2:$B$245, $C74,  MRP!$G$2:$G$245, H$1)
)*F74</f>
        <v/>
      </c>
      <c r="I74" s="15">
        <f>SUM(
    SUMIFS(MRP!$H$2:$H$245, MRP!$B$2:$B$245, $C74, MRP!$G$2:$G$245, I$1),
    SUMIFS(MRP!$I$2:$I$245, MRP!$B$2:$B$245, $C74, MRP!$G$2:$G$245, I$1),
    SUMIFS(MRP!$J$2:$J$245, MRP!$B$2:$B$245, $C74,  MRP!$G$2:$G$245, I$1),
    SUMIFS(MRP!$K$2:$K$245, MRP!$B$2:$B$245, $C74,  MRP!$G$2:$G$245, I$1),
    SUMIFS(MRP!$L$2:$L$245, MRP!$B$2:$B$245, $C74,  MRP!$G$2:$G$245, I$1)
)*F74</f>
        <v/>
      </c>
      <c r="J74" s="15">
        <f>SUM(
    SUMIFS(MRP!$H$2:$H$245, MRP!$B$2:$B$245, $C74, MRP!$G$2:$G$245, J$1),
    SUMIFS(MRP!$I$2:$I$245, MRP!$B$2:$B$245, $C74, MRP!$G$2:$G$245, J$1),
    SUMIFS(MRP!$J$2:$J$245, MRP!$B$2:$B$245, $C74,  MRP!$G$2:$G$245, J$1),
    SUMIFS(MRP!$K$2:$K$245, MRP!$B$2:$B$245, $C74,  MRP!$G$2:$G$245, J$1),
    SUMIFS(MRP!$L$2:$L$245, MRP!$B$2:$B$245, $C74,  MRP!$G$2:$G$245, J$1)
)*F74</f>
        <v/>
      </c>
      <c r="K74" s="15">
        <f>SUM(
    SUMIFS(MRP!$H$2:$H$245, MRP!$B$2:$B$245, $C74, MRP!$G$2:$G$245, K$1),
    SUMIFS(MRP!$I$2:$I$245, MRP!$B$2:$B$245, $C74, MRP!$G$2:$G$245, K$1),
    SUMIFS(MRP!$J$2:$J$245, MRP!$B$2:$B$245, $C74,  MRP!$G$2:$G$245, K$1),
    SUMIFS(MRP!$K$2:$K$245, MRP!$B$2:$B$245, $C74,  MRP!$G$2:$G$245, K$1),
    SUMIFS(MRP!$L$2:$L$245, MRP!$B$2:$B$245, $C74,  MRP!$G$2:$G$245, K$1)
)*F74</f>
        <v/>
      </c>
      <c r="L74" s="55">
        <f>TRIM(Tabla3[[#This Row],[CodInternoArti]])</f>
        <v/>
      </c>
    </row>
    <row r="75">
      <c r="A75" s="38">
        <f>IF(ISNUMBER(_xlfn.XMATCH(Tabla3[[#This Row],[CodInternoArti]],'Tabla Articulos'!B:B)),"OK","NO ESTA")</f>
        <v/>
      </c>
      <c r="B75" s="38">
        <f>IF(ISNUMBER(_xlfn.XMATCH('Calcular necesidad'!E:E,'Necesidad por familia'!A:A)),"OK","NO ESTA")</f>
        <v/>
      </c>
      <c r="C75" s="17" t="inlineStr">
        <is>
          <t>7790321020237</t>
        </is>
      </c>
      <c r="D75" s="1" t="inlineStr">
        <is>
          <t>MANTEL IND 40X30X1000U GL</t>
        </is>
      </c>
      <c r="E75" s="1">
        <f>_xlfn.XLOOKUP(C75,'Tabla Articulos'!B:B,'Tabla Articulos'!D:D)</f>
        <v/>
      </c>
      <c r="F75" s="1">
        <f>_xlfn.XLOOKUP(C75,'Tabla Articulos'!B:B,'Tabla Articulos'!E:E)</f>
        <v/>
      </c>
      <c r="G75" s="15">
        <f>SUM(
    SUMIFS(MRP!$H$2:$H$245, MRP!$B$2:$B$245, $C75, MRP!$G$2:$G$245, G$1),
    SUMIFS(MRP!$I$2:$I$245, MRP!$B$2:$B$245, $C75, MRP!$G$2:$G$245, G$1),
    SUMIFS(MRP!$J$2:$J$245, MRP!$B$2:$B$245, $C75,  MRP!$G$2:$G$245, G$1),
    SUMIFS(MRP!$K$2:$K$245, MRP!$B$2:$B$245, $C75,  MRP!$G$2:$G$245, G$1),
    SUMIFS(MRP!$L$2:$L$245, MRP!$B$2:$B$245, $C75,  MRP!$G$2:$G$245, G$1)
)*F75</f>
        <v/>
      </c>
      <c r="H75" s="15">
        <f>SUM(
    SUMIFS(MRP!$H$2:$H$245, MRP!$B$2:$B$245, $C75, MRP!$G$2:$G$245, H$1),
    SUMIFS(MRP!$I$2:$I$245, MRP!$B$2:$B$245, $C75, MRP!$G$2:$G$245, H$1),
    SUMIFS(MRP!$J$2:$J$245, MRP!$B$2:$B$245, $C75,  MRP!$G$2:$G$245, H$1),
    SUMIFS(MRP!$K$2:$K$245, MRP!$B$2:$B$245, $C75,  MRP!$G$2:$G$245, H$1),
    SUMIFS(MRP!$L$2:$L$245, MRP!$B$2:$B$245, $C75,  MRP!$G$2:$G$245, H$1)
)*F75</f>
        <v/>
      </c>
      <c r="I75" s="15">
        <f>SUM(
    SUMIFS(MRP!$H$2:$H$245, MRP!$B$2:$B$245, $C75, MRP!$G$2:$G$245, I$1),
    SUMIFS(MRP!$I$2:$I$245, MRP!$B$2:$B$245, $C75, MRP!$G$2:$G$245, I$1),
    SUMIFS(MRP!$J$2:$J$245, MRP!$B$2:$B$245, $C75,  MRP!$G$2:$G$245, I$1),
    SUMIFS(MRP!$K$2:$K$245, MRP!$B$2:$B$245, $C75,  MRP!$G$2:$G$245, I$1),
    SUMIFS(MRP!$L$2:$L$245, MRP!$B$2:$B$245, $C75,  MRP!$G$2:$G$245, I$1)
)*F75</f>
        <v/>
      </c>
      <c r="J75" s="15">
        <f>SUM(
    SUMIFS(MRP!$H$2:$H$245, MRP!$B$2:$B$245, $C75, MRP!$G$2:$G$245, J$1),
    SUMIFS(MRP!$I$2:$I$245, MRP!$B$2:$B$245, $C75, MRP!$G$2:$G$245, J$1),
    SUMIFS(MRP!$J$2:$J$245, MRP!$B$2:$B$245, $C75,  MRP!$G$2:$G$245, J$1),
    SUMIFS(MRP!$K$2:$K$245, MRP!$B$2:$B$245, $C75,  MRP!$G$2:$G$245, J$1),
    SUMIFS(MRP!$L$2:$L$245, MRP!$B$2:$B$245, $C75,  MRP!$G$2:$G$245, J$1)
)*F75</f>
        <v/>
      </c>
      <c r="K75" s="15">
        <f>SUM(
    SUMIFS(MRP!$H$2:$H$245, MRP!$B$2:$B$245, $C75, MRP!$G$2:$G$245, K$1),
    SUMIFS(MRP!$I$2:$I$245, MRP!$B$2:$B$245, $C75, MRP!$G$2:$G$245, K$1),
    SUMIFS(MRP!$J$2:$J$245, MRP!$B$2:$B$245, $C75,  MRP!$G$2:$G$245, K$1),
    SUMIFS(MRP!$K$2:$K$245, MRP!$B$2:$B$245, $C75,  MRP!$G$2:$G$245, K$1),
    SUMIFS(MRP!$L$2:$L$245, MRP!$B$2:$B$245, $C75,  MRP!$G$2:$G$245, K$1)
)*F75</f>
        <v/>
      </c>
      <c r="L75" s="55">
        <f>TRIM(Tabla3[[#This Row],[CodInternoArti]])</f>
        <v/>
      </c>
    </row>
    <row r="76">
      <c r="A76" s="38">
        <f>IF(ISNUMBER(_xlfn.XMATCH(Tabla3[[#This Row],[CodInternoArti]],'Tabla Articulos'!B:B)),"OK","NO ESTA")</f>
        <v/>
      </c>
      <c r="B76" s="38">
        <f>IF(ISNUMBER(_xlfn.XMATCH('Calcular necesidad'!E:E,'Necesidad por familia'!A:A)),"OK","NO ESTA")</f>
        <v/>
      </c>
      <c r="C76" s="17" t="inlineStr">
        <is>
          <t>7790321000063</t>
        </is>
      </c>
      <c r="D76" s="1" t="inlineStr">
        <is>
          <t>ENS. CRISTAL TAPA x100U BANDEX</t>
        </is>
      </c>
      <c r="E76" s="1">
        <f>_xlfn.XLOOKUP(C76,'Tabla Articulos'!B:B,'Tabla Articulos'!D:D)</f>
        <v/>
      </c>
      <c r="F76" s="1">
        <f>_xlfn.XLOOKUP(C76,'Tabla Articulos'!B:B,'Tabla Articulos'!E:E)</f>
        <v/>
      </c>
      <c r="G76" s="15">
        <f>SUM(
    SUMIFS(MRP!$H$2:$H$245, MRP!$B$2:$B$245, $C76, MRP!$G$2:$G$245, G$1),
    SUMIFS(MRP!$I$2:$I$245, MRP!$B$2:$B$245, $C76, MRP!$G$2:$G$245, G$1),
    SUMIFS(MRP!$J$2:$J$245, MRP!$B$2:$B$245, $C76,  MRP!$G$2:$G$245, G$1),
    SUMIFS(MRP!$K$2:$K$245, MRP!$B$2:$B$245, $C76,  MRP!$G$2:$G$245, G$1),
    SUMIFS(MRP!$L$2:$L$245, MRP!$B$2:$B$245, $C76,  MRP!$G$2:$G$245, G$1)
)*F76</f>
        <v/>
      </c>
      <c r="H76" s="15">
        <f>SUM(
    SUMIFS(MRP!$H$2:$H$245, MRP!$B$2:$B$245, $C76, MRP!$G$2:$G$245, H$1),
    SUMIFS(MRP!$I$2:$I$245, MRP!$B$2:$B$245, $C76, MRP!$G$2:$G$245, H$1),
    SUMIFS(MRP!$J$2:$J$245, MRP!$B$2:$B$245, $C76,  MRP!$G$2:$G$245, H$1),
    SUMIFS(MRP!$K$2:$K$245, MRP!$B$2:$B$245, $C76,  MRP!$G$2:$G$245, H$1),
    SUMIFS(MRP!$L$2:$L$245, MRP!$B$2:$B$245, $C76,  MRP!$G$2:$G$245, H$1)
)*F76</f>
        <v/>
      </c>
      <c r="I76" s="15">
        <f>SUM(
    SUMIFS(MRP!$H$2:$H$245, MRP!$B$2:$B$245, $C76, MRP!$G$2:$G$245, I$1),
    SUMIFS(MRP!$I$2:$I$245, MRP!$B$2:$B$245, $C76, MRP!$G$2:$G$245, I$1),
    SUMIFS(MRP!$J$2:$J$245, MRP!$B$2:$B$245, $C76,  MRP!$G$2:$G$245, I$1),
    SUMIFS(MRP!$K$2:$K$245, MRP!$B$2:$B$245, $C76,  MRP!$G$2:$G$245, I$1),
    SUMIFS(MRP!$L$2:$L$245, MRP!$B$2:$B$245, $C76,  MRP!$G$2:$G$245, I$1)
)*F76</f>
        <v/>
      </c>
      <c r="J76" s="15">
        <f>SUM(
    SUMIFS(MRP!$H$2:$H$245, MRP!$B$2:$B$245, $C76, MRP!$G$2:$G$245, J$1),
    SUMIFS(MRP!$I$2:$I$245, MRP!$B$2:$B$245, $C76, MRP!$G$2:$G$245, J$1),
    SUMIFS(MRP!$J$2:$J$245, MRP!$B$2:$B$245, $C76,  MRP!$G$2:$G$245, J$1),
    SUMIFS(MRP!$K$2:$K$245, MRP!$B$2:$B$245, $C76,  MRP!$G$2:$G$245, J$1),
    SUMIFS(MRP!$L$2:$L$245, MRP!$B$2:$B$245, $C76,  MRP!$G$2:$G$245, J$1)
)*F76</f>
        <v/>
      </c>
      <c r="K76" s="15">
        <f>SUM(
    SUMIFS(MRP!$H$2:$H$245, MRP!$B$2:$B$245, $C76, MRP!$G$2:$G$245, K$1),
    SUMIFS(MRP!$I$2:$I$245, MRP!$B$2:$B$245, $C76, MRP!$G$2:$G$245, K$1),
    SUMIFS(MRP!$J$2:$J$245, MRP!$B$2:$B$245, $C76,  MRP!$G$2:$G$245, K$1),
    SUMIFS(MRP!$K$2:$K$245, MRP!$B$2:$B$245, $C76,  MRP!$G$2:$G$245, K$1),
    SUMIFS(MRP!$L$2:$L$245, MRP!$B$2:$B$245, $C76,  MRP!$G$2:$G$245, K$1)
)*F76</f>
        <v/>
      </c>
      <c r="L76" s="55">
        <f>TRIM(Tabla3[[#This Row],[CodInternoArti]])</f>
        <v/>
      </c>
    </row>
    <row r="77">
      <c r="A77" s="38">
        <f>IF(ISNUMBER(_xlfn.XMATCH(Tabla3[[#This Row],[CodInternoArti]],'Tabla Articulos'!B:B)),"OK","NO ESTA")</f>
        <v/>
      </c>
      <c r="B77" s="38">
        <f>IF(ISNUMBER(_xlfn.XMATCH('Calcular necesidad'!E:E,'Necesidad por familia'!A:A)),"OK","NO ESTA")</f>
        <v/>
      </c>
      <c r="C77" s="17" t="inlineStr">
        <is>
          <t>7790321060978</t>
        </is>
      </c>
      <c r="D77" s="1" t="inlineStr">
        <is>
          <t>POTE 230 CC X 1000U</t>
        </is>
      </c>
      <c r="E77" s="1">
        <f>_xlfn.XLOOKUP(C77,'Tabla Articulos'!B:B,'Tabla Articulos'!D:D)</f>
        <v/>
      </c>
      <c r="F77" s="1">
        <f>_xlfn.XLOOKUP(C77,'Tabla Articulos'!B:B,'Tabla Articulos'!E:E)</f>
        <v/>
      </c>
      <c r="G77" s="15">
        <f>SUM(
    SUMIFS(MRP!$H$2:$H$245, MRP!$B$2:$B$245, $C77, MRP!$G$2:$G$245, G$1),
    SUMIFS(MRP!$I$2:$I$245, MRP!$B$2:$B$245, $C77, MRP!$G$2:$G$245, G$1),
    SUMIFS(MRP!$J$2:$J$245, MRP!$B$2:$B$245, $C77,  MRP!$G$2:$G$245, G$1),
    SUMIFS(MRP!$K$2:$K$245, MRP!$B$2:$B$245, $C77,  MRP!$G$2:$G$245, G$1),
    SUMIFS(MRP!$L$2:$L$245, MRP!$B$2:$B$245, $C77,  MRP!$G$2:$G$245, G$1)
)*F77</f>
        <v/>
      </c>
      <c r="H77" s="15">
        <f>SUM(
    SUMIFS(MRP!$H$2:$H$245, MRP!$B$2:$B$245, $C77, MRP!$G$2:$G$245, H$1),
    SUMIFS(MRP!$I$2:$I$245, MRP!$B$2:$B$245, $C77, MRP!$G$2:$G$245, H$1),
    SUMIFS(MRP!$J$2:$J$245, MRP!$B$2:$B$245, $C77,  MRP!$G$2:$G$245, H$1),
    SUMIFS(MRP!$K$2:$K$245, MRP!$B$2:$B$245, $C77,  MRP!$G$2:$G$245, H$1),
    SUMIFS(MRP!$L$2:$L$245, MRP!$B$2:$B$245, $C77,  MRP!$G$2:$G$245, H$1)
)*F77</f>
        <v/>
      </c>
      <c r="I77" s="15">
        <f>SUM(
    SUMIFS(MRP!$H$2:$H$245, MRP!$B$2:$B$245, $C77, MRP!$G$2:$G$245, I$1),
    SUMIFS(MRP!$I$2:$I$245, MRP!$B$2:$B$245, $C77, MRP!$G$2:$G$245, I$1),
    SUMIFS(MRP!$J$2:$J$245, MRP!$B$2:$B$245, $C77,  MRP!$G$2:$G$245, I$1),
    SUMIFS(MRP!$K$2:$K$245, MRP!$B$2:$B$245, $C77,  MRP!$G$2:$G$245, I$1),
    SUMIFS(MRP!$L$2:$L$245, MRP!$B$2:$B$245, $C77,  MRP!$G$2:$G$245, I$1)
)*F77</f>
        <v/>
      </c>
      <c r="J77" s="15">
        <f>SUM(
    SUMIFS(MRP!$H$2:$H$245, MRP!$B$2:$B$245, $C77, MRP!$G$2:$G$245, J$1),
    SUMIFS(MRP!$I$2:$I$245, MRP!$B$2:$B$245, $C77, MRP!$G$2:$G$245, J$1),
    SUMIFS(MRP!$J$2:$J$245, MRP!$B$2:$B$245, $C77,  MRP!$G$2:$G$245, J$1),
    SUMIFS(MRP!$K$2:$K$245, MRP!$B$2:$B$245, $C77,  MRP!$G$2:$G$245, J$1),
    SUMIFS(MRP!$L$2:$L$245, MRP!$B$2:$B$245, $C77,  MRP!$G$2:$G$245, J$1)
)*F77</f>
        <v/>
      </c>
      <c r="K77" s="15">
        <f>SUM(
    SUMIFS(MRP!$H$2:$H$245, MRP!$B$2:$B$245, $C77, MRP!$G$2:$G$245, K$1),
    SUMIFS(MRP!$I$2:$I$245, MRP!$B$2:$B$245, $C77, MRP!$G$2:$G$245, K$1),
    SUMIFS(MRP!$J$2:$J$245, MRP!$B$2:$B$245, $C77,  MRP!$G$2:$G$245, K$1),
    SUMIFS(MRP!$K$2:$K$245, MRP!$B$2:$B$245, $C77,  MRP!$G$2:$G$245, K$1),
    SUMIFS(MRP!$L$2:$L$245, MRP!$B$2:$B$245, $C77,  MRP!$G$2:$G$245, K$1)
)*F77</f>
        <v/>
      </c>
      <c r="L77" s="55">
        <f>TRIM(Tabla3[[#This Row],[CodInternoArti]])</f>
        <v/>
      </c>
    </row>
    <row r="78">
      <c r="A78" s="38">
        <f>IF(ISNUMBER(_xlfn.XMATCH(Tabla3[[#This Row],[CodInternoArti]],'Tabla Articulos'!B:B)),"OK","NO ESTA")</f>
        <v/>
      </c>
      <c r="B78" s="38">
        <f>IF(ISNUMBER(_xlfn.XMATCH('Calcular necesidad'!E:E,'Necesidad por familia'!A:A)),"OK","NO ESTA")</f>
        <v/>
      </c>
      <c r="C78" s="17" t="inlineStr">
        <is>
          <t>EMB000055</t>
        </is>
      </c>
      <c r="D78" s="1" t="inlineStr">
        <is>
          <t>ROLLO BOLSA ARRANQUE 40 x 50</t>
        </is>
      </c>
      <c r="E78" s="1">
        <f>_xlfn.XLOOKUP(C78,'Tabla Articulos'!B:B,'Tabla Articulos'!D:D)</f>
        <v/>
      </c>
      <c r="F78" s="1">
        <f>_xlfn.XLOOKUP(C78,'Tabla Articulos'!B:B,'Tabla Articulos'!E:E)</f>
        <v/>
      </c>
      <c r="G78" s="15">
        <f>SUM(
    SUMIFS(MRP!$H$2:$H$245, MRP!$B$2:$B$245, $C78, MRP!$G$2:$G$245, G$1),
    SUMIFS(MRP!$I$2:$I$245, MRP!$B$2:$B$245, $C78, MRP!$G$2:$G$245, G$1),
    SUMIFS(MRP!$J$2:$J$245, MRP!$B$2:$B$245, $C78,  MRP!$G$2:$G$245, G$1),
    SUMIFS(MRP!$K$2:$K$245, MRP!$B$2:$B$245, $C78,  MRP!$G$2:$G$245, G$1),
    SUMIFS(MRP!$L$2:$L$245, MRP!$B$2:$B$245, $C78,  MRP!$G$2:$G$245, G$1)
)*F78</f>
        <v/>
      </c>
      <c r="H78" s="15">
        <f>SUM(
    SUMIFS(MRP!$H$2:$H$245, MRP!$B$2:$B$245, $C78, MRP!$G$2:$G$245, H$1),
    SUMIFS(MRP!$I$2:$I$245, MRP!$B$2:$B$245, $C78, MRP!$G$2:$G$245, H$1),
    SUMIFS(MRP!$J$2:$J$245, MRP!$B$2:$B$245, $C78,  MRP!$G$2:$G$245, H$1),
    SUMIFS(MRP!$K$2:$K$245, MRP!$B$2:$B$245, $C78,  MRP!$G$2:$G$245, H$1),
    SUMIFS(MRP!$L$2:$L$245, MRP!$B$2:$B$245, $C78,  MRP!$G$2:$G$245, H$1)
)*F78</f>
        <v/>
      </c>
      <c r="I78" s="15">
        <f>SUM(
    SUMIFS(MRP!$H$2:$H$245, MRP!$B$2:$B$245, $C78, MRP!$G$2:$G$245, I$1),
    SUMIFS(MRP!$I$2:$I$245, MRP!$B$2:$B$245, $C78, MRP!$G$2:$G$245, I$1),
    SUMIFS(MRP!$J$2:$J$245, MRP!$B$2:$B$245, $C78,  MRP!$G$2:$G$245, I$1),
    SUMIFS(MRP!$K$2:$K$245, MRP!$B$2:$B$245, $C78,  MRP!$G$2:$G$245, I$1),
    SUMIFS(MRP!$L$2:$L$245, MRP!$B$2:$B$245, $C78,  MRP!$G$2:$G$245, I$1)
)*F78</f>
        <v/>
      </c>
      <c r="J78" s="15">
        <f>SUM(
    SUMIFS(MRP!$H$2:$H$245, MRP!$B$2:$B$245, $C78, MRP!$G$2:$G$245, J$1),
    SUMIFS(MRP!$I$2:$I$245, MRP!$B$2:$B$245, $C78, MRP!$G$2:$G$245, J$1),
    SUMIFS(MRP!$J$2:$J$245, MRP!$B$2:$B$245, $C78,  MRP!$G$2:$G$245, J$1),
    SUMIFS(MRP!$K$2:$K$245, MRP!$B$2:$B$245, $C78,  MRP!$G$2:$G$245, J$1),
    SUMIFS(MRP!$L$2:$L$245, MRP!$B$2:$B$245, $C78,  MRP!$G$2:$G$245, J$1)
)*F78</f>
        <v/>
      </c>
      <c r="K78" s="15">
        <f>SUM(
    SUMIFS(MRP!$H$2:$H$245, MRP!$B$2:$B$245, $C78, MRP!$G$2:$G$245, K$1),
    SUMIFS(MRP!$I$2:$I$245, MRP!$B$2:$B$245, $C78, MRP!$G$2:$G$245, K$1),
    SUMIFS(MRP!$J$2:$J$245, MRP!$B$2:$B$245, $C78,  MRP!$G$2:$G$245, K$1),
    SUMIFS(MRP!$K$2:$K$245, MRP!$B$2:$B$245, $C78,  MRP!$G$2:$G$245, K$1),
    SUMIFS(MRP!$L$2:$L$245, MRP!$B$2:$B$245, $C78,  MRP!$G$2:$G$245, K$1)
)*F78</f>
        <v/>
      </c>
      <c r="L78" s="55">
        <f>TRIM(Tabla3[[#This Row],[CodInternoArti]])</f>
        <v/>
      </c>
    </row>
    <row r="79">
      <c r="A79" s="38">
        <f>IF(ISNUMBER(_xlfn.XMATCH(Tabla3[[#This Row],[CodInternoArti]],'Tabla Articulos'!B:B)),"OK","NO ESTA")</f>
        <v/>
      </c>
      <c r="B79" s="38">
        <f>IF(ISNUMBER(_xlfn.XMATCH('Calcular necesidad'!E:E,'Necesidad por familia'!A:A)),"OK","NO ESTA")</f>
        <v/>
      </c>
      <c r="C79" s="17" t="inlineStr">
        <is>
          <t>7790321020905</t>
        </is>
      </c>
      <c r="D79" s="1" t="inlineStr">
        <is>
          <t>VASO PLAST CRIST 110CC X 100U</t>
        </is>
      </c>
      <c r="E79" s="1">
        <f>_xlfn.XLOOKUP(C79,'Tabla Articulos'!B:B,'Tabla Articulos'!D:D)</f>
        <v/>
      </c>
      <c r="F79" s="1">
        <f>_xlfn.XLOOKUP(C79,'Tabla Articulos'!B:B,'Tabla Articulos'!E:E)</f>
        <v/>
      </c>
      <c r="G79" s="15">
        <f>SUM(
    SUMIFS(MRP!$H$2:$H$245, MRP!$B$2:$B$245, $C79, MRP!$G$2:$G$245, G$1),
    SUMIFS(MRP!$I$2:$I$245, MRP!$B$2:$B$245, $C79, MRP!$G$2:$G$245, G$1),
    SUMIFS(MRP!$J$2:$J$245, MRP!$B$2:$B$245, $C79,  MRP!$G$2:$G$245, G$1),
    SUMIFS(MRP!$K$2:$K$245, MRP!$B$2:$B$245, $C79,  MRP!$G$2:$G$245, G$1),
    SUMIFS(MRP!$L$2:$L$245, MRP!$B$2:$B$245, $C79,  MRP!$G$2:$G$245, G$1)
)*F79</f>
        <v/>
      </c>
      <c r="H79" s="15">
        <f>SUM(
    SUMIFS(MRP!$H$2:$H$245, MRP!$B$2:$B$245, $C79, MRP!$G$2:$G$245, H$1),
    SUMIFS(MRP!$I$2:$I$245, MRP!$B$2:$B$245, $C79, MRP!$G$2:$G$245, H$1),
    SUMIFS(MRP!$J$2:$J$245, MRP!$B$2:$B$245, $C79,  MRP!$G$2:$G$245, H$1),
    SUMIFS(MRP!$K$2:$K$245, MRP!$B$2:$B$245, $C79,  MRP!$G$2:$G$245, H$1),
    SUMIFS(MRP!$L$2:$L$245, MRP!$B$2:$B$245, $C79,  MRP!$G$2:$G$245, H$1)
)*F79</f>
        <v/>
      </c>
      <c r="I79" s="15">
        <f>SUM(
    SUMIFS(MRP!$H$2:$H$245, MRP!$B$2:$B$245, $C79, MRP!$G$2:$G$245, I$1),
    SUMIFS(MRP!$I$2:$I$245, MRP!$B$2:$B$245, $C79, MRP!$G$2:$G$245, I$1),
    SUMIFS(MRP!$J$2:$J$245, MRP!$B$2:$B$245, $C79,  MRP!$G$2:$G$245, I$1),
    SUMIFS(MRP!$K$2:$K$245, MRP!$B$2:$B$245, $C79,  MRP!$G$2:$G$245, I$1),
    SUMIFS(MRP!$L$2:$L$245, MRP!$B$2:$B$245, $C79,  MRP!$G$2:$G$245, I$1)
)*F79</f>
        <v/>
      </c>
      <c r="J79" s="15">
        <f>SUM(
    SUMIFS(MRP!$H$2:$H$245, MRP!$B$2:$B$245, $C79, MRP!$G$2:$G$245, J$1),
    SUMIFS(MRP!$I$2:$I$245, MRP!$B$2:$B$245, $C79, MRP!$G$2:$G$245, J$1),
    SUMIFS(MRP!$J$2:$J$245, MRP!$B$2:$B$245, $C79,  MRP!$G$2:$G$245, J$1),
    SUMIFS(MRP!$K$2:$K$245, MRP!$B$2:$B$245, $C79,  MRP!$G$2:$G$245, J$1),
    SUMIFS(MRP!$L$2:$L$245, MRP!$B$2:$B$245, $C79,  MRP!$G$2:$G$245, J$1)
)*F79</f>
        <v/>
      </c>
      <c r="K79" s="15">
        <f>SUM(
    SUMIFS(MRP!$H$2:$H$245, MRP!$B$2:$B$245, $C79, MRP!$G$2:$G$245, K$1),
    SUMIFS(MRP!$I$2:$I$245, MRP!$B$2:$B$245, $C79, MRP!$G$2:$G$245, K$1),
    SUMIFS(MRP!$J$2:$J$245, MRP!$B$2:$B$245, $C79,  MRP!$G$2:$G$245, K$1),
    SUMIFS(MRP!$K$2:$K$245, MRP!$B$2:$B$245, $C79,  MRP!$G$2:$G$245, K$1),
    SUMIFS(MRP!$L$2:$L$245, MRP!$B$2:$B$245, $C79,  MRP!$G$2:$G$245, K$1)
)*F79</f>
        <v/>
      </c>
      <c r="L79" s="55">
        <f>TRIM(Tabla3[[#This Row],[CodInternoArti]])</f>
        <v/>
      </c>
    </row>
    <row r="80">
      <c r="A80" s="38">
        <f>IF(ISNUMBER(_xlfn.XMATCH(Tabla3[[#This Row],[CodInternoArti]],'Tabla Articulos'!B:B)),"OK","NO ESTA")</f>
        <v/>
      </c>
      <c r="B80" s="38">
        <f>IF(ISNUMBER(_xlfn.XMATCH('Calcular necesidad'!E:E,'Necesidad por familia'!A:A)),"OK","NO ESTA")</f>
        <v/>
      </c>
      <c r="C80" s="17" t="inlineStr">
        <is>
          <t>779032060649</t>
        </is>
      </c>
      <c r="D80" s="1" t="inlineStr">
        <is>
          <t>PLATO DESCARTABLE 17CM X 1000U</t>
        </is>
      </c>
      <c r="E80" s="1">
        <f>_xlfn.XLOOKUP(C80,'Tabla Articulos'!B:B,'Tabla Articulos'!D:D)</f>
        <v/>
      </c>
      <c r="F80" s="1">
        <f>_xlfn.XLOOKUP(C80,'Tabla Articulos'!B:B,'Tabla Articulos'!E:E)</f>
        <v/>
      </c>
      <c r="G80" s="15">
        <f>SUM(
    SUMIFS(MRP!$H$2:$H$245, MRP!$B$2:$B$245, $C80, MRP!$G$2:$G$245, G$1),
    SUMIFS(MRP!$I$2:$I$245, MRP!$B$2:$B$245, $C80, MRP!$G$2:$G$245, G$1),
    SUMIFS(MRP!$J$2:$J$245, MRP!$B$2:$B$245, $C80,  MRP!$G$2:$G$245, G$1),
    SUMIFS(MRP!$K$2:$K$245, MRP!$B$2:$B$245, $C80,  MRP!$G$2:$G$245, G$1),
    SUMIFS(MRP!$L$2:$L$245, MRP!$B$2:$B$245, $C80,  MRP!$G$2:$G$245, G$1)
)*F80</f>
        <v/>
      </c>
      <c r="H80" s="15">
        <f>SUM(
    SUMIFS(MRP!$H$2:$H$245, MRP!$B$2:$B$245, $C80, MRP!$G$2:$G$245, H$1),
    SUMIFS(MRP!$I$2:$I$245, MRP!$B$2:$B$245, $C80, MRP!$G$2:$G$245, H$1),
    SUMIFS(MRP!$J$2:$J$245, MRP!$B$2:$B$245, $C80,  MRP!$G$2:$G$245, H$1),
    SUMIFS(MRP!$K$2:$K$245, MRP!$B$2:$B$245, $C80,  MRP!$G$2:$G$245, H$1),
    SUMIFS(MRP!$L$2:$L$245, MRP!$B$2:$B$245, $C80,  MRP!$G$2:$G$245, H$1)
)*F80</f>
        <v/>
      </c>
      <c r="I80" s="15">
        <f>SUM(
    SUMIFS(MRP!$H$2:$H$245, MRP!$B$2:$B$245, $C80, MRP!$G$2:$G$245, I$1),
    SUMIFS(MRP!$I$2:$I$245, MRP!$B$2:$B$245, $C80, MRP!$G$2:$G$245, I$1),
    SUMIFS(MRP!$J$2:$J$245, MRP!$B$2:$B$245, $C80,  MRP!$G$2:$G$245, I$1),
    SUMIFS(MRP!$K$2:$K$245, MRP!$B$2:$B$245, $C80,  MRP!$G$2:$G$245, I$1),
    SUMIFS(MRP!$L$2:$L$245, MRP!$B$2:$B$245, $C80,  MRP!$G$2:$G$245, I$1)
)*F80</f>
        <v/>
      </c>
      <c r="J80" s="15">
        <f>SUM(
    SUMIFS(MRP!$H$2:$H$245, MRP!$B$2:$B$245, $C80, MRP!$G$2:$G$245, J$1),
    SUMIFS(MRP!$I$2:$I$245, MRP!$B$2:$B$245, $C80, MRP!$G$2:$G$245, J$1),
    SUMIFS(MRP!$J$2:$J$245, MRP!$B$2:$B$245, $C80,  MRP!$G$2:$G$245, J$1),
    SUMIFS(MRP!$K$2:$K$245, MRP!$B$2:$B$245, $C80,  MRP!$G$2:$G$245, J$1),
    SUMIFS(MRP!$L$2:$L$245, MRP!$B$2:$B$245, $C80,  MRP!$G$2:$G$245, J$1)
)*F80</f>
        <v/>
      </c>
      <c r="K80" s="15">
        <f>SUM(
    SUMIFS(MRP!$H$2:$H$245, MRP!$B$2:$B$245, $C80, MRP!$G$2:$G$245, K$1),
    SUMIFS(MRP!$I$2:$I$245, MRP!$B$2:$B$245, $C80, MRP!$G$2:$G$245, K$1),
    SUMIFS(MRP!$J$2:$J$245, MRP!$B$2:$B$245, $C80,  MRP!$G$2:$G$245, K$1),
    SUMIFS(MRP!$K$2:$K$245, MRP!$B$2:$B$245, $C80,  MRP!$G$2:$G$245, K$1),
    SUMIFS(MRP!$L$2:$L$245, MRP!$B$2:$B$245, $C80,  MRP!$G$2:$G$245, K$1)
)*F80</f>
        <v/>
      </c>
      <c r="L80" s="55">
        <f>TRIM(Tabla3[[#This Row],[CodInternoArti]])</f>
        <v/>
      </c>
    </row>
    <row r="81">
      <c r="A81" s="38">
        <f>IF(ISNUMBER(_xlfn.XMATCH(Tabla3[[#This Row],[CodInternoArti]],'Tabla Articulos'!B:B)),"OK","NO ESTA")</f>
        <v/>
      </c>
      <c r="B81" s="38">
        <f>IF(ISNUMBER(_xlfn.XMATCH('Calcular necesidad'!E:E,'Necesidad por familia'!A:A)),"OK","NO ESTA")</f>
        <v/>
      </c>
      <c r="C81" s="17" t="inlineStr">
        <is>
          <t>7790321020388</t>
        </is>
      </c>
      <c r="D81" s="1" t="inlineStr">
        <is>
          <t>VASO CRISTAL X325CCX860U</t>
        </is>
      </c>
      <c r="E81" s="1">
        <f>_xlfn.XLOOKUP(C81,'Tabla Articulos'!B:B,'Tabla Articulos'!D:D)</f>
        <v/>
      </c>
      <c r="F81" s="1">
        <f>_xlfn.XLOOKUP(C81,'Tabla Articulos'!B:B,'Tabla Articulos'!E:E)</f>
        <v/>
      </c>
      <c r="G81" s="15">
        <f>SUM(
    SUMIFS(MRP!$H$2:$H$245, MRP!$B$2:$B$245, $C81, MRP!$G$2:$G$245, G$1),
    SUMIFS(MRP!$I$2:$I$245, MRP!$B$2:$B$245, $C81, MRP!$G$2:$G$245, G$1),
    SUMIFS(MRP!$J$2:$J$245, MRP!$B$2:$B$245, $C81,  MRP!$G$2:$G$245, G$1),
    SUMIFS(MRP!$K$2:$K$245, MRP!$B$2:$B$245, $C81,  MRP!$G$2:$G$245, G$1),
    SUMIFS(MRP!$L$2:$L$245, MRP!$B$2:$B$245, $C81,  MRP!$G$2:$G$245, G$1)
)*F81</f>
        <v/>
      </c>
      <c r="H81" s="15">
        <f>SUM(
    SUMIFS(MRP!$H$2:$H$245, MRP!$B$2:$B$245, $C81, MRP!$G$2:$G$245, H$1),
    SUMIFS(MRP!$I$2:$I$245, MRP!$B$2:$B$245, $C81, MRP!$G$2:$G$245, H$1),
    SUMIFS(MRP!$J$2:$J$245, MRP!$B$2:$B$245, $C81,  MRP!$G$2:$G$245, H$1),
    SUMIFS(MRP!$K$2:$K$245, MRP!$B$2:$B$245, $C81,  MRP!$G$2:$G$245, H$1),
    SUMIFS(MRP!$L$2:$L$245, MRP!$B$2:$B$245, $C81,  MRP!$G$2:$G$245, H$1)
)*F81</f>
        <v/>
      </c>
      <c r="I81" s="15">
        <f>SUM(
    SUMIFS(MRP!$H$2:$H$245, MRP!$B$2:$B$245, $C81, MRP!$G$2:$G$245, I$1),
    SUMIFS(MRP!$I$2:$I$245, MRP!$B$2:$B$245, $C81, MRP!$G$2:$G$245, I$1),
    SUMIFS(MRP!$J$2:$J$245, MRP!$B$2:$B$245, $C81,  MRP!$G$2:$G$245, I$1),
    SUMIFS(MRP!$K$2:$K$245, MRP!$B$2:$B$245, $C81,  MRP!$G$2:$G$245, I$1),
    SUMIFS(MRP!$L$2:$L$245, MRP!$B$2:$B$245, $C81,  MRP!$G$2:$G$245, I$1)
)*F81</f>
        <v/>
      </c>
      <c r="J81" s="15">
        <f>SUM(
    SUMIFS(MRP!$H$2:$H$245, MRP!$B$2:$B$245, $C81, MRP!$G$2:$G$245, J$1),
    SUMIFS(MRP!$I$2:$I$245, MRP!$B$2:$B$245, $C81, MRP!$G$2:$G$245, J$1),
    SUMIFS(MRP!$J$2:$J$245, MRP!$B$2:$B$245, $C81,  MRP!$G$2:$G$245, J$1),
    SUMIFS(MRP!$K$2:$K$245, MRP!$B$2:$B$245, $C81,  MRP!$G$2:$G$245, J$1),
    SUMIFS(MRP!$L$2:$L$245, MRP!$B$2:$B$245, $C81,  MRP!$G$2:$G$245, J$1)
)*F81</f>
        <v/>
      </c>
      <c r="K81" s="15">
        <f>SUM(
    SUMIFS(MRP!$H$2:$H$245, MRP!$B$2:$B$245, $C81, MRP!$G$2:$G$245, K$1),
    SUMIFS(MRP!$I$2:$I$245, MRP!$B$2:$B$245, $C81, MRP!$G$2:$G$245, K$1),
    SUMIFS(MRP!$J$2:$J$245, MRP!$B$2:$B$245, $C81,  MRP!$G$2:$G$245, K$1),
    SUMIFS(MRP!$K$2:$K$245, MRP!$B$2:$B$245, $C81,  MRP!$G$2:$G$245, K$1),
    SUMIFS(MRP!$L$2:$L$245, MRP!$B$2:$B$245, $C81,  MRP!$G$2:$G$245, K$1)
)*F81</f>
        <v/>
      </c>
      <c r="L81" s="55">
        <f>TRIM(Tabla3[[#This Row],[CodInternoArti]])</f>
        <v/>
      </c>
    </row>
    <row r="82">
      <c r="A82" s="38">
        <f>IF(ISNUMBER(_xlfn.XMATCH(Tabla3[[#This Row],[CodInternoArti]],'Tabla Articulos'!B:B)),"OK","NO ESTA")</f>
        <v/>
      </c>
      <c r="B82" s="38">
        <f>IF(ISNUMBER(_xlfn.XMATCH('Calcular necesidad'!E:E,'Necesidad por familia'!A:A)),"OK","NO ESTA")</f>
        <v/>
      </c>
      <c r="C82" s="17" t="inlineStr">
        <is>
          <t>7790321020529</t>
        </is>
      </c>
      <c r="D82" s="1" t="inlineStr">
        <is>
          <t>SERVILLE BCA 33X33X1000U BLUE</t>
        </is>
      </c>
      <c r="E82" s="1">
        <f>_xlfn.XLOOKUP(C82,'Tabla Articulos'!B:B,'Tabla Articulos'!D:D)</f>
        <v/>
      </c>
      <c r="F82" s="1">
        <f>_xlfn.XLOOKUP(C82,'Tabla Articulos'!B:B,'Tabla Articulos'!E:E)</f>
        <v/>
      </c>
      <c r="G82" s="15">
        <f>SUM(
    SUMIFS(MRP!$H$2:$H$245, MRP!$B$2:$B$245, $C82, MRP!$G$2:$G$245, G$1),
    SUMIFS(MRP!$I$2:$I$245, MRP!$B$2:$B$245, $C82, MRP!$G$2:$G$245, G$1),
    SUMIFS(MRP!$J$2:$J$245, MRP!$B$2:$B$245, $C82,  MRP!$G$2:$G$245, G$1),
    SUMIFS(MRP!$K$2:$K$245, MRP!$B$2:$B$245, $C82,  MRP!$G$2:$G$245, G$1),
    SUMIFS(MRP!$L$2:$L$245, MRP!$B$2:$B$245, $C82,  MRP!$G$2:$G$245, G$1)
)*F82</f>
        <v/>
      </c>
      <c r="H82" s="15">
        <f>SUM(
    SUMIFS(MRP!$H$2:$H$245, MRP!$B$2:$B$245, $C82, MRP!$G$2:$G$245, H$1),
    SUMIFS(MRP!$I$2:$I$245, MRP!$B$2:$B$245, $C82, MRP!$G$2:$G$245, H$1),
    SUMIFS(MRP!$J$2:$J$245, MRP!$B$2:$B$245, $C82,  MRP!$G$2:$G$245, H$1),
    SUMIFS(MRP!$K$2:$K$245, MRP!$B$2:$B$245, $C82,  MRP!$G$2:$G$245, H$1),
    SUMIFS(MRP!$L$2:$L$245, MRP!$B$2:$B$245, $C82,  MRP!$G$2:$G$245, H$1)
)*F82</f>
        <v/>
      </c>
      <c r="I82" s="15">
        <f>SUM(
    SUMIFS(MRP!$H$2:$H$245, MRP!$B$2:$B$245, $C82, MRP!$G$2:$G$245, I$1),
    SUMIFS(MRP!$I$2:$I$245, MRP!$B$2:$B$245, $C82, MRP!$G$2:$G$245, I$1),
    SUMIFS(MRP!$J$2:$J$245, MRP!$B$2:$B$245, $C82,  MRP!$G$2:$G$245, I$1),
    SUMIFS(MRP!$K$2:$K$245, MRP!$B$2:$B$245, $C82,  MRP!$G$2:$G$245, I$1),
    SUMIFS(MRP!$L$2:$L$245, MRP!$B$2:$B$245, $C82,  MRP!$G$2:$G$245, I$1)
)*F82</f>
        <v/>
      </c>
      <c r="J82" s="15">
        <f>SUM(
    SUMIFS(MRP!$H$2:$H$245, MRP!$B$2:$B$245, $C82, MRP!$G$2:$G$245, J$1),
    SUMIFS(MRP!$I$2:$I$245, MRP!$B$2:$B$245, $C82, MRP!$G$2:$G$245, J$1),
    SUMIFS(MRP!$J$2:$J$245, MRP!$B$2:$B$245, $C82,  MRP!$G$2:$G$245, J$1),
    SUMIFS(MRP!$K$2:$K$245, MRP!$B$2:$B$245, $C82,  MRP!$G$2:$G$245, J$1),
    SUMIFS(MRP!$L$2:$L$245, MRP!$B$2:$B$245, $C82,  MRP!$G$2:$G$245, J$1)
)*F82</f>
        <v/>
      </c>
      <c r="K82" s="15">
        <f>SUM(
    SUMIFS(MRP!$H$2:$H$245, MRP!$B$2:$B$245, $C82, MRP!$G$2:$G$245, K$1),
    SUMIFS(MRP!$I$2:$I$245, MRP!$B$2:$B$245, $C82, MRP!$G$2:$G$245, K$1),
    SUMIFS(MRP!$J$2:$J$245, MRP!$B$2:$B$245, $C82,  MRP!$G$2:$G$245, K$1),
    SUMIFS(MRP!$K$2:$K$245, MRP!$B$2:$B$245, $C82,  MRP!$G$2:$G$245, K$1),
    SUMIFS(MRP!$L$2:$L$245, MRP!$B$2:$B$245, $C82,  MRP!$G$2:$G$245, K$1)
)*F82</f>
        <v/>
      </c>
      <c r="L82" s="55">
        <f>TRIM(Tabla3[[#This Row],[CodInternoArti]])</f>
        <v/>
      </c>
    </row>
    <row r="83">
      <c r="A83" s="38">
        <f>IF(ISNUMBER(_xlfn.XMATCH(Tabla3[[#This Row],[CodInternoArti]],'Tabla Articulos'!B:B)),"OK","NO ESTA")</f>
        <v/>
      </c>
      <c r="B83" s="38">
        <f>IF(ISNUMBER(_xlfn.XMATCH('Calcular necesidad'!E:E,'Necesidad por familia'!A:A)),"OK","NO ESTA")</f>
        <v/>
      </c>
      <c r="C83" s="17" t="inlineStr">
        <is>
          <t>7797390190505</t>
        </is>
      </c>
      <c r="D83" s="1" t="inlineStr">
        <is>
          <t>ANTORCHITAS X24U</t>
        </is>
      </c>
      <c r="E83" s="1">
        <f>_xlfn.XLOOKUP(C83,'Tabla Articulos'!B:B,'Tabla Articulos'!D:D)</f>
        <v/>
      </c>
      <c r="F83" s="1">
        <f>_xlfn.XLOOKUP(C83,'Tabla Articulos'!B:B,'Tabla Articulos'!E:E)</f>
        <v/>
      </c>
      <c r="G83" s="15">
        <f>SUM(
    SUMIFS(MRP!$H$2:$H$245, MRP!$B$2:$B$245, $C83, MRP!$G$2:$G$245, G$1),
    SUMIFS(MRP!$I$2:$I$245, MRP!$B$2:$B$245, $C83, MRP!$G$2:$G$245, G$1),
    SUMIFS(MRP!$J$2:$J$245, MRP!$B$2:$B$245, $C83,  MRP!$G$2:$G$245, G$1),
    SUMIFS(MRP!$K$2:$K$245, MRP!$B$2:$B$245, $C83,  MRP!$G$2:$G$245, G$1),
    SUMIFS(MRP!$L$2:$L$245, MRP!$B$2:$B$245, $C83,  MRP!$G$2:$G$245, G$1)
)*F83</f>
        <v/>
      </c>
      <c r="H83" s="15">
        <f>SUM(
    SUMIFS(MRP!$H$2:$H$245, MRP!$B$2:$B$245, $C83, MRP!$G$2:$G$245, H$1),
    SUMIFS(MRP!$I$2:$I$245, MRP!$B$2:$B$245, $C83, MRP!$G$2:$G$245, H$1),
    SUMIFS(MRP!$J$2:$J$245, MRP!$B$2:$B$245, $C83,  MRP!$G$2:$G$245, H$1),
    SUMIFS(MRP!$K$2:$K$245, MRP!$B$2:$B$245, $C83,  MRP!$G$2:$G$245, H$1),
    SUMIFS(MRP!$L$2:$L$245, MRP!$B$2:$B$245, $C83,  MRP!$G$2:$G$245, H$1)
)*F83</f>
        <v/>
      </c>
      <c r="I83" s="15">
        <f>SUM(
    SUMIFS(MRP!$H$2:$H$245, MRP!$B$2:$B$245, $C83, MRP!$G$2:$G$245, I$1),
    SUMIFS(MRP!$I$2:$I$245, MRP!$B$2:$B$245, $C83, MRP!$G$2:$G$245, I$1),
    SUMIFS(MRP!$J$2:$J$245, MRP!$B$2:$B$245, $C83,  MRP!$G$2:$G$245, I$1),
    SUMIFS(MRP!$K$2:$K$245, MRP!$B$2:$B$245, $C83,  MRP!$G$2:$G$245, I$1),
    SUMIFS(MRP!$L$2:$L$245, MRP!$B$2:$B$245, $C83,  MRP!$G$2:$G$245, I$1)
)*F83</f>
        <v/>
      </c>
      <c r="J83" s="15">
        <f>SUM(
    SUMIFS(MRP!$H$2:$H$245, MRP!$B$2:$B$245, $C83, MRP!$G$2:$G$245, J$1),
    SUMIFS(MRP!$I$2:$I$245, MRP!$B$2:$B$245, $C83, MRP!$G$2:$G$245, J$1),
    SUMIFS(MRP!$J$2:$J$245, MRP!$B$2:$B$245, $C83,  MRP!$G$2:$G$245, J$1),
    SUMIFS(MRP!$K$2:$K$245, MRP!$B$2:$B$245, $C83,  MRP!$G$2:$G$245, J$1),
    SUMIFS(MRP!$L$2:$L$245, MRP!$B$2:$B$245, $C83,  MRP!$G$2:$G$245, J$1)
)*F83</f>
        <v/>
      </c>
      <c r="K83" s="15">
        <f>SUM(
    SUMIFS(MRP!$H$2:$H$245, MRP!$B$2:$B$245, $C83, MRP!$G$2:$G$245, K$1),
    SUMIFS(MRP!$I$2:$I$245, MRP!$B$2:$B$245, $C83, MRP!$G$2:$G$245, K$1),
    SUMIFS(MRP!$J$2:$J$245, MRP!$B$2:$B$245, $C83,  MRP!$G$2:$G$245, K$1),
    SUMIFS(MRP!$K$2:$K$245, MRP!$B$2:$B$245, $C83,  MRP!$G$2:$G$245, K$1),
    SUMIFS(MRP!$L$2:$L$245, MRP!$B$2:$B$245, $C83,  MRP!$G$2:$G$245, K$1)
)*F83</f>
        <v/>
      </c>
      <c r="L83" s="55">
        <f>TRIM(Tabla3[[#This Row],[CodInternoArti]])</f>
        <v/>
      </c>
    </row>
    <row r="84">
      <c r="A84" s="38">
        <f>IF(ISNUMBER(_xlfn.XMATCH(Tabla3[[#This Row],[CodInternoArti]],'Tabla Articulos'!B:B)),"OK","NO ESTA")</f>
        <v/>
      </c>
      <c r="B84" s="38">
        <f>IF(ISNUMBER(_xlfn.XMATCH('Calcular necesidad'!E:E,'Necesidad por familia'!A:A)),"OK","NO ESTA")</f>
        <v/>
      </c>
      <c r="C84" s="17" t="inlineStr">
        <is>
          <t>7790321020328</t>
        </is>
      </c>
      <c r="D84" s="1" t="inlineStr">
        <is>
          <t xml:space="preserve">TAPA VASO TERMICO 300CC X100U </t>
        </is>
      </c>
      <c r="E84" s="1">
        <f>_xlfn.XLOOKUP(C84,'Tabla Articulos'!B:B,'Tabla Articulos'!D:D)</f>
        <v/>
      </c>
      <c r="F84" s="1">
        <f>_xlfn.XLOOKUP(C84,'Tabla Articulos'!B:B,'Tabla Articulos'!E:E)</f>
        <v/>
      </c>
      <c r="G84" s="15">
        <f>SUM(
    SUMIFS(MRP!$H$2:$H$245, MRP!$B$2:$B$245, $C84, MRP!$G$2:$G$245, G$1),
    SUMIFS(MRP!$I$2:$I$245, MRP!$B$2:$B$245, $C84, MRP!$G$2:$G$245, G$1),
    SUMIFS(MRP!$J$2:$J$245, MRP!$B$2:$B$245, $C84,  MRP!$G$2:$G$245, G$1),
    SUMIFS(MRP!$K$2:$K$245, MRP!$B$2:$B$245, $C84,  MRP!$G$2:$G$245, G$1),
    SUMIFS(MRP!$L$2:$L$245, MRP!$B$2:$B$245, $C84,  MRP!$G$2:$G$245, G$1)
)*F84</f>
        <v/>
      </c>
      <c r="H84" s="15">
        <f>SUM(
    SUMIFS(MRP!$H$2:$H$245, MRP!$B$2:$B$245, $C84, MRP!$G$2:$G$245, H$1),
    SUMIFS(MRP!$I$2:$I$245, MRP!$B$2:$B$245, $C84, MRP!$G$2:$G$245, H$1),
    SUMIFS(MRP!$J$2:$J$245, MRP!$B$2:$B$245, $C84,  MRP!$G$2:$G$245, H$1),
    SUMIFS(MRP!$K$2:$K$245, MRP!$B$2:$B$245, $C84,  MRP!$G$2:$G$245, H$1),
    SUMIFS(MRP!$L$2:$L$245, MRP!$B$2:$B$245, $C84,  MRP!$G$2:$G$245, H$1)
)*F84</f>
        <v/>
      </c>
      <c r="I84" s="15">
        <f>SUM(
    SUMIFS(MRP!$H$2:$H$245, MRP!$B$2:$B$245, $C84, MRP!$G$2:$G$245, I$1),
    SUMIFS(MRP!$I$2:$I$245, MRP!$B$2:$B$245, $C84, MRP!$G$2:$G$245, I$1),
    SUMIFS(MRP!$J$2:$J$245, MRP!$B$2:$B$245, $C84,  MRP!$G$2:$G$245, I$1),
    SUMIFS(MRP!$K$2:$K$245, MRP!$B$2:$B$245, $C84,  MRP!$G$2:$G$245, I$1),
    SUMIFS(MRP!$L$2:$L$245, MRP!$B$2:$B$245, $C84,  MRP!$G$2:$G$245, I$1)
)*F84</f>
        <v/>
      </c>
      <c r="J84" s="15">
        <f>SUM(
    SUMIFS(MRP!$H$2:$H$245, MRP!$B$2:$B$245, $C84, MRP!$G$2:$G$245, J$1),
    SUMIFS(MRP!$I$2:$I$245, MRP!$B$2:$B$245, $C84, MRP!$G$2:$G$245, J$1),
    SUMIFS(MRP!$J$2:$J$245, MRP!$B$2:$B$245, $C84,  MRP!$G$2:$G$245, J$1),
    SUMIFS(MRP!$K$2:$K$245, MRP!$B$2:$B$245, $C84,  MRP!$G$2:$G$245, J$1),
    SUMIFS(MRP!$L$2:$L$245, MRP!$B$2:$B$245, $C84,  MRP!$G$2:$G$245, J$1)
)*F84</f>
        <v/>
      </c>
      <c r="K84" s="15">
        <f>SUM(
    SUMIFS(MRP!$H$2:$H$245, MRP!$B$2:$B$245, $C84, MRP!$G$2:$G$245, K$1),
    SUMIFS(MRP!$I$2:$I$245, MRP!$B$2:$B$245, $C84, MRP!$G$2:$G$245, K$1),
    SUMIFS(MRP!$J$2:$J$245, MRP!$B$2:$B$245, $C84,  MRP!$G$2:$G$245, K$1),
    SUMIFS(MRP!$K$2:$K$245, MRP!$B$2:$B$245, $C84,  MRP!$G$2:$G$245, K$1),
    SUMIFS(MRP!$L$2:$L$245, MRP!$B$2:$B$245, $C84,  MRP!$G$2:$G$245, K$1)
)*F84</f>
        <v/>
      </c>
      <c r="L84" s="55">
        <f>TRIM(Tabla3[[#This Row],[CodInternoArti]])</f>
        <v/>
      </c>
    </row>
    <row r="85">
      <c r="A85" s="38">
        <f>IF(ISNUMBER(_xlfn.XMATCH(Tabla3[[#This Row],[CodInternoArti]],'Tabla Articulos'!B:B)),"OK","NO ESTA")</f>
        <v/>
      </c>
      <c r="B85" s="38">
        <f>IF(ISNUMBER(_xlfn.XMATCH('Calcular necesidad'!E:E,'Necesidad por familia'!A:A)),"OK","NO ESTA")</f>
        <v/>
      </c>
      <c r="C85" s="17" t="inlineStr">
        <is>
          <t>7790122000219</t>
        </is>
      </c>
      <c r="D85" s="1" t="inlineStr">
        <is>
          <t xml:space="preserve">ESCARBADIENTES ENSOBRADOS X  1000U </t>
        </is>
      </c>
      <c r="E85" s="1">
        <f>_xlfn.XLOOKUP(C85,'Tabla Articulos'!B:B,'Tabla Articulos'!D:D)</f>
        <v/>
      </c>
      <c r="F85" s="1">
        <f>_xlfn.XLOOKUP(C85,'Tabla Articulos'!B:B,'Tabla Articulos'!E:E)</f>
        <v/>
      </c>
      <c r="G85" s="15">
        <f>SUM(
    SUMIFS(MRP!$H$2:$H$245, MRP!$B$2:$B$245, $C85, MRP!$G$2:$G$245, G$1),
    SUMIFS(MRP!$I$2:$I$245, MRP!$B$2:$B$245, $C85, MRP!$G$2:$G$245, G$1),
    SUMIFS(MRP!$J$2:$J$245, MRP!$B$2:$B$245, $C85,  MRP!$G$2:$G$245, G$1),
    SUMIFS(MRP!$K$2:$K$245, MRP!$B$2:$B$245, $C85,  MRP!$G$2:$G$245, G$1),
    SUMIFS(MRP!$L$2:$L$245, MRP!$B$2:$B$245, $C85,  MRP!$G$2:$G$245, G$1)
)*F85</f>
        <v/>
      </c>
      <c r="H85" s="15">
        <f>SUM(
    SUMIFS(MRP!$H$2:$H$245, MRP!$B$2:$B$245, $C85, MRP!$G$2:$G$245, H$1),
    SUMIFS(MRP!$I$2:$I$245, MRP!$B$2:$B$245, $C85, MRP!$G$2:$G$245, H$1),
    SUMIFS(MRP!$J$2:$J$245, MRP!$B$2:$B$245, $C85,  MRP!$G$2:$G$245, H$1),
    SUMIFS(MRP!$K$2:$K$245, MRP!$B$2:$B$245, $C85,  MRP!$G$2:$G$245, H$1),
    SUMIFS(MRP!$L$2:$L$245, MRP!$B$2:$B$245, $C85,  MRP!$G$2:$G$245, H$1)
)*F85</f>
        <v/>
      </c>
      <c r="I85" s="15">
        <f>SUM(
    SUMIFS(MRP!$H$2:$H$245, MRP!$B$2:$B$245, $C85, MRP!$G$2:$G$245, I$1),
    SUMIFS(MRP!$I$2:$I$245, MRP!$B$2:$B$245, $C85, MRP!$G$2:$G$245, I$1),
    SUMIFS(MRP!$J$2:$J$245, MRP!$B$2:$B$245, $C85,  MRP!$G$2:$G$245, I$1),
    SUMIFS(MRP!$K$2:$K$245, MRP!$B$2:$B$245, $C85,  MRP!$G$2:$G$245, I$1),
    SUMIFS(MRP!$L$2:$L$245, MRP!$B$2:$B$245, $C85,  MRP!$G$2:$G$245, I$1)
)*F85</f>
        <v/>
      </c>
      <c r="J85" s="15">
        <f>SUM(
    SUMIFS(MRP!$H$2:$H$245, MRP!$B$2:$B$245, $C85, MRP!$G$2:$G$245, J$1),
    SUMIFS(MRP!$I$2:$I$245, MRP!$B$2:$B$245, $C85, MRP!$G$2:$G$245, J$1),
    SUMIFS(MRP!$J$2:$J$245, MRP!$B$2:$B$245, $C85,  MRP!$G$2:$G$245, J$1),
    SUMIFS(MRP!$K$2:$K$245, MRP!$B$2:$B$245, $C85,  MRP!$G$2:$G$245, J$1),
    SUMIFS(MRP!$L$2:$L$245, MRP!$B$2:$B$245, $C85,  MRP!$G$2:$G$245, J$1)
)*F85</f>
        <v/>
      </c>
      <c r="K85" s="15">
        <f>SUM(
    SUMIFS(MRP!$H$2:$H$245, MRP!$B$2:$B$245, $C85, MRP!$G$2:$G$245, K$1),
    SUMIFS(MRP!$I$2:$I$245, MRP!$B$2:$B$245, $C85, MRP!$G$2:$G$245, K$1),
    SUMIFS(MRP!$J$2:$J$245, MRP!$B$2:$B$245, $C85,  MRP!$G$2:$G$245, K$1),
    SUMIFS(MRP!$K$2:$K$245, MRP!$B$2:$B$245, $C85,  MRP!$G$2:$G$245, K$1),
    SUMIFS(MRP!$L$2:$L$245, MRP!$B$2:$B$245, $C85,  MRP!$G$2:$G$245, K$1)
)*F85</f>
        <v/>
      </c>
      <c r="L85" s="55">
        <f>TRIM(Tabla3[[#This Row],[CodInternoArti]])</f>
        <v/>
      </c>
    </row>
    <row r="86">
      <c r="A86" s="38">
        <f>IF(ISNUMBER(_xlfn.XMATCH(Tabla3[[#This Row],[CodInternoArti]],'Tabla Articulos'!B:B)),"OK","NO ESTA")</f>
        <v/>
      </c>
      <c r="B86" s="38">
        <f>IF(ISNUMBER(_xlfn.XMATCH('Calcular necesidad'!E:E,'Necesidad por familia'!A:A)),"OK","NO ESTA")</f>
        <v/>
      </c>
      <c r="C86" s="17" t="inlineStr">
        <is>
          <t>7790321020408</t>
        </is>
      </c>
      <c r="D86" s="1" t="inlineStr">
        <is>
          <t>VASO PLASTICO X180CCX100U</t>
        </is>
      </c>
      <c r="E86" s="1">
        <f>_xlfn.XLOOKUP(C86,'Tabla Articulos'!B:B,'Tabla Articulos'!D:D)</f>
        <v/>
      </c>
      <c r="F86" s="1">
        <f>_xlfn.XLOOKUP(C86,'Tabla Articulos'!B:B,'Tabla Articulos'!E:E)</f>
        <v/>
      </c>
      <c r="G86" s="15">
        <f>SUM(
    SUMIFS(MRP!$H$2:$H$245, MRP!$B$2:$B$245, $C86, MRP!$G$2:$G$245, G$1),
    SUMIFS(MRP!$I$2:$I$245, MRP!$B$2:$B$245, $C86, MRP!$G$2:$G$245, G$1),
    SUMIFS(MRP!$J$2:$J$245, MRP!$B$2:$B$245, $C86,  MRP!$G$2:$G$245, G$1),
    SUMIFS(MRP!$K$2:$K$245, MRP!$B$2:$B$245, $C86,  MRP!$G$2:$G$245, G$1),
    SUMIFS(MRP!$L$2:$L$245, MRP!$B$2:$B$245, $C86,  MRP!$G$2:$G$245, G$1)
)*F86</f>
        <v/>
      </c>
      <c r="H86" s="15">
        <f>SUM(
    SUMIFS(MRP!$H$2:$H$245, MRP!$B$2:$B$245, $C86, MRP!$G$2:$G$245, H$1),
    SUMIFS(MRP!$I$2:$I$245, MRP!$B$2:$B$245, $C86, MRP!$G$2:$G$245, H$1),
    SUMIFS(MRP!$J$2:$J$245, MRP!$B$2:$B$245, $C86,  MRP!$G$2:$G$245, H$1),
    SUMIFS(MRP!$K$2:$K$245, MRP!$B$2:$B$245, $C86,  MRP!$G$2:$G$245, H$1),
    SUMIFS(MRP!$L$2:$L$245, MRP!$B$2:$B$245, $C86,  MRP!$G$2:$G$245, H$1)
)*F86</f>
        <v/>
      </c>
      <c r="I86" s="15">
        <f>SUM(
    SUMIFS(MRP!$H$2:$H$245, MRP!$B$2:$B$245, $C86, MRP!$G$2:$G$245, I$1),
    SUMIFS(MRP!$I$2:$I$245, MRP!$B$2:$B$245, $C86, MRP!$G$2:$G$245, I$1),
    SUMIFS(MRP!$J$2:$J$245, MRP!$B$2:$B$245, $C86,  MRP!$G$2:$G$245, I$1),
    SUMIFS(MRP!$K$2:$K$245, MRP!$B$2:$B$245, $C86,  MRP!$G$2:$G$245, I$1),
    SUMIFS(MRP!$L$2:$L$245, MRP!$B$2:$B$245, $C86,  MRP!$G$2:$G$245, I$1)
)*F86</f>
        <v/>
      </c>
      <c r="J86" s="15">
        <f>SUM(
    SUMIFS(MRP!$H$2:$H$245, MRP!$B$2:$B$245, $C86, MRP!$G$2:$G$245, J$1),
    SUMIFS(MRP!$I$2:$I$245, MRP!$B$2:$B$245, $C86, MRP!$G$2:$G$245, J$1),
    SUMIFS(MRP!$J$2:$J$245, MRP!$B$2:$B$245, $C86,  MRP!$G$2:$G$245, J$1),
    SUMIFS(MRP!$K$2:$K$245, MRP!$B$2:$B$245, $C86,  MRP!$G$2:$G$245, J$1),
    SUMIFS(MRP!$L$2:$L$245, MRP!$B$2:$B$245, $C86,  MRP!$G$2:$G$245, J$1)
)*F86</f>
        <v/>
      </c>
      <c r="K86" s="15">
        <f>SUM(
    SUMIFS(MRP!$H$2:$H$245, MRP!$B$2:$B$245, $C86, MRP!$G$2:$G$245, K$1),
    SUMIFS(MRP!$I$2:$I$245, MRP!$B$2:$B$245, $C86, MRP!$G$2:$G$245, K$1),
    SUMIFS(MRP!$J$2:$J$245, MRP!$B$2:$B$245, $C86,  MRP!$G$2:$G$245, K$1),
    SUMIFS(MRP!$K$2:$K$245, MRP!$B$2:$B$245, $C86,  MRP!$G$2:$G$245, K$1),
    SUMIFS(MRP!$L$2:$L$245, MRP!$B$2:$B$245, $C86,  MRP!$G$2:$G$245, K$1)
)*F86</f>
        <v/>
      </c>
      <c r="L86" s="55">
        <f>TRIM(Tabla3[[#This Row],[CodInternoArti]])</f>
        <v/>
      </c>
    </row>
    <row r="87">
      <c r="A87" s="38">
        <f>IF(ISNUMBER(_xlfn.XMATCH(Tabla3[[#This Row],[CodInternoArti]],'Tabla Articulos'!B:B)),"OK","NO ESTA")</f>
        <v/>
      </c>
      <c r="B87" s="38">
        <f>IF(ISNUMBER(_xlfn.XMATCH('Calcular necesidad'!E:E,'Necesidad por familia'!A:A)),"OK","NO ESTA")</f>
        <v/>
      </c>
      <c r="C87" s="17" t="inlineStr">
        <is>
          <t>EMB000130</t>
        </is>
      </c>
      <c r="D87" s="1" t="inlineStr">
        <is>
          <t>CAJA DE  PIZZA CHICA  X 100  U</t>
        </is>
      </c>
      <c r="E87" s="1">
        <f>_xlfn.XLOOKUP(C87,'Tabla Articulos'!B:B,'Tabla Articulos'!D:D)</f>
        <v/>
      </c>
      <c r="F87" s="1">
        <f>_xlfn.XLOOKUP(C87,'Tabla Articulos'!B:B,'Tabla Articulos'!E:E)</f>
        <v/>
      </c>
      <c r="G87" s="15">
        <f>SUM(
    SUMIFS(MRP!$H$2:$H$245, MRP!$B$2:$B$245, $C87, MRP!$G$2:$G$245, G$1),
    SUMIFS(MRP!$I$2:$I$245, MRP!$B$2:$B$245, $C87, MRP!$G$2:$G$245, G$1),
    SUMIFS(MRP!$J$2:$J$245, MRP!$B$2:$B$245, $C87,  MRP!$G$2:$G$245, G$1),
    SUMIFS(MRP!$K$2:$K$245, MRP!$B$2:$B$245, $C87,  MRP!$G$2:$G$245, G$1),
    SUMIFS(MRP!$L$2:$L$245, MRP!$B$2:$B$245, $C87,  MRP!$G$2:$G$245, G$1)
)*F87</f>
        <v/>
      </c>
      <c r="H87" s="15">
        <f>SUM(
    SUMIFS(MRP!$H$2:$H$245, MRP!$B$2:$B$245, $C87, MRP!$G$2:$G$245, H$1),
    SUMIFS(MRP!$I$2:$I$245, MRP!$B$2:$B$245, $C87, MRP!$G$2:$G$245, H$1),
    SUMIFS(MRP!$J$2:$J$245, MRP!$B$2:$B$245, $C87,  MRP!$G$2:$G$245, H$1),
    SUMIFS(MRP!$K$2:$K$245, MRP!$B$2:$B$245, $C87,  MRP!$G$2:$G$245, H$1),
    SUMIFS(MRP!$L$2:$L$245, MRP!$B$2:$B$245, $C87,  MRP!$G$2:$G$245, H$1)
)*F87</f>
        <v/>
      </c>
      <c r="I87" s="15">
        <f>SUM(
    SUMIFS(MRP!$H$2:$H$245, MRP!$B$2:$B$245, $C87, MRP!$G$2:$G$245, I$1),
    SUMIFS(MRP!$I$2:$I$245, MRP!$B$2:$B$245, $C87, MRP!$G$2:$G$245, I$1),
    SUMIFS(MRP!$J$2:$J$245, MRP!$B$2:$B$245, $C87,  MRP!$G$2:$G$245, I$1),
    SUMIFS(MRP!$K$2:$K$245, MRP!$B$2:$B$245, $C87,  MRP!$G$2:$G$245, I$1),
    SUMIFS(MRP!$L$2:$L$245, MRP!$B$2:$B$245, $C87,  MRP!$G$2:$G$245, I$1)
)*F87</f>
        <v/>
      </c>
      <c r="J87" s="15">
        <f>SUM(
    SUMIFS(MRP!$H$2:$H$245, MRP!$B$2:$B$245, $C87, MRP!$G$2:$G$245, J$1),
    SUMIFS(MRP!$I$2:$I$245, MRP!$B$2:$B$245, $C87, MRP!$G$2:$G$245, J$1),
    SUMIFS(MRP!$J$2:$J$245, MRP!$B$2:$B$245, $C87,  MRP!$G$2:$G$245, J$1),
    SUMIFS(MRP!$K$2:$K$245, MRP!$B$2:$B$245, $C87,  MRP!$G$2:$G$245, J$1),
    SUMIFS(MRP!$L$2:$L$245, MRP!$B$2:$B$245, $C87,  MRP!$G$2:$G$245, J$1)
)*F87</f>
        <v/>
      </c>
      <c r="K87" s="15">
        <f>SUM(
    SUMIFS(MRP!$H$2:$H$245, MRP!$B$2:$B$245, $C87, MRP!$G$2:$G$245, K$1),
    SUMIFS(MRP!$I$2:$I$245, MRP!$B$2:$B$245, $C87, MRP!$G$2:$G$245, K$1),
    SUMIFS(MRP!$J$2:$J$245, MRP!$B$2:$B$245, $C87,  MRP!$G$2:$G$245, K$1),
    SUMIFS(MRP!$K$2:$K$245, MRP!$B$2:$B$245, $C87,  MRP!$G$2:$G$245, K$1),
    SUMIFS(MRP!$L$2:$L$245, MRP!$B$2:$B$245, $C87,  MRP!$G$2:$G$245, K$1)
)*F87</f>
        <v/>
      </c>
      <c r="L87" s="55">
        <f>TRIM(Tabla3[[#This Row],[CodInternoArti]])</f>
        <v/>
      </c>
    </row>
    <row r="88">
      <c r="A88" s="38">
        <f>IF(ISNUMBER(_xlfn.XMATCH(Tabla3[[#This Row],[CodInternoArti]],'Tabla Articulos'!B:B)),"OK","NO ESTA")</f>
        <v/>
      </c>
      <c r="B88" s="38">
        <f>IF(ISNUMBER(_xlfn.XMATCH('Calcular necesidad'!E:E,'Necesidad por familia'!A:A)),"OK","NO ESTA")</f>
        <v/>
      </c>
      <c r="C88" s="17" t="inlineStr">
        <is>
          <t>7790321020992</t>
        </is>
      </c>
      <c r="D88" s="1" t="inlineStr">
        <is>
          <t>BOLSA CUBIERTOS 10x 25 x100 U</t>
        </is>
      </c>
      <c r="E88" s="1">
        <f>_xlfn.XLOOKUP(C88,'Tabla Articulos'!B:B,'Tabla Articulos'!D:D)</f>
        <v/>
      </c>
      <c r="F88" s="1">
        <f>_xlfn.XLOOKUP(C88,'Tabla Articulos'!B:B,'Tabla Articulos'!E:E)</f>
        <v/>
      </c>
      <c r="G88" s="15">
        <f>SUM(
    SUMIFS(MRP!$H$2:$H$245, MRP!$B$2:$B$245, $C88, MRP!$G$2:$G$245, G$1),
    SUMIFS(MRP!$I$2:$I$245, MRP!$B$2:$B$245, $C88, MRP!$G$2:$G$245, G$1),
    SUMIFS(MRP!$J$2:$J$245, MRP!$B$2:$B$245, $C88,  MRP!$G$2:$G$245, G$1),
    SUMIFS(MRP!$K$2:$K$245, MRP!$B$2:$B$245, $C88,  MRP!$G$2:$G$245, G$1),
    SUMIFS(MRP!$L$2:$L$245, MRP!$B$2:$B$245, $C88,  MRP!$G$2:$G$245, G$1)
)*F88</f>
        <v/>
      </c>
      <c r="H88" s="15">
        <f>SUM(
    SUMIFS(MRP!$H$2:$H$245, MRP!$B$2:$B$245, $C88, MRP!$G$2:$G$245, H$1),
    SUMIFS(MRP!$I$2:$I$245, MRP!$B$2:$B$245, $C88, MRP!$G$2:$G$245, H$1),
    SUMIFS(MRP!$J$2:$J$245, MRP!$B$2:$B$245, $C88,  MRP!$G$2:$G$245, H$1),
    SUMIFS(MRP!$K$2:$K$245, MRP!$B$2:$B$245, $C88,  MRP!$G$2:$G$245, H$1),
    SUMIFS(MRP!$L$2:$L$245, MRP!$B$2:$B$245, $C88,  MRP!$G$2:$G$245, H$1)
)*F88</f>
        <v/>
      </c>
      <c r="I88" s="15">
        <f>SUM(
    SUMIFS(MRP!$H$2:$H$245, MRP!$B$2:$B$245, $C88, MRP!$G$2:$G$245, I$1),
    SUMIFS(MRP!$I$2:$I$245, MRP!$B$2:$B$245, $C88, MRP!$G$2:$G$245, I$1),
    SUMIFS(MRP!$J$2:$J$245, MRP!$B$2:$B$245, $C88,  MRP!$G$2:$G$245, I$1),
    SUMIFS(MRP!$K$2:$K$245, MRP!$B$2:$B$245, $C88,  MRP!$G$2:$G$245, I$1),
    SUMIFS(MRP!$L$2:$L$245, MRP!$B$2:$B$245, $C88,  MRP!$G$2:$G$245, I$1)
)*F88</f>
        <v/>
      </c>
      <c r="J88" s="15">
        <f>SUM(
    SUMIFS(MRP!$H$2:$H$245, MRP!$B$2:$B$245, $C88, MRP!$G$2:$G$245, J$1),
    SUMIFS(MRP!$I$2:$I$245, MRP!$B$2:$B$245, $C88, MRP!$G$2:$G$245, J$1),
    SUMIFS(MRP!$J$2:$J$245, MRP!$B$2:$B$245, $C88,  MRP!$G$2:$G$245, J$1),
    SUMIFS(MRP!$K$2:$K$245, MRP!$B$2:$B$245, $C88,  MRP!$G$2:$G$245, J$1),
    SUMIFS(MRP!$L$2:$L$245, MRP!$B$2:$B$245, $C88,  MRP!$G$2:$G$245, J$1)
)*F88</f>
        <v/>
      </c>
      <c r="K88" s="15">
        <f>SUM(
    SUMIFS(MRP!$H$2:$H$245, MRP!$B$2:$B$245, $C88, MRP!$G$2:$G$245, K$1),
    SUMIFS(MRP!$I$2:$I$245, MRP!$B$2:$B$245, $C88, MRP!$G$2:$G$245, K$1),
    SUMIFS(MRP!$J$2:$J$245, MRP!$B$2:$B$245, $C88,  MRP!$G$2:$G$245, K$1),
    SUMIFS(MRP!$K$2:$K$245, MRP!$B$2:$B$245, $C88,  MRP!$G$2:$G$245, K$1),
    SUMIFS(MRP!$L$2:$L$245, MRP!$B$2:$B$245, $C88,  MRP!$G$2:$G$245, K$1)
)*F88</f>
        <v/>
      </c>
      <c r="L88" s="55">
        <f>TRIM(Tabla3[[#This Row],[CodInternoArti]])</f>
        <v/>
      </c>
    </row>
    <row r="89">
      <c r="A89" s="38">
        <f>IF(ISNUMBER(_xlfn.XMATCH(Tabla3[[#This Row],[CodInternoArti]],'Tabla Articulos'!B:B)),"OK","NO ESTA")</f>
        <v/>
      </c>
      <c r="B89" s="38">
        <f>IF(ISNUMBER(_xlfn.XMATCH('Calcular necesidad'!E:E,'Necesidad por familia'!A:A)),"OK","NO ESTA")</f>
        <v/>
      </c>
      <c r="C89" s="17" t="inlineStr">
        <is>
          <t>7790321020535</t>
        </is>
      </c>
      <c r="D89" s="1" t="inlineStr">
        <is>
          <t>SERVILLETA S/LOGO 32X33X1000U</t>
        </is>
      </c>
      <c r="E89" s="1">
        <f>_xlfn.XLOOKUP(C89,'Tabla Articulos'!B:B,'Tabla Articulos'!D:D)</f>
        <v/>
      </c>
      <c r="F89" s="1">
        <f>_xlfn.XLOOKUP(C89,'Tabla Articulos'!B:B,'Tabla Articulos'!E:E)</f>
        <v/>
      </c>
      <c r="G89" s="15">
        <f>SUM(
    SUMIFS(MRP!$H$2:$H$245, MRP!$B$2:$B$245, $C89, MRP!$G$2:$G$245, G$1),
    SUMIFS(MRP!$I$2:$I$245, MRP!$B$2:$B$245, $C89, MRP!$G$2:$G$245, G$1),
    SUMIFS(MRP!$J$2:$J$245, MRP!$B$2:$B$245, $C89,  MRP!$G$2:$G$245, G$1),
    SUMIFS(MRP!$K$2:$K$245, MRP!$B$2:$B$245, $C89,  MRP!$G$2:$G$245, G$1),
    SUMIFS(MRP!$L$2:$L$245, MRP!$B$2:$B$245, $C89,  MRP!$G$2:$G$245, G$1)
)*F89</f>
        <v/>
      </c>
      <c r="H89" s="15">
        <f>SUM(
    SUMIFS(MRP!$H$2:$H$245, MRP!$B$2:$B$245, $C89, MRP!$G$2:$G$245, H$1),
    SUMIFS(MRP!$I$2:$I$245, MRP!$B$2:$B$245, $C89, MRP!$G$2:$G$245, H$1),
    SUMIFS(MRP!$J$2:$J$245, MRP!$B$2:$B$245, $C89,  MRP!$G$2:$G$245, H$1),
    SUMIFS(MRP!$K$2:$K$245, MRP!$B$2:$B$245, $C89,  MRP!$G$2:$G$245, H$1),
    SUMIFS(MRP!$L$2:$L$245, MRP!$B$2:$B$245, $C89,  MRP!$G$2:$G$245, H$1)
)*F89</f>
        <v/>
      </c>
      <c r="I89" s="15">
        <f>SUM(
    SUMIFS(MRP!$H$2:$H$245, MRP!$B$2:$B$245, $C89, MRP!$G$2:$G$245, I$1),
    SUMIFS(MRP!$I$2:$I$245, MRP!$B$2:$B$245, $C89, MRP!$G$2:$G$245, I$1),
    SUMIFS(MRP!$J$2:$J$245, MRP!$B$2:$B$245, $C89,  MRP!$G$2:$G$245, I$1),
    SUMIFS(MRP!$K$2:$K$245, MRP!$B$2:$B$245, $C89,  MRP!$G$2:$G$245, I$1),
    SUMIFS(MRP!$L$2:$L$245, MRP!$B$2:$B$245, $C89,  MRP!$G$2:$G$245, I$1)
)*F89</f>
        <v/>
      </c>
      <c r="J89" s="15">
        <f>SUM(
    SUMIFS(MRP!$H$2:$H$245, MRP!$B$2:$B$245, $C89, MRP!$G$2:$G$245, J$1),
    SUMIFS(MRP!$I$2:$I$245, MRP!$B$2:$B$245, $C89, MRP!$G$2:$G$245, J$1),
    SUMIFS(MRP!$J$2:$J$245, MRP!$B$2:$B$245, $C89,  MRP!$G$2:$G$245, J$1),
    SUMIFS(MRP!$K$2:$K$245, MRP!$B$2:$B$245, $C89,  MRP!$G$2:$G$245, J$1),
    SUMIFS(MRP!$L$2:$L$245, MRP!$B$2:$B$245, $C89,  MRP!$G$2:$G$245, J$1)
)*F89</f>
        <v/>
      </c>
      <c r="K89" s="15">
        <f>SUM(
    SUMIFS(MRP!$H$2:$H$245, MRP!$B$2:$B$245, $C89, MRP!$G$2:$G$245, K$1),
    SUMIFS(MRP!$I$2:$I$245, MRP!$B$2:$B$245, $C89, MRP!$G$2:$G$245, K$1),
    SUMIFS(MRP!$J$2:$J$245, MRP!$B$2:$B$245, $C89,  MRP!$G$2:$G$245, K$1),
    SUMIFS(MRP!$K$2:$K$245, MRP!$B$2:$B$245, $C89,  MRP!$G$2:$G$245, K$1),
    SUMIFS(MRP!$L$2:$L$245, MRP!$B$2:$B$245, $C89,  MRP!$G$2:$G$245, K$1)
)*F89</f>
        <v/>
      </c>
      <c r="L89" s="55">
        <f>TRIM(Tabla3[[#This Row],[CodInternoArti]])</f>
        <v/>
      </c>
    </row>
    <row r="90">
      <c r="A90" s="38">
        <f>IF(ISNUMBER(_xlfn.XMATCH(Tabla3[[#This Row],[CodInternoArti]],'Tabla Articulos'!B:B)),"OK","NO ESTA")</f>
        <v/>
      </c>
      <c r="B90" s="38">
        <f>IF(ISNUMBER(_xlfn.XMATCH('Calcular necesidad'!E:E,'Necesidad por familia'!A:A)),"OK","NO ESTA")</f>
        <v/>
      </c>
      <c r="C90" s="17" t="inlineStr">
        <is>
          <t>7791165719767</t>
        </is>
      </c>
      <c r="D90" s="1" t="inlineStr">
        <is>
          <t>BOLSA CAMISETA 50X60 X100U REF</t>
        </is>
      </c>
      <c r="E90" s="1">
        <f>_xlfn.XLOOKUP(C90,'Tabla Articulos'!B:B,'Tabla Articulos'!D:D)</f>
        <v/>
      </c>
      <c r="F90" s="1">
        <f>_xlfn.XLOOKUP(C90,'Tabla Articulos'!B:B,'Tabla Articulos'!E:E)</f>
        <v/>
      </c>
      <c r="G90" s="15">
        <f>SUM(
    SUMIFS(MRP!$H$2:$H$245, MRP!$B$2:$B$245, $C90, MRP!$G$2:$G$245, G$1),
    SUMIFS(MRP!$I$2:$I$245, MRP!$B$2:$B$245, $C90, MRP!$G$2:$G$245, G$1),
    SUMIFS(MRP!$J$2:$J$245, MRP!$B$2:$B$245, $C90,  MRP!$G$2:$G$245, G$1),
    SUMIFS(MRP!$K$2:$K$245, MRP!$B$2:$B$245, $C90,  MRP!$G$2:$G$245, G$1),
    SUMIFS(MRP!$L$2:$L$245, MRP!$B$2:$B$245, $C90,  MRP!$G$2:$G$245, G$1)
)*F90</f>
        <v/>
      </c>
      <c r="H90" s="15">
        <f>SUM(
    SUMIFS(MRP!$H$2:$H$245, MRP!$B$2:$B$245, $C90, MRP!$G$2:$G$245, H$1),
    SUMIFS(MRP!$I$2:$I$245, MRP!$B$2:$B$245, $C90, MRP!$G$2:$G$245, H$1),
    SUMIFS(MRP!$J$2:$J$245, MRP!$B$2:$B$245, $C90,  MRP!$G$2:$G$245, H$1),
    SUMIFS(MRP!$K$2:$K$245, MRP!$B$2:$B$245, $C90,  MRP!$G$2:$G$245, H$1),
    SUMIFS(MRP!$L$2:$L$245, MRP!$B$2:$B$245, $C90,  MRP!$G$2:$G$245, H$1)
)*F90</f>
        <v/>
      </c>
      <c r="I90" s="15">
        <f>SUM(
    SUMIFS(MRP!$H$2:$H$245, MRP!$B$2:$B$245, $C90, MRP!$G$2:$G$245, I$1),
    SUMIFS(MRP!$I$2:$I$245, MRP!$B$2:$B$245, $C90, MRP!$G$2:$G$245, I$1),
    SUMIFS(MRP!$J$2:$J$245, MRP!$B$2:$B$245, $C90,  MRP!$G$2:$G$245, I$1),
    SUMIFS(MRP!$K$2:$K$245, MRP!$B$2:$B$245, $C90,  MRP!$G$2:$G$245, I$1),
    SUMIFS(MRP!$L$2:$L$245, MRP!$B$2:$B$245, $C90,  MRP!$G$2:$G$245, I$1)
)*F90</f>
        <v/>
      </c>
      <c r="J90" s="15">
        <f>SUM(
    SUMIFS(MRP!$H$2:$H$245, MRP!$B$2:$B$245, $C90, MRP!$G$2:$G$245, J$1),
    SUMIFS(MRP!$I$2:$I$245, MRP!$B$2:$B$245, $C90, MRP!$G$2:$G$245, J$1),
    SUMIFS(MRP!$J$2:$J$245, MRP!$B$2:$B$245, $C90,  MRP!$G$2:$G$245, J$1),
    SUMIFS(MRP!$K$2:$K$245, MRP!$B$2:$B$245, $C90,  MRP!$G$2:$G$245, J$1),
    SUMIFS(MRP!$L$2:$L$245, MRP!$B$2:$B$245, $C90,  MRP!$G$2:$G$245, J$1)
)*F90</f>
        <v/>
      </c>
      <c r="K90" s="15">
        <f>SUM(
    SUMIFS(MRP!$H$2:$H$245, MRP!$B$2:$B$245, $C90, MRP!$G$2:$G$245, K$1),
    SUMIFS(MRP!$I$2:$I$245, MRP!$B$2:$B$245, $C90, MRP!$G$2:$G$245, K$1),
    SUMIFS(MRP!$J$2:$J$245, MRP!$B$2:$B$245, $C90,  MRP!$G$2:$G$245, K$1),
    SUMIFS(MRP!$K$2:$K$245, MRP!$B$2:$B$245, $C90,  MRP!$G$2:$G$245, K$1),
    SUMIFS(MRP!$L$2:$L$245, MRP!$B$2:$B$245, $C90,  MRP!$G$2:$G$245, K$1)
)*F90</f>
        <v/>
      </c>
      <c r="L90" s="55">
        <f>TRIM(Tabla3[[#This Row],[CodInternoArti]])</f>
        <v/>
      </c>
    </row>
    <row r="91">
      <c r="A91" s="38">
        <f>IF(ISNUMBER(_xlfn.XMATCH(Tabla3[[#This Row],[CodInternoArti]],'Tabla Articulos'!B:B)),"OK","NO ESTA")</f>
        <v/>
      </c>
      <c r="B91" s="38">
        <f>IF(ISNUMBER(_xlfn.XMATCH('Calcular necesidad'!E:E,'Necesidad por familia'!A:A)),"OK","NO ESTA")</f>
        <v/>
      </c>
      <c r="C91" s="17" t="inlineStr">
        <is>
          <t>7798188651181</t>
        </is>
      </c>
      <c r="D91" s="1" t="inlineStr">
        <is>
          <t>PAPEL HAMBUR ALUMINIO X116U</t>
        </is>
      </c>
      <c r="E91" s="1">
        <f>_xlfn.XLOOKUP(C91,'Tabla Articulos'!B:B,'Tabla Articulos'!D:D)</f>
        <v/>
      </c>
      <c r="F91" s="1">
        <f>_xlfn.XLOOKUP(C91,'Tabla Articulos'!B:B,'Tabla Articulos'!E:E)</f>
        <v/>
      </c>
      <c r="G91" s="15">
        <f>SUM(
    SUMIFS(MRP!$H$2:$H$245, MRP!$B$2:$B$245, $C91, MRP!$G$2:$G$245, G$1),
    SUMIFS(MRP!$I$2:$I$245, MRP!$B$2:$B$245, $C91, MRP!$G$2:$G$245, G$1),
    SUMIFS(MRP!$J$2:$J$245, MRP!$B$2:$B$245, $C91,  MRP!$G$2:$G$245, G$1),
    SUMIFS(MRP!$K$2:$K$245, MRP!$B$2:$B$245, $C91,  MRP!$G$2:$G$245, G$1),
    SUMIFS(MRP!$L$2:$L$245, MRP!$B$2:$B$245, $C91,  MRP!$G$2:$G$245, G$1)
)*F91</f>
        <v/>
      </c>
      <c r="H91" s="15">
        <f>SUM(
    SUMIFS(MRP!$H$2:$H$245, MRP!$B$2:$B$245, $C91, MRP!$G$2:$G$245, H$1),
    SUMIFS(MRP!$I$2:$I$245, MRP!$B$2:$B$245, $C91, MRP!$G$2:$G$245, H$1),
    SUMIFS(MRP!$J$2:$J$245, MRP!$B$2:$B$245, $C91,  MRP!$G$2:$G$245, H$1),
    SUMIFS(MRP!$K$2:$K$245, MRP!$B$2:$B$245, $C91,  MRP!$G$2:$G$245, H$1),
    SUMIFS(MRP!$L$2:$L$245, MRP!$B$2:$B$245, $C91,  MRP!$G$2:$G$245, H$1)
)*F91</f>
        <v/>
      </c>
      <c r="I91" s="15">
        <f>SUM(
    SUMIFS(MRP!$H$2:$H$245, MRP!$B$2:$B$245, $C91, MRP!$G$2:$G$245, I$1),
    SUMIFS(MRP!$I$2:$I$245, MRP!$B$2:$B$245, $C91, MRP!$G$2:$G$245, I$1),
    SUMIFS(MRP!$J$2:$J$245, MRP!$B$2:$B$245, $C91,  MRP!$G$2:$G$245, I$1),
    SUMIFS(MRP!$K$2:$K$245, MRP!$B$2:$B$245, $C91,  MRP!$G$2:$G$245, I$1),
    SUMIFS(MRP!$L$2:$L$245, MRP!$B$2:$B$245, $C91,  MRP!$G$2:$G$245, I$1)
)*F91</f>
        <v/>
      </c>
      <c r="J91" s="15">
        <f>SUM(
    SUMIFS(MRP!$H$2:$H$245, MRP!$B$2:$B$245, $C91, MRP!$G$2:$G$245, J$1),
    SUMIFS(MRP!$I$2:$I$245, MRP!$B$2:$B$245, $C91, MRP!$G$2:$G$245, J$1),
    SUMIFS(MRP!$J$2:$J$245, MRP!$B$2:$B$245, $C91,  MRP!$G$2:$G$245, J$1),
    SUMIFS(MRP!$K$2:$K$245, MRP!$B$2:$B$245, $C91,  MRP!$G$2:$G$245, J$1),
    SUMIFS(MRP!$L$2:$L$245, MRP!$B$2:$B$245, $C91,  MRP!$G$2:$G$245, J$1)
)*F91</f>
        <v/>
      </c>
      <c r="K91" s="15">
        <f>SUM(
    SUMIFS(MRP!$H$2:$H$245, MRP!$B$2:$B$245, $C91, MRP!$G$2:$G$245, K$1),
    SUMIFS(MRP!$I$2:$I$245, MRP!$B$2:$B$245, $C91, MRP!$G$2:$G$245, K$1),
    SUMIFS(MRP!$J$2:$J$245, MRP!$B$2:$B$245, $C91,  MRP!$G$2:$G$245, K$1),
    SUMIFS(MRP!$K$2:$K$245, MRP!$B$2:$B$245, $C91,  MRP!$G$2:$G$245, K$1),
    SUMIFS(MRP!$L$2:$L$245, MRP!$B$2:$B$245, $C91,  MRP!$G$2:$G$245, K$1)
)*F91</f>
        <v/>
      </c>
      <c r="L91" s="55">
        <f>TRIM(Tabla3[[#This Row],[CodInternoArti]])</f>
        <v/>
      </c>
    </row>
    <row r="92">
      <c r="A92" s="38">
        <f>IF(ISNUMBER(_xlfn.XMATCH(Tabla3[[#This Row],[CodInternoArti]],'Tabla Articulos'!B:B)),"OK","NO ESTA")</f>
        <v/>
      </c>
      <c r="B92" s="38">
        <f>IF(ISNUMBER(_xlfn.XMATCH('Calcular necesidad'!E:E,'Necesidad por familia'!A:A)),"OK","NO ESTA")</f>
        <v/>
      </c>
      <c r="C92" s="17" t="inlineStr">
        <is>
          <t>BAZ00012</t>
        </is>
      </c>
      <c r="D92" s="1" t="inlineStr">
        <is>
          <t>TAPA VASO TERMICO 300CC X50U</t>
        </is>
      </c>
      <c r="E92" s="1">
        <f>_xlfn.XLOOKUP(C92,'Tabla Articulos'!B:B,'Tabla Articulos'!D:D)</f>
        <v/>
      </c>
      <c r="F92" s="1">
        <f>_xlfn.XLOOKUP(C92,'Tabla Articulos'!B:B,'Tabla Articulos'!E:E)</f>
        <v/>
      </c>
      <c r="G92" s="15">
        <f>SUM(
    SUMIFS(MRP!$H$2:$H$245, MRP!$B$2:$B$245, $C92, MRP!$G$2:$G$245, G$1),
    SUMIFS(MRP!$I$2:$I$245, MRP!$B$2:$B$245, $C92, MRP!$G$2:$G$245, G$1),
    SUMIFS(MRP!$J$2:$J$245, MRP!$B$2:$B$245, $C92,  MRP!$G$2:$G$245, G$1),
    SUMIFS(MRP!$K$2:$K$245, MRP!$B$2:$B$245, $C92,  MRP!$G$2:$G$245, G$1),
    SUMIFS(MRP!$L$2:$L$245, MRP!$B$2:$B$245, $C92,  MRP!$G$2:$G$245, G$1)
)*F92</f>
        <v/>
      </c>
      <c r="H92" s="15">
        <f>SUM(
    SUMIFS(MRP!$H$2:$H$245, MRP!$B$2:$B$245, $C92, MRP!$G$2:$G$245, H$1),
    SUMIFS(MRP!$I$2:$I$245, MRP!$B$2:$B$245, $C92, MRP!$G$2:$G$245, H$1),
    SUMIFS(MRP!$J$2:$J$245, MRP!$B$2:$B$245, $C92,  MRP!$G$2:$G$245, H$1),
    SUMIFS(MRP!$K$2:$K$245, MRP!$B$2:$B$245, $C92,  MRP!$G$2:$G$245, H$1),
    SUMIFS(MRP!$L$2:$L$245, MRP!$B$2:$B$245, $C92,  MRP!$G$2:$G$245, H$1)
)*F92</f>
        <v/>
      </c>
      <c r="I92" s="15">
        <f>SUM(
    SUMIFS(MRP!$H$2:$H$245, MRP!$B$2:$B$245, $C92, MRP!$G$2:$G$245, I$1),
    SUMIFS(MRP!$I$2:$I$245, MRP!$B$2:$B$245, $C92, MRP!$G$2:$G$245, I$1),
    SUMIFS(MRP!$J$2:$J$245, MRP!$B$2:$B$245, $C92,  MRP!$G$2:$G$245, I$1),
    SUMIFS(MRP!$K$2:$K$245, MRP!$B$2:$B$245, $C92,  MRP!$G$2:$G$245, I$1),
    SUMIFS(MRP!$L$2:$L$245, MRP!$B$2:$B$245, $C92,  MRP!$G$2:$G$245, I$1)
)*F92</f>
        <v/>
      </c>
      <c r="J92" s="15">
        <f>SUM(
    SUMIFS(MRP!$H$2:$H$245, MRP!$B$2:$B$245, $C92, MRP!$G$2:$G$245, J$1),
    SUMIFS(MRP!$I$2:$I$245, MRP!$B$2:$B$245, $C92, MRP!$G$2:$G$245, J$1),
    SUMIFS(MRP!$J$2:$J$245, MRP!$B$2:$B$245, $C92,  MRP!$G$2:$G$245, J$1),
    SUMIFS(MRP!$K$2:$K$245, MRP!$B$2:$B$245, $C92,  MRP!$G$2:$G$245, J$1),
    SUMIFS(MRP!$L$2:$L$245, MRP!$B$2:$B$245, $C92,  MRP!$G$2:$G$245, J$1)
)*F92</f>
        <v/>
      </c>
      <c r="K92" s="15">
        <f>SUM(
    SUMIFS(MRP!$H$2:$H$245, MRP!$B$2:$B$245, $C92, MRP!$G$2:$G$245, K$1),
    SUMIFS(MRP!$I$2:$I$245, MRP!$B$2:$B$245, $C92, MRP!$G$2:$G$245, K$1),
    SUMIFS(MRP!$J$2:$J$245, MRP!$B$2:$B$245, $C92,  MRP!$G$2:$G$245, K$1),
    SUMIFS(MRP!$K$2:$K$245, MRP!$B$2:$B$245, $C92,  MRP!$G$2:$G$245, K$1),
    SUMIFS(MRP!$L$2:$L$245, MRP!$B$2:$B$245, $C92,  MRP!$G$2:$G$245, K$1)
)*F92</f>
        <v/>
      </c>
      <c r="L92" s="55">
        <f>TRIM(Tabla3[[#This Row],[CodInternoArti]])</f>
        <v/>
      </c>
    </row>
    <row r="93">
      <c r="A93" s="38">
        <f>IF(ISNUMBER(_xlfn.XMATCH(Tabla3[[#This Row],[CodInternoArti]],'Tabla Articulos'!B:B)),"OK","NO ESTA")</f>
        <v/>
      </c>
      <c r="B93" s="38">
        <f>IF(ISNUMBER(_xlfn.XMATCH('Calcular necesidad'!E:E,'Necesidad por familia'!A:A)),"OK","NO ESTA")</f>
        <v/>
      </c>
      <c r="C93" s="17" t="inlineStr">
        <is>
          <t>7790321020291</t>
        </is>
      </c>
      <c r="D93" s="1" t="inlineStr">
        <is>
          <t>BANDEJA 103 X100U CELPAK</t>
        </is>
      </c>
      <c r="E93" s="1">
        <f>_xlfn.XLOOKUP(C93,'Tabla Articulos'!B:B,'Tabla Articulos'!D:D)</f>
        <v/>
      </c>
      <c r="F93" s="1">
        <f>_xlfn.XLOOKUP(C93,'Tabla Articulos'!B:B,'Tabla Articulos'!E:E)</f>
        <v/>
      </c>
      <c r="G93" s="15">
        <f>SUM(
    SUMIFS(MRP!$H$2:$H$245, MRP!$B$2:$B$245, $C93, MRP!$G$2:$G$245, G$1),
    SUMIFS(MRP!$I$2:$I$245, MRP!$B$2:$B$245, $C93, MRP!$G$2:$G$245, G$1),
    SUMIFS(MRP!$J$2:$J$245, MRP!$B$2:$B$245, $C93,  MRP!$G$2:$G$245, G$1),
    SUMIFS(MRP!$K$2:$K$245, MRP!$B$2:$B$245, $C93,  MRP!$G$2:$G$245, G$1),
    SUMIFS(MRP!$L$2:$L$245, MRP!$B$2:$B$245, $C93,  MRP!$G$2:$G$245, G$1)
)*F93</f>
        <v/>
      </c>
      <c r="H93" s="15">
        <f>SUM(
    SUMIFS(MRP!$H$2:$H$245, MRP!$B$2:$B$245, $C93, MRP!$G$2:$G$245, H$1),
    SUMIFS(MRP!$I$2:$I$245, MRP!$B$2:$B$245, $C93, MRP!$G$2:$G$245, H$1),
    SUMIFS(MRP!$J$2:$J$245, MRP!$B$2:$B$245, $C93,  MRP!$G$2:$G$245, H$1),
    SUMIFS(MRP!$K$2:$K$245, MRP!$B$2:$B$245, $C93,  MRP!$G$2:$G$245, H$1),
    SUMIFS(MRP!$L$2:$L$245, MRP!$B$2:$B$245, $C93,  MRP!$G$2:$G$245, H$1)
)*F93</f>
        <v/>
      </c>
      <c r="I93" s="15">
        <f>SUM(
    SUMIFS(MRP!$H$2:$H$245, MRP!$B$2:$B$245, $C93, MRP!$G$2:$G$245, I$1),
    SUMIFS(MRP!$I$2:$I$245, MRP!$B$2:$B$245, $C93, MRP!$G$2:$G$245, I$1),
    SUMIFS(MRP!$J$2:$J$245, MRP!$B$2:$B$245, $C93,  MRP!$G$2:$G$245, I$1),
    SUMIFS(MRP!$K$2:$K$245, MRP!$B$2:$B$245, $C93,  MRP!$G$2:$G$245, I$1),
    SUMIFS(MRP!$L$2:$L$245, MRP!$B$2:$B$245, $C93,  MRP!$G$2:$G$245, I$1)
)*F93</f>
        <v/>
      </c>
      <c r="J93" s="15">
        <f>SUM(
    SUMIFS(MRP!$H$2:$H$245, MRP!$B$2:$B$245, $C93, MRP!$G$2:$G$245, J$1),
    SUMIFS(MRP!$I$2:$I$245, MRP!$B$2:$B$245, $C93, MRP!$G$2:$G$245, J$1),
    SUMIFS(MRP!$J$2:$J$245, MRP!$B$2:$B$245, $C93,  MRP!$G$2:$G$245, J$1),
    SUMIFS(MRP!$K$2:$K$245, MRP!$B$2:$B$245, $C93,  MRP!$G$2:$G$245, J$1),
    SUMIFS(MRP!$L$2:$L$245, MRP!$B$2:$B$245, $C93,  MRP!$G$2:$G$245, J$1)
)*F93</f>
        <v/>
      </c>
      <c r="K93" s="15">
        <f>SUM(
    SUMIFS(MRP!$H$2:$H$245, MRP!$B$2:$B$245, $C93, MRP!$G$2:$G$245, K$1),
    SUMIFS(MRP!$I$2:$I$245, MRP!$B$2:$B$245, $C93, MRP!$G$2:$G$245, K$1),
    SUMIFS(MRP!$J$2:$J$245, MRP!$B$2:$B$245, $C93,  MRP!$G$2:$G$245, K$1),
    SUMIFS(MRP!$K$2:$K$245, MRP!$B$2:$B$245, $C93,  MRP!$G$2:$G$245, K$1),
    SUMIFS(MRP!$L$2:$L$245, MRP!$B$2:$B$245, $C93,  MRP!$G$2:$G$245, K$1)
)*F93</f>
        <v/>
      </c>
      <c r="L93" s="55">
        <f>TRIM(Tabla3[[#This Row],[CodInternoArti]])</f>
        <v/>
      </c>
    </row>
    <row r="94">
      <c r="A94" s="38">
        <f>IF(ISNUMBER(_xlfn.XMATCH(Tabla3[[#This Row],[CodInternoArti]],'Tabla Articulos'!B:B)),"OK","NO ESTA")</f>
        <v/>
      </c>
      <c r="B94" s="38">
        <f>IF(ISNUMBER(_xlfn.XMATCH('Calcular necesidad'!E:E,'Necesidad por familia'!A:A)),"OK","NO ESTA")</f>
        <v/>
      </c>
      <c r="C94" s="17" t="inlineStr">
        <is>
          <t>7790321020390</t>
        </is>
      </c>
      <c r="D94" s="1" t="inlineStr">
        <is>
          <t>TAPA DOMO SORBETE X800U</t>
        </is>
      </c>
      <c r="E94" s="1">
        <f>_xlfn.XLOOKUP(C94,'Tabla Articulos'!B:B,'Tabla Articulos'!D:D)</f>
        <v/>
      </c>
      <c r="F94" s="1">
        <f>_xlfn.XLOOKUP(C94,'Tabla Articulos'!B:B,'Tabla Articulos'!E:E)</f>
        <v/>
      </c>
      <c r="G94" s="15">
        <f>SUM(
    SUMIFS(MRP!$H$2:$H$245, MRP!$B$2:$B$245, $C94, MRP!$G$2:$G$245, G$1),
    SUMIFS(MRP!$I$2:$I$245, MRP!$B$2:$B$245, $C94, MRP!$G$2:$G$245, G$1),
    SUMIFS(MRP!$J$2:$J$245, MRP!$B$2:$B$245, $C94,  MRP!$G$2:$G$245, G$1),
    SUMIFS(MRP!$K$2:$K$245, MRP!$B$2:$B$245, $C94,  MRP!$G$2:$G$245, G$1),
    SUMIFS(MRP!$L$2:$L$245, MRP!$B$2:$B$245, $C94,  MRP!$G$2:$G$245, G$1)
)*F94</f>
        <v/>
      </c>
      <c r="H94" s="15">
        <f>SUM(
    SUMIFS(MRP!$H$2:$H$245, MRP!$B$2:$B$245, $C94, MRP!$G$2:$G$245, H$1),
    SUMIFS(MRP!$I$2:$I$245, MRP!$B$2:$B$245, $C94, MRP!$G$2:$G$245, H$1),
    SUMIFS(MRP!$J$2:$J$245, MRP!$B$2:$B$245, $C94,  MRP!$G$2:$G$245, H$1),
    SUMIFS(MRP!$K$2:$K$245, MRP!$B$2:$B$245, $C94,  MRP!$G$2:$G$245, H$1),
    SUMIFS(MRP!$L$2:$L$245, MRP!$B$2:$B$245, $C94,  MRP!$G$2:$G$245, H$1)
)*F94</f>
        <v/>
      </c>
      <c r="I94" s="15">
        <f>SUM(
    SUMIFS(MRP!$H$2:$H$245, MRP!$B$2:$B$245, $C94, MRP!$G$2:$G$245, I$1),
    SUMIFS(MRP!$I$2:$I$245, MRP!$B$2:$B$245, $C94, MRP!$G$2:$G$245, I$1),
    SUMIFS(MRP!$J$2:$J$245, MRP!$B$2:$B$245, $C94,  MRP!$G$2:$G$245, I$1),
    SUMIFS(MRP!$K$2:$K$245, MRP!$B$2:$B$245, $C94,  MRP!$G$2:$G$245, I$1),
    SUMIFS(MRP!$L$2:$L$245, MRP!$B$2:$B$245, $C94,  MRP!$G$2:$G$245, I$1)
)*F94</f>
        <v/>
      </c>
      <c r="J94" s="15">
        <f>SUM(
    SUMIFS(MRP!$H$2:$H$245, MRP!$B$2:$B$245, $C94, MRP!$G$2:$G$245, J$1),
    SUMIFS(MRP!$I$2:$I$245, MRP!$B$2:$B$245, $C94, MRP!$G$2:$G$245, J$1),
    SUMIFS(MRP!$J$2:$J$245, MRP!$B$2:$B$245, $C94,  MRP!$G$2:$G$245, J$1),
    SUMIFS(MRP!$K$2:$K$245, MRP!$B$2:$B$245, $C94,  MRP!$G$2:$G$245, J$1),
    SUMIFS(MRP!$L$2:$L$245, MRP!$B$2:$B$245, $C94,  MRP!$G$2:$G$245, J$1)
)*F94</f>
        <v/>
      </c>
      <c r="K94" s="15">
        <f>SUM(
    SUMIFS(MRP!$H$2:$H$245, MRP!$B$2:$B$245, $C94, MRP!$G$2:$G$245, K$1),
    SUMIFS(MRP!$I$2:$I$245, MRP!$B$2:$B$245, $C94, MRP!$G$2:$G$245, K$1),
    SUMIFS(MRP!$J$2:$J$245, MRP!$B$2:$B$245, $C94,  MRP!$G$2:$G$245, K$1),
    SUMIFS(MRP!$K$2:$K$245, MRP!$B$2:$B$245, $C94,  MRP!$G$2:$G$245, K$1),
    SUMIFS(MRP!$L$2:$L$245, MRP!$B$2:$B$245, $C94,  MRP!$G$2:$G$245, K$1)
)*F94</f>
        <v/>
      </c>
      <c r="L94" s="55">
        <f>TRIM(Tabla3[[#This Row],[CodInternoArti]])</f>
        <v/>
      </c>
    </row>
    <row r="95">
      <c r="A95" s="38">
        <f>IF(ISNUMBER(_xlfn.XMATCH(Tabla3[[#This Row],[CodInternoArti]],'Tabla Articulos'!B:B)),"OK","NO ESTA")</f>
        <v/>
      </c>
      <c r="B95" s="38">
        <f>IF(ISNUMBER(_xlfn.XMATCH('Calcular necesidad'!E:E,'Necesidad por familia'!A:A)),"OK","NO ESTA")</f>
        <v/>
      </c>
      <c r="C95" s="17" t="inlineStr">
        <is>
          <t>7790321020348</t>
        </is>
      </c>
      <c r="D95" s="1" t="inlineStr">
        <is>
          <t>TAPA 103 X50U COTNYL</t>
        </is>
      </c>
      <c r="E95" s="1">
        <f>_xlfn.XLOOKUP(C95,'Tabla Articulos'!B:B,'Tabla Articulos'!D:D)</f>
        <v/>
      </c>
      <c r="F95" s="1">
        <f>_xlfn.XLOOKUP(C95,'Tabla Articulos'!B:B,'Tabla Articulos'!E:E)</f>
        <v/>
      </c>
      <c r="G95" s="15">
        <f>SUM(
    SUMIFS(MRP!$H$2:$H$245, MRP!$B$2:$B$245, $C95, MRP!$G$2:$G$245, G$1),
    SUMIFS(MRP!$I$2:$I$245, MRP!$B$2:$B$245, $C95, MRP!$G$2:$G$245, G$1),
    SUMIFS(MRP!$J$2:$J$245, MRP!$B$2:$B$245, $C95,  MRP!$G$2:$G$245, G$1),
    SUMIFS(MRP!$K$2:$K$245, MRP!$B$2:$B$245, $C95,  MRP!$G$2:$G$245, G$1),
    SUMIFS(MRP!$L$2:$L$245, MRP!$B$2:$B$245, $C95,  MRP!$G$2:$G$245, G$1)
)*F95</f>
        <v/>
      </c>
      <c r="H95" s="15">
        <f>SUM(
    SUMIFS(MRP!$H$2:$H$245, MRP!$B$2:$B$245, $C95, MRP!$G$2:$G$245, H$1),
    SUMIFS(MRP!$I$2:$I$245, MRP!$B$2:$B$245, $C95, MRP!$G$2:$G$245, H$1),
    SUMIFS(MRP!$J$2:$J$245, MRP!$B$2:$B$245, $C95,  MRP!$G$2:$G$245, H$1),
    SUMIFS(MRP!$K$2:$K$245, MRP!$B$2:$B$245, $C95,  MRP!$G$2:$G$245, H$1),
    SUMIFS(MRP!$L$2:$L$245, MRP!$B$2:$B$245, $C95,  MRP!$G$2:$G$245, H$1)
)*F95</f>
        <v/>
      </c>
      <c r="I95" s="15">
        <f>SUM(
    SUMIFS(MRP!$H$2:$H$245, MRP!$B$2:$B$245, $C95, MRP!$G$2:$G$245, I$1),
    SUMIFS(MRP!$I$2:$I$245, MRP!$B$2:$B$245, $C95, MRP!$G$2:$G$245, I$1),
    SUMIFS(MRP!$J$2:$J$245, MRP!$B$2:$B$245, $C95,  MRP!$G$2:$G$245, I$1),
    SUMIFS(MRP!$K$2:$K$245, MRP!$B$2:$B$245, $C95,  MRP!$G$2:$G$245, I$1),
    SUMIFS(MRP!$L$2:$L$245, MRP!$B$2:$B$245, $C95,  MRP!$G$2:$G$245, I$1)
)*F95</f>
        <v/>
      </c>
      <c r="J95" s="15">
        <f>SUM(
    SUMIFS(MRP!$H$2:$H$245, MRP!$B$2:$B$245, $C95, MRP!$G$2:$G$245, J$1),
    SUMIFS(MRP!$I$2:$I$245, MRP!$B$2:$B$245, $C95, MRP!$G$2:$G$245, J$1),
    SUMIFS(MRP!$J$2:$J$245, MRP!$B$2:$B$245, $C95,  MRP!$G$2:$G$245, J$1),
    SUMIFS(MRP!$K$2:$K$245, MRP!$B$2:$B$245, $C95,  MRP!$G$2:$G$245, J$1),
    SUMIFS(MRP!$L$2:$L$245, MRP!$B$2:$B$245, $C95,  MRP!$G$2:$G$245, J$1)
)*F95</f>
        <v/>
      </c>
      <c r="K95" s="15">
        <f>SUM(
    SUMIFS(MRP!$H$2:$H$245, MRP!$B$2:$B$245, $C95, MRP!$G$2:$G$245, K$1),
    SUMIFS(MRP!$I$2:$I$245, MRP!$B$2:$B$245, $C95, MRP!$G$2:$G$245, K$1),
    SUMIFS(MRP!$J$2:$J$245, MRP!$B$2:$B$245, $C95,  MRP!$G$2:$G$245, K$1),
    SUMIFS(MRP!$K$2:$K$245, MRP!$B$2:$B$245, $C95,  MRP!$G$2:$G$245, K$1),
    SUMIFS(MRP!$L$2:$L$245, MRP!$B$2:$B$245, $C95,  MRP!$G$2:$G$245, K$1)
)*F95</f>
        <v/>
      </c>
      <c r="L95" s="55">
        <f>TRIM(Tabla3[[#This Row],[CodInternoArti]])</f>
        <v/>
      </c>
    </row>
    <row r="96">
      <c r="A96" s="38">
        <f>IF(ISNUMBER(_xlfn.XMATCH(Tabla3[[#This Row],[CodInternoArti]],'Tabla Articulos'!B:B)),"OK","NO ESTA")</f>
        <v/>
      </c>
      <c r="B96" s="38">
        <f>IF(ISNUMBER(_xlfn.XMATCH('Calcular necesidad'!E:E,'Necesidad por familia'!A:A)),"OK","NO ESTA")</f>
        <v/>
      </c>
      <c r="C96" s="17" t="inlineStr">
        <is>
          <t>7790321130874</t>
        </is>
      </c>
      <c r="D96" s="1" t="inlineStr">
        <is>
          <t>ENS CRISTAL BASE x100U PLASTIV</t>
        </is>
      </c>
      <c r="E96" s="1">
        <f>_xlfn.XLOOKUP(C96,'Tabla Articulos'!B:B,'Tabla Articulos'!D:D)</f>
        <v/>
      </c>
      <c r="F96" s="1">
        <f>_xlfn.XLOOKUP(C96,'Tabla Articulos'!B:B,'Tabla Articulos'!E:E)</f>
        <v/>
      </c>
      <c r="G96" s="15">
        <f>SUM(
    SUMIFS(MRP!$H$2:$H$245, MRP!$B$2:$B$245, $C96, MRP!$G$2:$G$245, G$1),
    SUMIFS(MRP!$I$2:$I$245, MRP!$B$2:$B$245, $C96, MRP!$G$2:$G$245, G$1),
    SUMIFS(MRP!$J$2:$J$245, MRP!$B$2:$B$245, $C96,  MRP!$G$2:$G$245, G$1),
    SUMIFS(MRP!$K$2:$K$245, MRP!$B$2:$B$245, $C96,  MRP!$G$2:$G$245, G$1),
    SUMIFS(MRP!$L$2:$L$245, MRP!$B$2:$B$245, $C96,  MRP!$G$2:$G$245, G$1)
)*F96</f>
        <v/>
      </c>
      <c r="H96" s="15">
        <f>SUM(
    SUMIFS(MRP!$H$2:$H$245, MRP!$B$2:$B$245, $C96, MRP!$G$2:$G$245, H$1),
    SUMIFS(MRP!$I$2:$I$245, MRP!$B$2:$B$245, $C96, MRP!$G$2:$G$245, H$1),
    SUMIFS(MRP!$J$2:$J$245, MRP!$B$2:$B$245, $C96,  MRP!$G$2:$G$245, H$1),
    SUMIFS(MRP!$K$2:$K$245, MRP!$B$2:$B$245, $C96,  MRP!$G$2:$G$245, H$1),
    SUMIFS(MRP!$L$2:$L$245, MRP!$B$2:$B$245, $C96,  MRP!$G$2:$G$245, H$1)
)*F96</f>
        <v/>
      </c>
      <c r="I96" s="15">
        <f>SUM(
    SUMIFS(MRP!$H$2:$H$245, MRP!$B$2:$B$245, $C96, MRP!$G$2:$G$245, I$1),
    SUMIFS(MRP!$I$2:$I$245, MRP!$B$2:$B$245, $C96, MRP!$G$2:$G$245, I$1),
    SUMIFS(MRP!$J$2:$J$245, MRP!$B$2:$B$245, $C96,  MRP!$G$2:$G$245, I$1),
    SUMIFS(MRP!$K$2:$K$245, MRP!$B$2:$B$245, $C96,  MRP!$G$2:$G$245, I$1),
    SUMIFS(MRP!$L$2:$L$245, MRP!$B$2:$B$245, $C96,  MRP!$G$2:$G$245, I$1)
)*F96</f>
        <v/>
      </c>
      <c r="J96" s="15">
        <f>SUM(
    SUMIFS(MRP!$H$2:$H$245, MRP!$B$2:$B$245, $C96, MRP!$G$2:$G$245, J$1),
    SUMIFS(MRP!$I$2:$I$245, MRP!$B$2:$B$245, $C96, MRP!$G$2:$G$245, J$1),
    SUMIFS(MRP!$J$2:$J$245, MRP!$B$2:$B$245, $C96,  MRP!$G$2:$G$245, J$1),
    SUMIFS(MRP!$K$2:$K$245, MRP!$B$2:$B$245, $C96,  MRP!$G$2:$G$245, J$1),
    SUMIFS(MRP!$L$2:$L$245, MRP!$B$2:$B$245, $C96,  MRP!$G$2:$G$245, J$1)
)*F96</f>
        <v/>
      </c>
      <c r="K96" s="15">
        <f>SUM(
    SUMIFS(MRP!$H$2:$H$245, MRP!$B$2:$B$245, $C96, MRP!$G$2:$G$245, K$1),
    SUMIFS(MRP!$I$2:$I$245, MRP!$B$2:$B$245, $C96, MRP!$G$2:$G$245, K$1),
    SUMIFS(MRP!$J$2:$J$245, MRP!$B$2:$B$245, $C96,  MRP!$G$2:$G$245, K$1),
    SUMIFS(MRP!$K$2:$K$245, MRP!$B$2:$B$245, $C96,  MRP!$G$2:$G$245, K$1),
    SUMIFS(MRP!$L$2:$L$245, MRP!$B$2:$B$245, $C96,  MRP!$G$2:$G$245, K$1)
)*F96</f>
        <v/>
      </c>
      <c r="L96" s="55">
        <f>TRIM(Tabla3[[#This Row],[CodInternoArti]])</f>
        <v/>
      </c>
    </row>
    <row r="97">
      <c r="A97" s="38">
        <f>IF(ISNUMBER(_xlfn.XMATCH(Tabla3[[#This Row],[CodInternoArti]],'Tabla Articulos'!B:B)),"OK","NO ESTA")</f>
        <v/>
      </c>
      <c r="B97" s="38">
        <f>IF(ISNUMBER(_xlfn.XMATCH('Calcular necesidad'!E:E,'Necesidad por familia'!A:A)),"OK","NO ESTA")</f>
        <v/>
      </c>
      <c r="C97" s="17" t="inlineStr">
        <is>
          <t>7790321020532</t>
        </is>
      </c>
      <c r="D97" s="1" t="inlineStr">
        <is>
          <t>SERVILLE BCA 18X18X1000U NUTRIRE</t>
        </is>
      </c>
      <c r="E97" s="1">
        <f>_xlfn.XLOOKUP(C97,'Tabla Articulos'!B:B,'Tabla Articulos'!D:D)</f>
        <v/>
      </c>
      <c r="F97" s="1">
        <f>_xlfn.XLOOKUP(C97,'Tabla Articulos'!B:B,'Tabla Articulos'!E:E)</f>
        <v/>
      </c>
      <c r="G97" s="15">
        <f>SUM(
    SUMIFS(MRP!$H$2:$H$245, MRP!$B$2:$B$245, $C97, MRP!$G$2:$G$245, G$1),
    SUMIFS(MRP!$I$2:$I$245, MRP!$B$2:$B$245, $C97, MRP!$G$2:$G$245, G$1),
    SUMIFS(MRP!$J$2:$J$245, MRP!$B$2:$B$245, $C97,  MRP!$G$2:$G$245, G$1),
    SUMIFS(MRP!$K$2:$K$245, MRP!$B$2:$B$245, $C97,  MRP!$G$2:$G$245, G$1),
    SUMIFS(MRP!$L$2:$L$245, MRP!$B$2:$B$245, $C97,  MRP!$G$2:$G$245, G$1)
)*F97</f>
        <v/>
      </c>
      <c r="H97" s="15">
        <f>SUM(
    SUMIFS(MRP!$H$2:$H$245, MRP!$B$2:$B$245, $C97, MRP!$G$2:$G$245, H$1),
    SUMIFS(MRP!$I$2:$I$245, MRP!$B$2:$B$245, $C97, MRP!$G$2:$G$245, H$1),
    SUMIFS(MRP!$J$2:$J$245, MRP!$B$2:$B$245, $C97,  MRP!$G$2:$G$245, H$1),
    SUMIFS(MRP!$K$2:$K$245, MRP!$B$2:$B$245, $C97,  MRP!$G$2:$G$245, H$1),
    SUMIFS(MRP!$L$2:$L$245, MRP!$B$2:$B$245, $C97,  MRP!$G$2:$G$245, H$1)
)*F97</f>
        <v/>
      </c>
      <c r="I97" s="15">
        <f>SUM(
    SUMIFS(MRP!$H$2:$H$245, MRP!$B$2:$B$245, $C97, MRP!$G$2:$G$245, I$1),
    SUMIFS(MRP!$I$2:$I$245, MRP!$B$2:$B$245, $C97, MRP!$G$2:$G$245, I$1),
    SUMIFS(MRP!$J$2:$J$245, MRP!$B$2:$B$245, $C97,  MRP!$G$2:$G$245, I$1),
    SUMIFS(MRP!$K$2:$K$245, MRP!$B$2:$B$245, $C97,  MRP!$G$2:$G$245, I$1),
    SUMIFS(MRP!$L$2:$L$245, MRP!$B$2:$B$245, $C97,  MRP!$G$2:$G$245, I$1)
)*F97</f>
        <v/>
      </c>
      <c r="J97" s="15">
        <f>SUM(
    SUMIFS(MRP!$H$2:$H$245, MRP!$B$2:$B$245, $C97, MRP!$G$2:$G$245, J$1),
    SUMIFS(MRP!$I$2:$I$245, MRP!$B$2:$B$245, $C97, MRP!$G$2:$G$245, J$1),
    SUMIFS(MRP!$J$2:$J$245, MRP!$B$2:$B$245, $C97,  MRP!$G$2:$G$245, J$1),
    SUMIFS(MRP!$K$2:$K$245, MRP!$B$2:$B$245, $C97,  MRP!$G$2:$G$245, J$1),
    SUMIFS(MRP!$L$2:$L$245, MRP!$B$2:$B$245, $C97,  MRP!$G$2:$G$245, J$1)
)*F97</f>
        <v/>
      </c>
      <c r="K97" s="15">
        <f>SUM(
    SUMIFS(MRP!$H$2:$H$245, MRP!$B$2:$B$245, $C97, MRP!$G$2:$G$245, K$1),
    SUMIFS(MRP!$I$2:$I$245, MRP!$B$2:$B$245, $C97, MRP!$G$2:$G$245, K$1),
    SUMIFS(MRP!$J$2:$J$245, MRP!$B$2:$B$245, $C97,  MRP!$G$2:$G$245, K$1),
    SUMIFS(MRP!$K$2:$K$245, MRP!$B$2:$B$245, $C97,  MRP!$G$2:$G$245, K$1),
    SUMIFS(MRP!$L$2:$L$245, MRP!$B$2:$B$245, $C97,  MRP!$G$2:$G$245, K$1)
)*F97</f>
        <v/>
      </c>
      <c r="L97" s="55">
        <f>TRIM(Tabla3[[#This Row],[CodInternoArti]])</f>
        <v/>
      </c>
    </row>
    <row r="98">
      <c r="A98" s="38">
        <f>IF(ISNUMBER(_xlfn.XMATCH(Tabla3[[#This Row],[CodInternoArti]],'Tabla Articulos'!B:B)),"OK","NO ESTA")</f>
        <v/>
      </c>
      <c r="B98" s="38">
        <f>IF(ISNUMBER(_xlfn.XMATCH('Calcular necesidad'!E:E,'Necesidad por familia'!A:A)),"OK","NO ESTA")</f>
        <v/>
      </c>
      <c r="C98" s="17" t="inlineStr">
        <is>
          <t>7797749103867</t>
        </is>
      </c>
      <c r="D98" s="1" t="inlineStr">
        <is>
          <t>GUANTE LATEX XL X 100U MEDIGLOVE</t>
        </is>
      </c>
      <c r="E98" s="1">
        <f>_xlfn.XLOOKUP(C98,'Tabla Articulos'!B:B,'Tabla Articulos'!D:D)</f>
        <v/>
      </c>
      <c r="F98" s="1">
        <f>_xlfn.XLOOKUP(C98,'Tabla Articulos'!B:B,'Tabla Articulos'!E:E)</f>
        <v/>
      </c>
      <c r="G98" s="15">
        <f>SUM(
    SUMIFS(MRP!$H$2:$H$245, MRP!$B$2:$B$245, $C98, MRP!$G$2:$G$245, G$1),
    SUMIFS(MRP!$I$2:$I$245, MRP!$B$2:$B$245, $C98, MRP!$G$2:$G$245, G$1),
    SUMIFS(MRP!$J$2:$J$245, MRP!$B$2:$B$245, $C98,  MRP!$G$2:$G$245, G$1),
    SUMIFS(MRP!$K$2:$K$245, MRP!$B$2:$B$245, $C98,  MRP!$G$2:$G$245, G$1),
    SUMIFS(MRP!$L$2:$L$245, MRP!$B$2:$B$245, $C98,  MRP!$G$2:$G$245, G$1)
)*F98</f>
        <v/>
      </c>
      <c r="H98" s="15">
        <f>SUM(
    SUMIFS(MRP!$H$2:$H$245, MRP!$B$2:$B$245, $C98, MRP!$G$2:$G$245, H$1),
    SUMIFS(MRP!$I$2:$I$245, MRP!$B$2:$B$245, $C98, MRP!$G$2:$G$245, H$1),
    SUMIFS(MRP!$J$2:$J$245, MRP!$B$2:$B$245, $C98,  MRP!$G$2:$G$245, H$1),
    SUMIFS(MRP!$K$2:$K$245, MRP!$B$2:$B$245, $C98,  MRP!$G$2:$G$245, H$1),
    SUMIFS(MRP!$L$2:$L$245, MRP!$B$2:$B$245, $C98,  MRP!$G$2:$G$245, H$1)
)*F98</f>
        <v/>
      </c>
      <c r="I98" s="15">
        <f>SUM(
    SUMIFS(MRP!$H$2:$H$245, MRP!$B$2:$B$245, $C98, MRP!$G$2:$G$245, I$1),
    SUMIFS(MRP!$I$2:$I$245, MRP!$B$2:$B$245, $C98, MRP!$G$2:$G$245, I$1),
    SUMIFS(MRP!$J$2:$J$245, MRP!$B$2:$B$245, $C98,  MRP!$G$2:$G$245, I$1),
    SUMIFS(MRP!$K$2:$K$245, MRP!$B$2:$B$245, $C98,  MRP!$G$2:$G$245, I$1),
    SUMIFS(MRP!$L$2:$L$245, MRP!$B$2:$B$245, $C98,  MRP!$G$2:$G$245, I$1)
)*F98</f>
        <v/>
      </c>
      <c r="J98" s="15">
        <f>SUM(
    SUMIFS(MRP!$H$2:$H$245, MRP!$B$2:$B$245, $C98, MRP!$G$2:$G$245, J$1),
    SUMIFS(MRP!$I$2:$I$245, MRP!$B$2:$B$245, $C98, MRP!$G$2:$G$245, J$1),
    SUMIFS(MRP!$J$2:$J$245, MRP!$B$2:$B$245, $C98,  MRP!$G$2:$G$245, J$1),
    SUMIFS(MRP!$K$2:$K$245, MRP!$B$2:$B$245, $C98,  MRP!$G$2:$G$245, J$1),
    SUMIFS(MRP!$L$2:$L$245, MRP!$B$2:$B$245, $C98,  MRP!$G$2:$G$245, J$1)
)*F98</f>
        <v/>
      </c>
      <c r="K98" s="15">
        <f>SUM(
    SUMIFS(MRP!$H$2:$H$245, MRP!$B$2:$B$245, $C98, MRP!$G$2:$G$245, K$1),
    SUMIFS(MRP!$I$2:$I$245, MRP!$B$2:$B$245, $C98, MRP!$G$2:$G$245, K$1),
    SUMIFS(MRP!$J$2:$J$245, MRP!$B$2:$B$245, $C98,  MRP!$G$2:$G$245, K$1),
    SUMIFS(MRP!$K$2:$K$245, MRP!$B$2:$B$245, $C98,  MRP!$G$2:$G$245, K$1),
    SUMIFS(MRP!$L$2:$L$245, MRP!$B$2:$B$245, $C98,  MRP!$G$2:$G$245, K$1)
)*F98</f>
        <v/>
      </c>
      <c r="L98" s="55">
        <f>TRIM(Tabla3[[#This Row],[CodInternoArti]])</f>
        <v/>
      </c>
    </row>
    <row r="99">
      <c r="A99" s="38">
        <f>IF(ISNUMBER(_xlfn.XMATCH(Tabla3[[#This Row],[CodInternoArti]],'Tabla Articulos'!B:B)),"OK","NO ESTA")</f>
        <v/>
      </c>
      <c r="B99" s="38">
        <f>IF(ISNUMBER(_xlfn.XMATCH('Calcular necesidad'!E:E,'Necesidad por familia'!A:A)),"OK","NO ESTA")</f>
        <v/>
      </c>
      <c r="C99" s="17" t="inlineStr">
        <is>
          <t>7790321020996</t>
        </is>
      </c>
      <c r="D99" s="1" t="inlineStr">
        <is>
          <t>BOLSA POLIPROPILENO 25X35X100U</t>
        </is>
      </c>
      <c r="E99" s="1">
        <f>_xlfn.XLOOKUP(C99,'Tabla Articulos'!B:B,'Tabla Articulos'!D:D)</f>
        <v/>
      </c>
      <c r="F99" s="1">
        <f>_xlfn.XLOOKUP(C99,'Tabla Articulos'!B:B,'Tabla Articulos'!E:E)</f>
        <v/>
      </c>
      <c r="G99" s="15">
        <f>SUM(
    SUMIFS(MRP!$H$2:$H$245, MRP!$B$2:$B$245, $C99, MRP!$G$2:$G$245, G$1),
    SUMIFS(MRP!$I$2:$I$245, MRP!$B$2:$B$245, $C99, MRP!$G$2:$G$245, G$1),
    SUMIFS(MRP!$J$2:$J$245, MRP!$B$2:$B$245, $C99,  MRP!$G$2:$G$245, G$1),
    SUMIFS(MRP!$K$2:$K$245, MRP!$B$2:$B$245, $C99,  MRP!$G$2:$G$245, G$1),
    SUMIFS(MRP!$L$2:$L$245, MRP!$B$2:$B$245, $C99,  MRP!$G$2:$G$245, G$1)
)*F99</f>
        <v/>
      </c>
      <c r="H99" s="15">
        <f>SUM(
    SUMIFS(MRP!$H$2:$H$245, MRP!$B$2:$B$245, $C99, MRP!$G$2:$G$245, H$1),
    SUMIFS(MRP!$I$2:$I$245, MRP!$B$2:$B$245, $C99, MRP!$G$2:$G$245, H$1),
    SUMIFS(MRP!$J$2:$J$245, MRP!$B$2:$B$245, $C99,  MRP!$G$2:$G$245, H$1),
    SUMIFS(MRP!$K$2:$K$245, MRP!$B$2:$B$245, $C99,  MRP!$G$2:$G$245, H$1),
    SUMIFS(MRP!$L$2:$L$245, MRP!$B$2:$B$245, $C99,  MRP!$G$2:$G$245, H$1)
)*F99</f>
        <v/>
      </c>
      <c r="I99" s="15">
        <f>SUM(
    SUMIFS(MRP!$H$2:$H$245, MRP!$B$2:$B$245, $C99, MRP!$G$2:$G$245, I$1),
    SUMIFS(MRP!$I$2:$I$245, MRP!$B$2:$B$245, $C99, MRP!$G$2:$G$245, I$1),
    SUMIFS(MRP!$J$2:$J$245, MRP!$B$2:$B$245, $C99,  MRP!$G$2:$G$245, I$1),
    SUMIFS(MRP!$K$2:$K$245, MRP!$B$2:$B$245, $C99,  MRP!$G$2:$G$245, I$1),
    SUMIFS(MRP!$L$2:$L$245, MRP!$B$2:$B$245, $C99,  MRP!$G$2:$G$245, I$1)
)*F99</f>
        <v/>
      </c>
      <c r="J99" s="15">
        <f>SUM(
    SUMIFS(MRP!$H$2:$H$245, MRP!$B$2:$B$245, $C99, MRP!$G$2:$G$245, J$1),
    SUMIFS(MRP!$I$2:$I$245, MRP!$B$2:$B$245, $C99, MRP!$G$2:$G$245, J$1),
    SUMIFS(MRP!$J$2:$J$245, MRP!$B$2:$B$245, $C99,  MRP!$G$2:$G$245, J$1),
    SUMIFS(MRP!$K$2:$K$245, MRP!$B$2:$B$245, $C99,  MRP!$G$2:$G$245, J$1),
    SUMIFS(MRP!$L$2:$L$245, MRP!$B$2:$B$245, $C99,  MRP!$G$2:$G$245, J$1)
)*F99</f>
        <v/>
      </c>
      <c r="K99" s="15">
        <f>SUM(
    SUMIFS(MRP!$H$2:$H$245, MRP!$B$2:$B$245, $C99, MRP!$G$2:$G$245, K$1),
    SUMIFS(MRP!$I$2:$I$245, MRP!$B$2:$B$245, $C99, MRP!$G$2:$G$245, K$1),
    SUMIFS(MRP!$J$2:$J$245, MRP!$B$2:$B$245, $C99,  MRP!$G$2:$G$245, K$1),
    SUMIFS(MRP!$K$2:$K$245, MRP!$B$2:$B$245, $C99,  MRP!$G$2:$G$245, K$1),
    SUMIFS(MRP!$L$2:$L$245, MRP!$B$2:$B$245, $C99,  MRP!$G$2:$G$245, K$1)
)*F99</f>
        <v/>
      </c>
      <c r="L99" s="55">
        <f>TRIM(Tabla3[[#This Row],[CodInternoArti]])</f>
        <v/>
      </c>
    </row>
    <row r="100">
      <c r="A100" s="38">
        <f>IF(ISNUMBER(_xlfn.XMATCH(Tabla3[[#This Row],[CodInternoArti]],'Tabla Articulos'!B:B)),"OK","NO ESTA")</f>
        <v/>
      </c>
      <c r="B100" s="38">
        <f>IF(ISNUMBER(_xlfn.XMATCH('Calcular necesidad'!E:E,'Necesidad por familia'!A:A)),"OK","NO ESTA")</f>
        <v/>
      </c>
      <c r="C100" s="17" t="inlineStr">
        <is>
          <t>7790629589411</t>
        </is>
      </c>
      <c r="D100" s="1" t="inlineStr">
        <is>
          <t>ESCARBADIENTE ENSOBRADO X800U LUSTRAMAX</t>
        </is>
      </c>
      <c r="E100" s="1">
        <f>_xlfn.XLOOKUP(C100,'Tabla Articulos'!B:B,'Tabla Articulos'!D:D)</f>
        <v/>
      </c>
      <c r="F100" s="1">
        <f>_xlfn.XLOOKUP(C100,'Tabla Articulos'!B:B,'Tabla Articulos'!E:E)</f>
        <v/>
      </c>
      <c r="G100" s="15">
        <f>SUM(
    SUMIFS(MRP!$H$2:$H$245, MRP!$B$2:$B$245, $C100, MRP!$G$2:$G$245, G$1),
    SUMIFS(MRP!$I$2:$I$245, MRP!$B$2:$B$245, $C100, MRP!$G$2:$G$245, G$1),
    SUMIFS(MRP!$J$2:$J$245, MRP!$B$2:$B$245, $C100,  MRP!$G$2:$G$245, G$1),
    SUMIFS(MRP!$K$2:$K$245, MRP!$B$2:$B$245, $C100,  MRP!$G$2:$G$245, G$1),
    SUMIFS(MRP!$L$2:$L$245, MRP!$B$2:$B$245, $C100,  MRP!$G$2:$G$245, G$1)
)*F100</f>
        <v/>
      </c>
      <c r="H100" s="15">
        <f>SUM(
    SUMIFS(MRP!$H$2:$H$245, MRP!$B$2:$B$245, $C100, MRP!$G$2:$G$245, H$1),
    SUMIFS(MRP!$I$2:$I$245, MRP!$B$2:$B$245, $C100, MRP!$G$2:$G$245, H$1),
    SUMIFS(MRP!$J$2:$J$245, MRP!$B$2:$B$245, $C100,  MRP!$G$2:$G$245, H$1),
    SUMIFS(MRP!$K$2:$K$245, MRP!$B$2:$B$245, $C100,  MRP!$G$2:$G$245, H$1),
    SUMIFS(MRP!$L$2:$L$245, MRP!$B$2:$B$245, $C100,  MRP!$G$2:$G$245, H$1)
)*F100</f>
        <v/>
      </c>
      <c r="I100" s="15">
        <f>SUM(
    SUMIFS(MRP!$H$2:$H$245, MRP!$B$2:$B$245, $C100, MRP!$G$2:$G$245, I$1),
    SUMIFS(MRP!$I$2:$I$245, MRP!$B$2:$B$245, $C100, MRP!$G$2:$G$245, I$1),
    SUMIFS(MRP!$J$2:$J$245, MRP!$B$2:$B$245, $C100,  MRP!$G$2:$G$245, I$1),
    SUMIFS(MRP!$K$2:$K$245, MRP!$B$2:$B$245, $C100,  MRP!$G$2:$G$245, I$1),
    SUMIFS(MRP!$L$2:$L$245, MRP!$B$2:$B$245, $C100,  MRP!$G$2:$G$245, I$1)
)*F100</f>
        <v/>
      </c>
      <c r="J100" s="15">
        <f>SUM(
    SUMIFS(MRP!$H$2:$H$245, MRP!$B$2:$B$245, $C100, MRP!$G$2:$G$245, J$1),
    SUMIFS(MRP!$I$2:$I$245, MRP!$B$2:$B$245, $C100, MRP!$G$2:$G$245, J$1),
    SUMIFS(MRP!$J$2:$J$245, MRP!$B$2:$B$245, $C100,  MRP!$G$2:$G$245, J$1),
    SUMIFS(MRP!$K$2:$K$245, MRP!$B$2:$B$245, $C100,  MRP!$G$2:$G$245, J$1),
    SUMIFS(MRP!$L$2:$L$245, MRP!$B$2:$B$245, $C100,  MRP!$G$2:$G$245, J$1)
)*F100</f>
        <v/>
      </c>
      <c r="K100" s="15">
        <f>SUM(
    SUMIFS(MRP!$H$2:$H$245, MRP!$B$2:$B$245, $C100, MRP!$G$2:$G$245, K$1),
    SUMIFS(MRP!$I$2:$I$245, MRP!$B$2:$B$245, $C100, MRP!$G$2:$G$245, K$1),
    SUMIFS(MRP!$J$2:$J$245, MRP!$B$2:$B$245, $C100,  MRP!$G$2:$G$245, K$1),
    SUMIFS(MRP!$K$2:$K$245, MRP!$B$2:$B$245, $C100,  MRP!$G$2:$G$245, K$1),
    SUMIFS(MRP!$L$2:$L$245, MRP!$B$2:$B$245, $C100,  MRP!$G$2:$G$245, K$1)
)*F100</f>
        <v/>
      </c>
      <c r="L100" s="55">
        <f>TRIM(Tabla3[[#This Row],[CodInternoArti]])</f>
        <v/>
      </c>
    </row>
    <row r="101">
      <c r="A101" s="38">
        <f>IF(ISNUMBER(_xlfn.XMATCH(Tabla3[[#This Row],[CodInternoArti]],'Tabla Articulos'!B:B)),"OK","NO ESTA")</f>
        <v/>
      </c>
      <c r="B101" s="38">
        <f>IF(ISNUMBER(_xlfn.XMATCH('Calcular necesidad'!E:E,'Necesidad por familia'!A:A)),"OK","NO ESTA")</f>
        <v/>
      </c>
      <c r="C101" s="17" t="inlineStr">
        <is>
          <t>7790321020537</t>
        </is>
      </c>
      <c r="D101" s="1" t="inlineStr">
        <is>
          <t>SERVILLE BCA 24X24X2000U S/LOGO</t>
        </is>
      </c>
      <c r="E101" s="1">
        <f>_xlfn.XLOOKUP(C101,'Tabla Articulos'!B:B,'Tabla Articulos'!D:D)</f>
        <v/>
      </c>
      <c r="F101" s="1">
        <f>_xlfn.XLOOKUP(C101,'Tabla Articulos'!B:B,'Tabla Articulos'!E:E)</f>
        <v/>
      </c>
      <c r="G101" s="15">
        <f>SUM(
    SUMIFS(MRP!$H$2:$H$245, MRP!$B$2:$B$245, $C101, MRP!$G$2:$G$245, G$1),
    SUMIFS(MRP!$I$2:$I$245, MRP!$B$2:$B$245, $C101, MRP!$G$2:$G$245, G$1),
    SUMIFS(MRP!$J$2:$J$245, MRP!$B$2:$B$245, $C101,  MRP!$G$2:$G$245, G$1),
    SUMIFS(MRP!$K$2:$K$245, MRP!$B$2:$B$245, $C101,  MRP!$G$2:$G$245, G$1),
    SUMIFS(MRP!$L$2:$L$245, MRP!$B$2:$B$245, $C101,  MRP!$G$2:$G$245, G$1)
)*F101</f>
        <v/>
      </c>
      <c r="H101" s="15">
        <f>SUM(
    SUMIFS(MRP!$H$2:$H$245, MRP!$B$2:$B$245, $C101, MRP!$G$2:$G$245, H$1),
    SUMIFS(MRP!$I$2:$I$245, MRP!$B$2:$B$245, $C101, MRP!$G$2:$G$245, H$1),
    SUMIFS(MRP!$J$2:$J$245, MRP!$B$2:$B$245, $C101,  MRP!$G$2:$G$245, H$1),
    SUMIFS(MRP!$K$2:$K$245, MRP!$B$2:$B$245, $C101,  MRP!$G$2:$G$245, H$1),
    SUMIFS(MRP!$L$2:$L$245, MRP!$B$2:$B$245, $C101,  MRP!$G$2:$G$245, H$1)
)*F101</f>
        <v/>
      </c>
      <c r="I101" s="15">
        <f>SUM(
    SUMIFS(MRP!$H$2:$H$245, MRP!$B$2:$B$245, $C101, MRP!$G$2:$G$245, I$1),
    SUMIFS(MRP!$I$2:$I$245, MRP!$B$2:$B$245, $C101, MRP!$G$2:$G$245, I$1),
    SUMIFS(MRP!$J$2:$J$245, MRP!$B$2:$B$245, $C101,  MRP!$G$2:$G$245, I$1),
    SUMIFS(MRP!$K$2:$K$245, MRP!$B$2:$B$245, $C101,  MRP!$G$2:$G$245, I$1),
    SUMIFS(MRP!$L$2:$L$245, MRP!$B$2:$B$245, $C101,  MRP!$G$2:$G$245, I$1)
)*F101</f>
        <v/>
      </c>
      <c r="J101" s="15">
        <f>SUM(
    SUMIFS(MRP!$H$2:$H$245, MRP!$B$2:$B$245, $C101, MRP!$G$2:$G$245, J$1),
    SUMIFS(MRP!$I$2:$I$245, MRP!$B$2:$B$245, $C101, MRP!$G$2:$G$245, J$1),
    SUMIFS(MRP!$J$2:$J$245, MRP!$B$2:$B$245, $C101,  MRP!$G$2:$G$245, J$1),
    SUMIFS(MRP!$K$2:$K$245, MRP!$B$2:$B$245, $C101,  MRP!$G$2:$G$245, J$1),
    SUMIFS(MRP!$L$2:$L$245, MRP!$B$2:$B$245, $C101,  MRP!$G$2:$G$245, J$1)
)*F101</f>
        <v/>
      </c>
      <c r="K101" s="15">
        <f>SUM(
    SUMIFS(MRP!$H$2:$H$245, MRP!$B$2:$B$245, $C101, MRP!$G$2:$G$245, K$1),
    SUMIFS(MRP!$I$2:$I$245, MRP!$B$2:$B$245, $C101, MRP!$G$2:$G$245, K$1),
    SUMIFS(MRP!$J$2:$J$245, MRP!$B$2:$B$245, $C101,  MRP!$G$2:$G$245, K$1),
    SUMIFS(MRP!$K$2:$K$245, MRP!$B$2:$B$245, $C101,  MRP!$G$2:$G$245, K$1),
    SUMIFS(MRP!$L$2:$L$245, MRP!$B$2:$B$245, $C101,  MRP!$G$2:$G$245, K$1)
)*F101</f>
        <v/>
      </c>
      <c r="L101" s="55">
        <f>TRIM(Tabla3[[#This Row],[CodInternoArti]])</f>
        <v/>
      </c>
    </row>
    <row r="102">
      <c r="A102" s="38">
        <f>IF(ISNUMBER(_xlfn.XMATCH(Tabla3[[#This Row],[CodInternoArti]],'Tabla Articulos'!B:B)),"OK","NO ESTA")</f>
        <v/>
      </c>
      <c r="B102" s="38">
        <f>IF(ISNUMBER(_xlfn.XMATCH('Calcular necesidad'!E:E,'Necesidad por familia'!A:A)),"OK","NO ESTA")</f>
        <v/>
      </c>
      <c r="C102" s="17" t="inlineStr">
        <is>
          <t>7798188570219</t>
        </is>
      </c>
      <c r="D102" s="1" t="inlineStr">
        <is>
          <t xml:space="preserve">GUANTE LATEX M X100U MEDIGLOVE </t>
        </is>
      </c>
      <c r="E102" s="1">
        <f>_xlfn.XLOOKUP(C102,'Tabla Articulos'!B:B,'Tabla Articulos'!D:D)</f>
        <v/>
      </c>
      <c r="F102" s="1">
        <f>_xlfn.XLOOKUP(C102,'Tabla Articulos'!B:B,'Tabla Articulos'!E:E)</f>
        <v/>
      </c>
      <c r="G102" s="15">
        <f>SUM(
    SUMIFS(MRP!$H$2:$H$245, MRP!$B$2:$B$245, $C102, MRP!$G$2:$G$245, G$1),
    SUMIFS(MRP!$I$2:$I$245, MRP!$B$2:$B$245, $C102, MRP!$G$2:$G$245, G$1),
    SUMIFS(MRP!$J$2:$J$245, MRP!$B$2:$B$245, $C102,  MRP!$G$2:$G$245, G$1),
    SUMIFS(MRP!$K$2:$K$245, MRP!$B$2:$B$245, $C102,  MRP!$G$2:$G$245, G$1),
    SUMIFS(MRP!$L$2:$L$245, MRP!$B$2:$B$245, $C102,  MRP!$G$2:$G$245, G$1)
)*F102</f>
        <v/>
      </c>
      <c r="H102" s="15">
        <f>SUM(
    SUMIFS(MRP!$H$2:$H$245, MRP!$B$2:$B$245, $C102, MRP!$G$2:$G$245, H$1),
    SUMIFS(MRP!$I$2:$I$245, MRP!$B$2:$B$245, $C102, MRP!$G$2:$G$245, H$1),
    SUMIFS(MRP!$J$2:$J$245, MRP!$B$2:$B$245, $C102,  MRP!$G$2:$G$245, H$1),
    SUMIFS(MRP!$K$2:$K$245, MRP!$B$2:$B$245, $C102,  MRP!$G$2:$G$245, H$1),
    SUMIFS(MRP!$L$2:$L$245, MRP!$B$2:$B$245, $C102,  MRP!$G$2:$G$245, H$1)
)*F102</f>
        <v/>
      </c>
      <c r="I102" s="15">
        <f>SUM(
    SUMIFS(MRP!$H$2:$H$245, MRP!$B$2:$B$245, $C102, MRP!$G$2:$G$245, I$1),
    SUMIFS(MRP!$I$2:$I$245, MRP!$B$2:$B$245, $C102, MRP!$G$2:$G$245, I$1),
    SUMIFS(MRP!$J$2:$J$245, MRP!$B$2:$B$245, $C102,  MRP!$G$2:$G$245, I$1),
    SUMIFS(MRP!$K$2:$K$245, MRP!$B$2:$B$245, $C102,  MRP!$G$2:$G$245, I$1),
    SUMIFS(MRP!$L$2:$L$245, MRP!$B$2:$B$245, $C102,  MRP!$G$2:$G$245, I$1)
)*F102</f>
        <v/>
      </c>
      <c r="J102" s="15">
        <f>SUM(
    SUMIFS(MRP!$H$2:$H$245, MRP!$B$2:$B$245, $C102, MRP!$G$2:$G$245, J$1),
    SUMIFS(MRP!$I$2:$I$245, MRP!$B$2:$B$245, $C102, MRP!$G$2:$G$245, J$1),
    SUMIFS(MRP!$J$2:$J$245, MRP!$B$2:$B$245, $C102,  MRP!$G$2:$G$245, J$1),
    SUMIFS(MRP!$K$2:$K$245, MRP!$B$2:$B$245, $C102,  MRP!$G$2:$G$245, J$1),
    SUMIFS(MRP!$L$2:$L$245, MRP!$B$2:$B$245, $C102,  MRP!$G$2:$G$245, J$1)
)*F102</f>
        <v/>
      </c>
      <c r="K102" s="15">
        <f>SUM(
    SUMIFS(MRP!$H$2:$H$245, MRP!$B$2:$B$245, $C102, MRP!$G$2:$G$245, K$1),
    SUMIFS(MRP!$I$2:$I$245, MRP!$B$2:$B$245, $C102, MRP!$G$2:$G$245, K$1),
    SUMIFS(MRP!$J$2:$J$245, MRP!$B$2:$B$245, $C102,  MRP!$G$2:$G$245, K$1),
    SUMIFS(MRP!$K$2:$K$245, MRP!$B$2:$B$245, $C102,  MRP!$G$2:$G$245, K$1),
    SUMIFS(MRP!$L$2:$L$245, MRP!$B$2:$B$245, $C102,  MRP!$G$2:$G$245, K$1)
)*F102</f>
        <v/>
      </c>
      <c r="L102" s="55">
        <f>TRIM(Tabla3[[#This Row],[CodInternoArti]])</f>
        <v/>
      </c>
    </row>
    <row r="103">
      <c r="A103" s="38">
        <f>IF(ISNUMBER(_xlfn.XMATCH(Tabla3[[#This Row],[CodInternoArti]],'Tabla Articulos'!B:B)),"OK","NO ESTA")</f>
        <v/>
      </c>
      <c r="B103" s="38">
        <f>IF(ISNUMBER(_xlfn.XMATCH('Calcular necesidad'!E:E,'Necesidad por familia'!A:A)),"OK","NO ESTA")</f>
        <v/>
      </c>
      <c r="C103" s="17" t="inlineStr">
        <is>
          <t>7790321020293</t>
        </is>
      </c>
      <c r="D103" s="1" t="inlineStr">
        <is>
          <t>BANDEJA 101 PET X100U COTNYL</t>
        </is>
      </c>
      <c r="E103" s="1">
        <f>_xlfn.XLOOKUP(C103,'Tabla Articulos'!B:B,'Tabla Articulos'!D:D)</f>
        <v/>
      </c>
      <c r="F103" s="1">
        <f>_xlfn.XLOOKUP(C103,'Tabla Articulos'!B:B,'Tabla Articulos'!E:E)</f>
        <v/>
      </c>
      <c r="G103" s="15">
        <f>SUM(
    SUMIFS(MRP!$H$2:$H$245, MRP!$B$2:$B$245, $C103, MRP!$G$2:$G$245, G$1),
    SUMIFS(MRP!$I$2:$I$245, MRP!$B$2:$B$245, $C103, MRP!$G$2:$G$245, G$1),
    SUMIFS(MRP!$J$2:$J$245, MRP!$B$2:$B$245, $C103,  MRP!$G$2:$G$245, G$1),
    SUMIFS(MRP!$K$2:$K$245, MRP!$B$2:$B$245, $C103,  MRP!$G$2:$G$245, G$1),
    SUMIFS(MRP!$L$2:$L$245, MRP!$B$2:$B$245, $C103,  MRP!$G$2:$G$245, G$1)
)*F103</f>
        <v/>
      </c>
      <c r="H103" s="15">
        <f>SUM(
    SUMIFS(MRP!$H$2:$H$245, MRP!$B$2:$B$245, $C103, MRP!$G$2:$G$245, H$1),
    SUMIFS(MRP!$I$2:$I$245, MRP!$B$2:$B$245, $C103, MRP!$G$2:$G$245, H$1),
    SUMIFS(MRP!$J$2:$J$245, MRP!$B$2:$B$245, $C103,  MRP!$G$2:$G$245, H$1),
    SUMIFS(MRP!$K$2:$K$245, MRP!$B$2:$B$245, $C103,  MRP!$G$2:$G$245, H$1),
    SUMIFS(MRP!$L$2:$L$245, MRP!$B$2:$B$245, $C103,  MRP!$G$2:$G$245, H$1)
)*F103</f>
        <v/>
      </c>
      <c r="I103" s="15">
        <f>SUM(
    SUMIFS(MRP!$H$2:$H$245, MRP!$B$2:$B$245, $C103, MRP!$G$2:$G$245, I$1),
    SUMIFS(MRP!$I$2:$I$245, MRP!$B$2:$B$245, $C103, MRP!$G$2:$G$245, I$1),
    SUMIFS(MRP!$J$2:$J$245, MRP!$B$2:$B$245, $C103,  MRP!$G$2:$G$245, I$1),
    SUMIFS(MRP!$K$2:$K$245, MRP!$B$2:$B$245, $C103,  MRP!$G$2:$G$245, I$1),
    SUMIFS(MRP!$L$2:$L$245, MRP!$B$2:$B$245, $C103,  MRP!$G$2:$G$245, I$1)
)*F103</f>
        <v/>
      </c>
      <c r="J103" s="15">
        <f>SUM(
    SUMIFS(MRP!$H$2:$H$245, MRP!$B$2:$B$245, $C103, MRP!$G$2:$G$245, J$1),
    SUMIFS(MRP!$I$2:$I$245, MRP!$B$2:$B$245, $C103, MRP!$G$2:$G$245, J$1),
    SUMIFS(MRP!$J$2:$J$245, MRP!$B$2:$B$245, $C103,  MRP!$G$2:$G$245, J$1),
    SUMIFS(MRP!$K$2:$K$245, MRP!$B$2:$B$245, $C103,  MRP!$G$2:$G$245, J$1),
    SUMIFS(MRP!$L$2:$L$245, MRP!$B$2:$B$245, $C103,  MRP!$G$2:$G$245, J$1)
)*F103</f>
        <v/>
      </c>
      <c r="K103" s="15">
        <f>SUM(
    SUMIFS(MRP!$H$2:$H$245, MRP!$B$2:$B$245, $C103, MRP!$G$2:$G$245, K$1),
    SUMIFS(MRP!$I$2:$I$245, MRP!$B$2:$B$245, $C103, MRP!$G$2:$G$245, K$1),
    SUMIFS(MRP!$J$2:$J$245, MRP!$B$2:$B$245, $C103,  MRP!$G$2:$G$245, K$1),
    SUMIFS(MRP!$K$2:$K$245, MRP!$B$2:$B$245, $C103,  MRP!$G$2:$G$245, K$1),
    SUMIFS(MRP!$L$2:$L$245, MRP!$B$2:$B$245, $C103,  MRP!$G$2:$G$245, K$1)
)*F103</f>
        <v/>
      </c>
      <c r="L103" s="55">
        <f>TRIM(Tabla3[[#This Row],[CodInternoArti]])</f>
        <v/>
      </c>
    </row>
    <row r="104">
      <c r="A104" s="38">
        <f>IF(ISNUMBER(_xlfn.XMATCH(Tabla3[[#This Row],[CodInternoArti]],'Tabla Articulos'!B:B)),"OK","NO ESTA")</f>
        <v/>
      </c>
      <c r="B104" s="38">
        <f>IF(ISNUMBER(_xlfn.XMATCH('Calcular necesidad'!E:E,'Necesidad por familia'!A:A)),"OK","NO ESTA")</f>
        <v/>
      </c>
      <c r="C104" s="17" t="inlineStr">
        <is>
          <t>7790321020290</t>
        </is>
      </c>
      <c r="D104" s="1" t="inlineStr">
        <is>
          <t>BANDEJA 102  X100U CELPAK</t>
        </is>
      </c>
      <c r="E104" s="1">
        <f>_xlfn.XLOOKUP(C104,'Tabla Articulos'!B:B,'Tabla Articulos'!D:D)</f>
        <v/>
      </c>
      <c r="F104" s="1">
        <f>_xlfn.XLOOKUP(C104,'Tabla Articulos'!B:B,'Tabla Articulos'!E:E)</f>
        <v/>
      </c>
      <c r="G104" s="15">
        <f>SUM(
    SUMIFS(MRP!$H$2:$H$245, MRP!$B$2:$B$245, $C104, MRP!$G$2:$G$245, G$1),
    SUMIFS(MRP!$I$2:$I$245, MRP!$B$2:$B$245, $C104, MRP!$G$2:$G$245, G$1),
    SUMIFS(MRP!$J$2:$J$245, MRP!$B$2:$B$245, $C104,  MRP!$G$2:$G$245, G$1),
    SUMIFS(MRP!$K$2:$K$245, MRP!$B$2:$B$245, $C104,  MRP!$G$2:$G$245, G$1),
    SUMIFS(MRP!$L$2:$L$245, MRP!$B$2:$B$245, $C104,  MRP!$G$2:$G$245, G$1)
)*F104</f>
        <v/>
      </c>
      <c r="H104" s="15">
        <f>SUM(
    SUMIFS(MRP!$H$2:$H$245, MRP!$B$2:$B$245, $C104, MRP!$G$2:$G$245, H$1),
    SUMIFS(MRP!$I$2:$I$245, MRP!$B$2:$B$245, $C104, MRP!$G$2:$G$245, H$1),
    SUMIFS(MRP!$J$2:$J$245, MRP!$B$2:$B$245, $C104,  MRP!$G$2:$G$245, H$1),
    SUMIFS(MRP!$K$2:$K$245, MRP!$B$2:$B$245, $C104,  MRP!$G$2:$G$245, H$1),
    SUMIFS(MRP!$L$2:$L$245, MRP!$B$2:$B$245, $C104,  MRP!$G$2:$G$245, H$1)
)*F104</f>
        <v/>
      </c>
      <c r="I104" s="15">
        <f>SUM(
    SUMIFS(MRP!$H$2:$H$245, MRP!$B$2:$B$245, $C104, MRP!$G$2:$G$245, I$1),
    SUMIFS(MRP!$I$2:$I$245, MRP!$B$2:$B$245, $C104, MRP!$G$2:$G$245, I$1),
    SUMIFS(MRP!$J$2:$J$245, MRP!$B$2:$B$245, $C104,  MRP!$G$2:$G$245, I$1),
    SUMIFS(MRP!$K$2:$K$245, MRP!$B$2:$B$245, $C104,  MRP!$G$2:$G$245, I$1),
    SUMIFS(MRP!$L$2:$L$245, MRP!$B$2:$B$245, $C104,  MRP!$G$2:$G$245, I$1)
)*F104</f>
        <v/>
      </c>
      <c r="J104" s="15">
        <f>SUM(
    SUMIFS(MRP!$H$2:$H$245, MRP!$B$2:$B$245, $C104, MRP!$G$2:$G$245, J$1),
    SUMIFS(MRP!$I$2:$I$245, MRP!$B$2:$B$245, $C104, MRP!$G$2:$G$245, J$1),
    SUMIFS(MRP!$J$2:$J$245, MRP!$B$2:$B$245, $C104,  MRP!$G$2:$G$245, J$1),
    SUMIFS(MRP!$K$2:$K$245, MRP!$B$2:$B$245, $C104,  MRP!$G$2:$G$245, J$1),
    SUMIFS(MRP!$L$2:$L$245, MRP!$B$2:$B$245, $C104,  MRP!$G$2:$G$245, J$1)
)*F104</f>
        <v/>
      </c>
      <c r="K104" s="15">
        <f>SUM(
    SUMIFS(MRP!$H$2:$H$245, MRP!$B$2:$B$245, $C104, MRP!$G$2:$G$245, K$1),
    SUMIFS(MRP!$I$2:$I$245, MRP!$B$2:$B$245, $C104, MRP!$G$2:$G$245, K$1),
    SUMIFS(MRP!$J$2:$J$245, MRP!$B$2:$B$245, $C104,  MRP!$G$2:$G$245, K$1),
    SUMIFS(MRP!$K$2:$K$245, MRP!$B$2:$B$245, $C104,  MRP!$G$2:$G$245, K$1),
    SUMIFS(MRP!$L$2:$L$245, MRP!$B$2:$B$245, $C104,  MRP!$G$2:$G$245, K$1)
)*F104</f>
        <v/>
      </c>
      <c r="L104" s="55">
        <f>TRIM(Tabla3[[#This Row],[CodInternoArti]])</f>
        <v/>
      </c>
    </row>
    <row r="105">
      <c r="A105" s="38">
        <f>IF(ISNUMBER(_xlfn.XMATCH(Tabla3[[#This Row],[CodInternoArti]],'Tabla Articulos'!B:B)),"OK","NO ESTA")</f>
        <v/>
      </c>
      <c r="B105" s="38">
        <f>IF(ISNUMBER(_xlfn.XMATCH('Calcular necesidad'!E:E,'Necesidad por familia'!A:A)),"OK","NO ESTA")</f>
        <v/>
      </c>
      <c r="C105" s="17" t="inlineStr">
        <is>
          <t>7790321020287</t>
        </is>
      </c>
      <c r="D105" s="1" t="inlineStr">
        <is>
          <t>TAPA 105 RECT x 100U</t>
        </is>
      </c>
      <c r="E105" s="1">
        <f>_xlfn.XLOOKUP(C105,'Tabla Articulos'!B:B,'Tabla Articulos'!D:D)</f>
        <v/>
      </c>
      <c r="F105" s="1">
        <f>_xlfn.XLOOKUP(C105,'Tabla Articulos'!B:B,'Tabla Articulos'!E:E)</f>
        <v/>
      </c>
      <c r="G105" s="15">
        <f>SUM(
    SUMIFS(MRP!$H$2:$H$245, MRP!$B$2:$B$245, $C105, MRP!$G$2:$G$245, G$1),
    SUMIFS(MRP!$I$2:$I$245, MRP!$B$2:$B$245, $C105, MRP!$G$2:$G$245, G$1),
    SUMIFS(MRP!$J$2:$J$245, MRP!$B$2:$B$245, $C105,  MRP!$G$2:$G$245, G$1),
    SUMIFS(MRP!$K$2:$K$245, MRP!$B$2:$B$245, $C105,  MRP!$G$2:$G$245, G$1),
    SUMIFS(MRP!$L$2:$L$245, MRP!$B$2:$B$245, $C105,  MRP!$G$2:$G$245, G$1)
)*F105</f>
        <v/>
      </c>
      <c r="H105" s="15">
        <f>SUM(
    SUMIFS(MRP!$H$2:$H$245, MRP!$B$2:$B$245, $C105, MRP!$G$2:$G$245, H$1),
    SUMIFS(MRP!$I$2:$I$245, MRP!$B$2:$B$245, $C105, MRP!$G$2:$G$245, H$1),
    SUMIFS(MRP!$J$2:$J$245, MRP!$B$2:$B$245, $C105,  MRP!$G$2:$G$245, H$1),
    SUMIFS(MRP!$K$2:$K$245, MRP!$B$2:$B$245, $C105,  MRP!$G$2:$G$245, H$1),
    SUMIFS(MRP!$L$2:$L$245, MRP!$B$2:$B$245, $C105,  MRP!$G$2:$G$245, H$1)
)*F105</f>
        <v/>
      </c>
      <c r="I105" s="15">
        <f>SUM(
    SUMIFS(MRP!$H$2:$H$245, MRP!$B$2:$B$245, $C105, MRP!$G$2:$G$245, I$1),
    SUMIFS(MRP!$I$2:$I$245, MRP!$B$2:$B$245, $C105, MRP!$G$2:$G$245, I$1),
    SUMIFS(MRP!$J$2:$J$245, MRP!$B$2:$B$245, $C105,  MRP!$G$2:$G$245, I$1),
    SUMIFS(MRP!$K$2:$K$245, MRP!$B$2:$B$245, $C105,  MRP!$G$2:$G$245, I$1),
    SUMIFS(MRP!$L$2:$L$245, MRP!$B$2:$B$245, $C105,  MRP!$G$2:$G$245, I$1)
)*F105</f>
        <v/>
      </c>
      <c r="J105" s="15">
        <f>SUM(
    SUMIFS(MRP!$H$2:$H$245, MRP!$B$2:$B$245, $C105, MRP!$G$2:$G$245, J$1),
    SUMIFS(MRP!$I$2:$I$245, MRP!$B$2:$B$245, $C105, MRP!$G$2:$G$245, J$1),
    SUMIFS(MRP!$J$2:$J$245, MRP!$B$2:$B$245, $C105,  MRP!$G$2:$G$245, J$1),
    SUMIFS(MRP!$K$2:$K$245, MRP!$B$2:$B$245, $C105,  MRP!$G$2:$G$245, J$1),
    SUMIFS(MRP!$L$2:$L$245, MRP!$B$2:$B$245, $C105,  MRP!$G$2:$G$245, J$1)
)*F105</f>
        <v/>
      </c>
      <c r="K105" s="15">
        <f>SUM(
    SUMIFS(MRP!$H$2:$H$245, MRP!$B$2:$B$245, $C105, MRP!$G$2:$G$245, K$1),
    SUMIFS(MRP!$I$2:$I$245, MRP!$B$2:$B$245, $C105, MRP!$G$2:$G$245, K$1),
    SUMIFS(MRP!$J$2:$J$245, MRP!$B$2:$B$245, $C105,  MRP!$G$2:$G$245, K$1),
    SUMIFS(MRP!$K$2:$K$245, MRP!$B$2:$B$245, $C105,  MRP!$G$2:$G$245, K$1),
    SUMIFS(MRP!$L$2:$L$245, MRP!$B$2:$B$245, $C105,  MRP!$G$2:$G$245, K$1)
)*F105</f>
        <v/>
      </c>
      <c r="L105" s="55">
        <f>TRIM(Tabla3[[#This Row],[CodInternoArti]])</f>
        <v/>
      </c>
    </row>
    <row r="106">
      <c r="A106" s="38">
        <f>IF(ISNUMBER(_xlfn.XMATCH(Tabla3[[#This Row],[CodInternoArti]],'Tabla Articulos'!B:B)),"OK","NO ESTA")</f>
        <v/>
      </c>
      <c r="B106" s="38">
        <f>IF(ISNUMBER(_xlfn.XMATCH('Calcular necesidad'!E:E,'Necesidad por familia'!A:A)),"OK","NO ESTA")</f>
        <v/>
      </c>
      <c r="C106" s="17" t="inlineStr">
        <is>
          <t>7790321020147</t>
        </is>
      </c>
      <c r="D106" s="1" t="inlineStr">
        <is>
          <t>BOLSA CAMISETA NEG 40X50X 60U</t>
        </is>
      </c>
      <c r="E106" s="1">
        <f>_xlfn.XLOOKUP(C106,'Tabla Articulos'!B:B,'Tabla Articulos'!D:D)</f>
        <v/>
      </c>
      <c r="F106" s="1">
        <f>_xlfn.XLOOKUP(C106,'Tabla Articulos'!B:B,'Tabla Articulos'!E:E)</f>
        <v/>
      </c>
      <c r="G106" s="15">
        <f>SUM(
    SUMIFS(MRP!$H$2:$H$245, MRP!$B$2:$B$245, $C106, MRP!$G$2:$G$245, G$1),
    SUMIFS(MRP!$I$2:$I$245, MRP!$B$2:$B$245, $C106, MRP!$G$2:$G$245, G$1),
    SUMIFS(MRP!$J$2:$J$245, MRP!$B$2:$B$245, $C106,  MRP!$G$2:$G$245, G$1),
    SUMIFS(MRP!$K$2:$K$245, MRP!$B$2:$B$245, $C106,  MRP!$G$2:$G$245, G$1),
    SUMIFS(MRP!$L$2:$L$245, MRP!$B$2:$B$245, $C106,  MRP!$G$2:$G$245, G$1)
)*F106</f>
        <v/>
      </c>
      <c r="H106" s="15">
        <f>SUM(
    SUMIFS(MRP!$H$2:$H$245, MRP!$B$2:$B$245, $C106, MRP!$G$2:$G$245, H$1),
    SUMIFS(MRP!$I$2:$I$245, MRP!$B$2:$B$245, $C106, MRP!$G$2:$G$245, H$1),
    SUMIFS(MRP!$J$2:$J$245, MRP!$B$2:$B$245, $C106,  MRP!$G$2:$G$245, H$1),
    SUMIFS(MRP!$K$2:$K$245, MRP!$B$2:$B$245, $C106,  MRP!$G$2:$G$245, H$1),
    SUMIFS(MRP!$L$2:$L$245, MRP!$B$2:$B$245, $C106,  MRP!$G$2:$G$245, H$1)
)*F106</f>
        <v/>
      </c>
      <c r="I106" s="15">
        <f>SUM(
    SUMIFS(MRP!$H$2:$H$245, MRP!$B$2:$B$245, $C106, MRP!$G$2:$G$245, I$1),
    SUMIFS(MRP!$I$2:$I$245, MRP!$B$2:$B$245, $C106, MRP!$G$2:$G$245, I$1),
    SUMIFS(MRP!$J$2:$J$245, MRP!$B$2:$B$245, $C106,  MRP!$G$2:$G$245, I$1),
    SUMIFS(MRP!$K$2:$K$245, MRP!$B$2:$B$245, $C106,  MRP!$G$2:$G$245, I$1),
    SUMIFS(MRP!$L$2:$L$245, MRP!$B$2:$B$245, $C106,  MRP!$G$2:$G$245, I$1)
)*F106</f>
        <v/>
      </c>
      <c r="J106" s="15">
        <f>SUM(
    SUMIFS(MRP!$H$2:$H$245, MRP!$B$2:$B$245, $C106, MRP!$G$2:$G$245, J$1),
    SUMIFS(MRP!$I$2:$I$245, MRP!$B$2:$B$245, $C106, MRP!$G$2:$G$245, J$1),
    SUMIFS(MRP!$J$2:$J$245, MRP!$B$2:$B$245, $C106,  MRP!$G$2:$G$245, J$1),
    SUMIFS(MRP!$K$2:$K$245, MRP!$B$2:$B$245, $C106,  MRP!$G$2:$G$245, J$1),
    SUMIFS(MRP!$L$2:$L$245, MRP!$B$2:$B$245, $C106,  MRP!$G$2:$G$245, J$1)
)*F106</f>
        <v/>
      </c>
      <c r="K106" s="15">
        <f>SUM(
    SUMIFS(MRP!$H$2:$H$245, MRP!$B$2:$B$245, $C106, MRP!$G$2:$G$245, K$1),
    SUMIFS(MRP!$I$2:$I$245, MRP!$B$2:$B$245, $C106, MRP!$G$2:$G$245, K$1),
    SUMIFS(MRP!$J$2:$J$245, MRP!$B$2:$B$245, $C106,  MRP!$G$2:$G$245, K$1),
    SUMIFS(MRP!$K$2:$K$245, MRP!$B$2:$B$245, $C106,  MRP!$G$2:$G$245, K$1),
    SUMIFS(MRP!$L$2:$L$245, MRP!$B$2:$B$245, $C106,  MRP!$G$2:$G$245, K$1)
)*F106</f>
        <v/>
      </c>
      <c r="L106" s="55">
        <f>TRIM(Tabla3[[#This Row],[CodInternoArti]])</f>
        <v/>
      </c>
    </row>
    <row r="107">
      <c r="A107" s="38">
        <f>IF(ISNUMBER(_xlfn.XMATCH(Tabla3[[#This Row],[CodInternoArti]],'Tabla Articulos'!B:B)),"OK","NO ESTA")</f>
        <v/>
      </c>
      <c r="B107" s="38">
        <f>IF(ISNUMBER(_xlfn.XMATCH('Calcular necesidad'!E:E,'Necesidad por familia'!A:A)),"OK","NO ESTA")</f>
        <v/>
      </c>
      <c r="C107" s="17" t="inlineStr">
        <is>
          <t>779032011155</t>
        </is>
      </c>
      <c r="D107" s="1" t="inlineStr">
        <is>
          <t>ENS CRISTAL TAPA x100U PLASTIV</t>
        </is>
      </c>
      <c r="E107" s="1">
        <f>_xlfn.XLOOKUP(C107,'Tabla Articulos'!B:B,'Tabla Articulos'!D:D)</f>
        <v/>
      </c>
      <c r="F107" s="1">
        <f>_xlfn.XLOOKUP(C107,'Tabla Articulos'!B:B,'Tabla Articulos'!E:E)</f>
        <v/>
      </c>
      <c r="G107" s="15">
        <f>SUM(
    SUMIFS(MRP!$H$2:$H$245, MRP!$B$2:$B$245, $C107, MRP!$G$2:$G$245, G$1),
    SUMIFS(MRP!$I$2:$I$245, MRP!$B$2:$B$245, $C107, MRP!$G$2:$G$245, G$1),
    SUMIFS(MRP!$J$2:$J$245, MRP!$B$2:$B$245, $C107,  MRP!$G$2:$G$245, G$1),
    SUMIFS(MRP!$K$2:$K$245, MRP!$B$2:$B$245, $C107,  MRP!$G$2:$G$245, G$1),
    SUMIFS(MRP!$L$2:$L$245, MRP!$B$2:$B$245, $C107,  MRP!$G$2:$G$245, G$1)
)*F107</f>
        <v/>
      </c>
      <c r="H107" s="15">
        <f>SUM(
    SUMIFS(MRP!$H$2:$H$245, MRP!$B$2:$B$245, $C107, MRP!$G$2:$G$245, H$1),
    SUMIFS(MRP!$I$2:$I$245, MRP!$B$2:$B$245, $C107, MRP!$G$2:$G$245, H$1),
    SUMIFS(MRP!$J$2:$J$245, MRP!$B$2:$B$245, $C107,  MRP!$G$2:$G$245, H$1),
    SUMIFS(MRP!$K$2:$K$245, MRP!$B$2:$B$245, $C107,  MRP!$G$2:$G$245, H$1),
    SUMIFS(MRP!$L$2:$L$245, MRP!$B$2:$B$245, $C107,  MRP!$G$2:$G$245, H$1)
)*F107</f>
        <v/>
      </c>
      <c r="I107" s="15">
        <f>SUM(
    SUMIFS(MRP!$H$2:$H$245, MRP!$B$2:$B$245, $C107, MRP!$G$2:$G$245, I$1),
    SUMIFS(MRP!$I$2:$I$245, MRP!$B$2:$B$245, $C107, MRP!$G$2:$G$245, I$1),
    SUMIFS(MRP!$J$2:$J$245, MRP!$B$2:$B$245, $C107,  MRP!$G$2:$G$245, I$1),
    SUMIFS(MRP!$K$2:$K$245, MRP!$B$2:$B$245, $C107,  MRP!$G$2:$G$245, I$1),
    SUMIFS(MRP!$L$2:$L$245, MRP!$B$2:$B$245, $C107,  MRP!$G$2:$G$245, I$1)
)*F107</f>
        <v/>
      </c>
      <c r="J107" s="15">
        <f>SUM(
    SUMIFS(MRP!$H$2:$H$245, MRP!$B$2:$B$245, $C107, MRP!$G$2:$G$245, J$1),
    SUMIFS(MRP!$I$2:$I$245, MRP!$B$2:$B$245, $C107, MRP!$G$2:$G$245, J$1),
    SUMIFS(MRP!$J$2:$J$245, MRP!$B$2:$B$245, $C107,  MRP!$G$2:$G$245, J$1),
    SUMIFS(MRP!$K$2:$K$245, MRP!$B$2:$B$245, $C107,  MRP!$G$2:$G$245, J$1),
    SUMIFS(MRP!$L$2:$L$245, MRP!$B$2:$B$245, $C107,  MRP!$G$2:$G$245, J$1)
)*F107</f>
        <v/>
      </c>
      <c r="K107" s="15">
        <f>SUM(
    SUMIFS(MRP!$H$2:$H$245, MRP!$B$2:$B$245, $C107, MRP!$G$2:$G$245, K$1),
    SUMIFS(MRP!$I$2:$I$245, MRP!$B$2:$B$245, $C107, MRP!$G$2:$G$245, K$1),
    SUMIFS(MRP!$J$2:$J$245, MRP!$B$2:$B$245, $C107,  MRP!$G$2:$G$245, K$1),
    SUMIFS(MRP!$K$2:$K$245, MRP!$B$2:$B$245, $C107,  MRP!$G$2:$G$245, K$1),
    SUMIFS(MRP!$L$2:$L$245, MRP!$B$2:$B$245, $C107,  MRP!$G$2:$G$245, K$1)
)*F107</f>
        <v/>
      </c>
      <c r="L107" s="55">
        <f>TRIM(Tabla3[[#This Row],[CodInternoArti]])</f>
        <v/>
      </c>
    </row>
    <row r="108">
      <c r="A108" s="38">
        <f>IF(ISNUMBER(_xlfn.XMATCH(Tabla3[[#This Row],[CodInternoArti]],'Tabla Articulos'!B:B)),"OK","NO ESTA")</f>
        <v/>
      </c>
      <c r="B108" s="38">
        <f>IF(ISNUMBER(_xlfn.XMATCH('Calcular necesidad'!E:E,'Necesidad por familia'!A:A)),"OK","NO ESTA")</f>
        <v/>
      </c>
      <c r="C108" s="17" t="inlineStr">
        <is>
          <t>7981889753416</t>
        </is>
      </c>
      <c r="D108" s="1" t="inlineStr">
        <is>
          <t>MANGAS DESCARTABLES 27X58CM X50U</t>
        </is>
      </c>
      <c r="E108" s="1">
        <f>_xlfn.XLOOKUP(C108,'Tabla Articulos'!B:B,'Tabla Articulos'!D:D)</f>
        <v/>
      </c>
      <c r="F108" s="1">
        <f>_xlfn.XLOOKUP(C108,'Tabla Articulos'!B:B,'Tabla Articulos'!E:E)</f>
        <v/>
      </c>
      <c r="G108" s="15">
        <f>SUM(
    SUMIFS(MRP!$H$2:$H$245, MRP!$B$2:$B$245, $C108, MRP!$G$2:$G$245, G$1),
    SUMIFS(MRP!$I$2:$I$245, MRP!$B$2:$B$245, $C108, MRP!$G$2:$G$245, G$1),
    SUMIFS(MRP!$J$2:$J$245, MRP!$B$2:$B$245, $C108,  MRP!$G$2:$G$245, G$1),
    SUMIFS(MRP!$K$2:$K$245, MRP!$B$2:$B$245, $C108,  MRP!$G$2:$G$245, G$1),
    SUMIFS(MRP!$L$2:$L$245, MRP!$B$2:$B$245, $C108,  MRP!$G$2:$G$245, G$1)
)*F108</f>
        <v/>
      </c>
      <c r="H108" s="15">
        <f>SUM(
    SUMIFS(MRP!$H$2:$H$245, MRP!$B$2:$B$245, $C108, MRP!$G$2:$G$245, H$1),
    SUMIFS(MRP!$I$2:$I$245, MRP!$B$2:$B$245, $C108, MRP!$G$2:$G$245, H$1),
    SUMIFS(MRP!$J$2:$J$245, MRP!$B$2:$B$245, $C108,  MRP!$G$2:$G$245, H$1),
    SUMIFS(MRP!$K$2:$K$245, MRP!$B$2:$B$245, $C108,  MRP!$G$2:$G$245, H$1),
    SUMIFS(MRP!$L$2:$L$245, MRP!$B$2:$B$245, $C108,  MRP!$G$2:$G$245, H$1)
)*F108</f>
        <v/>
      </c>
      <c r="I108" s="15">
        <f>SUM(
    SUMIFS(MRP!$H$2:$H$245, MRP!$B$2:$B$245, $C108, MRP!$G$2:$G$245, I$1),
    SUMIFS(MRP!$I$2:$I$245, MRP!$B$2:$B$245, $C108, MRP!$G$2:$G$245, I$1),
    SUMIFS(MRP!$J$2:$J$245, MRP!$B$2:$B$245, $C108,  MRP!$G$2:$G$245, I$1),
    SUMIFS(MRP!$K$2:$K$245, MRP!$B$2:$B$245, $C108,  MRP!$G$2:$G$245, I$1),
    SUMIFS(MRP!$L$2:$L$245, MRP!$B$2:$B$245, $C108,  MRP!$G$2:$G$245, I$1)
)*F108</f>
        <v/>
      </c>
      <c r="J108" s="15">
        <f>SUM(
    SUMIFS(MRP!$H$2:$H$245, MRP!$B$2:$B$245, $C108, MRP!$G$2:$G$245, J$1),
    SUMIFS(MRP!$I$2:$I$245, MRP!$B$2:$B$245, $C108, MRP!$G$2:$G$245, J$1),
    SUMIFS(MRP!$J$2:$J$245, MRP!$B$2:$B$245, $C108,  MRP!$G$2:$G$245, J$1),
    SUMIFS(MRP!$K$2:$K$245, MRP!$B$2:$B$245, $C108,  MRP!$G$2:$G$245, J$1),
    SUMIFS(MRP!$L$2:$L$245, MRP!$B$2:$B$245, $C108,  MRP!$G$2:$G$245, J$1)
)*F108</f>
        <v/>
      </c>
      <c r="K108" s="15">
        <f>SUM(
    SUMIFS(MRP!$H$2:$H$245, MRP!$B$2:$B$245, $C108, MRP!$G$2:$G$245, K$1),
    SUMIFS(MRP!$I$2:$I$245, MRP!$B$2:$B$245, $C108, MRP!$G$2:$G$245, K$1),
    SUMIFS(MRP!$J$2:$J$245, MRP!$B$2:$B$245, $C108,  MRP!$G$2:$G$245, K$1),
    SUMIFS(MRP!$K$2:$K$245, MRP!$B$2:$B$245, $C108,  MRP!$G$2:$G$245, K$1),
    SUMIFS(MRP!$L$2:$L$245, MRP!$B$2:$B$245, $C108,  MRP!$G$2:$G$245, K$1)
)*F108</f>
        <v/>
      </c>
      <c r="L108" s="55">
        <f>TRIM(Tabla3[[#This Row],[CodInternoArti]])</f>
        <v/>
      </c>
    </row>
    <row r="109">
      <c r="A109" s="38">
        <f>IF(ISNUMBER(_xlfn.XMATCH(Tabla3[[#This Row],[CodInternoArti]],'Tabla Articulos'!B:B)),"OK","NO ESTA")</f>
        <v/>
      </c>
      <c r="B109" s="38">
        <f>IF(ISNUMBER(_xlfn.XMATCH('Calcular necesidad'!E:E,'Necesidad por familia'!A:A)),"OK","NO ESTA")</f>
        <v/>
      </c>
      <c r="C109" s="17" t="inlineStr">
        <is>
          <t>BAZ00011</t>
        </is>
      </c>
      <c r="D109" s="1" t="inlineStr">
        <is>
          <t>ENS. CRISTAL TAPA X600U BANDEX</t>
        </is>
      </c>
      <c r="E109" s="1">
        <f>_xlfn.XLOOKUP(C109,'Tabla Articulos'!B:B,'Tabla Articulos'!D:D)</f>
        <v/>
      </c>
      <c r="F109" s="1">
        <f>_xlfn.XLOOKUP(C109,'Tabla Articulos'!B:B,'Tabla Articulos'!E:E)</f>
        <v/>
      </c>
      <c r="G109" s="15">
        <f>SUM(
    SUMIFS(MRP!$H$2:$H$245, MRP!$B$2:$B$245, $C109, MRP!$G$2:$G$245, G$1),
    SUMIFS(MRP!$I$2:$I$245, MRP!$B$2:$B$245, $C109, MRP!$G$2:$G$245, G$1),
    SUMIFS(MRP!$J$2:$J$245, MRP!$B$2:$B$245, $C109,  MRP!$G$2:$G$245, G$1),
    SUMIFS(MRP!$K$2:$K$245, MRP!$B$2:$B$245, $C109,  MRP!$G$2:$G$245, G$1),
    SUMIFS(MRP!$L$2:$L$245, MRP!$B$2:$B$245, $C109,  MRP!$G$2:$G$245, G$1)
)*F109</f>
        <v/>
      </c>
      <c r="H109" s="15">
        <f>SUM(
    SUMIFS(MRP!$H$2:$H$245, MRP!$B$2:$B$245, $C109, MRP!$G$2:$G$245, H$1),
    SUMIFS(MRP!$I$2:$I$245, MRP!$B$2:$B$245, $C109, MRP!$G$2:$G$245, H$1),
    SUMIFS(MRP!$J$2:$J$245, MRP!$B$2:$B$245, $C109,  MRP!$G$2:$G$245, H$1),
    SUMIFS(MRP!$K$2:$K$245, MRP!$B$2:$B$245, $C109,  MRP!$G$2:$G$245, H$1),
    SUMIFS(MRP!$L$2:$L$245, MRP!$B$2:$B$245, $C109,  MRP!$G$2:$G$245, H$1)
)*F109</f>
        <v/>
      </c>
      <c r="I109" s="15">
        <f>SUM(
    SUMIFS(MRP!$H$2:$H$245, MRP!$B$2:$B$245, $C109, MRP!$G$2:$G$245, I$1),
    SUMIFS(MRP!$I$2:$I$245, MRP!$B$2:$B$245, $C109, MRP!$G$2:$G$245, I$1),
    SUMIFS(MRP!$J$2:$J$245, MRP!$B$2:$B$245, $C109,  MRP!$G$2:$G$245, I$1),
    SUMIFS(MRP!$K$2:$K$245, MRP!$B$2:$B$245, $C109,  MRP!$G$2:$G$245, I$1),
    SUMIFS(MRP!$L$2:$L$245, MRP!$B$2:$B$245, $C109,  MRP!$G$2:$G$245, I$1)
)*F109</f>
        <v/>
      </c>
      <c r="J109" s="15">
        <f>SUM(
    SUMIFS(MRP!$H$2:$H$245, MRP!$B$2:$B$245, $C109, MRP!$G$2:$G$245, J$1),
    SUMIFS(MRP!$I$2:$I$245, MRP!$B$2:$B$245, $C109, MRP!$G$2:$G$245, J$1),
    SUMIFS(MRP!$J$2:$J$245, MRP!$B$2:$B$245, $C109,  MRP!$G$2:$G$245, J$1),
    SUMIFS(MRP!$K$2:$K$245, MRP!$B$2:$B$245, $C109,  MRP!$G$2:$G$245, J$1),
    SUMIFS(MRP!$L$2:$L$245, MRP!$B$2:$B$245, $C109,  MRP!$G$2:$G$245, J$1)
)*F109</f>
        <v/>
      </c>
      <c r="K109" s="15">
        <f>SUM(
    SUMIFS(MRP!$H$2:$H$245, MRP!$B$2:$B$245, $C109, MRP!$G$2:$G$245, K$1),
    SUMIFS(MRP!$I$2:$I$245, MRP!$B$2:$B$245, $C109, MRP!$G$2:$G$245, K$1),
    SUMIFS(MRP!$J$2:$J$245, MRP!$B$2:$B$245, $C109,  MRP!$G$2:$G$245, K$1),
    SUMIFS(MRP!$K$2:$K$245, MRP!$B$2:$B$245, $C109,  MRP!$G$2:$G$245, K$1),
    SUMIFS(MRP!$L$2:$L$245, MRP!$B$2:$B$245, $C109,  MRP!$G$2:$G$245, K$1)
)*F109</f>
        <v/>
      </c>
      <c r="L109" s="55">
        <f>TRIM(Tabla3[[#This Row],[CodInternoArti]])</f>
        <v/>
      </c>
    </row>
    <row r="110">
      <c r="A110" s="38">
        <f>IF(ISNUMBER(_xlfn.XMATCH(Tabla3[[#This Row],[CodInternoArti]],'Tabla Articulos'!B:B)),"OK","NO ESTA")</f>
        <v/>
      </c>
      <c r="B110" s="38">
        <f>IF(ISNUMBER(_xlfn.XMATCH('Calcular necesidad'!E:E,'Necesidad por familia'!A:A)),"OK","NO ESTA")</f>
        <v/>
      </c>
      <c r="C110" s="17" t="inlineStr">
        <is>
          <t>BAZ000712</t>
        </is>
      </c>
      <c r="D110" s="1" t="inlineStr">
        <is>
          <t>ROLLO MANGA REPO N5 25*58 X25U RESI</t>
        </is>
      </c>
      <c r="E110" s="1">
        <f>_xlfn.XLOOKUP(C110,'Tabla Articulos'!B:B,'Tabla Articulos'!D:D)</f>
        <v/>
      </c>
      <c r="F110" s="1">
        <f>_xlfn.XLOOKUP(C110,'Tabla Articulos'!B:B,'Tabla Articulos'!E:E)</f>
        <v/>
      </c>
      <c r="G110" s="15">
        <f>SUM(
    SUMIFS(MRP!$H$2:$H$245, MRP!$B$2:$B$245, $C110, MRP!$G$2:$G$245, G$1),
    SUMIFS(MRP!$I$2:$I$245, MRP!$B$2:$B$245, $C110, MRP!$G$2:$G$245, G$1),
    SUMIFS(MRP!$J$2:$J$245, MRP!$B$2:$B$245, $C110,  MRP!$G$2:$G$245, G$1),
    SUMIFS(MRP!$K$2:$K$245, MRP!$B$2:$B$245, $C110,  MRP!$G$2:$G$245, G$1),
    SUMIFS(MRP!$L$2:$L$245, MRP!$B$2:$B$245, $C110,  MRP!$G$2:$G$245, G$1)
)*F110</f>
        <v/>
      </c>
      <c r="H110" s="15">
        <f>SUM(
    SUMIFS(MRP!$H$2:$H$245, MRP!$B$2:$B$245, $C110, MRP!$G$2:$G$245, H$1),
    SUMIFS(MRP!$I$2:$I$245, MRP!$B$2:$B$245, $C110, MRP!$G$2:$G$245, H$1),
    SUMIFS(MRP!$J$2:$J$245, MRP!$B$2:$B$245, $C110,  MRP!$G$2:$G$245, H$1),
    SUMIFS(MRP!$K$2:$K$245, MRP!$B$2:$B$245, $C110,  MRP!$G$2:$G$245, H$1),
    SUMIFS(MRP!$L$2:$L$245, MRP!$B$2:$B$245, $C110,  MRP!$G$2:$G$245, H$1)
)*F110</f>
        <v/>
      </c>
      <c r="I110" s="15">
        <f>SUM(
    SUMIFS(MRP!$H$2:$H$245, MRP!$B$2:$B$245, $C110, MRP!$G$2:$G$245, I$1),
    SUMIFS(MRP!$I$2:$I$245, MRP!$B$2:$B$245, $C110, MRP!$G$2:$G$245, I$1),
    SUMIFS(MRP!$J$2:$J$245, MRP!$B$2:$B$245, $C110,  MRP!$G$2:$G$245, I$1),
    SUMIFS(MRP!$K$2:$K$245, MRP!$B$2:$B$245, $C110,  MRP!$G$2:$G$245, I$1),
    SUMIFS(MRP!$L$2:$L$245, MRP!$B$2:$B$245, $C110,  MRP!$G$2:$G$245, I$1)
)*F110</f>
        <v/>
      </c>
      <c r="J110" s="15">
        <f>SUM(
    SUMIFS(MRP!$H$2:$H$245, MRP!$B$2:$B$245, $C110, MRP!$G$2:$G$245, J$1),
    SUMIFS(MRP!$I$2:$I$245, MRP!$B$2:$B$245, $C110, MRP!$G$2:$G$245, J$1),
    SUMIFS(MRP!$J$2:$J$245, MRP!$B$2:$B$245, $C110,  MRP!$G$2:$G$245, J$1),
    SUMIFS(MRP!$K$2:$K$245, MRP!$B$2:$B$245, $C110,  MRP!$G$2:$G$245, J$1),
    SUMIFS(MRP!$L$2:$L$245, MRP!$B$2:$B$245, $C110,  MRP!$G$2:$G$245, J$1)
)*F110</f>
        <v/>
      </c>
      <c r="K110" s="15">
        <f>SUM(
    SUMIFS(MRP!$H$2:$H$245, MRP!$B$2:$B$245, $C110, MRP!$G$2:$G$245, K$1),
    SUMIFS(MRP!$I$2:$I$245, MRP!$B$2:$B$245, $C110, MRP!$G$2:$G$245, K$1),
    SUMIFS(MRP!$J$2:$J$245, MRP!$B$2:$B$245, $C110,  MRP!$G$2:$G$245, K$1),
    SUMIFS(MRP!$K$2:$K$245, MRP!$B$2:$B$245, $C110,  MRP!$G$2:$G$245, K$1),
    SUMIFS(MRP!$L$2:$L$245, MRP!$B$2:$B$245, $C110,  MRP!$G$2:$G$245, K$1)
)*F110</f>
        <v/>
      </c>
      <c r="L110" s="55">
        <f>TRIM(Tabla3[[#This Row],[CodInternoArti]])</f>
        <v/>
      </c>
    </row>
    <row r="111">
      <c r="A111" s="38">
        <f>IF(ISNUMBER(_xlfn.XMATCH(Tabla3[[#This Row],[CodInternoArti]],'Tabla Articulos'!B:B)),"OK","NO ESTA")</f>
        <v/>
      </c>
      <c r="B111" s="38">
        <f>IF(ISNUMBER(_xlfn.XMATCH('Calcular necesidad'!E:E,'Necesidad por familia'!A:A)),"OK","NO ESTA")</f>
        <v/>
      </c>
      <c r="C111" s="17" t="inlineStr">
        <is>
          <t>7798934234564</t>
        </is>
      </c>
      <c r="D111" s="1" t="inlineStr">
        <is>
          <t>MANGA REPOS X20ROLLOS X25U</t>
        </is>
      </c>
      <c r="E111" s="1">
        <f>_xlfn.XLOOKUP(C111,'Tabla Articulos'!B:B,'Tabla Articulos'!D:D)</f>
        <v/>
      </c>
      <c r="F111" s="1">
        <f>_xlfn.XLOOKUP(C111,'Tabla Articulos'!B:B,'Tabla Articulos'!E:E)</f>
        <v/>
      </c>
      <c r="G111" s="15">
        <f>SUM(
    SUMIFS(MRP!$H$2:$H$245, MRP!$B$2:$B$245, $C111, MRP!$G$2:$G$245, G$1),
    SUMIFS(MRP!$I$2:$I$245, MRP!$B$2:$B$245, $C111, MRP!$G$2:$G$245, G$1),
    SUMIFS(MRP!$J$2:$J$245, MRP!$B$2:$B$245, $C111,  MRP!$G$2:$G$245, G$1),
    SUMIFS(MRP!$K$2:$K$245, MRP!$B$2:$B$245, $C111,  MRP!$G$2:$G$245, G$1),
    SUMIFS(MRP!$L$2:$L$245, MRP!$B$2:$B$245, $C111,  MRP!$G$2:$G$245, G$1)
)*F111</f>
        <v/>
      </c>
      <c r="H111" s="15">
        <f>SUM(
    SUMIFS(MRP!$H$2:$H$245, MRP!$B$2:$B$245, $C111, MRP!$G$2:$G$245, H$1),
    SUMIFS(MRP!$I$2:$I$245, MRP!$B$2:$B$245, $C111, MRP!$G$2:$G$245, H$1),
    SUMIFS(MRP!$J$2:$J$245, MRP!$B$2:$B$245, $C111,  MRP!$G$2:$G$245, H$1),
    SUMIFS(MRP!$K$2:$K$245, MRP!$B$2:$B$245, $C111,  MRP!$G$2:$G$245, H$1),
    SUMIFS(MRP!$L$2:$L$245, MRP!$B$2:$B$245, $C111,  MRP!$G$2:$G$245, H$1)
)*F111</f>
        <v/>
      </c>
      <c r="I111" s="15">
        <f>SUM(
    SUMIFS(MRP!$H$2:$H$245, MRP!$B$2:$B$245, $C111, MRP!$G$2:$G$245, I$1),
    SUMIFS(MRP!$I$2:$I$245, MRP!$B$2:$B$245, $C111, MRP!$G$2:$G$245, I$1),
    SUMIFS(MRP!$J$2:$J$245, MRP!$B$2:$B$245, $C111,  MRP!$G$2:$G$245, I$1),
    SUMIFS(MRP!$K$2:$K$245, MRP!$B$2:$B$245, $C111,  MRP!$G$2:$G$245, I$1),
    SUMIFS(MRP!$L$2:$L$245, MRP!$B$2:$B$245, $C111,  MRP!$G$2:$G$245, I$1)
)*F111</f>
        <v/>
      </c>
      <c r="J111" s="15">
        <f>SUM(
    SUMIFS(MRP!$H$2:$H$245, MRP!$B$2:$B$245, $C111, MRP!$G$2:$G$245, J$1),
    SUMIFS(MRP!$I$2:$I$245, MRP!$B$2:$B$245, $C111, MRP!$G$2:$G$245, J$1),
    SUMIFS(MRP!$J$2:$J$245, MRP!$B$2:$B$245, $C111,  MRP!$G$2:$G$245, J$1),
    SUMIFS(MRP!$K$2:$K$245, MRP!$B$2:$B$245, $C111,  MRP!$G$2:$G$245, J$1),
    SUMIFS(MRP!$L$2:$L$245, MRP!$B$2:$B$245, $C111,  MRP!$G$2:$G$245, J$1)
)*F111</f>
        <v/>
      </c>
      <c r="K111" s="15">
        <f>SUM(
    SUMIFS(MRP!$H$2:$H$245, MRP!$B$2:$B$245, $C111, MRP!$G$2:$G$245, K$1),
    SUMIFS(MRP!$I$2:$I$245, MRP!$B$2:$B$245, $C111, MRP!$G$2:$G$245, K$1),
    SUMIFS(MRP!$J$2:$J$245, MRP!$B$2:$B$245, $C111,  MRP!$G$2:$G$245, K$1),
    SUMIFS(MRP!$K$2:$K$245, MRP!$B$2:$B$245, $C111,  MRP!$G$2:$G$245, K$1),
    SUMIFS(MRP!$L$2:$L$245, MRP!$B$2:$B$245, $C111,  MRP!$G$2:$G$245, K$1)
)*F111</f>
        <v/>
      </c>
      <c r="L111" s="55">
        <f>TRIM(Tabla3[[#This Row],[CodInternoArti]])</f>
        <v/>
      </c>
    </row>
    <row r="112">
      <c r="A112" s="38">
        <f>IF(ISNUMBER(_xlfn.XMATCH(Tabla3[[#This Row],[CodInternoArti]],'Tabla Articulos'!B:B)),"OK","NO ESTA")</f>
        <v/>
      </c>
      <c r="B112" s="38">
        <f>IF(ISNUMBER(_xlfn.XMATCH('Calcular necesidad'!E:E,'Necesidad por familia'!A:A)),"OK","NO ESTA")</f>
        <v/>
      </c>
      <c r="C112" s="17" t="inlineStr">
        <is>
          <t>105445B</t>
        </is>
      </c>
      <c r="D112" s="1" t="inlineStr">
        <is>
          <t xml:space="preserve">ENSALADERA CRISTAL X600U BANDEX  </t>
        </is>
      </c>
      <c r="E112" s="1">
        <f>_xlfn.XLOOKUP(C112,'Tabla Articulos'!B:B,'Tabla Articulos'!D:D)</f>
        <v/>
      </c>
      <c r="F112" s="1">
        <f>_xlfn.XLOOKUP(C112,'Tabla Articulos'!B:B,'Tabla Articulos'!E:E)</f>
        <v/>
      </c>
      <c r="G112" s="15">
        <f>SUM(
    SUMIFS(MRP!$H$2:$H$245, MRP!$B$2:$B$245, $C112, MRP!$G$2:$G$245, G$1),
    SUMIFS(MRP!$I$2:$I$245, MRP!$B$2:$B$245, $C112, MRP!$G$2:$G$245, G$1),
    SUMIFS(MRP!$J$2:$J$245, MRP!$B$2:$B$245, $C112,  MRP!$G$2:$G$245, G$1),
    SUMIFS(MRP!$K$2:$K$245, MRP!$B$2:$B$245, $C112,  MRP!$G$2:$G$245, G$1),
    SUMIFS(MRP!$L$2:$L$245, MRP!$B$2:$B$245, $C112,  MRP!$G$2:$G$245, G$1)
)*F112</f>
        <v/>
      </c>
      <c r="H112" s="15">
        <f>SUM(
    SUMIFS(MRP!$H$2:$H$245, MRP!$B$2:$B$245, $C112, MRP!$G$2:$G$245, H$1),
    SUMIFS(MRP!$I$2:$I$245, MRP!$B$2:$B$245, $C112, MRP!$G$2:$G$245, H$1),
    SUMIFS(MRP!$J$2:$J$245, MRP!$B$2:$B$245, $C112,  MRP!$G$2:$G$245, H$1),
    SUMIFS(MRP!$K$2:$K$245, MRP!$B$2:$B$245, $C112,  MRP!$G$2:$G$245, H$1),
    SUMIFS(MRP!$L$2:$L$245, MRP!$B$2:$B$245, $C112,  MRP!$G$2:$G$245, H$1)
)*F112</f>
        <v/>
      </c>
      <c r="I112" s="15">
        <f>SUM(
    SUMIFS(MRP!$H$2:$H$245, MRP!$B$2:$B$245, $C112, MRP!$G$2:$G$245, I$1),
    SUMIFS(MRP!$I$2:$I$245, MRP!$B$2:$B$245, $C112, MRP!$G$2:$G$245, I$1),
    SUMIFS(MRP!$J$2:$J$245, MRP!$B$2:$B$245, $C112,  MRP!$G$2:$G$245, I$1),
    SUMIFS(MRP!$K$2:$K$245, MRP!$B$2:$B$245, $C112,  MRP!$G$2:$G$245, I$1),
    SUMIFS(MRP!$L$2:$L$245, MRP!$B$2:$B$245, $C112,  MRP!$G$2:$G$245, I$1)
)*F112</f>
        <v/>
      </c>
      <c r="J112" s="15">
        <f>SUM(
    SUMIFS(MRP!$H$2:$H$245, MRP!$B$2:$B$245, $C112, MRP!$G$2:$G$245, J$1),
    SUMIFS(MRP!$I$2:$I$245, MRP!$B$2:$B$245, $C112, MRP!$G$2:$G$245, J$1),
    SUMIFS(MRP!$J$2:$J$245, MRP!$B$2:$B$245, $C112,  MRP!$G$2:$G$245, J$1),
    SUMIFS(MRP!$K$2:$K$245, MRP!$B$2:$B$245, $C112,  MRP!$G$2:$G$245, J$1),
    SUMIFS(MRP!$L$2:$L$245, MRP!$B$2:$B$245, $C112,  MRP!$G$2:$G$245, J$1)
)*F112</f>
        <v/>
      </c>
      <c r="K112" s="15">
        <f>SUM(
    SUMIFS(MRP!$H$2:$H$245, MRP!$B$2:$B$245, $C112, MRP!$G$2:$G$245, K$1),
    SUMIFS(MRP!$I$2:$I$245, MRP!$B$2:$B$245, $C112, MRP!$G$2:$G$245, K$1),
    SUMIFS(MRP!$J$2:$J$245, MRP!$B$2:$B$245, $C112,  MRP!$G$2:$G$245, K$1),
    SUMIFS(MRP!$K$2:$K$245, MRP!$B$2:$B$245, $C112,  MRP!$G$2:$G$245, K$1),
    SUMIFS(MRP!$L$2:$L$245, MRP!$B$2:$B$245, $C112,  MRP!$G$2:$G$245, K$1)
)*F112</f>
        <v/>
      </c>
      <c r="L112" s="55">
        <f>TRIM(Tabla3[[#This Row],[CodInternoArti]])</f>
        <v/>
      </c>
    </row>
    <row r="113">
      <c r="A113" s="38">
        <f>IF(ISNUMBER(_xlfn.XMATCH(Tabla3[[#This Row],[CodInternoArti]],'Tabla Articulos'!B:B)),"OK","NO ESTA")</f>
        <v/>
      </c>
      <c r="B113" s="38">
        <f>IF(ISNUMBER(_xlfn.XMATCH('Calcular necesidad'!E:E,'Necesidad por familia'!A:A)),"OK","NO ESTA")</f>
        <v/>
      </c>
      <c r="C113" s="17" t="inlineStr">
        <is>
          <t>7790321020533</t>
        </is>
      </c>
      <c r="D113" s="1" t="inlineStr">
        <is>
          <t xml:space="preserve">SERVILLETA BLANCA 33X33X1000U NUTRIRE     </t>
        </is>
      </c>
      <c r="E113" s="1">
        <f>_xlfn.XLOOKUP(C113,'Tabla Articulos'!B:B,'Tabla Articulos'!D:D)</f>
        <v/>
      </c>
      <c r="F113" s="1">
        <f>_xlfn.XLOOKUP(C113,'Tabla Articulos'!B:B,'Tabla Articulos'!E:E)</f>
        <v/>
      </c>
      <c r="G113" s="15">
        <f>SUM(
    SUMIFS(MRP!$H$2:$H$245, MRP!$B$2:$B$245, $C113, MRP!$G$2:$G$245, G$1),
    SUMIFS(MRP!$I$2:$I$245, MRP!$B$2:$B$245, $C113, MRP!$G$2:$G$245, G$1),
    SUMIFS(MRP!$J$2:$J$245, MRP!$B$2:$B$245, $C113,  MRP!$G$2:$G$245, G$1),
    SUMIFS(MRP!$K$2:$K$245, MRP!$B$2:$B$245, $C113,  MRP!$G$2:$G$245, G$1),
    SUMIFS(MRP!$L$2:$L$245, MRP!$B$2:$B$245, $C113,  MRP!$G$2:$G$245, G$1)
)*F113</f>
        <v/>
      </c>
      <c r="H113" s="15">
        <f>SUM(
    SUMIFS(MRP!$H$2:$H$245, MRP!$B$2:$B$245, $C113, MRP!$G$2:$G$245, H$1),
    SUMIFS(MRP!$I$2:$I$245, MRP!$B$2:$B$245, $C113, MRP!$G$2:$G$245, H$1),
    SUMIFS(MRP!$J$2:$J$245, MRP!$B$2:$B$245, $C113,  MRP!$G$2:$G$245, H$1),
    SUMIFS(MRP!$K$2:$K$245, MRP!$B$2:$B$245, $C113,  MRP!$G$2:$G$245, H$1),
    SUMIFS(MRP!$L$2:$L$245, MRP!$B$2:$B$245, $C113,  MRP!$G$2:$G$245, H$1)
)*F113</f>
        <v/>
      </c>
      <c r="I113" s="15">
        <f>SUM(
    SUMIFS(MRP!$H$2:$H$245, MRP!$B$2:$B$245, $C113, MRP!$G$2:$G$245, I$1),
    SUMIFS(MRP!$I$2:$I$245, MRP!$B$2:$B$245, $C113, MRP!$G$2:$G$245, I$1),
    SUMIFS(MRP!$J$2:$J$245, MRP!$B$2:$B$245, $C113,  MRP!$G$2:$G$245, I$1),
    SUMIFS(MRP!$K$2:$K$245, MRP!$B$2:$B$245, $C113,  MRP!$G$2:$G$245, I$1),
    SUMIFS(MRP!$L$2:$L$245, MRP!$B$2:$B$245, $C113,  MRP!$G$2:$G$245, I$1)
)*F113</f>
        <v/>
      </c>
      <c r="J113" s="15">
        <f>SUM(
    SUMIFS(MRP!$H$2:$H$245, MRP!$B$2:$B$245, $C113, MRP!$G$2:$G$245, J$1),
    SUMIFS(MRP!$I$2:$I$245, MRP!$B$2:$B$245, $C113, MRP!$G$2:$G$245, J$1),
    SUMIFS(MRP!$J$2:$J$245, MRP!$B$2:$B$245, $C113,  MRP!$G$2:$G$245, J$1),
    SUMIFS(MRP!$K$2:$K$245, MRP!$B$2:$B$245, $C113,  MRP!$G$2:$G$245, J$1),
    SUMIFS(MRP!$L$2:$L$245, MRP!$B$2:$B$245, $C113,  MRP!$G$2:$G$245, J$1)
)*F113</f>
        <v/>
      </c>
      <c r="K113" s="15">
        <f>SUM(
    SUMIFS(MRP!$H$2:$H$245, MRP!$B$2:$B$245, $C113, MRP!$G$2:$G$245, K$1),
    SUMIFS(MRP!$I$2:$I$245, MRP!$B$2:$B$245, $C113, MRP!$G$2:$G$245, K$1),
    SUMIFS(MRP!$J$2:$J$245, MRP!$B$2:$B$245, $C113,  MRP!$G$2:$G$245, K$1),
    SUMIFS(MRP!$K$2:$K$245, MRP!$B$2:$B$245, $C113,  MRP!$G$2:$G$245, K$1),
    SUMIFS(MRP!$L$2:$L$245, MRP!$B$2:$B$245, $C113,  MRP!$G$2:$G$245, K$1)
)*F113</f>
        <v/>
      </c>
      <c r="L113" s="55">
        <f>TRIM(Tabla3[[#This Row],[CodInternoArti]])</f>
        <v/>
      </c>
    </row>
    <row r="114">
      <c r="A114" s="38">
        <f>IF(ISNUMBER(_xlfn.XMATCH(Tabla3[[#This Row],[CodInternoArti]],'Tabla Articulos'!B:B)),"OK","NO ESTA")</f>
        <v/>
      </c>
      <c r="B114" s="38">
        <f>IF(ISNUMBER(_xlfn.XMATCH('Calcular necesidad'!E:E,'Necesidad por familia'!A:A)),"OK","NO ESTA")</f>
        <v/>
      </c>
      <c r="C114" s="17" t="inlineStr">
        <is>
          <t>1404700012</t>
        </is>
      </c>
      <c r="D114" s="1" t="inlineStr">
        <is>
          <t xml:space="preserve">SERVILLETA S/LOGO BCA 14X14   </t>
        </is>
      </c>
      <c r="E114" s="1">
        <f>_xlfn.XLOOKUP(C114,'Tabla Articulos'!B:B,'Tabla Articulos'!D:D)</f>
        <v/>
      </c>
      <c r="F114" s="14" t="n"/>
      <c r="G114" s="15">
        <f>SUM(
    SUMIFS(MRP!$H$2:$H$245, MRP!$B$2:$B$245, $C114, MRP!$G$2:$G$245, G$1),
    SUMIFS(MRP!$I$2:$I$245, MRP!$B$2:$B$245, $C114, MRP!$G$2:$G$245, G$1),
    SUMIFS(MRP!$J$2:$J$245, MRP!$B$2:$B$245, $C114,  MRP!$G$2:$G$245, G$1),
    SUMIFS(MRP!$K$2:$K$245, MRP!$B$2:$B$245, $C114,  MRP!$G$2:$G$245, G$1),
    SUMIFS(MRP!$L$2:$L$245, MRP!$B$2:$B$245, $C114,  MRP!$G$2:$G$245, G$1)
)*F114</f>
        <v/>
      </c>
      <c r="H114" s="15">
        <f>SUM(
    SUMIFS(MRP!$H$2:$H$245, MRP!$B$2:$B$245, $C114, MRP!$G$2:$G$245, H$1),
    SUMIFS(MRP!$I$2:$I$245, MRP!$B$2:$B$245, $C114, MRP!$G$2:$G$245, H$1),
    SUMIFS(MRP!$J$2:$J$245, MRP!$B$2:$B$245, $C114,  MRP!$G$2:$G$245, H$1),
    SUMIFS(MRP!$K$2:$K$245, MRP!$B$2:$B$245, $C114,  MRP!$G$2:$G$245, H$1),
    SUMIFS(MRP!$L$2:$L$245, MRP!$B$2:$B$245, $C114,  MRP!$G$2:$G$245, H$1)
)*F114</f>
        <v/>
      </c>
      <c r="I114" s="15">
        <f>SUM(
    SUMIFS(MRP!$H$2:$H$245, MRP!$B$2:$B$245, $C114, MRP!$G$2:$G$245, I$1),
    SUMIFS(MRP!$I$2:$I$245, MRP!$B$2:$B$245, $C114, MRP!$G$2:$G$245, I$1),
    SUMIFS(MRP!$J$2:$J$245, MRP!$B$2:$B$245, $C114,  MRP!$G$2:$G$245, I$1),
    SUMIFS(MRP!$K$2:$K$245, MRP!$B$2:$B$245, $C114,  MRP!$G$2:$G$245, I$1),
    SUMIFS(MRP!$L$2:$L$245, MRP!$B$2:$B$245, $C114,  MRP!$G$2:$G$245, I$1)
)*F114</f>
        <v/>
      </c>
      <c r="J114" s="15">
        <f>SUM(
    SUMIFS(MRP!$H$2:$H$245, MRP!$B$2:$B$245, $C114, MRP!$G$2:$G$245, J$1),
    SUMIFS(MRP!$I$2:$I$245, MRP!$B$2:$B$245, $C114, MRP!$G$2:$G$245, J$1),
    SUMIFS(MRP!$J$2:$J$245, MRP!$B$2:$B$245, $C114,  MRP!$G$2:$G$245, J$1),
    SUMIFS(MRP!$K$2:$K$245, MRP!$B$2:$B$245, $C114,  MRP!$G$2:$G$245, J$1),
    SUMIFS(MRP!$L$2:$L$245, MRP!$B$2:$B$245, $C114,  MRP!$G$2:$G$245, J$1)
)*F114</f>
        <v/>
      </c>
      <c r="K114" s="15">
        <f>SUM(
    SUMIFS(MRP!$H$2:$H$245, MRP!$B$2:$B$245, $C114, MRP!$G$2:$G$245, K$1),
    SUMIFS(MRP!$I$2:$I$245, MRP!$B$2:$B$245, $C114, MRP!$G$2:$G$245, K$1),
    SUMIFS(MRP!$J$2:$J$245, MRP!$B$2:$B$245, $C114,  MRP!$G$2:$G$245, K$1),
    SUMIFS(MRP!$K$2:$K$245, MRP!$B$2:$B$245, $C114,  MRP!$G$2:$G$245, K$1),
    SUMIFS(MRP!$L$2:$L$245, MRP!$B$2:$B$245, $C114,  MRP!$G$2:$G$245, K$1)
)*F114</f>
        <v/>
      </c>
      <c r="L114" s="55">
        <f>TRIM(Tabla3[[#This Row],[CodInternoArti]])</f>
        <v/>
      </c>
    </row>
    <row r="115">
      <c r="A115" s="38">
        <f>IF(ISNUMBER(_xlfn.XMATCH(Tabla3[[#This Row],[CodInternoArti]],'Tabla Articulos'!B:B)),"OK","NO ESTA")</f>
        <v/>
      </c>
      <c r="B115" s="38">
        <f>IF(ISNUMBER(_xlfn.XMATCH('Calcular necesidad'!E:E,'Necesidad por familia'!A:A)),"OK","NO ESTA")</f>
        <v/>
      </c>
      <c r="C115" s="17" t="inlineStr">
        <is>
          <t>7791337118101</t>
        </is>
      </c>
      <c r="D115" s="1" t="inlineStr">
        <is>
          <t>GUANTE LATEX GRANDE X100U NIPRO</t>
        </is>
      </c>
      <c r="E115" s="1">
        <f>_xlfn.XLOOKUP(C115,'Tabla Articulos'!B:B,'Tabla Articulos'!D:D)</f>
        <v/>
      </c>
      <c r="F115" s="1" t="n">
        <v>100</v>
      </c>
      <c r="G115" s="15">
        <f>SUM(
    SUMIFS(MRP!$H$2:$H$245, MRP!$B$2:$B$245, $C115, MRP!$G$2:$G$245, G$1),
    SUMIFS(MRP!$I$2:$I$245, MRP!$B$2:$B$245, $C115, MRP!$G$2:$G$245, G$1),
    SUMIFS(MRP!$J$2:$J$245, MRP!$B$2:$B$245, $C115,  MRP!$G$2:$G$245, G$1),
    SUMIFS(MRP!$K$2:$K$245, MRP!$B$2:$B$245, $C115,  MRP!$G$2:$G$245, G$1),
    SUMIFS(MRP!$L$2:$L$245, MRP!$B$2:$B$245, $C115,  MRP!$G$2:$G$245, G$1)
)*F115</f>
        <v/>
      </c>
      <c r="H115" s="15">
        <f>SUM(
    SUMIFS(MRP!$H$2:$H$245, MRP!$B$2:$B$245, $C115, MRP!$G$2:$G$245, H$1),
    SUMIFS(MRP!$I$2:$I$245, MRP!$B$2:$B$245, $C115, MRP!$G$2:$G$245, H$1),
    SUMIFS(MRP!$J$2:$J$245, MRP!$B$2:$B$245, $C115,  MRP!$G$2:$G$245, H$1),
    SUMIFS(MRP!$K$2:$K$245, MRP!$B$2:$B$245, $C115,  MRP!$G$2:$G$245, H$1),
    SUMIFS(MRP!$L$2:$L$245, MRP!$B$2:$B$245, $C115,  MRP!$G$2:$G$245, H$1)
)*F115</f>
        <v/>
      </c>
      <c r="I115" s="15">
        <f>SUM(
    SUMIFS(MRP!$H$2:$H$245, MRP!$B$2:$B$245, $C115, MRP!$G$2:$G$245, I$1),
    SUMIFS(MRP!$I$2:$I$245, MRP!$B$2:$B$245, $C115, MRP!$G$2:$G$245, I$1),
    SUMIFS(MRP!$J$2:$J$245, MRP!$B$2:$B$245, $C115,  MRP!$G$2:$G$245, I$1),
    SUMIFS(MRP!$K$2:$K$245, MRP!$B$2:$B$245, $C115,  MRP!$G$2:$G$245, I$1),
    SUMIFS(MRP!$L$2:$L$245, MRP!$B$2:$B$245, $C115,  MRP!$G$2:$G$245, I$1)
)*F115</f>
        <v/>
      </c>
      <c r="J115" s="15">
        <f>SUM(
    SUMIFS(MRP!$H$2:$H$245, MRP!$B$2:$B$245, $C115, MRP!$G$2:$G$245, J$1),
    SUMIFS(MRP!$I$2:$I$245, MRP!$B$2:$B$245, $C115, MRP!$G$2:$G$245, J$1),
    SUMIFS(MRP!$J$2:$J$245, MRP!$B$2:$B$245, $C115,  MRP!$G$2:$G$245, J$1),
    SUMIFS(MRP!$K$2:$K$245, MRP!$B$2:$B$245, $C115,  MRP!$G$2:$G$245, J$1),
    SUMIFS(MRP!$L$2:$L$245, MRP!$B$2:$B$245, $C115,  MRP!$G$2:$G$245, J$1)
)*F115</f>
        <v/>
      </c>
      <c r="K115" s="15">
        <f>SUM(
    SUMIFS(MRP!$H$2:$H$245, MRP!$B$2:$B$245, $C115, MRP!$G$2:$G$245, K$1),
    SUMIFS(MRP!$I$2:$I$245, MRP!$B$2:$B$245, $C115, MRP!$G$2:$G$245, K$1),
    SUMIFS(MRP!$J$2:$J$245, MRP!$B$2:$B$245, $C115,  MRP!$G$2:$G$245, K$1),
    SUMIFS(MRP!$K$2:$K$245, MRP!$B$2:$B$245, $C115,  MRP!$G$2:$G$245, K$1),
    SUMIFS(MRP!$L$2:$L$245, MRP!$B$2:$B$245, $C115,  MRP!$G$2:$G$245, K$1)
)*F115</f>
        <v/>
      </c>
      <c r="L115" s="55">
        <f>TRIM(Tabla3[[#This Row],[CodInternoArti]])</f>
        <v/>
      </c>
    </row>
    <row r="116">
      <c r="A116" s="38">
        <f>IF(ISNUMBER(_xlfn.XMATCH(Tabla3[[#This Row],[CodInternoArti]],'Tabla Articulos'!B:B)),"OK","NO ESTA")</f>
        <v/>
      </c>
      <c r="B116" s="38">
        <f>IF(ISNUMBER(_xlfn.XMATCH('Calcular necesidad'!E:E,'Necesidad por familia'!A:A)),"OK","NO ESTA")</f>
        <v/>
      </c>
      <c r="C116" s="17" t="inlineStr">
        <is>
          <t>7790321020393</t>
        </is>
      </c>
      <c r="D116" s="1" t="inlineStr">
        <is>
          <t>VASO CRISTAL 325CCX800U</t>
        </is>
      </c>
      <c r="E116" s="1">
        <f>_xlfn.XLOOKUP(C116,'Tabla Articulos'!B:B,'Tabla Articulos'!D:D)</f>
        <v/>
      </c>
      <c r="F116" s="1" t="n">
        <v>800</v>
      </c>
      <c r="G116" s="15">
        <f>SUM(
    SUMIFS(MRP!$H$2:$H$245, MRP!$B$2:$B$245, $C116, MRP!$G$2:$G$245, G$1),
    SUMIFS(MRP!$I$2:$I$245, MRP!$B$2:$B$245, $C116, MRP!$G$2:$G$245, G$1),
    SUMIFS(MRP!$J$2:$J$245, MRP!$B$2:$B$245, $C116,  MRP!$G$2:$G$245, G$1),
    SUMIFS(MRP!$K$2:$K$245, MRP!$B$2:$B$245, $C116,  MRP!$G$2:$G$245, G$1),
    SUMIFS(MRP!$L$2:$L$245, MRP!$B$2:$B$245, $C116,  MRP!$G$2:$G$245, G$1)
)*F116</f>
        <v/>
      </c>
      <c r="H116" s="15">
        <f>SUM(
    SUMIFS(MRP!$H$2:$H$245, MRP!$B$2:$B$245, $C116, MRP!$G$2:$G$245, H$1),
    SUMIFS(MRP!$I$2:$I$245, MRP!$B$2:$B$245, $C116, MRP!$G$2:$G$245, H$1),
    SUMIFS(MRP!$J$2:$J$245, MRP!$B$2:$B$245, $C116,  MRP!$G$2:$G$245, H$1),
    SUMIFS(MRP!$K$2:$K$245, MRP!$B$2:$B$245, $C116,  MRP!$G$2:$G$245, H$1),
    SUMIFS(MRP!$L$2:$L$245, MRP!$B$2:$B$245, $C116,  MRP!$G$2:$G$245, H$1)
)*F116</f>
        <v/>
      </c>
      <c r="I116" s="15">
        <f>SUM(
    SUMIFS(MRP!$H$2:$H$245, MRP!$B$2:$B$245, $C116, MRP!$G$2:$G$245, I$1),
    SUMIFS(MRP!$I$2:$I$245, MRP!$B$2:$B$245, $C116, MRP!$G$2:$G$245, I$1),
    SUMIFS(MRP!$J$2:$J$245, MRP!$B$2:$B$245, $C116,  MRP!$G$2:$G$245, I$1),
    SUMIFS(MRP!$K$2:$K$245, MRP!$B$2:$B$245, $C116,  MRP!$G$2:$G$245, I$1),
    SUMIFS(MRP!$L$2:$L$245, MRP!$B$2:$B$245, $C116,  MRP!$G$2:$G$245, I$1)
)*F116</f>
        <v/>
      </c>
      <c r="J116" s="15">
        <f>SUM(
    SUMIFS(MRP!$H$2:$H$245, MRP!$B$2:$B$245, $C116, MRP!$G$2:$G$245, J$1),
    SUMIFS(MRP!$I$2:$I$245, MRP!$B$2:$B$245, $C116, MRP!$G$2:$G$245, J$1),
    SUMIFS(MRP!$J$2:$J$245, MRP!$B$2:$B$245, $C116,  MRP!$G$2:$G$245, J$1),
    SUMIFS(MRP!$K$2:$K$245, MRP!$B$2:$B$245, $C116,  MRP!$G$2:$G$245, J$1),
    SUMIFS(MRP!$L$2:$L$245, MRP!$B$2:$B$245, $C116,  MRP!$G$2:$G$245, J$1)
)*F116</f>
        <v/>
      </c>
      <c r="K116" s="15">
        <f>SUM(
    SUMIFS(MRP!$H$2:$H$245, MRP!$B$2:$B$245, $C116, MRP!$G$2:$G$245, K$1),
    SUMIFS(MRP!$I$2:$I$245, MRP!$B$2:$B$245, $C116, MRP!$G$2:$G$245, K$1),
    SUMIFS(MRP!$J$2:$J$245, MRP!$B$2:$B$245, $C116,  MRP!$G$2:$G$245, K$1),
    SUMIFS(MRP!$K$2:$K$245, MRP!$B$2:$B$245, $C116,  MRP!$G$2:$G$245, K$1),
    SUMIFS(MRP!$L$2:$L$245, MRP!$B$2:$B$245, $C116,  MRP!$G$2:$G$245, K$1)
)*F116</f>
        <v/>
      </c>
      <c r="L116" s="55">
        <f>TRIM(Tabla3[[#This Row],[CodInternoArti]])</f>
        <v/>
      </c>
    </row>
    <row r="117">
      <c r="A117" s="38">
        <f>IF(ISNUMBER(_xlfn.XMATCH(Tabla3[[#This Row],[CodInternoArti]],'Tabla Articulos'!B:B)),"OK","NO ESTA")</f>
        <v/>
      </c>
      <c r="B117" s="38">
        <f>IF(ISNUMBER(_xlfn.XMATCH('Calcular necesidad'!E:E,'Necesidad por familia'!A:A)),"OK","NO ESTA")</f>
        <v/>
      </c>
      <c r="C117" s="17" t="inlineStr">
        <is>
          <t>7790321020329</t>
        </is>
      </c>
      <c r="D117" s="1" t="inlineStr">
        <is>
          <t>TAPA VASO TERMICO 240CCX50</t>
        </is>
      </c>
      <c r="E117" s="1">
        <f>_xlfn.XLOOKUP(C117,'Tabla Articulos'!B:B,'Tabla Articulos'!D:D)</f>
        <v/>
      </c>
      <c r="F117" s="1">
        <f>_xlfn.XLOOKUP(C117,'Tabla Articulos'!B:B,'Tabla Articulos'!E:E)</f>
        <v/>
      </c>
      <c r="G117" s="15">
        <f>SUM(
    SUMIFS(MRP!$H$2:$H$245, MRP!$B$2:$B$245, $C117, MRP!$G$2:$G$245, G$1),
    SUMIFS(MRP!$I$2:$I$245, MRP!$B$2:$B$245, $C117, MRP!$G$2:$G$245, G$1),
    SUMIFS(MRP!$J$2:$J$245, MRP!$B$2:$B$245, $C117,  MRP!$G$2:$G$245, G$1),
    SUMIFS(MRP!$K$2:$K$245, MRP!$B$2:$B$245, $C117,  MRP!$G$2:$G$245, G$1),
    SUMIFS(MRP!$L$2:$L$245, MRP!$B$2:$B$245, $C117,  MRP!$G$2:$G$245, G$1)
)*F117</f>
        <v/>
      </c>
      <c r="H117" s="15">
        <f>SUM(
    SUMIFS(MRP!$H$2:$H$245, MRP!$B$2:$B$245, $C117, MRP!$G$2:$G$245, H$1),
    SUMIFS(MRP!$I$2:$I$245, MRP!$B$2:$B$245, $C117, MRP!$G$2:$G$245, H$1),
    SUMIFS(MRP!$J$2:$J$245, MRP!$B$2:$B$245, $C117,  MRP!$G$2:$G$245, H$1),
    SUMIFS(MRP!$K$2:$K$245, MRP!$B$2:$B$245, $C117,  MRP!$G$2:$G$245, H$1),
    SUMIFS(MRP!$L$2:$L$245, MRP!$B$2:$B$245, $C117,  MRP!$G$2:$G$245, H$1)
)*F117</f>
        <v/>
      </c>
      <c r="I117" s="15">
        <f>SUM(
    SUMIFS(MRP!$H$2:$H$245, MRP!$B$2:$B$245, $C117, MRP!$G$2:$G$245, I$1),
    SUMIFS(MRP!$I$2:$I$245, MRP!$B$2:$B$245, $C117, MRP!$G$2:$G$245, I$1),
    SUMIFS(MRP!$J$2:$J$245, MRP!$B$2:$B$245, $C117,  MRP!$G$2:$G$245, I$1),
    SUMIFS(MRP!$K$2:$K$245, MRP!$B$2:$B$245, $C117,  MRP!$G$2:$G$245, I$1),
    SUMIFS(MRP!$L$2:$L$245, MRP!$B$2:$B$245, $C117,  MRP!$G$2:$G$245, I$1)
)*F117</f>
        <v/>
      </c>
      <c r="J117" s="15">
        <f>SUM(
    SUMIFS(MRP!$H$2:$H$245, MRP!$B$2:$B$245, $C117, MRP!$G$2:$G$245, J$1),
    SUMIFS(MRP!$I$2:$I$245, MRP!$B$2:$B$245, $C117, MRP!$G$2:$G$245, J$1),
    SUMIFS(MRP!$J$2:$J$245, MRP!$B$2:$B$245, $C117,  MRP!$G$2:$G$245, J$1),
    SUMIFS(MRP!$K$2:$K$245, MRP!$B$2:$B$245, $C117,  MRP!$G$2:$G$245, J$1),
    SUMIFS(MRP!$L$2:$L$245, MRP!$B$2:$B$245, $C117,  MRP!$G$2:$G$245, J$1)
)*F117</f>
        <v/>
      </c>
      <c r="K117" s="15">
        <f>SUM(
    SUMIFS(MRP!$H$2:$H$245, MRP!$B$2:$B$245, $C117, MRP!$G$2:$G$245, K$1),
    SUMIFS(MRP!$I$2:$I$245, MRP!$B$2:$B$245, $C117, MRP!$G$2:$G$245, K$1),
    SUMIFS(MRP!$J$2:$J$245, MRP!$B$2:$B$245, $C117,  MRP!$G$2:$G$245, K$1),
    SUMIFS(MRP!$K$2:$K$245, MRP!$B$2:$B$245, $C117,  MRP!$G$2:$G$245, K$1),
    SUMIFS(MRP!$L$2:$L$245, MRP!$B$2:$B$245, $C117,  MRP!$G$2:$G$245, K$1)
)*F117</f>
        <v/>
      </c>
      <c r="L117" s="55">
        <f>TRIM(Tabla3[[#This Row],[CodInternoArti]])</f>
        <v/>
      </c>
    </row>
    <row r="118">
      <c r="A118" s="38">
        <f>IF(ISNUMBER(_xlfn.XMATCH(Tabla3[[#This Row],[CodInternoArti]],'Tabla Articulos'!B:B)),"OK","NO ESTA")</f>
        <v/>
      </c>
      <c r="B118" s="38">
        <f>IF(ISNUMBER(_xlfn.XMATCH('Calcular necesidad'!E:E,'Necesidad por familia'!A:A)),"OK","NO ESTA")</f>
        <v/>
      </c>
      <c r="C118" s="17" t="inlineStr">
        <is>
          <t>9992017100464</t>
        </is>
      </c>
      <c r="D118" s="1" t="inlineStr">
        <is>
          <t>FILM APTO TEMP 38X1000M XU RESIMAX</t>
        </is>
      </c>
      <c r="E118" s="1">
        <f>_xlfn.XLOOKUP(C118,'Tabla Articulos'!B:B,'Tabla Articulos'!D:D)</f>
        <v/>
      </c>
      <c r="F118" s="1" t="n">
        <v>1</v>
      </c>
      <c r="G118" s="15">
        <f>SUM(
    SUMIFS(MRP!$H$2:$H$245, MRP!$B$2:$B$245, $C118, MRP!$G$2:$G$245, G$1),
    SUMIFS(MRP!$I$2:$I$245, MRP!$B$2:$B$245, $C118, MRP!$G$2:$G$245, G$1),
    SUMIFS(MRP!$J$2:$J$245, MRP!$B$2:$B$245, $C118,  MRP!$G$2:$G$245, G$1),
    SUMIFS(MRP!$K$2:$K$245, MRP!$B$2:$B$245, $C118,  MRP!$G$2:$G$245, G$1),
    SUMIFS(MRP!$L$2:$L$245, MRP!$B$2:$B$245, $C118,  MRP!$G$2:$G$245, G$1)
)*F118</f>
        <v/>
      </c>
      <c r="H118" s="15">
        <f>SUM(
    SUMIFS(MRP!$H$2:$H$245, MRP!$B$2:$B$245, $C118, MRP!$G$2:$G$245, H$1),
    SUMIFS(MRP!$I$2:$I$245, MRP!$B$2:$B$245, $C118, MRP!$G$2:$G$245, H$1),
    SUMIFS(MRP!$J$2:$J$245, MRP!$B$2:$B$245, $C118,  MRP!$G$2:$G$245, H$1),
    SUMIFS(MRP!$K$2:$K$245, MRP!$B$2:$B$245, $C118,  MRP!$G$2:$G$245, H$1),
    SUMIFS(MRP!$L$2:$L$245, MRP!$B$2:$B$245, $C118,  MRP!$G$2:$G$245, H$1)
)*F118</f>
        <v/>
      </c>
      <c r="I118" s="15">
        <f>SUM(
    SUMIFS(MRP!$H$2:$H$245, MRP!$B$2:$B$245, $C118, MRP!$G$2:$G$245, I$1),
    SUMIFS(MRP!$I$2:$I$245, MRP!$B$2:$B$245, $C118, MRP!$G$2:$G$245, I$1),
    SUMIFS(MRP!$J$2:$J$245, MRP!$B$2:$B$245, $C118,  MRP!$G$2:$G$245, I$1),
    SUMIFS(MRP!$K$2:$K$245, MRP!$B$2:$B$245, $C118,  MRP!$G$2:$G$245, I$1),
    SUMIFS(MRP!$L$2:$L$245, MRP!$B$2:$B$245, $C118,  MRP!$G$2:$G$245, I$1)
)*F118</f>
        <v/>
      </c>
      <c r="J118" s="15">
        <f>SUM(
    SUMIFS(MRP!$H$2:$H$245, MRP!$B$2:$B$245, $C118, MRP!$G$2:$G$245, J$1),
    SUMIFS(MRP!$I$2:$I$245, MRP!$B$2:$B$245, $C118, MRP!$G$2:$G$245, J$1),
    SUMIFS(MRP!$J$2:$J$245, MRP!$B$2:$B$245, $C118,  MRP!$G$2:$G$245, J$1),
    SUMIFS(MRP!$K$2:$K$245, MRP!$B$2:$B$245, $C118,  MRP!$G$2:$G$245, J$1),
    SUMIFS(MRP!$L$2:$L$245, MRP!$B$2:$B$245, $C118,  MRP!$G$2:$G$245, J$1)
)*F118</f>
        <v/>
      </c>
      <c r="K118" s="15">
        <f>SUM(
    SUMIFS(MRP!$H$2:$H$245, MRP!$B$2:$B$245, $C118, MRP!$G$2:$G$245, K$1),
    SUMIFS(MRP!$I$2:$I$245, MRP!$B$2:$B$245, $C118, MRP!$G$2:$G$245, K$1),
    SUMIFS(MRP!$J$2:$J$245, MRP!$B$2:$B$245, $C118,  MRP!$G$2:$G$245, K$1),
    SUMIFS(MRP!$K$2:$K$245, MRP!$B$2:$B$245, $C118,  MRP!$G$2:$G$245, K$1),
    SUMIFS(MRP!$L$2:$L$245, MRP!$B$2:$B$245, $C118,  MRP!$G$2:$G$245, K$1)
)*F118</f>
        <v/>
      </c>
      <c r="L118" s="55">
        <f>TRIM(Tabla3[[#This Row],[CodInternoArti]])</f>
        <v/>
      </c>
    </row>
    <row r="119">
      <c r="A119" s="38">
        <f>IF(ISNUMBER(_xlfn.XMATCH(Tabla3[[#This Row],[CodInternoArti]],'Tabla Articulos'!B:B)),"OK","NO ESTA")</f>
        <v/>
      </c>
      <c r="B119" s="38">
        <f>IF(ISNUMBER(_xlfn.XMATCH('Calcular necesidad'!E:E,'Necesidad por familia'!A:A)),"OK","NO ESTA")</f>
        <v/>
      </c>
      <c r="C119" s="17" t="inlineStr">
        <is>
          <t>7790321020387</t>
        </is>
      </c>
      <c r="D119" s="1" t="inlineStr">
        <is>
          <t>VASO TERMICO X180CCX 50U</t>
        </is>
      </c>
      <c r="E119" s="1">
        <f>_xlfn.XLOOKUP(C119,'Tabla Articulos'!B:B,'Tabla Articulos'!D:D)</f>
        <v/>
      </c>
      <c r="F119" s="1">
        <f>_xlfn.XLOOKUP(C119,'Tabla Articulos'!B:B,'Tabla Articulos'!E:E)</f>
        <v/>
      </c>
      <c r="G119" s="15">
        <f>SUM(
    SUMIFS(MRP!$H$2:$H$245, MRP!$B$2:$B$245, $C119, MRP!$G$2:$G$245, G$1),
    SUMIFS(MRP!$I$2:$I$245, MRP!$B$2:$B$245, $C119, MRP!$G$2:$G$245, G$1),
    SUMIFS(MRP!$J$2:$J$245, MRP!$B$2:$B$245, $C119,  MRP!$G$2:$G$245, G$1),
    SUMIFS(MRP!$K$2:$K$245, MRP!$B$2:$B$245, $C119,  MRP!$G$2:$G$245, G$1),
    SUMIFS(MRP!$L$2:$L$245, MRP!$B$2:$B$245, $C119,  MRP!$G$2:$G$245, G$1)
)*F119</f>
        <v/>
      </c>
      <c r="H119" s="15">
        <f>SUM(
    SUMIFS(MRP!$H$2:$H$245, MRP!$B$2:$B$245, $C119, MRP!$G$2:$G$245, H$1),
    SUMIFS(MRP!$I$2:$I$245, MRP!$B$2:$B$245, $C119, MRP!$G$2:$G$245, H$1),
    SUMIFS(MRP!$J$2:$J$245, MRP!$B$2:$B$245, $C119,  MRP!$G$2:$G$245, H$1),
    SUMIFS(MRP!$K$2:$K$245, MRP!$B$2:$B$245, $C119,  MRP!$G$2:$G$245, H$1),
    SUMIFS(MRP!$L$2:$L$245, MRP!$B$2:$B$245, $C119,  MRP!$G$2:$G$245, H$1)
)*F119</f>
        <v/>
      </c>
      <c r="I119" s="15">
        <f>SUM(
    SUMIFS(MRP!$H$2:$H$245, MRP!$B$2:$B$245, $C119, MRP!$G$2:$G$245, I$1),
    SUMIFS(MRP!$I$2:$I$245, MRP!$B$2:$B$245, $C119, MRP!$G$2:$G$245, I$1),
    SUMIFS(MRP!$J$2:$J$245, MRP!$B$2:$B$245, $C119,  MRP!$G$2:$G$245, I$1),
    SUMIFS(MRP!$K$2:$K$245, MRP!$B$2:$B$245, $C119,  MRP!$G$2:$G$245, I$1),
    SUMIFS(MRP!$L$2:$L$245, MRP!$B$2:$B$245, $C119,  MRP!$G$2:$G$245, I$1)
)*F119</f>
        <v/>
      </c>
      <c r="J119" s="15">
        <f>SUM(
    SUMIFS(MRP!$H$2:$H$245, MRP!$B$2:$B$245, $C119, MRP!$G$2:$G$245, J$1),
    SUMIFS(MRP!$I$2:$I$245, MRP!$B$2:$B$245, $C119, MRP!$G$2:$G$245, J$1),
    SUMIFS(MRP!$J$2:$J$245, MRP!$B$2:$B$245, $C119,  MRP!$G$2:$G$245, J$1),
    SUMIFS(MRP!$K$2:$K$245, MRP!$B$2:$B$245, $C119,  MRP!$G$2:$G$245, J$1),
    SUMIFS(MRP!$L$2:$L$245, MRP!$B$2:$B$245, $C119,  MRP!$G$2:$G$245, J$1)
)*F119</f>
        <v/>
      </c>
      <c r="K119" s="15">
        <f>SUM(
    SUMIFS(MRP!$H$2:$H$245, MRP!$B$2:$B$245, $C119, MRP!$G$2:$G$245, K$1),
    SUMIFS(MRP!$I$2:$I$245, MRP!$B$2:$B$245, $C119, MRP!$G$2:$G$245, K$1),
    SUMIFS(MRP!$J$2:$J$245, MRP!$B$2:$B$245, $C119,  MRP!$G$2:$G$245, K$1),
    SUMIFS(MRP!$K$2:$K$245, MRP!$B$2:$B$245, $C119,  MRP!$G$2:$G$245, K$1),
    SUMIFS(MRP!$L$2:$L$245, MRP!$B$2:$B$245, $C119,  MRP!$G$2:$G$245, K$1)
)*F119</f>
        <v/>
      </c>
      <c r="L119" s="55">
        <f>TRIM(Tabla3[[#This Row],[CodInternoArti]])</f>
        <v/>
      </c>
    </row>
    <row r="120">
      <c r="A120" s="38">
        <f>IF(ISNUMBER(_xlfn.XMATCH(Tabla3[[#This Row],[CodInternoArti]],'Tabla Articulos'!B:B)),"OK","NO ESTA")</f>
        <v/>
      </c>
      <c r="B120" s="38">
        <f>IF(ISNUMBER(_xlfn.XMATCH('Calcular necesidad'!E:E,'Necesidad por familia'!A:A)),"OK","NO ESTA")</f>
        <v/>
      </c>
      <c r="C120" s="17" t="inlineStr">
        <is>
          <t>7790430132763</t>
        </is>
      </c>
      <c r="D120" s="1" t="inlineStr">
        <is>
          <t>GUANTES LATEX LARGE X100U</t>
        </is>
      </c>
      <c r="E120" s="1">
        <f>_xlfn.XLOOKUP(C120,'Tabla Articulos'!B:B,'Tabla Articulos'!D:D)</f>
        <v/>
      </c>
      <c r="F120" s="1" t="n">
        <v>100</v>
      </c>
      <c r="G120" s="15">
        <f>SUM(
    SUMIFS(MRP!$H$2:$H$245, MRP!$B$2:$B$245, $C120, MRP!$G$2:$G$245, G$1),
    SUMIFS(MRP!$I$2:$I$245, MRP!$B$2:$B$245, $C120, MRP!$G$2:$G$245, G$1),
    SUMIFS(MRP!$J$2:$J$245, MRP!$B$2:$B$245, $C120,  MRP!$G$2:$G$245, G$1),
    SUMIFS(MRP!$K$2:$K$245, MRP!$B$2:$B$245, $C120,  MRP!$G$2:$G$245, G$1),
    SUMIFS(MRP!$L$2:$L$245, MRP!$B$2:$B$245, $C120,  MRP!$G$2:$G$245, G$1)
)*F120</f>
        <v/>
      </c>
      <c r="H120" s="15">
        <f>SUM(
    SUMIFS(MRP!$H$2:$H$245, MRP!$B$2:$B$245, $C120, MRP!$G$2:$G$245, H$1),
    SUMIFS(MRP!$I$2:$I$245, MRP!$B$2:$B$245, $C120, MRP!$G$2:$G$245, H$1),
    SUMIFS(MRP!$J$2:$J$245, MRP!$B$2:$B$245, $C120,  MRP!$G$2:$G$245, H$1),
    SUMIFS(MRP!$K$2:$K$245, MRP!$B$2:$B$245, $C120,  MRP!$G$2:$G$245, H$1),
    SUMIFS(MRP!$L$2:$L$245, MRP!$B$2:$B$245, $C120,  MRP!$G$2:$G$245, H$1)
)*F120</f>
        <v/>
      </c>
      <c r="I120" s="15">
        <f>SUM(
    SUMIFS(MRP!$H$2:$H$245, MRP!$B$2:$B$245, $C120, MRP!$G$2:$G$245, I$1),
    SUMIFS(MRP!$I$2:$I$245, MRP!$B$2:$B$245, $C120, MRP!$G$2:$G$245, I$1),
    SUMIFS(MRP!$J$2:$J$245, MRP!$B$2:$B$245, $C120,  MRP!$G$2:$G$245, I$1),
    SUMIFS(MRP!$K$2:$K$245, MRP!$B$2:$B$245, $C120,  MRP!$G$2:$G$245, I$1),
    SUMIFS(MRP!$L$2:$L$245, MRP!$B$2:$B$245, $C120,  MRP!$G$2:$G$245, I$1)
)*F120</f>
        <v/>
      </c>
      <c r="J120" s="15">
        <f>SUM(
    SUMIFS(MRP!$H$2:$H$245, MRP!$B$2:$B$245, $C120, MRP!$G$2:$G$245, J$1),
    SUMIFS(MRP!$I$2:$I$245, MRP!$B$2:$B$245, $C120, MRP!$G$2:$G$245, J$1),
    SUMIFS(MRP!$J$2:$J$245, MRP!$B$2:$B$245, $C120,  MRP!$G$2:$G$245, J$1),
    SUMIFS(MRP!$K$2:$K$245, MRP!$B$2:$B$245, $C120,  MRP!$G$2:$G$245, J$1),
    SUMIFS(MRP!$L$2:$L$245, MRP!$B$2:$B$245, $C120,  MRP!$G$2:$G$245, J$1)
)*F120</f>
        <v/>
      </c>
      <c r="K120" s="15">
        <f>SUM(
    SUMIFS(MRP!$H$2:$H$245, MRP!$B$2:$B$245, $C120, MRP!$G$2:$G$245, K$1),
    SUMIFS(MRP!$I$2:$I$245, MRP!$B$2:$B$245, $C120, MRP!$G$2:$G$245, K$1),
    SUMIFS(MRP!$J$2:$J$245, MRP!$B$2:$B$245, $C120,  MRP!$G$2:$G$245, K$1),
    SUMIFS(MRP!$K$2:$K$245, MRP!$B$2:$B$245, $C120,  MRP!$G$2:$G$245, K$1),
    SUMIFS(MRP!$L$2:$L$245, MRP!$B$2:$B$245, $C120,  MRP!$G$2:$G$245, K$1)
)*F120</f>
        <v/>
      </c>
      <c r="L120" s="55">
        <f>TRIM(Tabla3[[#This Row],[CodInternoArti]])</f>
        <v/>
      </c>
    </row>
    <row r="121">
      <c r="A121" s="38">
        <f>IF(ISNUMBER(_xlfn.XMATCH(Tabla3[[#This Row],[CodInternoArti]],'Tabla Articulos'!B:B)),"OK","NO ESTA")</f>
        <v/>
      </c>
      <c r="B121" s="38">
        <f>IF(ISNUMBER(_xlfn.XMATCH('Calcular necesidad'!E:E,'Necesidad por familia'!A:A)),"OK","NO ESTA")</f>
        <v/>
      </c>
      <c r="C121" s="17" t="inlineStr">
        <is>
          <t>7790321020389</t>
        </is>
      </c>
      <c r="D121" s="1" t="inlineStr">
        <is>
          <t>TAPA DOMO CUCHARA X800U</t>
        </is>
      </c>
      <c r="E121" s="1">
        <f>_xlfn.XLOOKUP(C121,'Tabla Articulos'!B:B,'Tabla Articulos'!D:D)</f>
        <v/>
      </c>
      <c r="F121" s="1" t="n">
        <v>800</v>
      </c>
      <c r="G121" s="15">
        <f>SUM(
    SUMIFS(MRP!$H$2:$H$245, MRP!$B$2:$B$245, $C121, MRP!$G$2:$G$245, G$1),
    SUMIFS(MRP!$I$2:$I$245, MRP!$B$2:$B$245, $C121, MRP!$G$2:$G$245, G$1),
    SUMIFS(MRP!$J$2:$J$245, MRP!$B$2:$B$245, $C121,  MRP!$G$2:$G$245, G$1),
    SUMIFS(MRP!$K$2:$K$245, MRP!$B$2:$B$245, $C121,  MRP!$G$2:$G$245, G$1),
    SUMIFS(MRP!$L$2:$L$245, MRP!$B$2:$B$245, $C121,  MRP!$G$2:$G$245, G$1)
)*F121</f>
        <v/>
      </c>
      <c r="H121" s="15">
        <f>SUM(
    SUMIFS(MRP!$H$2:$H$245, MRP!$B$2:$B$245, $C121, MRP!$G$2:$G$245, H$1),
    SUMIFS(MRP!$I$2:$I$245, MRP!$B$2:$B$245, $C121, MRP!$G$2:$G$245, H$1),
    SUMIFS(MRP!$J$2:$J$245, MRP!$B$2:$B$245, $C121,  MRP!$G$2:$G$245, H$1),
    SUMIFS(MRP!$K$2:$K$245, MRP!$B$2:$B$245, $C121,  MRP!$G$2:$G$245, H$1),
    SUMIFS(MRP!$L$2:$L$245, MRP!$B$2:$B$245, $C121,  MRP!$G$2:$G$245, H$1)
)*F121</f>
        <v/>
      </c>
      <c r="I121" s="15">
        <f>SUM(
    SUMIFS(MRP!$H$2:$H$245, MRP!$B$2:$B$245, $C121, MRP!$G$2:$G$245, I$1),
    SUMIFS(MRP!$I$2:$I$245, MRP!$B$2:$B$245, $C121, MRP!$G$2:$G$245, I$1),
    SUMIFS(MRP!$J$2:$J$245, MRP!$B$2:$B$245, $C121,  MRP!$G$2:$G$245, I$1),
    SUMIFS(MRP!$K$2:$K$245, MRP!$B$2:$B$245, $C121,  MRP!$G$2:$G$245, I$1),
    SUMIFS(MRP!$L$2:$L$245, MRP!$B$2:$B$245, $C121,  MRP!$G$2:$G$245, I$1)
)*F121</f>
        <v/>
      </c>
      <c r="J121" s="15">
        <f>SUM(
    SUMIFS(MRP!$H$2:$H$245, MRP!$B$2:$B$245, $C121, MRP!$G$2:$G$245, J$1),
    SUMIFS(MRP!$I$2:$I$245, MRP!$B$2:$B$245, $C121, MRP!$G$2:$G$245, J$1),
    SUMIFS(MRP!$J$2:$J$245, MRP!$B$2:$B$245, $C121,  MRP!$G$2:$G$245, J$1),
    SUMIFS(MRP!$K$2:$K$245, MRP!$B$2:$B$245, $C121,  MRP!$G$2:$G$245, J$1),
    SUMIFS(MRP!$L$2:$L$245, MRP!$B$2:$B$245, $C121,  MRP!$G$2:$G$245, J$1)
)*F121</f>
        <v/>
      </c>
      <c r="K121" s="15">
        <f>SUM(
    SUMIFS(MRP!$H$2:$H$245, MRP!$B$2:$B$245, $C121, MRP!$G$2:$G$245, K$1),
    SUMIFS(MRP!$I$2:$I$245, MRP!$B$2:$B$245, $C121, MRP!$G$2:$G$245, K$1),
    SUMIFS(MRP!$J$2:$J$245, MRP!$B$2:$B$245, $C121,  MRP!$G$2:$G$245, K$1),
    SUMIFS(MRP!$K$2:$K$245, MRP!$B$2:$B$245, $C121,  MRP!$G$2:$G$245, K$1),
    SUMIFS(MRP!$L$2:$L$245, MRP!$B$2:$B$245, $C121,  MRP!$G$2:$G$245, K$1)
)*F121</f>
        <v/>
      </c>
      <c r="L121" s="55">
        <f>TRIM(Tabla3[[#This Row],[CodInternoArti]])</f>
        <v/>
      </c>
    </row>
    <row r="122">
      <c r="A122" s="38">
        <f>IF(ISNUMBER(_xlfn.XMATCH(Tabla3[[#This Row],[CodInternoArti]],'Tabla Articulos'!B:B)),"OK","NO ESTA")</f>
        <v/>
      </c>
      <c r="B122" s="38">
        <f>IF(ISNUMBER(_xlfn.XMATCH('Calcular necesidad'!E:E,'Necesidad por familia'!A:A)),"OK","NO ESTA")</f>
        <v/>
      </c>
      <c r="C122" s="17" t="inlineStr">
        <is>
          <t>7905512648244</t>
        </is>
      </c>
      <c r="D122" s="1" t="inlineStr">
        <is>
          <t>ROLLO BOLSA ARRANQUE 60X70 DISTRIBUCION</t>
        </is>
      </c>
      <c r="E122" s="1">
        <f>_xlfn.XLOOKUP(C122,'Tabla Articulos'!B:B,'Tabla Articulos'!D:D)</f>
        <v/>
      </c>
      <c r="F122" s="1" t="n">
        <v>1</v>
      </c>
      <c r="G122" s="15">
        <f>SUM(
    SUMIFS(MRP!$H$2:$H$245, MRP!$B$2:$B$245, $C122, MRP!$G$2:$G$245, G$1),
    SUMIFS(MRP!$I$2:$I$245, MRP!$B$2:$B$245, $C122, MRP!$G$2:$G$245, G$1),
    SUMIFS(MRP!$J$2:$J$245, MRP!$B$2:$B$245, $C122,  MRP!$G$2:$G$245, G$1),
    SUMIFS(MRP!$K$2:$K$245, MRP!$B$2:$B$245, $C122,  MRP!$G$2:$G$245, G$1),
    SUMIFS(MRP!$L$2:$L$245, MRP!$B$2:$B$245, $C122,  MRP!$G$2:$G$245, G$1)
)*F122</f>
        <v/>
      </c>
      <c r="H122" s="15">
        <f>SUM(
    SUMIFS(MRP!$H$2:$H$245, MRP!$B$2:$B$245, $C122, MRP!$G$2:$G$245, H$1),
    SUMIFS(MRP!$I$2:$I$245, MRP!$B$2:$B$245, $C122, MRP!$G$2:$G$245, H$1),
    SUMIFS(MRP!$J$2:$J$245, MRP!$B$2:$B$245, $C122,  MRP!$G$2:$G$245, H$1),
    SUMIFS(MRP!$K$2:$K$245, MRP!$B$2:$B$245, $C122,  MRP!$G$2:$G$245, H$1),
    SUMIFS(MRP!$L$2:$L$245, MRP!$B$2:$B$245, $C122,  MRP!$G$2:$G$245, H$1)
)*F122</f>
        <v/>
      </c>
      <c r="I122" s="15">
        <f>SUM(
    SUMIFS(MRP!$H$2:$H$245, MRP!$B$2:$B$245, $C122, MRP!$G$2:$G$245, I$1),
    SUMIFS(MRP!$I$2:$I$245, MRP!$B$2:$B$245, $C122, MRP!$G$2:$G$245, I$1),
    SUMIFS(MRP!$J$2:$J$245, MRP!$B$2:$B$245, $C122,  MRP!$G$2:$G$245, I$1),
    SUMIFS(MRP!$K$2:$K$245, MRP!$B$2:$B$245, $C122,  MRP!$G$2:$G$245, I$1),
    SUMIFS(MRP!$L$2:$L$245, MRP!$B$2:$B$245, $C122,  MRP!$G$2:$G$245, I$1)
)*F122</f>
        <v/>
      </c>
      <c r="J122" s="15">
        <f>SUM(
    SUMIFS(MRP!$H$2:$H$245, MRP!$B$2:$B$245, $C122, MRP!$G$2:$G$245, J$1),
    SUMIFS(MRP!$I$2:$I$245, MRP!$B$2:$B$245, $C122, MRP!$G$2:$G$245, J$1),
    SUMIFS(MRP!$J$2:$J$245, MRP!$B$2:$B$245, $C122,  MRP!$G$2:$G$245, J$1),
    SUMIFS(MRP!$K$2:$K$245, MRP!$B$2:$B$245, $C122,  MRP!$G$2:$G$245, J$1),
    SUMIFS(MRP!$L$2:$L$245, MRP!$B$2:$B$245, $C122,  MRP!$G$2:$G$245, J$1)
)*F122</f>
        <v/>
      </c>
      <c r="K122" s="15">
        <f>SUM(
    SUMIFS(MRP!$H$2:$H$245, MRP!$B$2:$B$245, $C122, MRP!$G$2:$G$245, K$1),
    SUMIFS(MRP!$I$2:$I$245, MRP!$B$2:$B$245, $C122, MRP!$G$2:$G$245, K$1),
    SUMIFS(MRP!$J$2:$J$245, MRP!$B$2:$B$245, $C122,  MRP!$G$2:$G$245, K$1),
    SUMIFS(MRP!$K$2:$K$245, MRP!$B$2:$B$245, $C122,  MRP!$G$2:$G$245, K$1),
    SUMIFS(MRP!$L$2:$L$245, MRP!$B$2:$B$245, $C122,  MRP!$G$2:$G$245, K$1)
)*F122</f>
        <v/>
      </c>
      <c r="L122" s="55">
        <f>TRIM(Tabla3[[#This Row],[CodInternoArti]])</f>
        <v/>
      </c>
    </row>
    <row r="123">
      <c r="A123" s="38">
        <f>IF(ISNUMBER(_xlfn.XMATCH(Tabla3[[#This Row],[CodInternoArti]],'Tabla Articulos'!B:B)),"OK","NO ESTA")</f>
        <v/>
      </c>
      <c r="B123" s="38">
        <f>IF(ISNUMBER(_xlfn.XMATCH('Calcular necesidad'!E:E,'Necesidad por familia'!A:A)),"OK","NO ESTA")</f>
        <v/>
      </c>
      <c r="C123" s="17" t="inlineStr">
        <is>
          <t>17790250912825</t>
        </is>
      </c>
      <c r="D123" s="1" t="inlineStr">
        <is>
          <t>SERVILLETA INTERCALADA X250U ELITE</t>
        </is>
      </c>
      <c r="E123" s="1">
        <f>_xlfn.XLOOKUP(C123,'Tabla Articulos'!B:B,'Tabla Articulos'!D:D)</f>
        <v/>
      </c>
      <c r="F123" s="1" t="n">
        <v>8400</v>
      </c>
      <c r="G123" s="15">
        <f>SUM(
    SUMIFS(MRP!$H$2:$H$245, MRP!$B$2:$B$245, $C123, MRP!$G$2:$G$245, G$1),
    SUMIFS(MRP!$I$2:$I$245, MRP!$B$2:$B$245, $C123, MRP!$G$2:$G$245, G$1),
    SUMIFS(MRP!$J$2:$J$245, MRP!$B$2:$B$245, $C123,  MRP!$G$2:$G$245, G$1),
    SUMIFS(MRP!$K$2:$K$245, MRP!$B$2:$B$245, $C123,  MRP!$G$2:$G$245, G$1),
    SUMIFS(MRP!$L$2:$L$245, MRP!$B$2:$B$245, $C123,  MRP!$G$2:$G$245, G$1)
)*F123</f>
        <v/>
      </c>
      <c r="H123" s="15">
        <f>SUM(
    SUMIFS(MRP!$H$2:$H$245, MRP!$B$2:$B$245, $C123, MRP!$G$2:$G$245, H$1),
    SUMIFS(MRP!$I$2:$I$245, MRP!$B$2:$B$245, $C123, MRP!$G$2:$G$245, H$1),
    SUMIFS(MRP!$J$2:$J$245, MRP!$B$2:$B$245, $C123,  MRP!$G$2:$G$245, H$1),
    SUMIFS(MRP!$K$2:$K$245, MRP!$B$2:$B$245, $C123,  MRP!$G$2:$G$245, H$1),
    SUMIFS(MRP!$L$2:$L$245, MRP!$B$2:$B$245, $C123,  MRP!$G$2:$G$245, H$1)
)*F123</f>
        <v/>
      </c>
      <c r="I123" s="15">
        <f>SUM(
    SUMIFS(MRP!$H$2:$H$245, MRP!$B$2:$B$245, $C123, MRP!$G$2:$G$245, I$1),
    SUMIFS(MRP!$I$2:$I$245, MRP!$B$2:$B$245, $C123, MRP!$G$2:$G$245, I$1),
    SUMIFS(MRP!$J$2:$J$245, MRP!$B$2:$B$245, $C123,  MRP!$G$2:$G$245, I$1),
    SUMIFS(MRP!$K$2:$K$245, MRP!$B$2:$B$245, $C123,  MRP!$G$2:$G$245, I$1),
    SUMIFS(MRP!$L$2:$L$245, MRP!$B$2:$B$245, $C123,  MRP!$G$2:$G$245, I$1)
)*F123</f>
        <v/>
      </c>
      <c r="J123" s="15">
        <f>SUM(
    SUMIFS(MRP!$H$2:$H$245, MRP!$B$2:$B$245, $C123, MRP!$G$2:$G$245, J$1),
    SUMIFS(MRP!$I$2:$I$245, MRP!$B$2:$B$245, $C123, MRP!$G$2:$G$245, J$1),
    SUMIFS(MRP!$J$2:$J$245, MRP!$B$2:$B$245, $C123,  MRP!$G$2:$G$245, J$1),
    SUMIFS(MRP!$K$2:$K$245, MRP!$B$2:$B$245, $C123,  MRP!$G$2:$G$245, J$1),
    SUMIFS(MRP!$L$2:$L$245, MRP!$B$2:$B$245, $C123,  MRP!$G$2:$G$245, J$1)
)*F123</f>
        <v/>
      </c>
      <c r="K123" s="15">
        <f>SUM(
    SUMIFS(MRP!$H$2:$H$245, MRP!$B$2:$B$245, $C123, MRP!$G$2:$G$245, K$1),
    SUMIFS(MRP!$I$2:$I$245, MRP!$B$2:$B$245, $C123, MRP!$G$2:$G$245, K$1),
    SUMIFS(MRP!$J$2:$J$245, MRP!$B$2:$B$245, $C123,  MRP!$G$2:$G$245, K$1),
    SUMIFS(MRP!$K$2:$K$245, MRP!$B$2:$B$245, $C123,  MRP!$G$2:$G$245, K$1),
    SUMIFS(MRP!$L$2:$L$245, MRP!$B$2:$B$245, $C123,  MRP!$G$2:$G$245, K$1)
)*F123</f>
        <v/>
      </c>
      <c r="L123" s="55">
        <f>TRIM(Tabla3[[#This Row],[CodInternoArti]])</f>
        <v/>
      </c>
    </row>
    <row r="124">
      <c r="A124" s="38">
        <f>IF(ISNUMBER(_xlfn.XMATCH(Tabla3[[#This Row],[CodInternoArti]],'Tabla Articulos'!B:B)),"OK","NO ESTA")</f>
        <v/>
      </c>
      <c r="B124" s="38">
        <f>IF(ISNUMBER(_xlfn.XMATCH('Calcular necesidad'!E:E,'Necesidad por familia'!A:A)),"OK","NO ESTA")</f>
        <v/>
      </c>
      <c r="C124" s="17" t="inlineStr">
        <is>
          <t>7790430132764</t>
        </is>
      </c>
      <c r="D124" s="1" t="inlineStr">
        <is>
          <t>GUANTES LATEX MEDIUM X100U</t>
        </is>
      </c>
      <c r="E124" s="1">
        <f>_xlfn.XLOOKUP(C124,'Tabla Articulos'!B:B,'Tabla Articulos'!D:D)</f>
        <v/>
      </c>
      <c r="F124" s="1" t="n">
        <v>100</v>
      </c>
      <c r="G124" s="15">
        <f>SUM(
    SUMIFS(MRP!$H$2:$H$245, MRP!$B$2:$B$245, $C124, MRP!$G$2:$G$245, G$1),
    SUMIFS(MRP!$I$2:$I$245, MRP!$B$2:$B$245, $C124, MRP!$G$2:$G$245, G$1),
    SUMIFS(MRP!$J$2:$J$245, MRP!$B$2:$B$245, $C124,  MRP!$G$2:$G$245, G$1),
    SUMIFS(MRP!$K$2:$K$245, MRP!$B$2:$B$245, $C124,  MRP!$G$2:$G$245, G$1),
    SUMIFS(MRP!$L$2:$L$245, MRP!$B$2:$B$245, $C124,  MRP!$G$2:$G$245, G$1)
)*F124</f>
        <v/>
      </c>
      <c r="H124" s="15">
        <f>SUM(
    SUMIFS(MRP!$H$2:$H$245, MRP!$B$2:$B$245, $C124, MRP!$G$2:$G$245, H$1),
    SUMIFS(MRP!$I$2:$I$245, MRP!$B$2:$B$245, $C124, MRP!$G$2:$G$245, H$1),
    SUMIFS(MRP!$J$2:$J$245, MRP!$B$2:$B$245, $C124,  MRP!$G$2:$G$245, H$1),
    SUMIFS(MRP!$K$2:$K$245, MRP!$B$2:$B$245, $C124,  MRP!$G$2:$G$245, H$1),
    SUMIFS(MRP!$L$2:$L$245, MRP!$B$2:$B$245, $C124,  MRP!$G$2:$G$245, H$1)
)*F124</f>
        <v/>
      </c>
      <c r="I124" s="15">
        <f>SUM(
    SUMIFS(MRP!$H$2:$H$245, MRP!$B$2:$B$245, $C124, MRP!$G$2:$G$245, I$1),
    SUMIFS(MRP!$I$2:$I$245, MRP!$B$2:$B$245, $C124, MRP!$G$2:$G$245, I$1),
    SUMIFS(MRP!$J$2:$J$245, MRP!$B$2:$B$245, $C124,  MRP!$G$2:$G$245, I$1),
    SUMIFS(MRP!$K$2:$K$245, MRP!$B$2:$B$245, $C124,  MRP!$G$2:$G$245, I$1),
    SUMIFS(MRP!$L$2:$L$245, MRP!$B$2:$B$245, $C124,  MRP!$G$2:$G$245, I$1)
)*F124</f>
        <v/>
      </c>
      <c r="J124" s="15">
        <f>SUM(
    SUMIFS(MRP!$H$2:$H$245, MRP!$B$2:$B$245, $C124, MRP!$G$2:$G$245, J$1),
    SUMIFS(MRP!$I$2:$I$245, MRP!$B$2:$B$245, $C124, MRP!$G$2:$G$245, J$1),
    SUMIFS(MRP!$J$2:$J$245, MRP!$B$2:$B$245, $C124,  MRP!$G$2:$G$245, J$1),
    SUMIFS(MRP!$K$2:$K$245, MRP!$B$2:$B$245, $C124,  MRP!$G$2:$G$245, J$1),
    SUMIFS(MRP!$L$2:$L$245, MRP!$B$2:$B$245, $C124,  MRP!$G$2:$G$245, J$1)
)*F124</f>
        <v/>
      </c>
      <c r="K124" s="15">
        <f>SUM(
    SUMIFS(MRP!$H$2:$H$245, MRP!$B$2:$B$245, $C124, MRP!$G$2:$G$245, K$1),
    SUMIFS(MRP!$I$2:$I$245, MRP!$B$2:$B$245, $C124, MRP!$G$2:$G$245, K$1),
    SUMIFS(MRP!$J$2:$J$245, MRP!$B$2:$B$245, $C124,  MRP!$G$2:$G$245, K$1),
    SUMIFS(MRP!$K$2:$K$245, MRP!$B$2:$B$245, $C124,  MRP!$G$2:$G$245, K$1),
    SUMIFS(MRP!$L$2:$L$245, MRP!$B$2:$B$245, $C124,  MRP!$G$2:$G$245, K$1)
)*F124</f>
        <v/>
      </c>
      <c r="L124" s="55">
        <f>TRIM(Tabla3[[#This Row],[CodInternoArti]])</f>
        <v/>
      </c>
    </row>
    <row r="125">
      <c r="A125" s="38">
        <f>IF(ISNUMBER(_xlfn.XMATCH(Tabla3[[#This Row],[CodInternoArti]],'Tabla Articulos'!B:B)),"OK","NO ESTA")</f>
        <v/>
      </c>
      <c r="B125" s="38">
        <f>IF(ISNUMBER(_xlfn.XMATCH('Calcular necesidad'!E:E,'Necesidad por familia'!A:A)),"OK","NO ESTA")</f>
        <v/>
      </c>
      <c r="C125" s="17" t="inlineStr">
        <is>
          <t>7790000000519</t>
        </is>
      </c>
      <c r="D125" s="1" t="inlineStr">
        <is>
          <t>GL AGITAD MADE ECO 15CM X500 BIOPAC</t>
        </is>
      </c>
      <c r="E125" s="1">
        <f>_xlfn.XLOOKUP(C125,'Tabla Articulos'!B:B,'Tabla Articulos'!D:D)</f>
        <v/>
      </c>
      <c r="F125" s="1" t="n">
        <v>500</v>
      </c>
      <c r="G125" s="15">
        <f>SUM(
    SUMIFS(MRP!$H$2:$H$245, MRP!$B$2:$B$245, $C125, MRP!$G$2:$G$245, G$1),
    SUMIFS(MRP!$I$2:$I$245, MRP!$B$2:$B$245, $C125, MRP!$G$2:$G$245, G$1),
    SUMIFS(MRP!$J$2:$J$245, MRP!$B$2:$B$245, $C125,  MRP!$G$2:$G$245, G$1),
    SUMIFS(MRP!$K$2:$K$245, MRP!$B$2:$B$245, $C125,  MRP!$G$2:$G$245, G$1),
    SUMIFS(MRP!$L$2:$L$245, MRP!$B$2:$B$245, $C125,  MRP!$G$2:$G$245, G$1)
)*F125</f>
        <v/>
      </c>
      <c r="H125" s="15">
        <f>SUM(
    SUMIFS(MRP!$H$2:$H$245, MRP!$B$2:$B$245, $C125, MRP!$G$2:$G$245, H$1),
    SUMIFS(MRP!$I$2:$I$245, MRP!$B$2:$B$245, $C125, MRP!$G$2:$G$245, H$1),
    SUMIFS(MRP!$J$2:$J$245, MRP!$B$2:$B$245, $C125,  MRP!$G$2:$G$245, H$1),
    SUMIFS(MRP!$K$2:$K$245, MRP!$B$2:$B$245, $C125,  MRP!$G$2:$G$245, H$1),
    SUMIFS(MRP!$L$2:$L$245, MRP!$B$2:$B$245, $C125,  MRP!$G$2:$G$245, H$1)
)*F125</f>
        <v/>
      </c>
      <c r="I125" s="15">
        <f>SUM(
    SUMIFS(MRP!$H$2:$H$245, MRP!$B$2:$B$245, $C125, MRP!$G$2:$G$245, I$1),
    SUMIFS(MRP!$I$2:$I$245, MRP!$B$2:$B$245, $C125, MRP!$G$2:$G$245, I$1),
    SUMIFS(MRP!$J$2:$J$245, MRP!$B$2:$B$245, $C125,  MRP!$G$2:$G$245, I$1),
    SUMIFS(MRP!$K$2:$K$245, MRP!$B$2:$B$245, $C125,  MRP!$G$2:$G$245, I$1),
    SUMIFS(MRP!$L$2:$L$245, MRP!$B$2:$B$245, $C125,  MRP!$G$2:$G$245, I$1)
)*F125</f>
        <v/>
      </c>
      <c r="J125" s="15">
        <f>SUM(
    SUMIFS(MRP!$H$2:$H$245, MRP!$B$2:$B$245, $C125, MRP!$G$2:$G$245, J$1),
    SUMIFS(MRP!$I$2:$I$245, MRP!$B$2:$B$245, $C125, MRP!$G$2:$G$245, J$1),
    SUMIFS(MRP!$J$2:$J$245, MRP!$B$2:$B$245, $C125,  MRP!$G$2:$G$245, J$1),
    SUMIFS(MRP!$K$2:$K$245, MRP!$B$2:$B$245, $C125,  MRP!$G$2:$G$245, J$1),
    SUMIFS(MRP!$L$2:$L$245, MRP!$B$2:$B$245, $C125,  MRP!$G$2:$G$245, J$1)
)*F125</f>
        <v/>
      </c>
      <c r="K125" s="15">
        <f>SUM(
    SUMIFS(MRP!$H$2:$H$245, MRP!$B$2:$B$245, $C125, MRP!$G$2:$G$245, K$1),
    SUMIFS(MRP!$I$2:$I$245, MRP!$B$2:$B$245, $C125, MRP!$G$2:$G$245, K$1),
    SUMIFS(MRP!$J$2:$J$245, MRP!$B$2:$B$245, $C125,  MRP!$G$2:$G$245, K$1),
    SUMIFS(MRP!$K$2:$K$245, MRP!$B$2:$B$245, $C125,  MRP!$G$2:$G$245, K$1),
    SUMIFS(MRP!$L$2:$L$245, MRP!$B$2:$B$245, $C125,  MRP!$G$2:$G$245, K$1)
)*F125</f>
        <v/>
      </c>
      <c r="L125" s="55">
        <f>TRIM(Tabla3[[#This Row],[CodInternoArti]])</f>
        <v/>
      </c>
    </row>
    <row r="126">
      <c r="A126" s="38">
        <f>IF(ISNUMBER(_xlfn.XMATCH(Tabla3[[#This Row],[CodInternoArti]],'Tabla Articulos'!B:B)),"OK","NO ESTA")</f>
        <v/>
      </c>
      <c r="B126" s="38">
        <f>IF(ISNUMBER(_xlfn.XMATCH('Calcular necesidad'!E:E,'Necesidad por familia'!A:A)),"OK","NO ESTA")</f>
        <v/>
      </c>
      <c r="C126" s="17" t="inlineStr">
        <is>
          <t>7790000002198</t>
        </is>
      </c>
      <c r="D126" s="1" t="inlineStr">
        <is>
          <t>GL BOLSA CAMISETA 40X50 X60U</t>
        </is>
      </c>
      <c r="E126" s="1">
        <f>_xlfn.XLOOKUP(C126,'Tabla Articulos'!B:B,'Tabla Articulos'!D:D)</f>
        <v/>
      </c>
      <c r="F126" s="1" t="n">
        <v>60</v>
      </c>
      <c r="G126" s="15">
        <f>SUM(
    SUMIFS(MRP!$H$2:$H$245, MRP!$B$2:$B$245, $C126, MRP!$G$2:$G$245, G$1),
    SUMIFS(MRP!$I$2:$I$245, MRP!$B$2:$B$245, $C126, MRP!$G$2:$G$245, G$1),
    SUMIFS(MRP!$J$2:$J$245, MRP!$B$2:$B$245, $C126,  MRP!$G$2:$G$245, G$1),
    SUMIFS(MRP!$K$2:$K$245, MRP!$B$2:$B$245, $C126,  MRP!$G$2:$G$245, G$1),
    SUMIFS(MRP!$L$2:$L$245, MRP!$B$2:$B$245, $C126,  MRP!$G$2:$G$245, G$1)
)*F126</f>
        <v/>
      </c>
      <c r="H126" s="15">
        <f>SUM(
    SUMIFS(MRP!$H$2:$H$245, MRP!$B$2:$B$245, $C126, MRP!$G$2:$G$245, H$1),
    SUMIFS(MRP!$I$2:$I$245, MRP!$B$2:$B$245, $C126, MRP!$G$2:$G$245, H$1),
    SUMIFS(MRP!$J$2:$J$245, MRP!$B$2:$B$245, $C126,  MRP!$G$2:$G$245, H$1),
    SUMIFS(MRP!$K$2:$K$245, MRP!$B$2:$B$245, $C126,  MRP!$G$2:$G$245, H$1),
    SUMIFS(MRP!$L$2:$L$245, MRP!$B$2:$B$245, $C126,  MRP!$G$2:$G$245, H$1)
)*F126</f>
        <v/>
      </c>
      <c r="I126" s="15">
        <f>SUM(
    SUMIFS(MRP!$H$2:$H$245, MRP!$B$2:$B$245, $C126, MRP!$G$2:$G$245, I$1),
    SUMIFS(MRP!$I$2:$I$245, MRP!$B$2:$B$245, $C126, MRP!$G$2:$G$245, I$1),
    SUMIFS(MRP!$J$2:$J$245, MRP!$B$2:$B$245, $C126,  MRP!$G$2:$G$245, I$1),
    SUMIFS(MRP!$K$2:$K$245, MRP!$B$2:$B$245, $C126,  MRP!$G$2:$G$245, I$1),
    SUMIFS(MRP!$L$2:$L$245, MRP!$B$2:$B$245, $C126,  MRP!$G$2:$G$245, I$1)
)*F126</f>
        <v/>
      </c>
      <c r="J126" s="15">
        <f>SUM(
    SUMIFS(MRP!$H$2:$H$245, MRP!$B$2:$B$245, $C126, MRP!$G$2:$G$245, J$1),
    SUMIFS(MRP!$I$2:$I$245, MRP!$B$2:$B$245, $C126, MRP!$G$2:$G$245, J$1),
    SUMIFS(MRP!$J$2:$J$245, MRP!$B$2:$B$245, $C126,  MRP!$G$2:$G$245, J$1),
    SUMIFS(MRP!$K$2:$K$245, MRP!$B$2:$B$245, $C126,  MRP!$G$2:$G$245, J$1),
    SUMIFS(MRP!$L$2:$L$245, MRP!$B$2:$B$245, $C126,  MRP!$G$2:$G$245, J$1)
)*F126</f>
        <v/>
      </c>
      <c r="K126" s="15">
        <f>SUM(
    SUMIFS(MRP!$H$2:$H$245, MRP!$B$2:$B$245, $C126, MRP!$G$2:$G$245, K$1),
    SUMIFS(MRP!$I$2:$I$245, MRP!$B$2:$B$245, $C126, MRP!$G$2:$G$245, K$1),
    SUMIFS(MRP!$J$2:$J$245, MRP!$B$2:$B$245, $C126,  MRP!$G$2:$G$245, K$1),
    SUMIFS(MRP!$K$2:$K$245, MRP!$B$2:$B$245, $C126,  MRP!$G$2:$G$245, K$1),
    SUMIFS(MRP!$L$2:$L$245, MRP!$B$2:$B$245, $C126,  MRP!$G$2:$G$245, K$1)
)*F126</f>
        <v/>
      </c>
      <c r="L126" s="55">
        <f>TRIM(Tabla3[[#This Row],[CodInternoArti]])</f>
        <v/>
      </c>
    </row>
    <row r="127">
      <c r="A127" s="38">
        <f>IF(ISNUMBER(_xlfn.XMATCH(Tabla3[[#This Row],[CodInternoArti]],'Tabla Articulos'!B:B)),"OK","NO ESTA")</f>
        <v/>
      </c>
      <c r="B127" s="38">
        <f>IF(ISNUMBER(_xlfn.XMATCH('Calcular necesidad'!E:E,'Necesidad por familia'!A:A)),"OK","NO ESTA")</f>
        <v/>
      </c>
      <c r="C127" s="17" t="inlineStr">
        <is>
          <t>4968420508543</t>
        </is>
      </c>
      <c r="D127" s="1" t="inlineStr">
        <is>
          <t>GUANTE NITRILO TM X100U NIPRO</t>
        </is>
      </c>
      <c r="E127" s="1">
        <f>_xlfn.XLOOKUP(C127,'Tabla Articulos'!B:B,'Tabla Articulos'!D:D)</f>
        <v/>
      </c>
      <c r="F127" s="1" t="n">
        <v>100</v>
      </c>
      <c r="G127" s="15">
        <f>SUM(
    SUMIFS(MRP!$H$2:$H$245, MRP!$B$2:$B$245, $C127, MRP!$G$2:$G$245, G$1),
    SUMIFS(MRP!$I$2:$I$245, MRP!$B$2:$B$245, $C127, MRP!$G$2:$G$245, G$1),
    SUMIFS(MRP!$J$2:$J$245, MRP!$B$2:$B$245, $C127,  MRP!$G$2:$G$245, G$1),
    SUMIFS(MRP!$K$2:$K$245, MRP!$B$2:$B$245, $C127,  MRP!$G$2:$G$245, G$1),
    SUMIFS(MRP!$L$2:$L$245, MRP!$B$2:$B$245, $C127,  MRP!$G$2:$G$245, G$1)
)*F127</f>
        <v/>
      </c>
      <c r="H127" s="15">
        <f>SUM(
    SUMIFS(MRP!$H$2:$H$245, MRP!$B$2:$B$245, $C127, MRP!$G$2:$G$245, H$1),
    SUMIFS(MRP!$I$2:$I$245, MRP!$B$2:$B$245, $C127, MRP!$G$2:$G$245, H$1),
    SUMIFS(MRP!$J$2:$J$245, MRP!$B$2:$B$245, $C127,  MRP!$G$2:$G$245, H$1),
    SUMIFS(MRP!$K$2:$K$245, MRP!$B$2:$B$245, $C127,  MRP!$G$2:$G$245, H$1),
    SUMIFS(MRP!$L$2:$L$245, MRP!$B$2:$B$245, $C127,  MRP!$G$2:$G$245, H$1)
)*F127</f>
        <v/>
      </c>
      <c r="I127" s="15">
        <f>SUM(
    SUMIFS(MRP!$H$2:$H$245, MRP!$B$2:$B$245, $C127, MRP!$G$2:$G$245, I$1),
    SUMIFS(MRP!$I$2:$I$245, MRP!$B$2:$B$245, $C127, MRP!$G$2:$G$245, I$1),
    SUMIFS(MRP!$J$2:$J$245, MRP!$B$2:$B$245, $C127,  MRP!$G$2:$G$245, I$1),
    SUMIFS(MRP!$K$2:$K$245, MRP!$B$2:$B$245, $C127,  MRP!$G$2:$G$245, I$1),
    SUMIFS(MRP!$L$2:$L$245, MRP!$B$2:$B$245, $C127,  MRP!$G$2:$G$245, I$1)
)*F127</f>
        <v/>
      </c>
      <c r="J127" s="15">
        <f>SUM(
    SUMIFS(MRP!$H$2:$H$245, MRP!$B$2:$B$245, $C127, MRP!$G$2:$G$245, J$1),
    SUMIFS(MRP!$I$2:$I$245, MRP!$B$2:$B$245, $C127, MRP!$G$2:$G$245, J$1),
    SUMIFS(MRP!$J$2:$J$245, MRP!$B$2:$B$245, $C127,  MRP!$G$2:$G$245, J$1),
    SUMIFS(MRP!$K$2:$K$245, MRP!$B$2:$B$245, $C127,  MRP!$G$2:$G$245, J$1),
    SUMIFS(MRP!$L$2:$L$245, MRP!$B$2:$B$245, $C127,  MRP!$G$2:$G$245, J$1)
)*F127</f>
        <v/>
      </c>
      <c r="K127" s="15">
        <f>SUM(
    SUMIFS(MRP!$H$2:$H$245, MRP!$B$2:$B$245, $C127, MRP!$G$2:$G$245, K$1),
    SUMIFS(MRP!$I$2:$I$245, MRP!$B$2:$B$245, $C127, MRP!$G$2:$G$245, K$1),
    SUMIFS(MRP!$J$2:$J$245, MRP!$B$2:$B$245, $C127,  MRP!$G$2:$G$245, K$1),
    SUMIFS(MRP!$K$2:$K$245, MRP!$B$2:$B$245, $C127,  MRP!$G$2:$G$245, K$1),
    SUMIFS(MRP!$L$2:$L$245, MRP!$B$2:$B$245, $C127,  MRP!$G$2:$G$245, K$1)
)*F127</f>
        <v/>
      </c>
      <c r="L127" s="55">
        <f>TRIM(Tabla3[[#This Row],[CodInternoArti]])</f>
        <v/>
      </c>
    </row>
    <row r="128">
      <c r="A128" s="38">
        <f>IF(ISNUMBER(_xlfn.XMATCH(Tabla3[[#This Row],[CodInternoArti]],'Tabla Articulos'!B:B)),"OK","NO ESTA")</f>
        <v/>
      </c>
      <c r="B128" s="38">
        <f>IF(ISNUMBER(_xlfn.XMATCH('Calcular necesidad'!E:E,'Necesidad por familia'!A:A)),"OK","NO ESTA")</f>
        <v/>
      </c>
      <c r="C128" s="17" t="inlineStr">
        <is>
          <t>PS0241</t>
        </is>
      </c>
      <c r="D128" s="1" t="inlineStr">
        <is>
          <t>SERVILLETA BAR X 10000U BARMAN</t>
        </is>
      </c>
      <c r="E128" s="1">
        <f>_xlfn.XLOOKUP(C128,'Tabla Articulos'!B:B,'Tabla Articulos'!D:D)</f>
        <v/>
      </c>
      <c r="F128" s="1" t="n">
        <v>10000</v>
      </c>
      <c r="G128" s="15">
        <f>SUM(
    SUMIFS(MRP!$H$2:$H$245, MRP!$B$2:$B$245, $C128, MRP!$G$2:$G$245, G$1),
    SUMIFS(MRP!$I$2:$I$245, MRP!$B$2:$B$245, $C128, MRP!$G$2:$G$245, G$1),
    SUMIFS(MRP!$J$2:$J$245, MRP!$B$2:$B$245, $C128,  MRP!$G$2:$G$245, G$1),
    SUMIFS(MRP!$K$2:$K$245, MRP!$B$2:$B$245, $C128,  MRP!$G$2:$G$245, G$1),
    SUMIFS(MRP!$L$2:$L$245, MRP!$B$2:$B$245, $C128,  MRP!$G$2:$G$245, G$1)
)*F128</f>
        <v/>
      </c>
      <c r="H128" s="15">
        <f>SUM(
    SUMIFS(MRP!$H$2:$H$245, MRP!$B$2:$B$245, $C128, MRP!$G$2:$G$245, H$1),
    SUMIFS(MRP!$I$2:$I$245, MRP!$B$2:$B$245, $C128, MRP!$G$2:$G$245, H$1),
    SUMIFS(MRP!$J$2:$J$245, MRP!$B$2:$B$245, $C128,  MRP!$G$2:$G$245, H$1),
    SUMIFS(MRP!$K$2:$K$245, MRP!$B$2:$B$245, $C128,  MRP!$G$2:$G$245, H$1),
    SUMIFS(MRP!$L$2:$L$245, MRP!$B$2:$B$245, $C128,  MRP!$G$2:$G$245, H$1)
)*F128</f>
        <v/>
      </c>
      <c r="I128" s="15">
        <f>SUM(
    SUMIFS(MRP!$H$2:$H$245, MRP!$B$2:$B$245, $C128, MRP!$G$2:$G$245, I$1),
    SUMIFS(MRP!$I$2:$I$245, MRP!$B$2:$B$245, $C128, MRP!$G$2:$G$245, I$1),
    SUMIFS(MRP!$J$2:$J$245, MRP!$B$2:$B$245, $C128,  MRP!$G$2:$G$245, I$1),
    SUMIFS(MRP!$K$2:$K$245, MRP!$B$2:$B$245, $C128,  MRP!$G$2:$G$245, I$1),
    SUMIFS(MRP!$L$2:$L$245, MRP!$B$2:$B$245, $C128,  MRP!$G$2:$G$245, I$1)
)*F128</f>
        <v/>
      </c>
      <c r="J128" s="15">
        <f>SUM(
    SUMIFS(MRP!$H$2:$H$245, MRP!$B$2:$B$245, $C128, MRP!$G$2:$G$245, J$1),
    SUMIFS(MRP!$I$2:$I$245, MRP!$B$2:$B$245, $C128, MRP!$G$2:$G$245, J$1),
    SUMIFS(MRP!$J$2:$J$245, MRP!$B$2:$B$245, $C128,  MRP!$G$2:$G$245, J$1),
    SUMIFS(MRP!$K$2:$K$245, MRP!$B$2:$B$245, $C128,  MRP!$G$2:$G$245, J$1),
    SUMIFS(MRP!$L$2:$L$245, MRP!$B$2:$B$245, $C128,  MRP!$G$2:$G$245, J$1)
)*F128</f>
        <v/>
      </c>
      <c r="K128" s="15">
        <f>SUM(
    SUMIFS(MRP!$H$2:$H$245, MRP!$B$2:$B$245, $C128, MRP!$G$2:$G$245, K$1),
    SUMIFS(MRP!$I$2:$I$245, MRP!$B$2:$B$245, $C128, MRP!$G$2:$G$245, K$1),
    SUMIFS(MRP!$J$2:$J$245, MRP!$B$2:$B$245, $C128,  MRP!$G$2:$G$245, K$1),
    SUMIFS(MRP!$K$2:$K$245, MRP!$B$2:$B$245, $C128,  MRP!$G$2:$G$245, K$1),
    SUMIFS(MRP!$L$2:$L$245, MRP!$B$2:$B$245, $C128,  MRP!$G$2:$G$245, K$1)
)*F128</f>
        <v/>
      </c>
      <c r="L128" s="55">
        <f>TRIM(Tabla3[[#This Row],[CodInternoArti]])</f>
        <v/>
      </c>
    </row>
    <row r="129">
      <c r="A129" s="38">
        <f>IF(ISNUMBER(_xlfn.XMATCH(Tabla3[[#This Row],[CodInternoArti]],'Tabla Articulos'!B:B)),"OK","NO ESTA")</f>
        <v/>
      </c>
      <c r="B129" s="38">
        <f>IF(ISNUMBER(_xlfn.XMATCH('Calcular necesidad'!E:E,'Necesidad por familia'!A:A)),"OK","NO ESTA")</f>
        <v/>
      </c>
      <c r="C129" s="17" t="inlineStr">
        <is>
          <t>7798161675702</t>
        </is>
      </c>
      <c r="D129" s="1" t="inlineStr">
        <is>
          <t>GL_GUANTE LATEX L X100UN EUROMIX</t>
        </is>
      </c>
      <c r="E129" s="1">
        <f>_xlfn.XLOOKUP(C129,'Tabla Articulos'!B:B,'Tabla Articulos'!D:D)</f>
        <v/>
      </c>
      <c r="F129" s="1" t="n">
        <v>100</v>
      </c>
      <c r="G129" s="15">
        <f>SUM(
    SUMIFS(MRP!$H$2:$H$245, MRP!$B$2:$B$245, $C129, MRP!$G$2:$G$245, G$1),
    SUMIFS(MRP!$I$2:$I$245, MRP!$B$2:$B$245, $C129, MRP!$G$2:$G$245, G$1),
    SUMIFS(MRP!$J$2:$J$245, MRP!$B$2:$B$245, $C129,  MRP!$G$2:$G$245, G$1),
    SUMIFS(MRP!$K$2:$K$245, MRP!$B$2:$B$245, $C129,  MRP!$G$2:$G$245, G$1),
    SUMIFS(MRP!$L$2:$L$245, MRP!$B$2:$B$245, $C129,  MRP!$G$2:$G$245, G$1)
)*F129</f>
        <v/>
      </c>
      <c r="H129" s="15">
        <f>SUM(
    SUMIFS(MRP!$H$2:$H$245, MRP!$B$2:$B$245, $C129, MRP!$G$2:$G$245, H$1),
    SUMIFS(MRP!$I$2:$I$245, MRP!$B$2:$B$245, $C129, MRP!$G$2:$G$245, H$1),
    SUMIFS(MRP!$J$2:$J$245, MRP!$B$2:$B$245, $C129,  MRP!$G$2:$G$245, H$1),
    SUMIFS(MRP!$K$2:$K$245, MRP!$B$2:$B$245, $C129,  MRP!$G$2:$G$245, H$1),
    SUMIFS(MRP!$L$2:$L$245, MRP!$B$2:$B$245, $C129,  MRP!$G$2:$G$245, H$1)
)*F129</f>
        <v/>
      </c>
      <c r="I129" s="15">
        <f>SUM(
    SUMIFS(MRP!$H$2:$H$245, MRP!$B$2:$B$245, $C129, MRP!$G$2:$G$245, I$1),
    SUMIFS(MRP!$I$2:$I$245, MRP!$B$2:$B$245, $C129, MRP!$G$2:$G$245, I$1),
    SUMIFS(MRP!$J$2:$J$245, MRP!$B$2:$B$245, $C129,  MRP!$G$2:$G$245, I$1),
    SUMIFS(MRP!$K$2:$K$245, MRP!$B$2:$B$245, $C129,  MRP!$G$2:$G$245, I$1),
    SUMIFS(MRP!$L$2:$L$245, MRP!$B$2:$B$245, $C129,  MRP!$G$2:$G$245, I$1)
)*F129</f>
        <v/>
      </c>
      <c r="J129" s="15">
        <f>SUM(
    SUMIFS(MRP!$H$2:$H$245, MRP!$B$2:$B$245, $C129, MRP!$G$2:$G$245, J$1),
    SUMIFS(MRP!$I$2:$I$245, MRP!$B$2:$B$245, $C129, MRP!$G$2:$G$245, J$1),
    SUMIFS(MRP!$J$2:$J$245, MRP!$B$2:$B$245, $C129,  MRP!$G$2:$G$245, J$1),
    SUMIFS(MRP!$K$2:$K$245, MRP!$B$2:$B$245, $C129,  MRP!$G$2:$G$245, J$1),
    SUMIFS(MRP!$L$2:$L$245, MRP!$B$2:$B$245, $C129,  MRP!$G$2:$G$245, J$1)
)*F129</f>
        <v/>
      </c>
      <c r="K129" s="15">
        <f>SUM(
    SUMIFS(MRP!$H$2:$H$245, MRP!$B$2:$B$245, $C129, MRP!$G$2:$G$245, K$1),
    SUMIFS(MRP!$I$2:$I$245, MRP!$B$2:$B$245, $C129, MRP!$G$2:$G$245, K$1),
    SUMIFS(MRP!$J$2:$J$245, MRP!$B$2:$B$245, $C129,  MRP!$G$2:$G$245, K$1),
    SUMIFS(MRP!$K$2:$K$245, MRP!$B$2:$B$245, $C129,  MRP!$G$2:$G$245, K$1),
    SUMIFS(MRP!$L$2:$L$245, MRP!$B$2:$B$245, $C129,  MRP!$G$2:$G$245, K$1)
)*F129</f>
        <v/>
      </c>
      <c r="L129" s="55">
        <f>TRIM(Tabla3[[#This Row],[CodInternoArti]])</f>
        <v/>
      </c>
    </row>
    <row r="130">
      <c r="A130" s="38">
        <f>IF(ISNUMBER(_xlfn.XMATCH(Tabla3[[#This Row],[CodInternoArti]],'Tabla Articulos'!B:B)),"OK","NO ESTA")</f>
        <v/>
      </c>
      <c r="B130" s="38">
        <f>IF(ISNUMBER(_xlfn.XMATCH('Calcular necesidad'!E:E,'Necesidad por familia'!A:A)),"OK","NO ESTA")</f>
        <v/>
      </c>
      <c r="C130" s="17" t="inlineStr">
        <is>
          <t>7791101002132</t>
        </is>
      </c>
      <c r="D130" s="1" t="inlineStr">
        <is>
          <t>VO FOLEX 20CMX25CM XKG MPROPIA</t>
        </is>
      </c>
      <c r="E130" s="1">
        <f>_xlfn.XLOOKUP(C130,'Tabla Articulos'!B:B,'Tabla Articulos'!D:D)</f>
        <v/>
      </c>
      <c r="F130" s="1" t="n">
        <v>1</v>
      </c>
      <c r="G130" s="15">
        <f>SUM(
    SUMIFS(MRP!$H$2:$H$245, MRP!$B$2:$B$245, $C130, MRP!$G$2:$G$245, G$1),
    SUMIFS(MRP!$I$2:$I$245, MRP!$B$2:$B$245, $C130, MRP!$G$2:$G$245, G$1),
    SUMIFS(MRP!$J$2:$J$245, MRP!$B$2:$B$245, $C130,  MRP!$G$2:$G$245, G$1),
    SUMIFS(MRP!$K$2:$K$245, MRP!$B$2:$B$245, $C130,  MRP!$G$2:$G$245, G$1),
    SUMIFS(MRP!$L$2:$L$245, MRP!$B$2:$B$245, $C130,  MRP!$G$2:$G$245, G$1)
)*F130</f>
        <v/>
      </c>
      <c r="H130" s="15">
        <f>SUM(
    SUMIFS(MRP!$H$2:$H$245, MRP!$B$2:$B$245, $C130, MRP!$G$2:$G$245, H$1),
    SUMIFS(MRP!$I$2:$I$245, MRP!$B$2:$B$245, $C130, MRP!$G$2:$G$245, H$1),
    SUMIFS(MRP!$J$2:$J$245, MRP!$B$2:$B$245, $C130,  MRP!$G$2:$G$245, H$1),
    SUMIFS(MRP!$K$2:$K$245, MRP!$B$2:$B$245, $C130,  MRP!$G$2:$G$245, H$1),
    SUMIFS(MRP!$L$2:$L$245, MRP!$B$2:$B$245, $C130,  MRP!$G$2:$G$245, H$1)
)*F130</f>
        <v/>
      </c>
      <c r="I130" s="15">
        <f>SUM(
    SUMIFS(MRP!$H$2:$H$245, MRP!$B$2:$B$245, $C130, MRP!$G$2:$G$245, I$1),
    SUMIFS(MRP!$I$2:$I$245, MRP!$B$2:$B$245, $C130, MRP!$G$2:$G$245, I$1),
    SUMIFS(MRP!$J$2:$J$245, MRP!$B$2:$B$245, $C130,  MRP!$G$2:$G$245, I$1),
    SUMIFS(MRP!$K$2:$K$245, MRP!$B$2:$B$245, $C130,  MRP!$G$2:$G$245, I$1),
    SUMIFS(MRP!$L$2:$L$245, MRP!$B$2:$B$245, $C130,  MRP!$G$2:$G$245, I$1)
)*F130</f>
        <v/>
      </c>
      <c r="J130" s="15">
        <f>SUM(
    SUMIFS(MRP!$H$2:$H$245, MRP!$B$2:$B$245, $C130, MRP!$G$2:$G$245, J$1),
    SUMIFS(MRP!$I$2:$I$245, MRP!$B$2:$B$245, $C130, MRP!$G$2:$G$245, J$1),
    SUMIFS(MRP!$J$2:$J$245, MRP!$B$2:$B$245, $C130,  MRP!$G$2:$G$245, J$1),
    SUMIFS(MRP!$K$2:$K$245, MRP!$B$2:$B$245, $C130,  MRP!$G$2:$G$245, J$1),
    SUMIFS(MRP!$L$2:$L$245, MRP!$B$2:$B$245, $C130,  MRP!$G$2:$G$245, J$1)
)*F130</f>
        <v/>
      </c>
      <c r="K130" s="15">
        <f>SUM(
    SUMIFS(MRP!$H$2:$H$245, MRP!$B$2:$B$245, $C130, MRP!$G$2:$G$245, K$1),
    SUMIFS(MRP!$I$2:$I$245, MRP!$B$2:$B$245, $C130, MRP!$G$2:$G$245, K$1),
    SUMIFS(MRP!$J$2:$J$245, MRP!$B$2:$B$245, $C130,  MRP!$G$2:$G$245, K$1),
    SUMIFS(MRP!$K$2:$K$245, MRP!$B$2:$B$245, $C130,  MRP!$G$2:$G$245, K$1),
    SUMIFS(MRP!$L$2:$L$245, MRP!$B$2:$B$245, $C130,  MRP!$G$2:$G$245, K$1)
)*F130</f>
        <v/>
      </c>
      <c r="L130" s="55">
        <f>TRIM(Tabla3[[#This Row],[CodInternoArti]])</f>
        <v/>
      </c>
    </row>
    <row r="131">
      <c r="A131" s="38">
        <f>IF(ISNUMBER(_xlfn.XMATCH(Tabla3[[#This Row],[CodInternoArti]],'Tabla Articulos'!B:B)),"OK","NO ESTA")</f>
        <v/>
      </c>
      <c r="B131" s="38">
        <f>IF(ISNUMBER(_xlfn.XMATCH('Calcular necesidad'!E:E,'Necesidad por familia'!A:A)),"OK","NO ESTA")</f>
        <v/>
      </c>
      <c r="C131" s="17" t="inlineStr">
        <is>
          <t>7790013877011</t>
        </is>
      </c>
      <c r="D131" s="1" t="inlineStr">
        <is>
          <t>ESCARBADIENTES ENSOBRADOS X500</t>
        </is>
      </c>
      <c r="E131" s="1">
        <f>_xlfn.XLOOKUP(C131,'Tabla Articulos'!B:B,'Tabla Articulos'!D:D)</f>
        <v/>
      </c>
      <c r="F131" s="1" t="n">
        <v>500</v>
      </c>
      <c r="G131" s="15">
        <f>SUM(
    SUMIFS(MRP!$H$2:$H$245, MRP!$B$2:$B$245, $C131, MRP!$G$2:$G$245, G$1),
    SUMIFS(MRP!$I$2:$I$245, MRP!$B$2:$B$245, $C131, MRP!$G$2:$G$245, G$1),
    SUMIFS(MRP!$J$2:$J$245, MRP!$B$2:$B$245, $C131,  MRP!$G$2:$G$245, G$1),
    SUMIFS(MRP!$K$2:$K$245, MRP!$B$2:$B$245, $C131,  MRP!$G$2:$G$245, G$1),
    SUMIFS(MRP!$L$2:$L$245, MRP!$B$2:$B$245, $C131,  MRP!$G$2:$G$245, G$1)
)*F131</f>
        <v/>
      </c>
      <c r="H131" s="15">
        <f>SUM(
    SUMIFS(MRP!$H$2:$H$245, MRP!$B$2:$B$245, $C131, MRP!$G$2:$G$245, H$1),
    SUMIFS(MRP!$I$2:$I$245, MRP!$B$2:$B$245, $C131, MRP!$G$2:$G$245, H$1),
    SUMIFS(MRP!$J$2:$J$245, MRP!$B$2:$B$245, $C131,  MRP!$G$2:$G$245, H$1),
    SUMIFS(MRP!$K$2:$K$245, MRP!$B$2:$B$245, $C131,  MRP!$G$2:$G$245, H$1),
    SUMIFS(MRP!$L$2:$L$245, MRP!$B$2:$B$245, $C131,  MRP!$G$2:$G$245, H$1)
)*F131</f>
        <v/>
      </c>
      <c r="I131" s="15">
        <f>SUM(
    SUMIFS(MRP!$H$2:$H$245, MRP!$B$2:$B$245, $C131, MRP!$G$2:$G$245, I$1),
    SUMIFS(MRP!$I$2:$I$245, MRP!$B$2:$B$245, $C131, MRP!$G$2:$G$245, I$1),
    SUMIFS(MRP!$J$2:$J$245, MRP!$B$2:$B$245, $C131,  MRP!$G$2:$G$245, I$1),
    SUMIFS(MRP!$K$2:$K$245, MRP!$B$2:$B$245, $C131,  MRP!$G$2:$G$245, I$1),
    SUMIFS(MRP!$L$2:$L$245, MRP!$B$2:$B$245, $C131,  MRP!$G$2:$G$245, I$1)
)*F131</f>
        <v/>
      </c>
      <c r="J131" s="15">
        <f>SUM(
    SUMIFS(MRP!$H$2:$H$245, MRP!$B$2:$B$245, $C131, MRP!$G$2:$G$245, J$1),
    SUMIFS(MRP!$I$2:$I$245, MRP!$B$2:$B$245, $C131, MRP!$G$2:$G$245, J$1),
    SUMIFS(MRP!$J$2:$J$245, MRP!$B$2:$B$245, $C131,  MRP!$G$2:$G$245, J$1),
    SUMIFS(MRP!$K$2:$K$245, MRP!$B$2:$B$245, $C131,  MRP!$G$2:$G$245, J$1),
    SUMIFS(MRP!$L$2:$L$245, MRP!$B$2:$B$245, $C131,  MRP!$G$2:$G$245, J$1)
)*F131</f>
        <v/>
      </c>
      <c r="K131" s="15">
        <f>SUM(
    SUMIFS(MRP!$H$2:$H$245, MRP!$B$2:$B$245, $C131, MRP!$G$2:$G$245, K$1),
    SUMIFS(MRP!$I$2:$I$245, MRP!$B$2:$B$245, $C131, MRP!$G$2:$G$245, K$1),
    SUMIFS(MRP!$J$2:$J$245, MRP!$B$2:$B$245, $C131,  MRP!$G$2:$G$245, K$1),
    SUMIFS(MRP!$K$2:$K$245, MRP!$B$2:$B$245, $C131,  MRP!$G$2:$G$245, K$1),
    SUMIFS(MRP!$L$2:$L$245, MRP!$B$2:$B$245, $C131,  MRP!$G$2:$G$245, K$1)
)*F131</f>
        <v/>
      </c>
      <c r="L131" s="55">
        <f>TRIM(Tabla3[[#This Row],[CodInternoArti]])</f>
        <v/>
      </c>
    </row>
    <row r="132">
      <c r="A132" s="38">
        <f>IF(ISNUMBER(_xlfn.XMATCH(Tabla3[[#This Row],[CodInternoArti]],'Tabla Articulos'!B:B)),"OK","NO ESTA")</f>
        <v/>
      </c>
      <c r="B132" s="38">
        <f>IF(ISNUMBER(_xlfn.XMATCH('Calcular necesidad'!E:E,'Necesidad por familia'!A:A)),"OK","NO ESTA")</f>
        <v/>
      </c>
      <c r="C132" s="17" t="inlineStr">
        <is>
          <t>7798975326413</t>
        </is>
      </c>
      <c r="D132" s="1" t="inlineStr">
        <is>
          <t>TAPA 103 X100U</t>
        </is>
      </c>
      <c r="E132" s="1">
        <f>_xlfn.XLOOKUP(C132,'Tabla Articulos'!B:B,'Tabla Articulos'!D:D)</f>
        <v/>
      </c>
      <c r="F132" s="1" t="n">
        <v>100</v>
      </c>
      <c r="G132" s="15">
        <f>SUM(
    SUMIFS(MRP!$H$2:$H$245, MRP!$B$2:$B$245, $C132, MRP!$G$2:$G$245, G$1),
    SUMIFS(MRP!$I$2:$I$245, MRP!$B$2:$B$245, $C132, MRP!$G$2:$G$245, G$1),
    SUMIFS(MRP!$J$2:$J$245, MRP!$B$2:$B$245, $C132,  MRP!$G$2:$G$245, G$1),
    SUMIFS(MRP!$K$2:$K$245, MRP!$B$2:$B$245, $C132,  MRP!$G$2:$G$245, G$1),
    SUMIFS(MRP!$L$2:$L$245, MRP!$B$2:$B$245, $C132,  MRP!$G$2:$G$245, G$1)
)*F132</f>
        <v/>
      </c>
      <c r="H132" s="15">
        <f>SUM(
    SUMIFS(MRP!$H$2:$H$245, MRP!$B$2:$B$245, $C132, MRP!$G$2:$G$245, H$1),
    SUMIFS(MRP!$I$2:$I$245, MRP!$B$2:$B$245, $C132, MRP!$G$2:$G$245, H$1),
    SUMIFS(MRP!$J$2:$J$245, MRP!$B$2:$B$245, $C132,  MRP!$G$2:$G$245, H$1),
    SUMIFS(MRP!$K$2:$K$245, MRP!$B$2:$B$245, $C132,  MRP!$G$2:$G$245, H$1),
    SUMIFS(MRP!$L$2:$L$245, MRP!$B$2:$B$245, $C132,  MRP!$G$2:$G$245, H$1)
)*F132</f>
        <v/>
      </c>
      <c r="I132" s="15">
        <f>SUM(
    SUMIFS(MRP!$H$2:$H$245, MRP!$B$2:$B$245, $C132, MRP!$G$2:$G$245, I$1),
    SUMIFS(MRP!$I$2:$I$245, MRP!$B$2:$B$245, $C132, MRP!$G$2:$G$245, I$1),
    SUMIFS(MRP!$J$2:$J$245, MRP!$B$2:$B$245, $C132,  MRP!$G$2:$G$245, I$1),
    SUMIFS(MRP!$K$2:$K$245, MRP!$B$2:$B$245, $C132,  MRP!$G$2:$G$245, I$1),
    SUMIFS(MRP!$L$2:$L$245, MRP!$B$2:$B$245, $C132,  MRP!$G$2:$G$245, I$1)
)*F132</f>
        <v/>
      </c>
      <c r="J132" s="15">
        <f>SUM(
    SUMIFS(MRP!$H$2:$H$245, MRP!$B$2:$B$245, $C132, MRP!$G$2:$G$245, J$1),
    SUMIFS(MRP!$I$2:$I$245, MRP!$B$2:$B$245, $C132, MRP!$G$2:$G$245, J$1),
    SUMIFS(MRP!$J$2:$J$245, MRP!$B$2:$B$245, $C132,  MRP!$G$2:$G$245, J$1),
    SUMIFS(MRP!$K$2:$K$245, MRP!$B$2:$B$245, $C132,  MRP!$G$2:$G$245, J$1),
    SUMIFS(MRP!$L$2:$L$245, MRP!$B$2:$B$245, $C132,  MRP!$G$2:$G$245, J$1)
)*F132</f>
        <v/>
      </c>
      <c r="K132" s="15">
        <f>SUM(
    SUMIFS(MRP!$H$2:$H$245, MRP!$B$2:$B$245, $C132, MRP!$G$2:$G$245, K$1),
    SUMIFS(MRP!$I$2:$I$245, MRP!$B$2:$B$245, $C132, MRP!$G$2:$G$245, K$1),
    SUMIFS(MRP!$J$2:$J$245, MRP!$B$2:$B$245, $C132,  MRP!$G$2:$G$245, K$1),
    SUMIFS(MRP!$K$2:$K$245, MRP!$B$2:$B$245, $C132,  MRP!$G$2:$G$245, K$1),
    SUMIFS(MRP!$L$2:$L$245, MRP!$B$2:$B$245, $C132,  MRP!$G$2:$G$245, K$1)
)*F132</f>
        <v/>
      </c>
      <c r="L132" s="55">
        <f>TRIM(Tabla3[[#This Row],[CodInternoArti]])</f>
        <v/>
      </c>
    </row>
    <row r="133">
      <c r="A133" s="38">
        <f>IF(ISNUMBER(_xlfn.XMATCH(Tabla3[[#This Row],[CodInternoArti]],'Tabla Articulos'!B:B)),"OK","NO ESTA")</f>
        <v/>
      </c>
      <c r="B133" s="38">
        <f>IF(ISNUMBER(_xlfn.XMATCH('Calcular necesidad'!E:E,'Necesidad por familia'!A:A)),"OK","NO ESTA")</f>
        <v/>
      </c>
      <c r="C133" s="17" t="inlineStr">
        <is>
          <t>7798068951855</t>
        </is>
      </c>
      <c r="D133" s="1" t="inlineStr">
        <is>
          <t>BANDEJA 102 LIVI MICROO X100UN</t>
        </is>
      </c>
      <c r="E133" s="1">
        <f>_xlfn.XLOOKUP(C133,'Tabla Articulos'!B:B,'Tabla Articulos'!D:D)</f>
        <v/>
      </c>
      <c r="F133" s="1" t="n">
        <v>100</v>
      </c>
      <c r="G133" s="15">
        <f>SUM(
    SUMIFS(MRP!$H$2:$H$245, MRP!$B$2:$B$245, $C133, MRP!$G$2:$G$245, G$1),
    SUMIFS(MRP!$I$2:$I$245, MRP!$B$2:$B$245, $C133, MRP!$G$2:$G$245, G$1),
    SUMIFS(MRP!$J$2:$J$245, MRP!$B$2:$B$245, $C133,  MRP!$G$2:$G$245, G$1),
    SUMIFS(MRP!$K$2:$K$245, MRP!$B$2:$B$245, $C133,  MRP!$G$2:$G$245, G$1),
    SUMIFS(MRP!$L$2:$L$245, MRP!$B$2:$B$245, $C133,  MRP!$G$2:$G$245, G$1)
)*F133</f>
        <v/>
      </c>
      <c r="H133" s="15">
        <f>SUM(
    SUMIFS(MRP!$H$2:$H$245, MRP!$B$2:$B$245, $C133, MRP!$G$2:$G$245, H$1),
    SUMIFS(MRP!$I$2:$I$245, MRP!$B$2:$B$245, $C133, MRP!$G$2:$G$245, H$1),
    SUMIFS(MRP!$J$2:$J$245, MRP!$B$2:$B$245, $C133,  MRP!$G$2:$G$245, H$1),
    SUMIFS(MRP!$K$2:$K$245, MRP!$B$2:$B$245, $C133,  MRP!$G$2:$G$245, H$1),
    SUMIFS(MRP!$L$2:$L$245, MRP!$B$2:$B$245, $C133,  MRP!$G$2:$G$245, H$1)
)*F133</f>
        <v/>
      </c>
      <c r="I133" s="15">
        <f>SUM(
    SUMIFS(MRP!$H$2:$H$245, MRP!$B$2:$B$245, $C133, MRP!$G$2:$G$245, I$1),
    SUMIFS(MRP!$I$2:$I$245, MRP!$B$2:$B$245, $C133, MRP!$G$2:$G$245, I$1),
    SUMIFS(MRP!$J$2:$J$245, MRP!$B$2:$B$245, $C133,  MRP!$G$2:$G$245, I$1),
    SUMIFS(MRP!$K$2:$K$245, MRP!$B$2:$B$245, $C133,  MRP!$G$2:$G$245, I$1),
    SUMIFS(MRP!$L$2:$L$245, MRP!$B$2:$B$245, $C133,  MRP!$G$2:$G$245, I$1)
)*F133</f>
        <v/>
      </c>
      <c r="J133" s="15">
        <f>SUM(
    SUMIFS(MRP!$H$2:$H$245, MRP!$B$2:$B$245, $C133, MRP!$G$2:$G$245, J$1),
    SUMIFS(MRP!$I$2:$I$245, MRP!$B$2:$B$245, $C133, MRP!$G$2:$G$245, J$1),
    SUMIFS(MRP!$J$2:$J$245, MRP!$B$2:$B$245, $C133,  MRP!$G$2:$G$245, J$1),
    SUMIFS(MRP!$K$2:$K$245, MRP!$B$2:$B$245, $C133,  MRP!$G$2:$G$245, J$1),
    SUMIFS(MRP!$L$2:$L$245, MRP!$B$2:$B$245, $C133,  MRP!$G$2:$G$245, J$1)
)*F133</f>
        <v/>
      </c>
      <c r="K133" s="15">
        <f>SUM(
    SUMIFS(MRP!$H$2:$H$245, MRP!$B$2:$B$245, $C133, MRP!$G$2:$G$245, K$1),
    SUMIFS(MRP!$I$2:$I$245, MRP!$B$2:$B$245, $C133, MRP!$G$2:$G$245, K$1),
    SUMIFS(MRP!$J$2:$J$245, MRP!$B$2:$B$245, $C133,  MRP!$G$2:$G$245, K$1),
    SUMIFS(MRP!$K$2:$K$245, MRP!$B$2:$B$245, $C133,  MRP!$G$2:$G$245, K$1),
    SUMIFS(MRP!$L$2:$L$245, MRP!$B$2:$B$245, $C133,  MRP!$G$2:$G$245, K$1)
)*F133</f>
        <v/>
      </c>
      <c r="L133" s="55">
        <f>TRIM(Tabla3[[#This Row],[CodInternoArti]])</f>
        <v/>
      </c>
    </row>
    <row r="134">
      <c r="A134" s="38">
        <f>IF(ISNUMBER(_xlfn.XMATCH(Tabla3[[#This Row],[CodInternoArti]],'Tabla Articulos'!B:B)),"OK","NO ESTA")</f>
        <v/>
      </c>
      <c r="B134" s="38">
        <f>IF(ISNUMBER(_xlfn.XMATCH('Calcular necesidad'!E:E,'Necesidad por familia'!A:A)),"OK","NO ESTA")</f>
        <v/>
      </c>
      <c r="C134" s="17" t="inlineStr">
        <is>
          <t>7778068951879</t>
        </is>
      </c>
      <c r="D134" s="1" t="inlineStr">
        <is>
          <t>BANDEJA 101 X100UN COTNYL</t>
        </is>
      </c>
      <c r="E134" s="1">
        <f>_xlfn.XLOOKUP(C134,'Tabla Articulos'!B:B,'Tabla Articulos'!D:D)</f>
        <v/>
      </c>
      <c r="F134" s="1" t="n">
        <v>100</v>
      </c>
      <c r="G134" s="15">
        <f>SUM(
    SUMIFS(MRP!$H$2:$H$245, MRP!$B$2:$B$245, $C134, MRP!$G$2:$G$245, G$1),
    SUMIFS(MRP!$I$2:$I$245, MRP!$B$2:$B$245, $C134, MRP!$G$2:$G$245, G$1),
    SUMIFS(MRP!$J$2:$J$245, MRP!$B$2:$B$245, $C134,  MRP!$G$2:$G$245, G$1),
    SUMIFS(MRP!$K$2:$K$245, MRP!$B$2:$B$245, $C134,  MRP!$G$2:$G$245, G$1),
    SUMIFS(MRP!$L$2:$L$245, MRP!$B$2:$B$245, $C134,  MRP!$G$2:$G$245, G$1)
)*F134</f>
        <v/>
      </c>
      <c r="H134" s="15">
        <f>SUM(
    SUMIFS(MRP!$H$2:$H$245, MRP!$B$2:$B$245, $C134, MRP!$G$2:$G$245, H$1),
    SUMIFS(MRP!$I$2:$I$245, MRP!$B$2:$B$245, $C134, MRP!$G$2:$G$245, H$1),
    SUMIFS(MRP!$J$2:$J$245, MRP!$B$2:$B$245, $C134,  MRP!$G$2:$G$245, H$1),
    SUMIFS(MRP!$K$2:$K$245, MRP!$B$2:$B$245, $C134,  MRP!$G$2:$G$245, H$1),
    SUMIFS(MRP!$L$2:$L$245, MRP!$B$2:$B$245, $C134,  MRP!$G$2:$G$245, H$1)
)*F134</f>
        <v/>
      </c>
      <c r="I134" s="15">
        <f>SUM(
    SUMIFS(MRP!$H$2:$H$245, MRP!$B$2:$B$245, $C134, MRP!$G$2:$G$245, I$1),
    SUMIFS(MRP!$I$2:$I$245, MRP!$B$2:$B$245, $C134, MRP!$G$2:$G$245, I$1),
    SUMIFS(MRP!$J$2:$J$245, MRP!$B$2:$B$245, $C134,  MRP!$G$2:$G$245, I$1),
    SUMIFS(MRP!$K$2:$K$245, MRP!$B$2:$B$245, $C134,  MRP!$G$2:$G$245, I$1),
    SUMIFS(MRP!$L$2:$L$245, MRP!$B$2:$B$245, $C134,  MRP!$G$2:$G$245, I$1)
)*F134</f>
        <v/>
      </c>
      <c r="J134" s="15">
        <f>SUM(
    SUMIFS(MRP!$H$2:$H$245, MRP!$B$2:$B$245, $C134, MRP!$G$2:$G$245, J$1),
    SUMIFS(MRP!$I$2:$I$245, MRP!$B$2:$B$245, $C134, MRP!$G$2:$G$245, J$1),
    SUMIFS(MRP!$J$2:$J$245, MRP!$B$2:$B$245, $C134,  MRP!$G$2:$G$245, J$1),
    SUMIFS(MRP!$K$2:$K$245, MRP!$B$2:$B$245, $C134,  MRP!$G$2:$G$245, J$1),
    SUMIFS(MRP!$L$2:$L$245, MRP!$B$2:$B$245, $C134,  MRP!$G$2:$G$245, J$1)
)*F134</f>
        <v/>
      </c>
      <c r="K134" s="15">
        <f>SUM(
    SUMIFS(MRP!$H$2:$H$245, MRP!$B$2:$B$245, $C134, MRP!$G$2:$G$245, K$1),
    SUMIFS(MRP!$I$2:$I$245, MRP!$B$2:$B$245, $C134, MRP!$G$2:$G$245, K$1),
    SUMIFS(MRP!$J$2:$J$245, MRP!$B$2:$B$245, $C134,  MRP!$G$2:$G$245, K$1),
    SUMIFS(MRP!$K$2:$K$245, MRP!$B$2:$B$245, $C134,  MRP!$G$2:$G$245, K$1),
    SUMIFS(MRP!$L$2:$L$245, MRP!$B$2:$B$245, $C134,  MRP!$G$2:$G$245, K$1)
)*F134</f>
        <v/>
      </c>
      <c r="L134" s="55">
        <f>TRIM(Tabla3[[#This Row],[CodInternoArti]])</f>
        <v/>
      </c>
    </row>
    <row r="135">
      <c r="A135" s="38">
        <f>IF(ISNUMBER(_xlfn.XMATCH(Tabla3[[#This Row],[CodInternoArti]],'Tabla Articulos'!B:B)),"OK","NO ESTA")</f>
        <v/>
      </c>
      <c r="B135" s="38">
        <f>IF(ISNUMBER(_xlfn.XMATCH('Calcular necesidad'!E:E,'Necesidad por familia'!A:A)),"OK","NO ESTA")</f>
        <v/>
      </c>
      <c r="C135" s="17" t="inlineStr">
        <is>
          <t>7898287715983</t>
        </is>
      </c>
      <c r="D135" s="1" t="inlineStr">
        <is>
          <t xml:space="preserve">GL_FILM PVC 38CM XUN DISPAFILM </t>
        </is>
      </c>
      <c r="E135" s="1">
        <f>_xlfn.XLOOKUP(C135,'Tabla Articulos'!B:B,'Tabla Articulos'!D:D)</f>
        <v/>
      </c>
      <c r="F135" s="1" t="n">
        <v>1</v>
      </c>
      <c r="G135" s="15">
        <f>SUM(
    SUMIFS(MRP!$H$2:$H$245, MRP!$B$2:$B$245, $C135, MRP!$G$2:$G$245, G$1),
    SUMIFS(MRP!$I$2:$I$245, MRP!$B$2:$B$245, $C135, MRP!$G$2:$G$245, G$1),
    SUMIFS(MRP!$J$2:$J$245, MRP!$B$2:$B$245, $C135,  MRP!$G$2:$G$245, G$1),
    SUMIFS(MRP!$K$2:$K$245, MRP!$B$2:$B$245, $C135,  MRP!$G$2:$G$245, G$1),
    SUMIFS(MRP!$L$2:$L$245, MRP!$B$2:$B$245, $C135,  MRP!$G$2:$G$245, G$1)
)*F135</f>
        <v/>
      </c>
      <c r="H135" s="15">
        <f>SUM(
    SUMIFS(MRP!$H$2:$H$245, MRP!$B$2:$B$245, $C135, MRP!$G$2:$G$245, H$1),
    SUMIFS(MRP!$I$2:$I$245, MRP!$B$2:$B$245, $C135, MRP!$G$2:$G$245, H$1),
    SUMIFS(MRP!$J$2:$J$245, MRP!$B$2:$B$245, $C135,  MRP!$G$2:$G$245, H$1),
    SUMIFS(MRP!$K$2:$K$245, MRP!$B$2:$B$245, $C135,  MRP!$G$2:$G$245, H$1),
    SUMIFS(MRP!$L$2:$L$245, MRP!$B$2:$B$245, $C135,  MRP!$G$2:$G$245, H$1)
)*F135</f>
        <v/>
      </c>
      <c r="I135" s="15">
        <f>SUM(
    SUMIFS(MRP!$H$2:$H$245, MRP!$B$2:$B$245, $C135, MRP!$G$2:$G$245, I$1),
    SUMIFS(MRP!$I$2:$I$245, MRP!$B$2:$B$245, $C135, MRP!$G$2:$G$245, I$1),
    SUMIFS(MRP!$J$2:$J$245, MRP!$B$2:$B$245, $C135,  MRP!$G$2:$G$245, I$1),
    SUMIFS(MRP!$K$2:$K$245, MRP!$B$2:$B$245, $C135,  MRP!$G$2:$G$245, I$1),
    SUMIFS(MRP!$L$2:$L$245, MRP!$B$2:$B$245, $C135,  MRP!$G$2:$G$245, I$1)
)*F135</f>
        <v/>
      </c>
      <c r="J135" s="15">
        <f>SUM(
    SUMIFS(MRP!$H$2:$H$245, MRP!$B$2:$B$245, $C135, MRP!$G$2:$G$245, J$1),
    SUMIFS(MRP!$I$2:$I$245, MRP!$B$2:$B$245, $C135, MRP!$G$2:$G$245, J$1),
    SUMIFS(MRP!$J$2:$J$245, MRP!$B$2:$B$245, $C135,  MRP!$G$2:$G$245, J$1),
    SUMIFS(MRP!$K$2:$K$245, MRP!$B$2:$B$245, $C135,  MRP!$G$2:$G$245, J$1),
    SUMIFS(MRP!$L$2:$L$245, MRP!$B$2:$B$245, $C135,  MRP!$G$2:$G$245, J$1)
)*F135</f>
        <v/>
      </c>
      <c r="K135" s="15">
        <f>SUM(
    SUMIFS(MRP!$H$2:$H$245, MRP!$B$2:$B$245, $C135, MRP!$G$2:$G$245, K$1),
    SUMIFS(MRP!$I$2:$I$245, MRP!$B$2:$B$245, $C135, MRP!$G$2:$G$245, K$1),
    SUMIFS(MRP!$J$2:$J$245, MRP!$B$2:$B$245, $C135,  MRP!$G$2:$G$245, K$1),
    SUMIFS(MRP!$K$2:$K$245, MRP!$B$2:$B$245, $C135,  MRP!$G$2:$G$245, K$1),
    SUMIFS(MRP!$L$2:$L$245, MRP!$B$2:$B$245, $C135,  MRP!$G$2:$G$245, K$1)
)*F135</f>
        <v/>
      </c>
      <c r="L135" s="55">
        <f>TRIM(Tabla3[[#This Row],[CodInternoArti]])</f>
        <v/>
      </c>
    </row>
    <row r="136">
      <c r="A136" s="38">
        <f>IF(ISNUMBER(_xlfn.XMATCH(Tabla3[[#This Row],[CodInternoArti]],'Tabla Articulos'!B:B)),"OK","NO ESTA")</f>
        <v/>
      </c>
      <c r="B136" s="38">
        <f>IF(ISNUMBER(_xlfn.XMATCH('Calcular necesidad'!E:E,'Necesidad por familia'!A:A)),"OK","NO ESTA")</f>
        <v/>
      </c>
      <c r="C136" s="17" t="inlineStr">
        <is>
          <t>9992017900507</t>
        </is>
      </c>
      <c r="D136" s="1" t="inlineStr">
        <is>
          <t>GL ROLLO ALUMINIO 38CM  X1UN</t>
        </is>
      </c>
      <c r="E136" s="1">
        <f>_xlfn.XLOOKUP(C136,'Tabla Articulos'!B:B,'Tabla Articulos'!D:D)</f>
        <v/>
      </c>
      <c r="F136" s="1" t="n">
        <v>1</v>
      </c>
      <c r="G136" s="15">
        <f>SUM(
    SUMIFS(MRP!$H$2:$H$245, MRP!$B$2:$B$245, $C136, MRP!$G$2:$G$245, G$1),
    SUMIFS(MRP!$I$2:$I$245, MRP!$B$2:$B$245, $C136, MRP!$G$2:$G$245, G$1),
    SUMIFS(MRP!$J$2:$J$245, MRP!$B$2:$B$245, $C136,  MRP!$G$2:$G$245, G$1),
    SUMIFS(MRP!$K$2:$K$245, MRP!$B$2:$B$245, $C136,  MRP!$G$2:$G$245, G$1),
    SUMIFS(MRP!$L$2:$L$245, MRP!$B$2:$B$245, $C136,  MRP!$G$2:$G$245, G$1)
)*F136</f>
        <v/>
      </c>
      <c r="H136" s="15">
        <f>SUM(
    SUMIFS(MRP!$H$2:$H$245, MRP!$B$2:$B$245, $C136, MRP!$G$2:$G$245, H$1),
    SUMIFS(MRP!$I$2:$I$245, MRP!$B$2:$B$245, $C136, MRP!$G$2:$G$245, H$1),
    SUMIFS(MRP!$J$2:$J$245, MRP!$B$2:$B$245, $C136,  MRP!$G$2:$G$245, H$1),
    SUMIFS(MRP!$K$2:$K$245, MRP!$B$2:$B$245, $C136,  MRP!$G$2:$G$245, H$1),
    SUMIFS(MRP!$L$2:$L$245, MRP!$B$2:$B$245, $C136,  MRP!$G$2:$G$245, H$1)
)*F136</f>
        <v/>
      </c>
      <c r="I136" s="15">
        <f>SUM(
    SUMIFS(MRP!$H$2:$H$245, MRP!$B$2:$B$245, $C136, MRP!$G$2:$G$245, I$1),
    SUMIFS(MRP!$I$2:$I$245, MRP!$B$2:$B$245, $C136, MRP!$G$2:$G$245, I$1),
    SUMIFS(MRP!$J$2:$J$245, MRP!$B$2:$B$245, $C136,  MRP!$G$2:$G$245, I$1),
    SUMIFS(MRP!$K$2:$K$245, MRP!$B$2:$B$245, $C136,  MRP!$G$2:$G$245, I$1),
    SUMIFS(MRP!$L$2:$L$245, MRP!$B$2:$B$245, $C136,  MRP!$G$2:$G$245, I$1)
)*F136</f>
        <v/>
      </c>
      <c r="J136" s="15">
        <f>SUM(
    SUMIFS(MRP!$H$2:$H$245, MRP!$B$2:$B$245, $C136, MRP!$G$2:$G$245, J$1),
    SUMIFS(MRP!$I$2:$I$245, MRP!$B$2:$B$245, $C136, MRP!$G$2:$G$245, J$1),
    SUMIFS(MRP!$J$2:$J$245, MRP!$B$2:$B$245, $C136,  MRP!$G$2:$G$245, J$1),
    SUMIFS(MRP!$K$2:$K$245, MRP!$B$2:$B$245, $C136,  MRP!$G$2:$G$245, J$1),
    SUMIFS(MRP!$L$2:$L$245, MRP!$B$2:$B$245, $C136,  MRP!$G$2:$G$245, J$1)
)*F136</f>
        <v/>
      </c>
      <c r="K136" s="15">
        <f>SUM(
    SUMIFS(MRP!$H$2:$H$245, MRP!$B$2:$B$245, $C136, MRP!$G$2:$G$245, K$1),
    SUMIFS(MRP!$I$2:$I$245, MRP!$B$2:$B$245, $C136, MRP!$G$2:$G$245, K$1),
    SUMIFS(MRP!$J$2:$J$245, MRP!$B$2:$B$245, $C136,  MRP!$G$2:$G$245, K$1),
    SUMIFS(MRP!$K$2:$K$245, MRP!$B$2:$B$245, $C136,  MRP!$G$2:$G$245, K$1),
    SUMIFS(MRP!$L$2:$L$245, MRP!$B$2:$B$245, $C136,  MRP!$G$2:$G$245, K$1)
)*F136</f>
        <v/>
      </c>
      <c r="L136" s="55">
        <f>TRIM(Tabla3[[#This Row],[CodInternoArti]])</f>
        <v/>
      </c>
    </row>
    <row r="137">
      <c r="A137" s="38">
        <f>IF(ISNUMBER(_xlfn.XMATCH(Tabla3[[#This Row],[CodInternoArti]],'Tabla Articulos'!B:B)),"OK","NO ESTA")</f>
        <v/>
      </c>
      <c r="B137" s="38">
        <f>IF(ISNUMBER(_xlfn.XMATCH('Calcular necesidad'!E:E,'Necesidad por familia'!A:A)),"OK","NO ESTA")</f>
        <v/>
      </c>
      <c r="C137" s="17" t="inlineStr">
        <is>
          <t>7790000000345</t>
        </is>
      </c>
      <c r="D137" s="1" t="inlineStr">
        <is>
          <t>VO TAPA RECTANGULAR 101 X 50UN COTNYL</t>
        </is>
      </c>
      <c r="E137" s="1">
        <f>_xlfn.XLOOKUP(C137,'Tabla Articulos'!B:B,'Tabla Articulos'!D:D)</f>
        <v/>
      </c>
      <c r="F137" s="1" t="n">
        <v>50</v>
      </c>
      <c r="G137" s="15">
        <f>SUM(
    SUMIFS(MRP!$H$2:$H$245, MRP!$B$2:$B$245, $C137, MRP!$G$2:$G$245, G$1),
    SUMIFS(MRP!$I$2:$I$245, MRP!$B$2:$B$245, $C137, MRP!$G$2:$G$245, G$1),
    SUMIFS(MRP!$J$2:$J$245, MRP!$B$2:$B$245, $C137,  MRP!$G$2:$G$245, G$1),
    SUMIFS(MRP!$K$2:$K$245, MRP!$B$2:$B$245, $C137,  MRP!$G$2:$G$245, G$1),
    SUMIFS(MRP!$L$2:$L$245, MRP!$B$2:$B$245, $C137,  MRP!$G$2:$G$245, G$1)
)*F137</f>
        <v/>
      </c>
      <c r="H137" s="15">
        <f>SUM(
    SUMIFS(MRP!$H$2:$H$245, MRP!$B$2:$B$245, $C137, MRP!$G$2:$G$245, H$1),
    SUMIFS(MRP!$I$2:$I$245, MRP!$B$2:$B$245, $C137, MRP!$G$2:$G$245, H$1),
    SUMIFS(MRP!$J$2:$J$245, MRP!$B$2:$B$245, $C137,  MRP!$G$2:$G$245, H$1),
    SUMIFS(MRP!$K$2:$K$245, MRP!$B$2:$B$245, $C137,  MRP!$G$2:$G$245, H$1),
    SUMIFS(MRP!$L$2:$L$245, MRP!$B$2:$B$245, $C137,  MRP!$G$2:$G$245, H$1)
)*F137</f>
        <v/>
      </c>
      <c r="I137" s="15">
        <f>SUM(
    SUMIFS(MRP!$H$2:$H$245, MRP!$B$2:$B$245, $C137, MRP!$G$2:$G$245, I$1),
    SUMIFS(MRP!$I$2:$I$245, MRP!$B$2:$B$245, $C137, MRP!$G$2:$G$245, I$1),
    SUMIFS(MRP!$J$2:$J$245, MRP!$B$2:$B$245, $C137,  MRP!$G$2:$G$245, I$1),
    SUMIFS(MRP!$K$2:$K$245, MRP!$B$2:$B$245, $C137,  MRP!$G$2:$G$245, I$1),
    SUMIFS(MRP!$L$2:$L$245, MRP!$B$2:$B$245, $C137,  MRP!$G$2:$G$245, I$1)
)*F137</f>
        <v/>
      </c>
      <c r="J137" s="15">
        <f>SUM(
    SUMIFS(MRP!$H$2:$H$245, MRP!$B$2:$B$245, $C137, MRP!$G$2:$G$245, J$1),
    SUMIFS(MRP!$I$2:$I$245, MRP!$B$2:$B$245, $C137, MRP!$G$2:$G$245, J$1),
    SUMIFS(MRP!$J$2:$J$245, MRP!$B$2:$B$245, $C137,  MRP!$G$2:$G$245, J$1),
    SUMIFS(MRP!$K$2:$K$245, MRP!$B$2:$B$245, $C137,  MRP!$G$2:$G$245, J$1),
    SUMIFS(MRP!$L$2:$L$245, MRP!$B$2:$B$245, $C137,  MRP!$G$2:$G$245, J$1)
)*F137</f>
        <v/>
      </c>
      <c r="K137" s="15">
        <f>SUM(
    SUMIFS(MRP!$H$2:$H$245, MRP!$B$2:$B$245, $C137, MRP!$G$2:$G$245, K$1),
    SUMIFS(MRP!$I$2:$I$245, MRP!$B$2:$B$245, $C137, MRP!$G$2:$G$245, K$1),
    SUMIFS(MRP!$J$2:$J$245, MRP!$B$2:$B$245, $C137,  MRP!$G$2:$G$245, K$1),
    SUMIFS(MRP!$K$2:$K$245, MRP!$B$2:$B$245, $C137,  MRP!$G$2:$G$245, K$1),
    SUMIFS(MRP!$L$2:$L$245, MRP!$B$2:$B$245, $C137,  MRP!$G$2:$G$245, K$1)
)*F137</f>
        <v/>
      </c>
      <c r="L137" s="55">
        <f>TRIM(Tabla3[[#This Row],[CodInternoArti]])</f>
        <v/>
      </c>
    </row>
    <row r="138">
      <c r="A138" s="38">
        <f>IF(ISNUMBER(_xlfn.XMATCH(Tabla3[[#This Row],[CodInternoArti]],'Tabla Articulos'!B:B)),"OK","NO ESTA")</f>
        <v/>
      </c>
      <c r="B138" s="38">
        <f>IF(ISNUMBER(_xlfn.XMATCH('Calcular necesidad'!E:E,'Necesidad por familia'!A:A)),"OK","NO ESTA")</f>
        <v/>
      </c>
      <c r="C138" s="17" t="inlineStr">
        <is>
          <t>7790000000236</t>
        </is>
      </c>
      <c r="D138" s="1" t="inlineStr">
        <is>
          <t>NDIVIDUAL CHEF GOURMET FOOD UN X1000</t>
        </is>
      </c>
      <c r="E138" s="1">
        <f>_xlfn.XLOOKUP(C138,'Tabla Articulos'!B:B,'Tabla Articulos'!D:D)</f>
        <v/>
      </c>
      <c r="F138" s="1" t="n">
        <v>1000</v>
      </c>
      <c r="G138" s="15">
        <f>SUM(
    SUMIFS(MRP!$H$2:$H$245, MRP!$B$2:$B$245, $C138, MRP!$G$2:$G$245, G$1),
    SUMIFS(MRP!$I$2:$I$245, MRP!$B$2:$B$245, $C138, MRP!$G$2:$G$245, G$1),
    SUMIFS(MRP!$J$2:$J$245, MRP!$B$2:$B$245, $C138,  MRP!$G$2:$G$245, G$1),
    SUMIFS(MRP!$K$2:$K$245, MRP!$B$2:$B$245, $C138,  MRP!$G$2:$G$245, G$1),
    SUMIFS(MRP!$L$2:$L$245, MRP!$B$2:$B$245, $C138,  MRP!$G$2:$G$245, G$1)
)*F138</f>
        <v/>
      </c>
      <c r="H138" s="15">
        <f>SUM(
    SUMIFS(MRP!$H$2:$H$245, MRP!$B$2:$B$245, $C138, MRP!$G$2:$G$245, H$1),
    SUMIFS(MRP!$I$2:$I$245, MRP!$B$2:$B$245, $C138, MRP!$G$2:$G$245, H$1),
    SUMIFS(MRP!$J$2:$J$245, MRP!$B$2:$B$245, $C138,  MRP!$G$2:$G$245, H$1),
    SUMIFS(MRP!$K$2:$K$245, MRP!$B$2:$B$245, $C138,  MRP!$G$2:$G$245, H$1),
    SUMIFS(MRP!$L$2:$L$245, MRP!$B$2:$B$245, $C138,  MRP!$G$2:$G$245, H$1)
)*F138</f>
        <v/>
      </c>
      <c r="I138" s="15">
        <f>SUM(
    SUMIFS(MRP!$H$2:$H$245, MRP!$B$2:$B$245, $C138, MRP!$G$2:$G$245, I$1),
    SUMIFS(MRP!$I$2:$I$245, MRP!$B$2:$B$245, $C138, MRP!$G$2:$G$245, I$1),
    SUMIFS(MRP!$J$2:$J$245, MRP!$B$2:$B$245, $C138,  MRP!$G$2:$G$245, I$1),
    SUMIFS(MRP!$K$2:$K$245, MRP!$B$2:$B$245, $C138,  MRP!$G$2:$G$245, I$1),
    SUMIFS(MRP!$L$2:$L$245, MRP!$B$2:$B$245, $C138,  MRP!$G$2:$G$245, I$1)
)*F138</f>
        <v/>
      </c>
      <c r="J138" s="15">
        <f>SUM(
    SUMIFS(MRP!$H$2:$H$245, MRP!$B$2:$B$245, $C138, MRP!$G$2:$G$245, J$1),
    SUMIFS(MRP!$I$2:$I$245, MRP!$B$2:$B$245, $C138, MRP!$G$2:$G$245, J$1),
    SUMIFS(MRP!$J$2:$J$245, MRP!$B$2:$B$245, $C138,  MRP!$G$2:$G$245, J$1),
    SUMIFS(MRP!$K$2:$K$245, MRP!$B$2:$B$245, $C138,  MRP!$G$2:$G$245, J$1),
    SUMIFS(MRP!$L$2:$L$245, MRP!$B$2:$B$245, $C138,  MRP!$G$2:$G$245, J$1)
)*F138</f>
        <v/>
      </c>
      <c r="K138" s="15">
        <f>SUM(
    SUMIFS(MRP!$H$2:$H$245, MRP!$B$2:$B$245, $C138, MRP!$G$2:$G$245, K$1),
    SUMIFS(MRP!$I$2:$I$245, MRP!$B$2:$B$245, $C138, MRP!$G$2:$G$245, K$1),
    SUMIFS(MRP!$J$2:$J$245, MRP!$B$2:$B$245, $C138,  MRP!$G$2:$G$245, K$1),
    SUMIFS(MRP!$K$2:$K$245, MRP!$B$2:$B$245, $C138,  MRP!$G$2:$G$245, K$1),
    SUMIFS(MRP!$L$2:$L$245, MRP!$B$2:$B$245, $C138,  MRP!$G$2:$G$245, K$1)
)*F138</f>
        <v/>
      </c>
      <c r="L138" s="55">
        <f>TRIM(Tabla3[[#This Row],[CodInternoArti]])</f>
        <v/>
      </c>
    </row>
    <row r="139">
      <c r="A139" s="38">
        <f>IF(ISNUMBER(_xlfn.XMATCH(Tabla3[[#This Row],[CodInternoArti]],'Tabla Articulos'!B:B)),"OK","NO ESTA")</f>
        <v/>
      </c>
      <c r="B139" s="38">
        <f>IF(ISNUMBER(_xlfn.XMATCH('Calcular necesidad'!E:E,'Necesidad por familia'!A:A)),"OK","NO ESTA")</f>
        <v/>
      </c>
      <c r="C139" s="17" t="inlineStr">
        <is>
          <t>7791156433356</t>
        </is>
      </c>
      <c r="D139" s="1" t="inlineStr">
        <is>
          <t>VO ROLLO PAP MANTECA 38CM -1KG</t>
        </is>
      </c>
      <c r="E139" s="1">
        <f>_xlfn.XLOOKUP(C139,'Tabla Articulos'!B:B,'Tabla Articulos'!D:D)</f>
        <v/>
      </c>
      <c r="F139" s="1" t="n">
        <v>1</v>
      </c>
      <c r="G139" s="15">
        <f>SUM(
    SUMIFS(MRP!$H$2:$H$245, MRP!$B$2:$B$245, $C139, MRP!$G$2:$G$245, G$1),
    SUMIFS(MRP!$I$2:$I$245, MRP!$B$2:$B$245, $C139, MRP!$G$2:$G$245, G$1),
    SUMIFS(MRP!$J$2:$J$245, MRP!$B$2:$B$245, $C139,  MRP!$G$2:$G$245, G$1),
    SUMIFS(MRP!$K$2:$K$245, MRP!$B$2:$B$245, $C139,  MRP!$G$2:$G$245, G$1),
    SUMIFS(MRP!$L$2:$L$245, MRP!$B$2:$B$245, $C139,  MRP!$G$2:$G$245, G$1)
)*F139</f>
        <v/>
      </c>
      <c r="H139" s="15">
        <f>SUM(
    SUMIFS(MRP!$H$2:$H$245, MRP!$B$2:$B$245, $C139, MRP!$G$2:$G$245, H$1),
    SUMIFS(MRP!$I$2:$I$245, MRP!$B$2:$B$245, $C139, MRP!$G$2:$G$245, H$1),
    SUMIFS(MRP!$J$2:$J$245, MRP!$B$2:$B$245, $C139,  MRP!$G$2:$G$245, H$1),
    SUMIFS(MRP!$K$2:$K$245, MRP!$B$2:$B$245, $C139,  MRP!$G$2:$G$245, H$1),
    SUMIFS(MRP!$L$2:$L$245, MRP!$B$2:$B$245, $C139,  MRP!$G$2:$G$245, H$1)
)*F139</f>
        <v/>
      </c>
      <c r="I139" s="15">
        <f>SUM(
    SUMIFS(MRP!$H$2:$H$245, MRP!$B$2:$B$245, $C139, MRP!$G$2:$G$245, I$1),
    SUMIFS(MRP!$I$2:$I$245, MRP!$B$2:$B$245, $C139, MRP!$G$2:$G$245, I$1),
    SUMIFS(MRP!$J$2:$J$245, MRP!$B$2:$B$245, $C139,  MRP!$G$2:$G$245, I$1),
    SUMIFS(MRP!$K$2:$K$245, MRP!$B$2:$B$245, $C139,  MRP!$G$2:$G$245, I$1),
    SUMIFS(MRP!$L$2:$L$245, MRP!$B$2:$B$245, $C139,  MRP!$G$2:$G$245, I$1)
)*F139</f>
        <v/>
      </c>
      <c r="J139" s="15">
        <f>SUM(
    SUMIFS(MRP!$H$2:$H$245, MRP!$B$2:$B$245, $C139, MRP!$G$2:$G$245, J$1),
    SUMIFS(MRP!$I$2:$I$245, MRP!$B$2:$B$245, $C139, MRP!$G$2:$G$245, J$1),
    SUMIFS(MRP!$J$2:$J$245, MRP!$B$2:$B$245, $C139,  MRP!$G$2:$G$245, J$1),
    SUMIFS(MRP!$K$2:$K$245, MRP!$B$2:$B$245, $C139,  MRP!$G$2:$G$245, J$1),
    SUMIFS(MRP!$L$2:$L$245, MRP!$B$2:$B$245, $C139,  MRP!$G$2:$G$245, J$1)
)*F139</f>
        <v/>
      </c>
      <c r="K139" s="15">
        <f>SUM(
    SUMIFS(MRP!$H$2:$H$245, MRP!$B$2:$B$245, $C139, MRP!$G$2:$G$245, K$1),
    SUMIFS(MRP!$I$2:$I$245, MRP!$B$2:$B$245, $C139, MRP!$G$2:$G$245, K$1),
    SUMIFS(MRP!$J$2:$J$245, MRP!$B$2:$B$245, $C139,  MRP!$G$2:$G$245, K$1),
    SUMIFS(MRP!$K$2:$K$245, MRP!$B$2:$B$245, $C139,  MRP!$G$2:$G$245, K$1),
    SUMIFS(MRP!$L$2:$L$245, MRP!$B$2:$B$245, $C139,  MRP!$G$2:$G$245, K$1)
)*F139</f>
        <v/>
      </c>
      <c r="L139" s="55">
        <f>TRIM(Tabla3[[#This Row],[CodInternoArti]])</f>
        <v/>
      </c>
    </row>
    <row r="140">
      <c r="A140" s="38">
        <f>IF(ISNUMBER(_xlfn.XMATCH(Tabla3[[#This Row],[CodInternoArti]],'Tabla Articulos'!B:B)),"OK","NO ESTA")</f>
        <v/>
      </c>
      <c r="B140" s="38">
        <f>IF(ISNUMBER(_xlfn.XMATCH('Calcular necesidad'!E:E,'Necesidad por familia'!A:A)),"OK","NO ESTA")</f>
        <v/>
      </c>
      <c r="C140" s="17" t="inlineStr">
        <is>
          <t>7790000000379</t>
        </is>
      </c>
      <c r="D140" s="1" t="inlineStr">
        <is>
          <t>GL_BANDEJA 102 BIODEG. X 1400U</t>
        </is>
      </c>
      <c r="E140" s="1">
        <f>_xlfn.XLOOKUP(C140,'Tabla Articulos'!B:B,'Tabla Articulos'!D:D)</f>
        <v/>
      </c>
      <c r="F140" s="1" t="n">
        <v>1400</v>
      </c>
      <c r="G140" s="15">
        <f>SUM(
    SUMIFS(MRP!$H$2:$H$245, MRP!$B$2:$B$245, $C140, MRP!$G$2:$G$245, G$1),
    SUMIFS(MRP!$I$2:$I$245, MRP!$B$2:$B$245, $C140, MRP!$G$2:$G$245, G$1),
    SUMIFS(MRP!$J$2:$J$245, MRP!$B$2:$B$245, $C140,  MRP!$G$2:$G$245, G$1),
    SUMIFS(MRP!$K$2:$K$245, MRP!$B$2:$B$245, $C140,  MRP!$G$2:$G$245, G$1),
    SUMIFS(MRP!$L$2:$L$245, MRP!$B$2:$B$245, $C140,  MRP!$G$2:$G$245, G$1)
)*F140</f>
        <v/>
      </c>
      <c r="H140" s="15">
        <f>SUM(
    SUMIFS(MRP!$H$2:$H$245, MRP!$B$2:$B$245, $C140, MRP!$G$2:$G$245, H$1),
    SUMIFS(MRP!$I$2:$I$245, MRP!$B$2:$B$245, $C140, MRP!$G$2:$G$245, H$1),
    SUMIFS(MRP!$J$2:$J$245, MRP!$B$2:$B$245, $C140,  MRP!$G$2:$G$245, H$1),
    SUMIFS(MRP!$K$2:$K$245, MRP!$B$2:$B$245, $C140,  MRP!$G$2:$G$245, H$1),
    SUMIFS(MRP!$L$2:$L$245, MRP!$B$2:$B$245, $C140,  MRP!$G$2:$G$245, H$1)
)*F140</f>
        <v/>
      </c>
      <c r="I140" s="15">
        <f>SUM(
    SUMIFS(MRP!$H$2:$H$245, MRP!$B$2:$B$245, $C140, MRP!$G$2:$G$245, I$1),
    SUMIFS(MRP!$I$2:$I$245, MRP!$B$2:$B$245, $C140, MRP!$G$2:$G$245, I$1),
    SUMIFS(MRP!$J$2:$J$245, MRP!$B$2:$B$245, $C140,  MRP!$G$2:$G$245, I$1),
    SUMIFS(MRP!$K$2:$K$245, MRP!$B$2:$B$245, $C140,  MRP!$G$2:$G$245, I$1),
    SUMIFS(MRP!$L$2:$L$245, MRP!$B$2:$B$245, $C140,  MRP!$G$2:$G$245, I$1)
)*F140</f>
        <v/>
      </c>
      <c r="J140" s="15">
        <f>SUM(
    SUMIFS(MRP!$H$2:$H$245, MRP!$B$2:$B$245, $C140, MRP!$G$2:$G$245, J$1),
    SUMIFS(MRP!$I$2:$I$245, MRP!$B$2:$B$245, $C140, MRP!$G$2:$G$245, J$1),
    SUMIFS(MRP!$J$2:$J$245, MRP!$B$2:$B$245, $C140,  MRP!$G$2:$G$245, J$1),
    SUMIFS(MRP!$K$2:$K$245, MRP!$B$2:$B$245, $C140,  MRP!$G$2:$G$245, J$1),
    SUMIFS(MRP!$L$2:$L$245, MRP!$B$2:$B$245, $C140,  MRP!$G$2:$G$245, J$1)
)*F140</f>
        <v/>
      </c>
      <c r="K140" s="15">
        <f>SUM(
    SUMIFS(MRP!$H$2:$H$245, MRP!$B$2:$B$245, $C140, MRP!$G$2:$G$245, K$1),
    SUMIFS(MRP!$I$2:$I$245, MRP!$B$2:$B$245, $C140, MRP!$G$2:$G$245, K$1),
    SUMIFS(MRP!$J$2:$J$245, MRP!$B$2:$B$245, $C140,  MRP!$G$2:$G$245, K$1),
    SUMIFS(MRP!$K$2:$K$245, MRP!$B$2:$B$245, $C140,  MRP!$G$2:$G$245, K$1),
    SUMIFS(MRP!$L$2:$L$245, MRP!$B$2:$B$245, $C140,  MRP!$G$2:$G$245, K$1)
)*F140</f>
        <v/>
      </c>
      <c r="L140" s="55">
        <f>TRIM(Tabla3[[#This Row],[CodInternoArti]])</f>
        <v/>
      </c>
    </row>
    <row r="141">
      <c r="A141" s="38">
        <f>IF(ISNUMBER(_xlfn.XMATCH(Tabla3[[#This Row],[CodInternoArti]],'Tabla Articulos'!B:B)),"OK","NO ESTA")</f>
        <v/>
      </c>
      <c r="B141" s="38">
        <f>IF(ISNUMBER(_xlfn.XMATCH('Calcular necesidad'!E:E,'Necesidad por familia'!A:A)),"OK","NO ESTA")</f>
        <v/>
      </c>
      <c r="C141" s="17" t="inlineStr">
        <is>
          <t>7790000000228</t>
        </is>
      </c>
      <c r="D141" s="1" t="inlineStr">
        <is>
          <t>GL_FILM PVC 38 CM 3.390KG X1UN</t>
        </is>
      </c>
      <c r="E141" s="1">
        <f>_xlfn.XLOOKUP(C141,'Tabla Articulos'!B:B,'Tabla Articulos'!D:D)</f>
        <v/>
      </c>
      <c r="F141" s="1" t="n">
        <v>1</v>
      </c>
      <c r="G141" s="15">
        <f>SUM(
    SUMIFS(MRP!$H$2:$H$245, MRP!$B$2:$B$245, $C141, MRP!$G$2:$G$245, G$1),
    SUMIFS(MRP!$I$2:$I$245, MRP!$B$2:$B$245, $C141, MRP!$G$2:$G$245, G$1),
    SUMIFS(MRP!$J$2:$J$245, MRP!$B$2:$B$245, $C141,  MRP!$G$2:$G$245, G$1),
    SUMIFS(MRP!$K$2:$K$245, MRP!$B$2:$B$245, $C141,  MRP!$G$2:$G$245, G$1),
    SUMIFS(MRP!$L$2:$L$245, MRP!$B$2:$B$245, $C141,  MRP!$G$2:$G$245, G$1)
)*F141</f>
        <v/>
      </c>
      <c r="H141" s="15">
        <f>SUM(
    SUMIFS(MRP!$H$2:$H$245, MRP!$B$2:$B$245, $C141, MRP!$G$2:$G$245, H$1),
    SUMIFS(MRP!$I$2:$I$245, MRP!$B$2:$B$245, $C141, MRP!$G$2:$G$245, H$1),
    SUMIFS(MRP!$J$2:$J$245, MRP!$B$2:$B$245, $C141,  MRP!$G$2:$G$245, H$1),
    SUMIFS(MRP!$K$2:$K$245, MRP!$B$2:$B$245, $C141,  MRP!$G$2:$G$245, H$1),
    SUMIFS(MRP!$L$2:$L$245, MRP!$B$2:$B$245, $C141,  MRP!$G$2:$G$245, H$1)
)*F141</f>
        <v/>
      </c>
      <c r="I141" s="15">
        <f>SUM(
    SUMIFS(MRP!$H$2:$H$245, MRP!$B$2:$B$245, $C141, MRP!$G$2:$G$245, I$1),
    SUMIFS(MRP!$I$2:$I$245, MRP!$B$2:$B$245, $C141, MRP!$G$2:$G$245, I$1),
    SUMIFS(MRP!$J$2:$J$245, MRP!$B$2:$B$245, $C141,  MRP!$G$2:$G$245, I$1),
    SUMIFS(MRP!$K$2:$K$245, MRP!$B$2:$B$245, $C141,  MRP!$G$2:$G$245, I$1),
    SUMIFS(MRP!$L$2:$L$245, MRP!$B$2:$B$245, $C141,  MRP!$G$2:$G$245, I$1)
)*F141</f>
        <v/>
      </c>
      <c r="J141" s="15">
        <f>SUM(
    SUMIFS(MRP!$H$2:$H$245, MRP!$B$2:$B$245, $C141, MRP!$G$2:$G$245, J$1),
    SUMIFS(MRP!$I$2:$I$245, MRP!$B$2:$B$245, $C141, MRP!$G$2:$G$245, J$1),
    SUMIFS(MRP!$J$2:$J$245, MRP!$B$2:$B$245, $C141,  MRP!$G$2:$G$245, J$1),
    SUMIFS(MRP!$K$2:$K$245, MRP!$B$2:$B$245, $C141,  MRP!$G$2:$G$245, J$1),
    SUMIFS(MRP!$L$2:$L$245, MRP!$B$2:$B$245, $C141,  MRP!$G$2:$G$245, J$1)
)*F141</f>
        <v/>
      </c>
      <c r="K141" s="15">
        <f>SUM(
    SUMIFS(MRP!$H$2:$H$245, MRP!$B$2:$B$245, $C141, MRP!$G$2:$G$245, K$1),
    SUMIFS(MRP!$I$2:$I$245, MRP!$B$2:$B$245, $C141, MRP!$G$2:$G$245, K$1),
    SUMIFS(MRP!$J$2:$J$245, MRP!$B$2:$B$245, $C141,  MRP!$G$2:$G$245, K$1),
    SUMIFS(MRP!$K$2:$K$245, MRP!$B$2:$B$245, $C141,  MRP!$G$2:$G$245, K$1),
    SUMIFS(MRP!$L$2:$L$245, MRP!$B$2:$B$245, $C141,  MRP!$G$2:$G$245, K$1)
)*F141</f>
        <v/>
      </c>
      <c r="L141" s="55">
        <f>TRIM(Tabla3[[#This Row],[CodInternoArti]])</f>
        <v/>
      </c>
    </row>
    <row r="142">
      <c r="A142" s="38">
        <f>IF(ISNUMBER(_xlfn.XMATCH(Tabla3[[#This Row],[CodInternoArti]],'Tabla Articulos'!B:B)),"OK","NO ESTA")</f>
        <v/>
      </c>
      <c r="B142" s="38">
        <f>IF(ISNUMBER(_xlfn.XMATCH('Calcular necesidad'!E:E,'Necesidad por familia'!A:A)),"OK","NO ESTA")</f>
        <v/>
      </c>
      <c r="C142" s="17" t="inlineStr">
        <is>
          <t>7790000000522</t>
        </is>
      </c>
      <c r="D142" s="1" t="inlineStr">
        <is>
          <t>GL CUCHILLO COMPOS.16CM X100 BIOPAC</t>
        </is>
      </c>
      <c r="E142" s="1">
        <f>_xlfn.XLOOKUP(C142,'Tabla Articulos'!B:B,'Tabla Articulos'!D:D)</f>
        <v/>
      </c>
      <c r="F142" s="1" t="n">
        <v>100</v>
      </c>
      <c r="G142" s="15">
        <f>SUM(
    SUMIFS(MRP!$H$2:$H$245, MRP!$B$2:$B$245, $C142, MRP!$G$2:$G$245, G$1),
    SUMIFS(MRP!$I$2:$I$245, MRP!$B$2:$B$245, $C142, MRP!$G$2:$G$245, G$1),
    SUMIFS(MRP!$J$2:$J$245, MRP!$B$2:$B$245, $C142,  MRP!$G$2:$G$245, G$1),
    SUMIFS(MRP!$K$2:$K$245, MRP!$B$2:$B$245, $C142,  MRP!$G$2:$G$245, G$1),
    SUMIFS(MRP!$L$2:$L$245, MRP!$B$2:$B$245, $C142,  MRP!$G$2:$G$245, G$1)
)*F142</f>
        <v/>
      </c>
      <c r="H142" s="15">
        <f>SUM(
    SUMIFS(MRP!$H$2:$H$245, MRP!$B$2:$B$245, $C142, MRP!$G$2:$G$245, H$1),
    SUMIFS(MRP!$I$2:$I$245, MRP!$B$2:$B$245, $C142, MRP!$G$2:$G$245, H$1),
    SUMIFS(MRP!$J$2:$J$245, MRP!$B$2:$B$245, $C142,  MRP!$G$2:$G$245, H$1),
    SUMIFS(MRP!$K$2:$K$245, MRP!$B$2:$B$245, $C142,  MRP!$G$2:$G$245, H$1),
    SUMIFS(MRP!$L$2:$L$245, MRP!$B$2:$B$245, $C142,  MRP!$G$2:$G$245, H$1)
)*F142</f>
        <v/>
      </c>
      <c r="I142" s="15">
        <f>SUM(
    SUMIFS(MRP!$H$2:$H$245, MRP!$B$2:$B$245, $C142, MRP!$G$2:$G$245, I$1),
    SUMIFS(MRP!$I$2:$I$245, MRP!$B$2:$B$245, $C142, MRP!$G$2:$G$245, I$1),
    SUMIFS(MRP!$J$2:$J$245, MRP!$B$2:$B$245, $C142,  MRP!$G$2:$G$245, I$1),
    SUMIFS(MRP!$K$2:$K$245, MRP!$B$2:$B$245, $C142,  MRP!$G$2:$G$245, I$1),
    SUMIFS(MRP!$L$2:$L$245, MRP!$B$2:$B$245, $C142,  MRP!$G$2:$G$245, I$1)
)*F142</f>
        <v/>
      </c>
      <c r="J142" s="15">
        <f>SUM(
    SUMIFS(MRP!$H$2:$H$245, MRP!$B$2:$B$245, $C142, MRP!$G$2:$G$245, J$1),
    SUMIFS(MRP!$I$2:$I$245, MRP!$B$2:$B$245, $C142, MRP!$G$2:$G$245, J$1),
    SUMIFS(MRP!$J$2:$J$245, MRP!$B$2:$B$245, $C142,  MRP!$G$2:$G$245, J$1),
    SUMIFS(MRP!$K$2:$K$245, MRP!$B$2:$B$245, $C142,  MRP!$G$2:$G$245, J$1),
    SUMIFS(MRP!$L$2:$L$245, MRP!$B$2:$B$245, $C142,  MRP!$G$2:$G$245, J$1)
)*F142</f>
        <v/>
      </c>
      <c r="K142" s="15">
        <f>SUM(
    SUMIFS(MRP!$H$2:$H$245, MRP!$B$2:$B$245, $C142, MRP!$G$2:$G$245, K$1),
    SUMIFS(MRP!$I$2:$I$245, MRP!$B$2:$B$245, $C142, MRP!$G$2:$G$245, K$1),
    SUMIFS(MRP!$J$2:$J$245, MRP!$B$2:$B$245, $C142,  MRP!$G$2:$G$245, K$1),
    SUMIFS(MRP!$K$2:$K$245, MRP!$B$2:$B$245, $C142,  MRP!$G$2:$G$245, K$1),
    SUMIFS(MRP!$L$2:$L$245, MRP!$B$2:$B$245, $C142,  MRP!$G$2:$G$245, K$1)
)*F142</f>
        <v/>
      </c>
      <c r="L142" s="55">
        <f>TRIM(Tabla3[[#This Row],[CodInternoArti]])</f>
        <v/>
      </c>
    </row>
    <row r="143">
      <c r="A143" s="38">
        <f>IF(ISNUMBER(_xlfn.XMATCH(Tabla3[[#This Row],[CodInternoArti]],'Tabla Articulos'!B:B)),"OK","NO ESTA")</f>
        <v/>
      </c>
      <c r="B143" s="38">
        <f>IF(ISNUMBER(_xlfn.XMATCH('Calcular necesidad'!E:E,'Necesidad por familia'!A:A)),"OK","NO ESTA")</f>
        <v/>
      </c>
      <c r="C143" s="17" t="inlineStr">
        <is>
          <t>756058757297</t>
        </is>
      </c>
      <c r="D143" s="1" t="inlineStr">
        <is>
          <t>FILM APTO TEMP 38X1000M XU CAC</t>
        </is>
      </c>
      <c r="E143" s="1">
        <f>_xlfn.XLOOKUP(C143,'Tabla Articulos'!B:B,'Tabla Articulos'!D:D)</f>
        <v/>
      </c>
      <c r="F143" s="1" t="n">
        <v>1</v>
      </c>
      <c r="G143" s="15">
        <f>SUM(
    SUMIFS(MRP!$H$2:$H$245, MRP!$B$2:$B$245, $C143, MRP!$G$2:$G$245, G$1),
    SUMIFS(MRP!$I$2:$I$245, MRP!$B$2:$B$245, $C143, MRP!$G$2:$G$245, G$1),
    SUMIFS(MRP!$J$2:$J$245, MRP!$B$2:$B$245, $C143,  MRP!$G$2:$G$245, G$1),
    SUMIFS(MRP!$K$2:$K$245, MRP!$B$2:$B$245, $C143,  MRP!$G$2:$G$245, G$1),
    SUMIFS(MRP!$L$2:$L$245, MRP!$B$2:$B$245, $C143,  MRP!$G$2:$G$245, G$1)
)*F143</f>
        <v/>
      </c>
      <c r="H143" s="15">
        <f>SUM(
    SUMIFS(MRP!$H$2:$H$245, MRP!$B$2:$B$245, $C143, MRP!$G$2:$G$245, H$1),
    SUMIFS(MRP!$I$2:$I$245, MRP!$B$2:$B$245, $C143, MRP!$G$2:$G$245, H$1),
    SUMIFS(MRP!$J$2:$J$245, MRP!$B$2:$B$245, $C143,  MRP!$G$2:$G$245, H$1),
    SUMIFS(MRP!$K$2:$K$245, MRP!$B$2:$B$245, $C143,  MRP!$G$2:$G$245, H$1),
    SUMIFS(MRP!$L$2:$L$245, MRP!$B$2:$B$245, $C143,  MRP!$G$2:$G$245, H$1)
)*F143</f>
        <v/>
      </c>
      <c r="I143" s="15">
        <f>SUM(
    SUMIFS(MRP!$H$2:$H$245, MRP!$B$2:$B$245, $C143, MRP!$G$2:$G$245, I$1),
    SUMIFS(MRP!$I$2:$I$245, MRP!$B$2:$B$245, $C143, MRP!$G$2:$G$245, I$1),
    SUMIFS(MRP!$J$2:$J$245, MRP!$B$2:$B$245, $C143,  MRP!$G$2:$G$245, I$1),
    SUMIFS(MRP!$K$2:$K$245, MRP!$B$2:$B$245, $C143,  MRP!$G$2:$G$245, I$1),
    SUMIFS(MRP!$L$2:$L$245, MRP!$B$2:$B$245, $C143,  MRP!$G$2:$G$245, I$1)
)*F143</f>
        <v/>
      </c>
      <c r="J143" s="15">
        <f>SUM(
    SUMIFS(MRP!$H$2:$H$245, MRP!$B$2:$B$245, $C143, MRP!$G$2:$G$245, J$1),
    SUMIFS(MRP!$I$2:$I$245, MRP!$B$2:$B$245, $C143, MRP!$G$2:$G$245, J$1),
    SUMIFS(MRP!$J$2:$J$245, MRP!$B$2:$B$245, $C143,  MRP!$G$2:$G$245, J$1),
    SUMIFS(MRP!$K$2:$K$245, MRP!$B$2:$B$245, $C143,  MRP!$G$2:$G$245, J$1),
    SUMIFS(MRP!$L$2:$L$245, MRP!$B$2:$B$245, $C143,  MRP!$G$2:$G$245, J$1)
)*F143</f>
        <v/>
      </c>
      <c r="K143" s="15">
        <f>SUM(
    SUMIFS(MRP!$H$2:$H$245, MRP!$B$2:$B$245, $C143, MRP!$G$2:$G$245, K$1),
    SUMIFS(MRP!$I$2:$I$245, MRP!$B$2:$B$245, $C143, MRP!$G$2:$G$245, K$1),
    SUMIFS(MRP!$J$2:$J$245, MRP!$B$2:$B$245, $C143,  MRP!$G$2:$G$245, K$1),
    SUMIFS(MRP!$K$2:$K$245, MRP!$B$2:$B$245, $C143,  MRP!$G$2:$G$245, K$1),
    SUMIFS(MRP!$L$2:$L$245, MRP!$B$2:$B$245, $C143,  MRP!$G$2:$G$245, K$1)
)*F143</f>
        <v/>
      </c>
      <c r="L143" s="55">
        <f>TRIM(Tabla3[[#This Row],[CodInternoArti]])</f>
        <v/>
      </c>
    </row>
    <row r="144">
      <c r="A144" s="38">
        <f>IF(ISNUMBER(_xlfn.XMATCH(Tabla3[[#This Row],[CodInternoArti]],'Tabla Articulos'!B:B)),"OK","NO ESTA")</f>
        <v/>
      </c>
      <c r="B144" s="38">
        <f>IF(ISNUMBER(_xlfn.XMATCH('Calcular necesidad'!E:E,'Necesidad por familia'!A:A)),"OK","NO ESTA")</f>
        <v/>
      </c>
      <c r="C144" s="17" t="inlineStr">
        <is>
          <t>7790000000278</t>
        </is>
      </c>
      <c r="D144" s="1" t="inlineStr">
        <is>
          <t>VO BAND PLAST 101 X 50U RECT COTNYL</t>
        </is>
      </c>
      <c r="E144" s="1">
        <f>_xlfn.XLOOKUP(C144,'Tabla Articulos'!B:B,'Tabla Articulos'!D:D)</f>
        <v/>
      </c>
      <c r="F144" s="1" t="n">
        <v>50</v>
      </c>
      <c r="G144" s="15">
        <f>SUM(
    SUMIFS(MRP!$H$2:$H$245, MRP!$B$2:$B$245, $C144, MRP!$G$2:$G$245, G$1),
    SUMIFS(MRP!$I$2:$I$245, MRP!$B$2:$B$245, $C144, MRP!$G$2:$G$245, G$1),
    SUMIFS(MRP!$J$2:$J$245, MRP!$B$2:$B$245, $C144,  MRP!$G$2:$G$245, G$1),
    SUMIFS(MRP!$K$2:$K$245, MRP!$B$2:$B$245, $C144,  MRP!$G$2:$G$245, G$1),
    SUMIFS(MRP!$L$2:$L$245, MRP!$B$2:$B$245, $C144,  MRP!$G$2:$G$245, G$1)
)*F144</f>
        <v/>
      </c>
      <c r="H144" s="15">
        <f>SUM(
    SUMIFS(MRP!$H$2:$H$245, MRP!$B$2:$B$245, $C144, MRP!$G$2:$G$245, H$1),
    SUMIFS(MRP!$I$2:$I$245, MRP!$B$2:$B$245, $C144, MRP!$G$2:$G$245, H$1),
    SUMIFS(MRP!$J$2:$J$245, MRP!$B$2:$B$245, $C144,  MRP!$G$2:$G$245, H$1),
    SUMIFS(MRP!$K$2:$K$245, MRP!$B$2:$B$245, $C144,  MRP!$G$2:$G$245, H$1),
    SUMIFS(MRP!$L$2:$L$245, MRP!$B$2:$B$245, $C144,  MRP!$G$2:$G$245, H$1)
)*F144</f>
        <v/>
      </c>
      <c r="I144" s="15">
        <f>SUM(
    SUMIFS(MRP!$H$2:$H$245, MRP!$B$2:$B$245, $C144, MRP!$G$2:$G$245, I$1),
    SUMIFS(MRP!$I$2:$I$245, MRP!$B$2:$B$245, $C144, MRP!$G$2:$G$245, I$1),
    SUMIFS(MRP!$J$2:$J$245, MRP!$B$2:$B$245, $C144,  MRP!$G$2:$G$245, I$1),
    SUMIFS(MRP!$K$2:$K$245, MRP!$B$2:$B$245, $C144,  MRP!$G$2:$G$245, I$1),
    SUMIFS(MRP!$L$2:$L$245, MRP!$B$2:$B$245, $C144,  MRP!$G$2:$G$245, I$1)
)*F144</f>
        <v/>
      </c>
      <c r="J144" s="15">
        <f>SUM(
    SUMIFS(MRP!$H$2:$H$245, MRP!$B$2:$B$245, $C144, MRP!$G$2:$G$245, J$1),
    SUMIFS(MRP!$I$2:$I$245, MRP!$B$2:$B$245, $C144, MRP!$G$2:$G$245, J$1),
    SUMIFS(MRP!$J$2:$J$245, MRP!$B$2:$B$245, $C144,  MRP!$G$2:$G$245, J$1),
    SUMIFS(MRP!$K$2:$K$245, MRP!$B$2:$B$245, $C144,  MRP!$G$2:$G$245, J$1),
    SUMIFS(MRP!$L$2:$L$245, MRP!$B$2:$B$245, $C144,  MRP!$G$2:$G$245, J$1)
)*F144</f>
        <v/>
      </c>
      <c r="K144" s="15">
        <f>SUM(
    SUMIFS(MRP!$H$2:$H$245, MRP!$B$2:$B$245, $C144, MRP!$G$2:$G$245, K$1),
    SUMIFS(MRP!$I$2:$I$245, MRP!$B$2:$B$245, $C144, MRP!$G$2:$G$245, K$1),
    SUMIFS(MRP!$J$2:$J$245, MRP!$B$2:$B$245, $C144,  MRP!$G$2:$G$245, K$1),
    SUMIFS(MRP!$K$2:$K$245, MRP!$B$2:$B$245, $C144,  MRP!$G$2:$G$245, K$1),
    SUMIFS(MRP!$L$2:$L$245, MRP!$B$2:$B$245, $C144,  MRP!$G$2:$G$245, K$1)
)*F144</f>
        <v/>
      </c>
      <c r="L144" s="55">
        <f>TRIM(Tabla3[[#This Row],[CodInternoArti]])</f>
        <v/>
      </c>
    </row>
    <row r="145">
      <c r="A145" s="38">
        <f>IF(ISNUMBER(_xlfn.XMATCH(Tabla3[[#This Row],[CodInternoArti]],'Tabla Articulos'!B:B)),"OK","NO ESTA")</f>
        <v/>
      </c>
      <c r="B145" s="38">
        <f>IF(ISNUMBER(_xlfn.XMATCH('Calcular necesidad'!E:E,'Necesidad por familia'!A:A)),"OK","NO ESTA")</f>
        <v/>
      </c>
      <c r="C145" s="17" t="inlineStr">
        <is>
          <t>7798011210039</t>
        </is>
      </c>
      <c r="D145" s="1" t="inlineStr">
        <is>
          <t>BANDEJA 102 MICRO COTNYL X100U</t>
        </is>
      </c>
      <c r="E145" s="1">
        <f>_xlfn.XLOOKUP(C145,'Tabla Articulos'!B:B,'Tabla Articulos'!D:D)</f>
        <v/>
      </c>
      <c r="F145" s="1" t="n">
        <v>100</v>
      </c>
      <c r="G145" s="15">
        <f>SUM(
    SUMIFS(MRP!$H$2:$H$245, MRP!$B$2:$B$245, $C145, MRP!$G$2:$G$245, G$1),
    SUMIFS(MRP!$I$2:$I$245, MRP!$B$2:$B$245, $C145, MRP!$G$2:$G$245, G$1),
    SUMIFS(MRP!$J$2:$J$245, MRP!$B$2:$B$245, $C145,  MRP!$G$2:$G$245, G$1),
    SUMIFS(MRP!$K$2:$K$245, MRP!$B$2:$B$245, $C145,  MRP!$G$2:$G$245, G$1),
    SUMIFS(MRP!$L$2:$L$245, MRP!$B$2:$B$245, $C145,  MRP!$G$2:$G$245, G$1)
)*F145</f>
        <v/>
      </c>
      <c r="H145" s="15">
        <f>SUM(
    SUMIFS(MRP!$H$2:$H$245, MRP!$B$2:$B$245, $C145, MRP!$G$2:$G$245, H$1),
    SUMIFS(MRP!$I$2:$I$245, MRP!$B$2:$B$245, $C145, MRP!$G$2:$G$245, H$1),
    SUMIFS(MRP!$J$2:$J$245, MRP!$B$2:$B$245, $C145,  MRP!$G$2:$G$245, H$1),
    SUMIFS(MRP!$K$2:$K$245, MRP!$B$2:$B$245, $C145,  MRP!$G$2:$G$245, H$1),
    SUMIFS(MRP!$L$2:$L$245, MRP!$B$2:$B$245, $C145,  MRP!$G$2:$G$245, H$1)
)*F145</f>
        <v/>
      </c>
      <c r="I145" s="15">
        <f>SUM(
    SUMIFS(MRP!$H$2:$H$245, MRP!$B$2:$B$245, $C145, MRP!$G$2:$G$245, I$1),
    SUMIFS(MRP!$I$2:$I$245, MRP!$B$2:$B$245, $C145, MRP!$G$2:$G$245, I$1),
    SUMIFS(MRP!$J$2:$J$245, MRP!$B$2:$B$245, $C145,  MRP!$G$2:$G$245, I$1),
    SUMIFS(MRP!$K$2:$K$245, MRP!$B$2:$B$245, $C145,  MRP!$G$2:$G$245, I$1),
    SUMIFS(MRP!$L$2:$L$245, MRP!$B$2:$B$245, $C145,  MRP!$G$2:$G$245, I$1)
)*F145</f>
        <v/>
      </c>
      <c r="J145" s="15">
        <f>SUM(
    SUMIFS(MRP!$H$2:$H$245, MRP!$B$2:$B$245, $C145, MRP!$G$2:$G$245, J$1),
    SUMIFS(MRP!$I$2:$I$245, MRP!$B$2:$B$245, $C145, MRP!$G$2:$G$245, J$1),
    SUMIFS(MRP!$J$2:$J$245, MRP!$B$2:$B$245, $C145,  MRP!$G$2:$G$245, J$1),
    SUMIFS(MRP!$K$2:$K$245, MRP!$B$2:$B$245, $C145,  MRP!$G$2:$G$245, J$1),
    SUMIFS(MRP!$L$2:$L$245, MRP!$B$2:$B$245, $C145,  MRP!$G$2:$G$245, J$1)
)*F145</f>
        <v/>
      </c>
      <c r="K145" s="15">
        <f>SUM(
    SUMIFS(MRP!$H$2:$H$245, MRP!$B$2:$B$245, $C145, MRP!$G$2:$G$245, K$1),
    SUMIFS(MRP!$I$2:$I$245, MRP!$B$2:$B$245, $C145, MRP!$G$2:$G$245, K$1),
    SUMIFS(MRP!$J$2:$J$245, MRP!$B$2:$B$245, $C145,  MRP!$G$2:$G$245, K$1),
    SUMIFS(MRP!$K$2:$K$245, MRP!$B$2:$B$245, $C145,  MRP!$G$2:$G$245, K$1),
    SUMIFS(MRP!$L$2:$L$245, MRP!$B$2:$B$245, $C145,  MRP!$G$2:$G$245, K$1)
)*F145</f>
        <v/>
      </c>
      <c r="L145" s="55">
        <f>TRIM(Tabla3[[#This Row],[CodInternoArti]])</f>
        <v/>
      </c>
    </row>
    <row r="146">
      <c r="A146" s="38">
        <f>IF(ISNUMBER(_xlfn.XMATCH(Tabla3[[#This Row],[CodInternoArti]],'Tabla Articulos'!B:B)),"OK","NO ESTA")</f>
        <v/>
      </c>
      <c r="B146" s="38">
        <f>IF(ISNUMBER(_xlfn.XMATCH('Calcular necesidad'!E:E,'Necesidad por familia'!A:A)),"OK","NO ESTA")</f>
        <v/>
      </c>
      <c r="C146" s="17" t="inlineStr">
        <is>
          <t>7790000000480</t>
        </is>
      </c>
      <c r="D146" s="1" t="inlineStr">
        <is>
          <t xml:space="preserve">GL_ROLLO BOLSA ARRANQ 40X60 MPROP </t>
        </is>
      </c>
      <c r="E146" s="1">
        <f>_xlfn.XLOOKUP(C146,'Tabla Articulos'!B:B,'Tabla Articulos'!D:D)</f>
        <v/>
      </c>
      <c r="F146" s="1" t="n">
        <v>1</v>
      </c>
      <c r="G146" s="15">
        <f>SUM(
    SUMIFS(MRP!$H$2:$H$245, MRP!$B$2:$B$245, $C146, MRP!$G$2:$G$245, G$1),
    SUMIFS(MRP!$I$2:$I$245, MRP!$B$2:$B$245, $C146, MRP!$G$2:$G$245, G$1),
    SUMIFS(MRP!$J$2:$J$245, MRP!$B$2:$B$245, $C146,  MRP!$G$2:$G$245, G$1),
    SUMIFS(MRP!$K$2:$K$245, MRP!$B$2:$B$245, $C146,  MRP!$G$2:$G$245, G$1),
    SUMIFS(MRP!$L$2:$L$245, MRP!$B$2:$B$245, $C146,  MRP!$G$2:$G$245, G$1)
)*F146</f>
        <v/>
      </c>
      <c r="H146" s="15">
        <f>SUM(
    SUMIFS(MRP!$H$2:$H$245, MRP!$B$2:$B$245, $C146, MRP!$G$2:$G$245, H$1),
    SUMIFS(MRP!$I$2:$I$245, MRP!$B$2:$B$245, $C146, MRP!$G$2:$G$245, H$1),
    SUMIFS(MRP!$J$2:$J$245, MRP!$B$2:$B$245, $C146,  MRP!$G$2:$G$245, H$1),
    SUMIFS(MRP!$K$2:$K$245, MRP!$B$2:$B$245, $C146,  MRP!$G$2:$G$245, H$1),
    SUMIFS(MRP!$L$2:$L$245, MRP!$B$2:$B$245, $C146,  MRP!$G$2:$G$245, H$1)
)*F146</f>
        <v/>
      </c>
      <c r="I146" s="15">
        <f>SUM(
    SUMIFS(MRP!$H$2:$H$245, MRP!$B$2:$B$245, $C146, MRP!$G$2:$G$245, I$1),
    SUMIFS(MRP!$I$2:$I$245, MRP!$B$2:$B$245, $C146, MRP!$G$2:$G$245, I$1),
    SUMIFS(MRP!$J$2:$J$245, MRP!$B$2:$B$245, $C146,  MRP!$G$2:$G$245, I$1),
    SUMIFS(MRP!$K$2:$K$245, MRP!$B$2:$B$245, $C146,  MRP!$G$2:$G$245, I$1),
    SUMIFS(MRP!$L$2:$L$245, MRP!$B$2:$B$245, $C146,  MRP!$G$2:$G$245, I$1)
)*F146</f>
        <v/>
      </c>
      <c r="J146" s="15">
        <f>SUM(
    SUMIFS(MRP!$H$2:$H$245, MRP!$B$2:$B$245, $C146, MRP!$G$2:$G$245, J$1),
    SUMIFS(MRP!$I$2:$I$245, MRP!$B$2:$B$245, $C146, MRP!$G$2:$G$245, J$1),
    SUMIFS(MRP!$J$2:$J$245, MRP!$B$2:$B$245, $C146,  MRP!$G$2:$G$245, J$1),
    SUMIFS(MRP!$K$2:$K$245, MRP!$B$2:$B$245, $C146,  MRP!$G$2:$G$245, J$1),
    SUMIFS(MRP!$L$2:$L$245, MRP!$B$2:$B$245, $C146,  MRP!$G$2:$G$245, J$1)
)*F146</f>
        <v/>
      </c>
      <c r="K146" s="15">
        <f>SUM(
    SUMIFS(MRP!$H$2:$H$245, MRP!$B$2:$B$245, $C146, MRP!$G$2:$G$245, K$1),
    SUMIFS(MRP!$I$2:$I$245, MRP!$B$2:$B$245, $C146, MRP!$G$2:$G$245, K$1),
    SUMIFS(MRP!$J$2:$J$245, MRP!$B$2:$B$245, $C146,  MRP!$G$2:$G$245, K$1),
    SUMIFS(MRP!$K$2:$K$245, MRP!$B$2:$B$245, $C146,  MRP!$G$2:$G$245, K$1),
    SUMIFS(MRP!$L$2:$L$245, MRP!$B$2:$B$245, $C146,  MRP!$G$2:$G$245, K$1)
)*F146</f>
        <v/>
      </c>
      <c r="L146" s="55">
        <f>TRIM(Tabla3[[#This Row],[CodInternoArti]])</f>
        <v/>
      </c>
    </row>
    <row r="147">
      <c r="A147" s="38">
        <f>IF(ISNUMBER(_xlfn.XMATCH(Tabla3[[#This Row],[CodInternoArti]],'Tabla Articulos'!B:B)),"OK","NO ESTA")</f>
        <v/>
      </c>
      <c r="B147" s="38">
        <f>IF(ISNUMBER(_xlfn.XMATCH('Calcular necesidad'!E:E,'Necesidad por familia'!A:A)),"OK","NO ESTA")</f>
        <v/>
      </c>
      <c r="C147" s="17" t="inlineStr">
        <is>
          <t>7790013877012</t>
        </is>
      </c>
      <c r="D147" s="1" t="inlineStr">
        <is>
          <t>SERVILLETA BCA 18X18X1000U BLUE</t>
        </is>
      </c>
      <c r="E147" s="1">
        <f>_xlfn.XLOOKUP(C147,'Tabla Articulos'!B:B,'Tabla Articulos'!D:D)</f>
        <v/>
      </c>
      <c r="F147" s="1">
        <f>_xlfn.XLOOKUP(C147,'Tabla Articulos'!B:B,'Tabla Articulos'!E:E)</f>
        <v/>
      </c>
      <c r="G147" s="15">
        <f>SUM(
    SUMIFS(MRP!$H$2:$H$245, MRP!$B$2:$B$245, $C147, MRP!$G$2:$G$245, G$1),
    SUMIFS(MRP!$I$2:$I$245, MRP!$B$2:$B$245, $C147, MRP!$G$2:$G$245, G$1),
    SUMIFS(MRP!$J$2:$J$245, MRP!$B$2:$B$245, $C147,  MRP!$G$2:$G$245, G$1),
    SUMIFS(MRP!$K$2:$K$245, MRP!$B$2:$B$245, $C147,  MRP!$G$2:$G$245, G$1),
    SUMIFS(MRP!$L$2:$L$245, MRP!$B$2:$B$245, $C147,  MRP!$G$2:$G$245, G$1)
)*F147</f>
        <v/>
      </c>
      <c r="H147" s="15">
        <f>SUM(
    SUMIFS(MRP!$H$2:$H$245, MRP!$B$2:$B$245, $C147, MRP!$G$2:$G$245, H$1),
    SUMIFS(MRP!$I$2:$I$245, MRP!$B$2:$B$245, $C147, MRP!$G$2:$G$245, H$1),
    SUMIFS(MRP!$J$2:$J$245, MRP!$B$2:$B$245, $C147,  MRP!$G$2:$G$245, H$1),
    SUMIFS(MRP!$K$2:$K$245, MRP!$B$2:$B$245, $C147,  MRP!$G$2:$G$245, H$1),
    SUMIFS(MRP!$L$2:$L$245, MRP!$B$2:$B$245, $C147,  MRP!$G$2:$G$245, H$1)
)*F147</f>
        <v/>
      </c>
      <c r="I147" s="15">
        <f>SUM(
    SUMIFS(MRP!$H$2:$H$245, MRP!$B$2:$B$245, $C147, MRP!$G$2:$G$245, I$1),
    SUMIFS(MRP!$I$2:$I$245, MRP!$B$2:$B$245, $C147, MRP!$G$2:$G$245, I$1),
    SUMIFS(MRP!$J$2:$J$245, MRP!$B$2:$B$245, $C147,  MRP!$G$2:$G$245, I$1),
    SUMIFS(MRP!$K$2:$K$245, MRP!$B$2:$B$245, $C147,  MRP!$G$2:$G$245, I$1),
    SUMIFS(MRP!$L$2:$L$245, MRP!$B$2:$B$245, $C147,  MRP!$G$2:$G$245, I$1)
)*F147</f>
        <v/>
      </c>
      <c r="J147" s="15">
        <f>SUM(
    SUMIFS(MRP!$H$2:$H$245, MRP!$B$2:$B$245, $C147, MRP!$G$2:$G$245, J$1),
    SUMIFS(MRP!$I$2:$I$245, MRP!$B$2:$B$245, $C147, MRP!$G$2:$G$245, J$1),
    SUMIFS(MRP!$J$2:$J$245, MRP!$B$2:$B$245, $C147,  MRP!$G$2:$G$245, J$1),
    SUMIFS(MRP!$K$2:$K$245, MRP!$B$2:$B$245, $C147,  MRP!$G$2:$G$245, J$1),
    SUMIFS(MRP!$L$2:$L$245, MRP!$B$2:$B$245, $C147,  MRP!$G$2:$G$245, J$1)
)*F147</f>
        <v/>
      </c>
      <c r="K147" s="15">
        <f>SUM(
    SUMIFS(MRP!$H$2:$H$245, MRP!$B$2:$B$245, $C147, MRP!$G$2:$G$245, K$1),
    SUMIFS(MRP!$I$2:$I$245, MRP!$B$2:$B$245, $C147, MRP!$G$2:$G$245, K$1),
    SUMIFS(MRP!$J$2:$J$245, MRP!$B$2:$B$245, $C147,  MRP!$G$2:$G$245, K$1),
    SUMIFS(MRP!$K$2:$K$245, MRP!$B$2:$B$245, $C147,  MRP!$G$2:$G$245, K$1),
    SUMIFS(MRP!$L$2:$L$245, MRP!$B$2:$B$245, $C147,  MRP!$G$2:$G$245, K$1)
)*F147</f>
        <v/>
      </c>
      <c r="L147" s="55">
        <f>TRIM(Tabla3[[#This Row],[CodInternoArti]])</f>
        <v/>
      </c>
    </row>
    <row r="148">
      <c r="A148" s="38">
        <f>IF(ISNUMBER(_xlfn.XMATCH(Tabla3[[#This Row],[CodInternoArti]],'Tabla Articulos'!B:B)),"OK","NO ESTA")</f>
        <v/>
      </c>
      <c r="B148" s="38">
        <f>IF(ISNUMBER(_xlfn.XMATCH('Calcular necesidad'!E:E,'Necesidad por familia'!A:A)),"OK","NO ESTA")</f>
        <v/>
      </c>
      <c r="C148" s="17" t="inlineStr">
        <is>
          <t>7792798664287</t>
        </is>
      </c>
      <c r="D148" s="1" t="inlineStr">
        <is>
          <t>BANDEJA 105 X200U COTNYL</t>
        </is>
      </c>
      <c r="E148" s="1">
        <f>_xlfn.XLOOKUP(C148,'Tabla Articulos'!B:B,'Tabla Articulos'!D:D)</f>
        <v/>
      </c>
      <c r="F148" s="1" t="n">
        <v>200</v>
      </c>
      <c r="G148" s="15">
        <f>SUM(
    SUMIFS(MRP!$H$2:$H$245, MRP!$B$2:$B$245, $C148, MRP!$G$2:$G$245, G$1),
    SUMIFS(MRP!$I$2:$I$245, MRP!$B$2:$B$245, $C148, MRP!$G$2:$G$245, G$1),
    SUMIFS(MRP!$J$2:$J$245, MRP!$B$2:$B$245, $C148,  MRP!$G$2:$G$245, G$1),
    SUMIFS(MRP!$K$2:$K$245, MRP!$B$2:$B$245, $C148,  MRP!$G$2:$G$245, G$1),
    SUMIFS(MRP!$L$2:$L$245, MRP!$B$2:$B$245, $C148,  MRP!$G$2:$G$245, G$1)
)*F148</f>
        <v/>
      </c>
      <c r="H148" s="15">
        <f>SUM(
    SUMIFS(MRP!$H$2:$H$245, MRP!$B$2:$B$245, $C148, MRP!$G$2:$G$245, H$1),
    SUMIFS(MRP!$I$2:$I$245, MRP!$B$2:$B$245, $C148, MRP!$G$2:$G$245, H$1),
    SUMIFS(MRP!$J$2:$J$245, MRP!$B$2:$B$245, $C148,  MRP!$G$2:$G$245, H$1),
    SUMIFS(MRP!$K$2:$K$245, MRP!$B$2:$B$245, $C148,  MRP!$G$2:$G$245, H$1),
    SUMIFS(MRP!$L$2:$L$245, MRP!$B$2:$B$245, $C148,  MRP!$G$2:$G$245, H$1)
)*F148</f>
        <v/>
      </c>
      <c r="I148" s="15">
        <f>SUM(
    SUMIFS(MRP!$H$2:$H$245, MRP!$B$2:$B$245, $C148, MRP!$G$2:$G$245, I$1),
    SUMIFS(MRP!$I$2:$I$245, MRP!$B$2:$B$245, $C148, MRP!$G$2:$G$245, I$1),
    SUMIFS(MRP!$J$2:$J$245, MRP!$B$2:$B$245, $C148,  MRP!$G$2:$G$245, I$1),
    SUMIFS(MRP!$K$2:$K$245, MRP!$B$2:$B$245, $C148,  MRP!$G$2:$G$245, I$1),
    SUMIFS(MRP!$L$2:$L$245, MRP!$B$2:$B$245, $C148,  MRP!$G$2:$G$245, I$1)
)*F148</f>
        <v/>
      </c>
      <c r="J148" s="15">
        <f>SUM(
    SUMIFS(MRP!$H$2:$H$245, MRP!$B$2:$B$245, $C148, MRP!$G$2:$G$245, J$1),
    SUMIFS(MRP!$I$2:$I$245, MRP!$B$2:$B$245, $C148, MRP!$G$2:$G$245, J$1),
    SUMIFS(MRP!$J$2:$J$245, MRP!$B$2:$B$245, $C148,  MRP!$G$2:$G$245, J$1),
    SUMIFS(MRP!$K$2:$K$245, MRP!$B$2:$B$245, $C148,  MRP!$G$2:$G$245, J$1),
    SUMIFS(MRP!$L$2:$L$245, MRP!$B$2:$B$245, $C148,  MRP!$G$2:$G$245, J$1)
)*F148</f>
        <v/>
      </c>
      <c r="K148" s="15">
        <f>SUM(
    SUMIFS(MRP!$H$2:$H$245, MRP!$B$2:$B$245, $C148, MRP!$G$2:$G$245, K$1),
    SUMIFS(MRP!$I$2:$I$245, MRP!$B$2:$B$245, $C148, MRP!$G$2:$G$245, K$1),
    SUMIFS(MRP!$J$2:$J$245, MRP!$B$2:$B$245, $C148,  MRP!$G$2:$G$245, K$1),
    SUMIFS(MRP!$K$2:$K$245, MRP!$B$2:$B$245, $C148,  MRP!$G$2:$G$245, K$1),
    SUMIFS(MRP!$L$2:$L$245, MRP!$B$2:$B$245, $C148,  MRP!$G$2:$G$245, K$1)
)*F148</f>
        <v/>
      </c>
      <c r="L148" s="55">
        <f>TRIM(Tabla3[[#This Row],[CodInternoArti]])</f>
        <v/>
      </c>
    </row>
    <row r="149">
      <c r="A149" s="38">
        <f>IF(ISNUMBER(_xlfn.XMATCH(Tabla3[[#This Row],[CodInternoArti]],'Tabla Articulos'!B:B)),"OK","NO ESTA")</f>
        <v/>
      </c>
      <c r="B149" s="38">
        <f>IF(ISNUMBER(_xlfn.XMATCH('Calcular necesidad'!E:E,'Necesidad por familia'!A:A)),"OK","NO ESTA")</f>
        <v/>
      </c>
      <c r="C149" s="17" t="inlineStr">
        <is>
          <t>7790991126352</t>
        </is>
      </c>
      <c r="D149" s="1" t="inlineStr">
        <is>
          <t>BANDEJA 101 X200U COTNYL</t>
        </is>
      </c>
      <c r="E149" s="1">
        <f>_xlfn.XLOOKUP(C149,'Tabla Articulos'!B:B,'Tabla Articulos'!D:D)</f>
        <v/>
      </c>
      <c r="F149" s="1" t="n">
        <v>200</v>
      </c>
      <c r="G149" s="15">
        <f>SUM(
    SUMIFS(MRP!$H$2:$H$245, MRP!$B$2:$B$245, $C149, MRP!$G$2:$G$245, G$1),
    SUMIFS(MRP!$I$2:$I$245, MRP!$B$2:$B$245, $C149, MRP!$G$2:$G$245, G$1),
    SUMIFS(MRP!$J$2:$J$245, MRP!$B$2:$B$245, $C149,  MRP!$G$2:$G$245, G$1),
    SUMIFS(MRP!$K$2:$K$245, MRP!$B$2:$B$245, $C149,  MRP!$G$2:$G$245, G$1),
    SUMIFS(MRP!$L$2:$L$245, MRP!$B$2:$B$245, $C149,  MRP!$G$2:$G$245, G$1)
)*F149</f>
        <v/>
      </c>
      <c r="H149" s="15">
        <f>SUM(
    SUMIFS(MRP!$H$2:$H$245, MRP!$B$2:$B$245, $C149, MRP!$G$2:$G$245, H$1),
    SUMIFS(MRP!$I$2:$I$245, MRP!$B$2:$B$245, $C149, MRP!$G$2:$G$245, H$1),
    SUMIFS(MRP!$J$2:$J$245, MRP!$B$2:$B$245, $C149,  MRP!$G$2:$G$245, H$1),
    SUMIFS(MRP!$K$2:$K$245, MRP!$B$2:$B$245, $C149,  MRP!$G$2:$G$245, H$1),
    SUMIFS(MRP!$L$2:$L$245, MRP!$B$2:$B$245, $C149,  MRP!$G$2:$G$245, H$1)
)*F149</f>
        <v/>
      </c>
      <c r="I149" s="15">
        <f>SUM(
    SUMIFS(MRP!$H$2:$H$245, MRP!$B$2:$B$245, $C149, MRP!$G$2:$G$245, I$1),
    SUMIFS(MRP!$I$2:$I$245, MRP!$B$2:$B$245, $C149, MRP!$G$2:$G$245, I$1),
    SUMIFS(MRP!$J$2:$J$245, MRP!$B$2:$B$245, $C149,  MRP!$G$2:$G$245, I$1),
    SUMIFS(MRP!$K$2:$K$245, MRP!$B$2:$B$245, $C149,  MRP!$G$2:$G$245, I$1),
    SUMIFS(MRP!$L$2:$L$245, MRP!$B$2:$B$245, $C149,  MRP!$G$2:$G$245, I$1)
)*F149</f>
        <v/>
      </c>
      <c r="J149" s="15">
        <f>SUM(
    SUMIFS(MRP!$H$2:$H$245, MRP!$B$2:$B$245, $C149, MRP!$G$2:$G$245, J$1),
    SUMIFS(MRP!$I$2:$I$245, MRP!$B$2:$B$245, $C149, MRP!$G$2:$G$245, J$1),
    SUMIFS(MRP!$J$2:$J$245, MRP!$B$2:$B$245, $C149,  MRP!$G$2:$G$245, J$1),
    SUMIFS(MRP!$K$2:$K$245, MRP!$B$2:$B$245, $C149,  MRP!$G$2:$G$245, J$1),
    SUMIFS(MRP!$L$2:$L$245, MRP!$B$2:$B$245, $C149,  MRP!$G$2:$G$245, J$1)
)*F149</f>
        <v/>
      </c>
      <c r="K149" s="15">
        <f>SUM(
    SUMIFS(MRP!$H$2:$H$245, MRP!$B$2:$B$245, $C149, MRP!$G$2:$G$245, K$1),
    SUMIFS(MRP!$I$2:$I$245, MRP!$B$2:$B$245, $C149, MRP!$G$2:$G$245, K$1),
    SUMIFS(MRP!$J$2:$J$245, MRP!$B$2:$B$245, $C149,  MRP!$G$2:$G$245, K$1),
    SUMIFS(MRP!$K$2:$K$245, MRP!$B$2:$B$245, $C149,  MRP!$G$2:$G$245, K$1),
    SUMIFS(MRP!$L$2:$L$245, MRP!$B$2:$B$245, $C149,  MRP!$G$2:$G$245, K$1)
)*F149</f>
        <v/>
      </c>
      <c r="L149" s="55">
        <f>TRIM(Tabla3[[#This Row],[CodInternoArti]])</f>
        <v/>
      </c>
    </row>
    <row r="150">
      <c r="A150" s="38">
        <f>IF(ISNUMBER(_xlfn.XMATCH(Tabla3[[#This Row],[CodInternoArti]],'Tabla Articulos'!B:B)),"OK","NO ESTA")</f>
        <v/>
      </c>
      <c r="B150" s="38">
        <f>IF(ISNUMBER(_xlfn.XMATCH('Calcular necesidad'!E:E,'Necesidad por familia'!A:A)),"OK","NO ESTA")</f>
        <v/>
      </c>
      <c r="C150" s="17" t="inlineStr">
        <is>
          <t>7795618001244</t>
        </is>
      </c>
      <c r="D150" s="1" t="inlineStr">
        <is>
          <t>VO BOLSA CAMISETA BCA 40X50X50UN</t>
        </is>
      </c>
      <c r="E150" s="1">
        <f>_xlfn.XLOOKUP(C150,'Tabla Articulos'!B:B,'Tabla Articulos'!D:D)</f>
        <v/>
      </c>
      <c r="F150" s="1" t="n">
        <v>50</v>
      </c>
      <c r="G150" s="15">
        <f>SUM(
    SUMIFS(MRP!$H$2:$H$245, MRP!$B$2:$B$245, $C150, MRP!$G$2:$G$245, G$1),
    SUMIFS(MRP!$I$2:$I$245, MRP!$B$2:$B$245, $C150, MRP!$G$2:$G$245, G$1),
    SUMIFS(MRP!$J$2:$J$245, MRP!$B$2:$B$245, $C150,  MRP!$G$2:$G$245, G$1),
    SUMIFS(MRP!$K$2:$K$245, MRP!$B$2:$B$245, $C150,  MRP!$G$2:$G$245, G$1),
    SUMIFS(MRP!$L$2:$L$245, MRP!$B$2:$B$245, $C150,  MRP!$G$2:$G$245, G$1)
)*F150</f>
        <v/>
      </c>
      <c r="H150" s="15">
        <f>SUM(
    SUMIFS(MRP!$H$2:$H$245, MRP!$B$2:$B$245, $C150, MRP!$G$2:$G$245, H$1),
    SUMIFS(MRP!$I$2:$I$245, MRP!$B$2:$B$245, $C150, MRP!$G$2:$G$245, H$1),
    SUMIFS(MRP!$J$2:$J$245, MRP!$B$2:$B$245, $C150,  MRP!$G$2:$G$245, H$1),
    SUMIFS(MRP!$K$2:$K$245, MRP!$B$2:$B$245, $C150,  MRP!$G$2:$G$245, H$1),
    SUMIFS(MRP!$L$2:$L$245, MRP!$B$2:$B$245, $C150,  MRP!$G$2:$G$245, H$1)
)*F150</f>
        <v/>
      </c>
      <c r="I150" s="15">
        <f>SUM(
    SUMIFS(MRP!$H$2:$H$245, MRP!$B$2:$B$245, $C150, MRP!$G$2:$G$245, I$1),
    SUMIFS(MRP!$I$2:$I$245, MRP!$B$2:$B$245, $C150, MRP!$G$2:$G$245, I$1),
    SUMIFS(MRP!$J$2:$J$245, MRP!$B$2:$B$245, $C150,  MRP!$G$2:$G$245, I$1),
    SUMIFS(MRP!$K$2:$K$245, MRP!$B$2:$B$245, $C150,  MRP!$G$2:$G$245, I$1),
    SUMIFS(MRP!$L$2:$L$245, MRP!$B$2:$B$245, $C150,  MRP!$G$2:$G$245, I$1)
)*F150</f>
        <v/>
      </c>
      <c r="J150" s="15">
        <f>SUM(
    SUMIFS(MRP!$H$2:$H$245, MRP!$B$2:$B$245, $C150, MRP!$G$2:$G$245, J$1),
    SUMIFS(MRP!$I$2:$I$245, MRP!$B$2:$B$245, $C150, MRP!$G$2:$G$245, J$1),
    SUMIFS(MRP!$J$2:$J$245, MRP!$B$2:$B$245, $C150,  MRP!$G$2:$G$245, J$1),
    SUMIFS(MRP!$K$2:$K$245, MRP!$B$2:$B$245, $C150,  MRP!$G$2:$G$245, J$1),
    SUMIFS(MRP!$L$2:$L$245, MRP!$B$2:$B$245, $C150,  MRP!$G$2:$G$245, J$1)
)*F150</f>
        <v/>
      </c>
      <c r="K150" s="15">
        <f>SUM(
    SUMIFS(MRP!$H$2:$H$245, MRP!$B$2:$B$245, $C150, MRP!$G$2:$G$245, K$1),
    SUMIFS(MRP!$I$2:$I$245, MRP!$B$2:$B$245, $C150, MRP!$G$2:$G$245, K$1),
    SUMIFS(MRP!$J$2:$J$245, MRP!$B$2:$B$245, $C150,  MRP!$G$2:$G$245, K$1),
    SUMIFS(MRP!$K$2:$K$245, MRP!$B$2:$B$245, $C150,  MRP!$G$2:$G$245, K$1),
    SUMIFS(MRP!$L$2:$L$245, MRP!$B$2:$B$245, $C150,  MRP!$G$2:$G$245, K$1)
)*F150</f>
        <v/>
      </c>
      <c r="L150" s="55">
        <f>TRIM(Tabla3[[#This Row],[CodInternoArti]])</f>
        <v/>
      </c>
    </row>
    <row r="151">
      <c r="A151" s="38">
        <f>IF(ISNUMBER(_xlfn.XMATCH(Tabla3[[#This Row],[CodInternoArti]],'Tabla Articulos'!B:B)),"OK","NO ESTA")</f>
        <v/>
      </c>
      <c r="B151" s="38">
        <f>IF(ISNUMBER(_xlfn.XMATCH('Calcular necesidad'!E:E,'Necesidad por familia'!A:A)),"OK","NO ESTA")</f>
        <v/>
      </c>
      <c r="C151" s="17" t="inlineStr">
        <is>
          <t>7798068951879</t>
        </is>
      </c>
      <c r="D151" s="1" t="inlineStr">
        <is>
          <t>BANDEJA 103 MICROONDAS COTNYL X100U</t>
        </is>
      </c>
      <c r="E151" s="1">
        <f>_xlfn.XLOOKUP(C151,'Tabla Articulos'!B:B,'Tabla Articulos'!D:D)</f>
        <v/>
      </c>
      <c r="F151" s="1" t="n">
        <v>100</v>
      </c>
      <c r="G151" s="15">
        <f>SUM(
    SUMIFS(MRP!$H$2:$H$245, MRP!$B$2:$B$245, $C151, MRP!$G$2:$G$245, G$1),
    SUMIFS(MRP!$I$2:$I$245, MRP!$B$2:$B$245, $C151, MRP!$G$2:$G$245, G$1),
    SUMIFS(MRP!$J$2:$J$245, MRP!$B$2:$B$245, $C151,  MRP!$G$2:$G$245, G$1),
    SUMIFS(MRP!$K$2:$K$245, MRP!$B$2:$B$245, $C151,  MRP!$G$2:$G$245, G$1),
    SUMIFS(MRP!$L$2:$L$245, MRP!$B$2:$B$245, $C151,  MRP!$G$2:$G$245, G$1)
)*F151</f>
        <v/>
      </c>
      <c r="H151" s="15">
        <f>SUM(
    SUMIFS(MRP!$H$2:$H$245, MRP!$B$2:$B$245, $C151, MRP!$G$2:$G$245, H$1),
    SUMIFS(MRP!$I$2:$I$245, MRP!$B$2:$B$245, $C151, MRP!$G$2:$G$245, H$1),
    SUMIFS(MRP!$J$2:$J$245, MRP!$B$2:$B$245, $C151,  MRP!$G$2:$G$245, H$1),
    SUMIFS(MRP!$K$2:$K$245, MRP!$B$2:$B$245, $C151,  MRP!$G$2:$G$245, H$1),
    SUMIFS(MRP!$L$2:$L$245, MRP!$B$2:$B$245, $C151,  MRP!$G$2:$G$245, H$1)
)*F151</f>
        <v/>
      </c>
      <c r="I151" s="15">
        <f>SUM(
    SUMIFS(MRP!$H$2:$H$245, MRP!$B$2:$B$245, $C151, MRP!$G$2:$G$245, I$1),
    SUMIFS(MRP!$I$2:$I$245, MRP!$B$2:$B$245, $C151, MRP!$G$2:$G$245, I$1),
    SUMIFS(MRP!$J$2:$J$245, MRP!$B$2:$B$245, $C151,  MRP!$G$2:$G$245, I$1),
    SUMIFS(MRP!$K$2:$K$245, MRP!$B$2:$B$245, $C151,  MRP!$G$2:$G$245, I$1),
    SUMIFS(MRP!$L$2:$L$245, MRP!$B$2:$B$245, $C151,  MRP!$G$2:$G$245, I$1)
)*F151</f>
        <v/>
      </c>
      <c r="J151" s="15">
        <f>SUM(
    SUMIFS(MRP!$H$2:$H$245, MRP!$B$2:$B$245, $C151, MRP!$G$2:$G$245, J$1),
    SUMIFS(MRP!$I$2:$I$245, MRP!$B$2:$B$245, $C151, MRP!$G$2:$G$245, J$1),
    SUMIFS(MRP!$J$2:$J$245, MRP!$B$2:$B$245, $C151,  MRP!$G$2:$G$245, J$1),
    SUMIFS(MRP!$K$2:$K$245, MRP!$B$2:$B$245, $C151,  MRP!$G$2:$G$245, J$1),
    SUMIFS(MRP!$L$2:$L$245, MRP!$B$2:$B$245, $C151,  MRP!$G$2:$G$245, J$1)
)*F151</f>
        <v/>
      </c>
      <c r="K151" s="15">
        <f>SUM(
    SUMIFS(MRP!$H$2:$H$245, MRP!$B$2:$B$245, $C151, MRP!$G$2:$G$245, K$1),
    SUMIFS(MRP!$I$2:$I$245, MRP!$B$2:$B$245, $C151, MRP!$G$2:$G$245, K$1),
    SUMIFS(MRP!$J$2:$J$245, MRP!$B$2:$B$245, $C151,  MRP!$G$2:$G$245, K$1),
    SUMIFS(MRP!$K$2:$K$245, MRP!$B$2:$B$245, $C151,  MRP!$G$2:$G$245, K$1),
    SUMIFS(MRP!$L$2:$L$245, MRP!$B$2:$B$245, $C151,  MRP!$G$2:$G$245, K$1)
)*F151</f>
        <v/>
      </c>
      <c r="L151" s="55">
        <f>TRIM(Tabla3[[#This Row],[CodInternoArti]])</f>
        <v/>
      </c>
    </row>
    <row r="152">
      <c r="A152" s="38">
        <f>IF(ISNUMBER(_xlfn.XMATCH(Tabla3[[#This Row],[CodInternoArti]],'Tabla Articulos'!B:B)),"OK","NO ESTA")</f>
        <v/>
      </c>
      <c r="B152" s="38">
        <f>IF(ISNUMBER(_xlfn.XMATCH('Calcular necesidad'!E:E,'Necesidad por familia'!A:A)),"OK","NO ESTA")</f>
        <v/>
      </c>
      <c r="C152" s="17" t="inlineStr">
        <is>
          <t>7790000000386</t>
        </is>
      </c>
      <c r="D152" s="1" t="inlineStr">
        <is>
          <t>BOLSA CAM NEGR REF 50X60X100U EVADEC</t>
        </is>
      </c>
      <c r="E152" s="1">
        <f>_xlfn.XLOOKUP(C152,'Tabla Articulos'!B:B,'Tabla Articulos'!D:D)</f>
        <v/>
      </c>
      <c r="F152" s="1" t="n">
        <v>100</v>
      </c>
      <c r="G152" s="15">
        <f>SUM(
    SUMIFS(MRP!$H$2:$H$245, MRP!$B$2:$B$245, $C152, MRP!$G$2:$G$245, G$1),
    SUMIFS(MRP!$I$2:$I$245, MRP!$B$2:$B$245, $C152, MRP!$G$2:$G$245, G$1),
    SUMIFS(MRP!$J$2:$J$245, MRP!$B$2:$B$245, $C152,  MRP!$G$2:$G$245, G$1),
    SUMIFS(MRP!$K$2:$K$245, MRP!$B$2:$B$245, $C152,  MRP!$G$2:$G$245, G$1),
    SUMIFS(MRP!$L$2:$L$245, MRP!$B$2:$B$245, $C152,  MRP!$G$2:$G$245, G$1)
)*F152</f>
        <v/>
      </c>
      <c r="H152" s="15">
        <f>SUM(
    SUMIFS(MRP!$H$2:$H$245, MRP!$B$2:$B$245, $C152, MRP!$G$2:$G$245, H$1),
    SUMIFS(MRP!$I$2:$I$245, MRP!$B$2:$B$245, $C152, MRP!$G$2:$G$245, H$1),
    SUMIFS(MRP!$J$2:$J$245, MRP!$B$2:$B$245, $C152,  MRP!$G$2:$G$245, H$1),
    SUMIFS(MRP!$K$2:$K$245, MRP!$B$2:$B$245, $C152,  MRP!$G$2:$G$245, H$1),
    SUMIFS(MRP!$L$2:$L$245, MRP!$B$2:$B$245, $C152,  MRP!$G$2:$G$245, H$1)
)*F152</f>
        <v/>
      </c>
      <c r="I152" s="15">
        <f>SUM(
    SUMIFS(MRP!$H$2:$H$245, MRP!$B$2:$B$245, $C152, MRP!$G$2:$G$245, I$1),
    SUMIFS(MRP!$I$2:$I$245, MRP!$B$2:$B$245, $C152, MRP!$G$2:$G$245, I$1),
    SUMIFS(MRP!$J$2:$J$245, MRP!$B$2:$B$245, $C152,  MRP!$G$2:$G$245, I$1),
    SUMIFS(MRP!$K$2:$K$245, MRP!$B$2:$B$245, $C152,  MRP!$G$2:$G$245, I$1),
    SUMIFS(MRP!$L$2:$L$245, MRP!$B$2:$B$245, $C152,  MRP!$G$2:$G$245, I$1)
)*F152</f>
        <v/>
      </c>
      <c r="J152" s="15">
        <f>SUM(
    SUMIFS(MRP!$H$2:$H$245, MRP!$B$2:$B$245, $C152, MRP!$G$2:$G$245, J$1),
    SUMIFS(MRP!$I$2:$I$245, MRP!$B$2:$B$245, $C152, MRP!$G$2:$G$245, J$1),
    SUMIFS(MRP!$J$2:$J$245, MRP!$B$2:$B$245, $C152,  MRP!$G$2:$G$245, J$1),
    SUMIFS(MRP!$K$2:$K$245, MRP!$B$2:$B$245, $C152,  MRP!$G$2:$G$245, J$1),
    SUMIFS(MRP!$L$2:$L$245, MRP!$B$2:$B$245, $C152,  MRP!$G$2:$G$245, J$1)
)*F152</f>
        <v/>
      </c>
      <c r="K152" s="15">
        <f>SUM(
    SUMIFS(MRP!$H$2:$H$245, MRP!$B$2:$B$245, $C152, MRP!$G$2:$G$245, K$1),
    SUMIFS(MRP!$I$2:$I$245, MRP!$B$2:$B$245, $C152, MRP!$G$2:$G$245, K$1),
    SUMIFS(MRP!$J$2:$J$245, MRP!$B$2:$B$245, $C152,  MRP!$G$2:$G$245, K$1),
    SUMIFS(MRP!$K$2:$K$245, MRP!$B$2:$B$245, $C152,  MRP!$G$2:$G$245, K$1),
    SUMIFS(MRP!$L$2:$L$245, MRP!$B$2:$B$245, $C152,  MRP!$G$2:$G$245, K$1)
)*F152</f>
        <v/>
      </c>
      <c r="L152" s="55">
        <f>TRIM(Tabla3[[#This Row],[CodInternoArti]])</f>
        <v/>
      </c>
    </row>
    <row r="153">
      <c r="A153" s="38">
        <f>IF(ISNUMBER(_xlfn.XMATCH(Tabla3[[#This Row],[CodInternoArti]],'Tabla Articulos'!B:B)),"OK","NO ESTA")</f>
        <v/>
      </c>
      <c r="B153" s="38">
        <f>IF(ISNUMBER(_xlfn.XMATCH('Calcular necesidad'!E:E,'Necesidad por familia'!A:A)),"OK","NO ESTA")</f>
        <v/>
      </c>
      <c r="C153" s="17" t="inlineStr">
        <is>
          <t>7790000000690</t>
        </is>
      </c>
      <c r="D153" s="1" t="inlineStr">
        <is>
          <t>SERVILLETA SIMIL TELA X1600U 40X40</t>
        </is>
      </c>
      <c r="E153" s="1">
        <f>_xlfn.XLOOKUP(C153,'Tabla Articulos'!B:B,'Tabla Articulos'!D:D)</f>
        <v/>
      </c>
      <c r="F153" s="1" t="n">
        <v>1600</v>
      </c>
      <c r="G153" s="15">
        <f>SUM(
    SUMIFS(MRP!$H$2:$H$245, MRP!$B$2:$B$245, $C153, MRP!$G$2:$G$245, G$1),
    SUMIFS(MRP!$I$2:$I$245, MRP!$B$2:$B$245, $C153, MRP!$G$2:$G$245, G$1),
    SUMIFS(MRP!$J$2:$J$245, MRP!$B$2:$B$245, $C153,  MRP!$G$2:$G$245, G$1),
    SUMIFS(MRP!$K$2:$K$245, MRP!$B$2:$B$245, $C153,  MRP!$G$2:$G$245, G$1),
    SUMIFS(MRP!$L$2:$L$245, MRP!$B$2:$B$245, $C153,  MRP!$G$2:$G$245, G$1)
)*F153</f>
        <v/>
      </c>
      <c r="H153" s="15">
        <f>SUM(
    SUMIFS(MRP!$H$2:$H$245, MRP!$B$2:$B$245, $C153, MRP!$G$2:$G$245, H$1),
    SUMIFS(MRP!$I$2:$I$245, MRP!$B$2:$B$245, $C153, MRP!$G$2:$G$245, H$1),
    SUMIFS(MRP!$J$2:$J$245, MRP!$B$2:$B$245, $C153,  MRP!$G$2:$G$245, H$1),
    SUMIFS(MRP!$K$2:$K$245, MRP!$B$2:$B$245, $C153,  MRP!$G$2:$G$245, H$1),
    SUMIFS(MRP!$L$2:$L$245, MRP!$B$2:$B$245, $C153,  MRP!$G$2:$G$245, H$1)
)*F153</f>
        <v/>
      </c>
      <c r="I153" s="15">
        <f>SUM(
    SUMIFS(MRP!$H$2:$H$245, MRP!$B$2:$B$245, $C153, MRP!$G$2:$G$245, I$1),
    SUMIFS(MRP!$I$2:$I$245, MRP!$B$2:$B$245, $C153, MRP!$G$2:$G$245, I$1),
    SUMIFS(MRP!$J$2:$J$245, MRP!$B$2:$B$245, $C153,  MRP!$G$2:$G$245, I$1),
    SUMIFS(MRP!$K$2:$K$245, MRP!$B$2:$B$245, $C153,  MRP!$G$2:$G$245, I$1),
    SUMIFS(MRP!$L$2:$L$245, MRP!$B$2:$B$245, $C153,  MRP!$G$2:$G$245, I$1)
)*F153</f>
        <v/>
      </c>
      <c r="J153" s="15">
        <f>SUM(
    SUMIFS(MRP!$H$2:$H$245, MRP!$B$2:$B$245, $C153, MRP!$G$2:$G$245, J$1),
    SUMIFS(MRP!$I$2:$I$245, MRP!$B$2:$B$245, $C153, MRP!$G$2:$G$245, J$1),
    SUMIFS(MRP!$J$2:$J$245, MRP!$B$2:$B$245, $C153,  MRP!$G$2:$G$245, J$1),
    SUMIFS(MRP!$K$2:$K$245, MRP!$B$2:$B$245, $C153,  MRP!$G$2:$G$245, J$1),
    SUMIFS(MRP!$L$2:$L$245, MRP!$B$2:$B$245, $C153,  MRP!$G$2:$G$245, J$1)
)*F153</f>
        <v/>
      </c>
      <c r="K153" s="15">
        <f>SUM(
    SUMIFS(MRP!$H$2:$H$245, MRP!$B$2:$B$245, $C153, MRP!$G$2:$G$245, K$1),
    SUMIFS(MRP!$I$2:$I$245, MRP!$B$2:$B$245, $C153, MRP!$G$2:$G$245, K$1),
    SUMIFS(MRP!$J$2:$J$245, MRP!$B$2:$B$245, $C153,  MRP!$G$2:$G$245, K$1),
    SUMIFS(MRP!$K$2:$K$245, MRP!$B$2:$B$245, $C153,  MRP!$G$2:$G$245, K$1),
    SUMIFS(MRP!$L$2:$L$245, MRP!$B$2:$B$245, $C153,  MRP!$G$2:$G$245, K$1)
)*F153</f>
        <v/>
      </c>
      <c r="L153" s="55">
        <f>TRIM(Tabla3[[#This Row],[CodInternoArti]])</f>
        <v/>
      </c>
    </row>
    <row r="154">
      <c r="A154" s="38">
        <f>IF(ISNUMBER(_xlfn.XMATCH(Tabla3[[#This Row],[CodInternoArti]],'Tabla Articulos'!B:B)),"OK","NO ESTA")</f>
        <v/>
      </c>
      <c r="B154" s="38">
        <f>IF(ISNUMBER(_xlfn.XMATCH('Calcular necesidad'!E:E,'Necesidad por familia'!A:A)),"OK","NO ESTA")</f>
        <v/>
      </c>
      <c r="C154" s="17" t="inlineStr">
        <is>
          <t>7798011211043</t>
        </is>
      </c>
      <c r="D154" s="1" t="inlineStr">
        <is>
          <t>BANDEJA 103 X100U MICRO COTNYL</t>
        </is>
      </c>
      <c r="E154" s="1">
        <f>_xlfn.XLOOKUP(C154,'Tabla Articulos'!B:B,'Tabla Articulos'!D:D)</f>
        <v/>
      </c>
      <c r="F154" s="1" t="n">
        <v>100</v>
      </c>
      <c r="G154" s="15">
        <f>SUM(
    SUMIFS(MRP!$H$2:$H$245, MRP!$B$2:$B$245, $C154, MRP!$G$2:$G$245, G$1),
    SUMIFS(MRP!$I$2:$I$245, MRP!$B$2:$B$245, $C154, MRP!$G$2:$G$245, G$1),
    SUMIFS(MRP!$J$2:$J$245, MRP!$B$2:$B$245, $C154,  MRP!$G$2:$G$245, G$1),
    SUMIFS(MRP!$K$2:$K$245, MRP!$B$2:$B$245, $C154,  MRP!$G$2:$G$245, G$1),
    SUMIFS(MRP!$L$2:$L$245, MRP!$B$2:$B$245, $C154,  MRP!$G$2:$G$245, G$1)
)*F154</f>
        <v/>
      </c>
      <c r="H154" s="15">
        <f>SUM(
    SUMIFS(MRP!$H$2:$H$245, MRP!$B$2:$B$245, $C154, MRP!$G$2:$G$245, H$1),
    SUMIFS(MRP!$I$2:$I$245, MRP!$B$2:$B$245, $C154, MRP!$G$2:$G$245, H$1),
    SUMIFS(MRP!$J$2:$J$245, MRP!$B$2:$B$245, $C154,  MRP!$G$2:$G$245, H$1),
    SUMIFS(MRP!$K$2:$K$245, MRP!$B$2:$B$245, $C154,  MRP!$G$2:$G$245, H$1),
    SUMIFS(MRP!$L$2:$L$245, MRP!$B$2:$B$245, $C154,  MRP!$G$2:$G$245, H$1)
)*F154</f>
        <v/>
      </c>
      <c r="I154" s="15">
        <f>SUM(
    SUMIFS(MRP!$H$2:$H$245, MRP!$B$2:$B$245, $C154, MRP!$G$2:$G$245, I$1),
    SUMIFS(MRP!$I$2:$I$245, MRP!$B$2:$B$245, $C154, MRP!$G$2:$G$245, I$1),
    SUMIFS(MRP!$J$2:$J$245, MRP!$B$2:$B$245, $C154,  MRP!$G$2:$G$245, I$1),
    SUMIFS(MRP!$K$2:$K$245, MRP!$B$2:$B$245, $C154,  MRP!$G$2:$G$245, I$1),
    SUMIFS(MRP!$L$2:$L$245, MRP!$B$2:$B$245, $C154,  MRP!$G$2:$G$245, I$1)
)*F154</f>
        <v/>
      </c>
      <c r="J154" s="15">
        <f>SUM(
    SUMIFS(MRP!$H$2:$H$245, MRP!$B$2:$B$245, $C154, MRP!$G$2:$G$245, J$1),
    SUMIFS(MRP!$I$2:$I$245, MRP!$B$2:$B$245, $C154, MRP!$G$2:$G$245, J$1),
    SUMIFS(MRP!$J$2:$J$245, MRP!$B$2:$B$245, $C154,  MRP!$G$2:$G$245, J$1),
    SUMIFS(MRP!$K$2:$K$245, MRP!$B$2:$B$245, $C154,  MRP!$G$2:$G$245, J$1),
    SUMIFS(MRP!$L$2:$L$245, MRP!$B$2:$B$245, $C154,  MRP!$G$2:$G$245, J$1)
)*F154</f>
        <v/>
      </c>
      <c r="K154" s="15">
        <f>SUM(
    SUMIFS(MRP!$H$2:$H$245, MRP!$B$2:$B$245, $C154, MRP!$G$2:$G$245, K$1),
    SUMIFS(MRP!$I$2:$I$245, MRP!$B$2:$B$245, $C154, MRP!$G$2:$G$245, K$1),
    SUMIFS(MRP!$J$2:$J$245, MRP!$B$2:$B$245, $C154,  MRP!$G$2:$G$245, K$1),
    SUMIFS(MRP!$K$2:$K$245, MRP!$B$2:$B$245, $C154,  MRP!$G$2:$G$245, K$1),
    SUMIFS(MRP!$L$2:$L$245, MRP!$B$2:$B$245, $C154,  MRP!$G$2:$G$245, K$1)
)*F154</f>
        <v/>
      </c>
      <c r="L154" s="55">
        <f>TRIM(Tabla3[[#This Row],[CodInternoArti]])</f>
        <v/>
      </c>
    </row>
    <row r="155">
      <c r="A155" s="38">
        <f>IF(ISNUMBER(_xlfn.XMATCH(Tabla3[[#This Row],[CodInternoArti]],'Tabla Articulos'!B:B)),"OK","NO ESTA")</f>
        <v/>
      </c>
      <c r="B155" s="38">
        <f>IF(ISNUMBER(_xlfn.XMATCH('Calcular necesidad'!E:E,'Necesidad por familia'!A:A)),"OK","NO ESTA")</f>
        <v/>
      </c>
      <c r="C155" s="17" t="inlineStr">
        <is>
          <t>7790458657255</t>
        </is>
      </c>
      <c r="D155" s="1" t="inlineStr">
        <is>
          <t>VO GUANTES LATEX ANTIDESLIZANTE TIBU</t>
        </is>
      </c>
      <c r="E155" s="1">
        <f>_xlfn.XLOOKUP(C155,'Tabla Articulos'!B:B,'Tabla Articulos'!D:D)</f>
        <v/>
      </c>
      <c r="F155" s="1" t="n"/>
      <c r="G155" s="15">
        <f>SUM(
    SUMIFS(MRP!$H$2:$H$245, MRP!$B$2:$B$245, $C155, MRP!$G$2:$G$245, G$1),
    SUMIFS(MRP!$I$2:$I$245, MRP!$B$2:$B$245, $C155, MRP!$G$2:$G$245, G$1),
    SUMIFS(MRP!$J$2:$J$245, MRP!$B$2:$B$245, $C155,  MRP!$G$2:$G$245, G$1),
    SUMIFS(MRP!$K$2:$K$245, MRP!$B$2:$B$245, $C155,  MRP!$G$2:$G$245, G$1),
    SUMIFS(MRP!$L$2:$L$245, MRP!$B$2:$B$245, $C155,  MRP!$G$2:$G$245, G$1)
)*F155</f>
        <v/>
      </c>
      <c r="H155" s="15">
        <f>SUM(
    SUMIFS(MRP!$H$2:$H$245, MRP!$B$2:$B$245, $C155, MRP!$G$2:$G$245, H$1),
    SUMIFS(MRP!$I$2:$I$245, MRP!$B$2:$B$245, $C155, MRP!$G$2:$G$245, H$1),
    SUMIFS(MRP!$J$2:$J$245, MRP!$B$2:$B$245, $C155,  MRP!$G$2:$G$245, H$1),
    SUMIFS(MRP!$K$2:$K$245, MRP!$B$2:$B$245, $C155,  MRP!$G$2:$G$245, H$1),
    SUMIFS(MRP!$L$2:$L$245, MRP!$B$2:$B$245, $C155,  MRP!$G$2:$G$245, H$1)
)*F155</f>
        <v/>
      </c>
      <c r="I155" s="15">
        <f>SUM(
    SUMIFS(MRP!$H$2:$H$245, MRP!$B$2:$B$245, $C155, MRP!$G$2:$G$245, I$1),
    SUMIFS(MRP!$I$2:$I$245, MRP!$B$2:$B$245, $C155, MRP!$G$2:$G$245, I$1),
    SUMIFS(MRP!$J$2:$J$245, MRP!$B$2:$B$245, $C155,  MRP!$G$2:$G$245, I$1),
    SUMIFS(MRP!$K$2:$K$245, MRP!$B$2:$B$245, $C155,  MRP!$G$2:$G$245, I$1),
    SUMIFS(MRP!$L$2:$L$245, MRP!$B$2:$B$245, $C155,  MRP!$G$2:$G$245, I$1)
)*F155</f>
        <v/>
      </c>
      <c r="J155" s="15">
        <f>SUM(
    SUMIFS(MRP!$H$2:$H$245, MRP!$B$2:$B$245, $C155, MRP!$G$2:$G$245, J$1),
    SUMIFS(MRP!$I$2:$I$245, MRP!$B$2:$B$245, $C155, MRP!$G$2:$G$245, J$1),
    SUMIFS(MRP!$J$2:$J$245, MRP!$B$2:$B$245, $C155,  MRP!$G$2:$G$245, J$1),
    SUMIFS(MRP!$K$2:$K$245, MRP!$B$2:$B$245, $C155,  MRP!$G$2:$G$245, J$1),
    SUMIFS(MRP!$L$2:$L$245, MRP!$B$2:$B$245, $C155,  MRP!$G$2:$G$245, J$1)
)*F155</f>
        <v/>
      </c>
      <c r="K155" s="15">
        <f>SUM(
    SUMIFS(MRP!$H$2:$H$245, MRP!$B$2:$B$245, $C155, MRP!$G$2:$G$245, K$1),
    SUMIFS(MRP!$I$2:$I$245, MRP!$B$2:$B$245, $C155, MRP!$G$2:$G$245, K$1),
    SUMIFS(MRP!$J$2:$J$245, MRP!$B$2:$B$245, $C155,  MRP!$G$2:$G$245, K$1),
    SUMIFS(MRP!$K$2:$K$245, MRP!$B$2:$B$245, $C155,  MRP!$G$2:$G$245, K$1),
    SUMIFS(MRP!$L$2:$L$245, MRP!$B$2:$B$245, $C155,  MRP!$G$2:$G$245, K$1)
)*F155</f>
        <v/>
      </c>
      <c r="L155" s="55">
        <f>TRIM(Tabla3[[#This Row],[CodInternoArti]])</f>
        <v/>
      </c>
    </row>
    <row r="156">
      <c r="A156" s="38">
        <f>IF(ISNUMBER(_xlfn.XMATCH(Tabla3[[#This Row],[CodInternoArti]],'Tabla Articulos'!B:B)),"OK","NO ESTA")</f>
        <v/>
      </c>
      <c r="B156" s="38">
        <f>IF(ISNUMBER(_xlfn.XMATCH('Calcular necesidad'!E:E,'Necesidad por familia'!A:A)),"OK","NO ESTA")</f>
        <v/>
      </c>
      <c r="C156" s="17" t="inlineStr">
        <is>
          <t>7790000000043</t>
        </is>
      </c>
      <c r="D156" s="1" t="inlineStr">
        <is>
          <t>MANTEL INDIVIDUAL KRAFT LISO X200U</t>
        </is>
      </c>
      <c r="E156" s="1">
        <f>_xlfn.XLOOKUP(C156,'Tabla Articulos'!B:B,'Tabla Articulos'!D:D)</f>
        <v/>
      </c>
      <c r="F156" s="1">
        <f>_xlfn.XLOOKUP(C156,'Tabla Articulos'!B:B,'Tabla Articulos'!E:E)</f>
        <v/>
      </c>
      <c r="G156" s="15">
        <f>SUM(
    SUMIFS(MRP!$H$2:$H$245, MRP!$B$2:$B$245, $C156, MRP!$G$2:$G$245, G$1),
    SUMIFS(MRP!$I$2:$I$245, MRP!$B$2:$B$245, $C156, MRP!$G$2:$G$245, G$1),
    SUMIFS(MRP!$J$2:$J$245, MRP!$B$2:$B$245, $C156,  MRP!$G$2:$G$245, G$1),
    SUMIFS(MRP!$K$2:$K$245, MRP!$B$2:$B$245, $C156,  MRP!$G$2:$G$245, G$1),
    SUMIFS(MRP!$L$2:$L$245, MRP!$B$2:$B$245, $C156,  MRP!$G$2:$G$245, G$1)
)*F156</f>
        <v/>
      </c>
      <c r="H156" s="15">
        <f>SUM(
    SUMIFS(MRP!$H$2:$H$245, MRP!$B$2:$B$245, $C156, MRP!$G$2:$G$245, H$1),
    SUMIFS(MRP!$I$2:$I$245, MRP!$B$2:$B$245, $C156, MRP!$G$2:$G$245, H$1),
    SUMIFS(MRP!$J$2:$J$245, MRP!$B$2:$B$245, $C156,  MRP!$G$2:$G$245, H$1),
    SUMIFS(MRP!$K$2:$K$245, MRP!$B$2:$B$245, $C156,  MRP!$G$2:$G$245, H$1),
    SUMIFS(MRP!$L$2:$L$245, MRP!$B$2:$B$245, $C156,  MRP!$G$2:$G$245, H$1)
)*F156</f>
        <v/>
      </c>
      <c r="I156" s="15">
        <f>SUM(
    SUMIFS(MRP!$H$2:$H$245, MRP!$B$2:$B$245, $C156, MRP!$G$2:$G$245, I$1),
    SUMIFS(MRP!$I$2:$I$245, MRP!$B$2:$B$245, $C156, MRP!$G$2:$G$245, I$1),
    SUMIFS(MRP!$J$2:$J$245, MRP!$B$2:$B$245, $C156,  MRP!$G$2:$G$245, I$1),
    SUMIFS(MRP!$K$2:$K$245, MRP!$B$2:$B$245, $C156,  MRP!$G$2:$G$245, I$1),
    SUMIFS(MRP!$L$2:$L$245, MRP!$B$2:$B$245, $C156,  MRP!$G$2:$G$245, I$1)
)*F156</f>
        <v/>
      </c>
      <c r="J156" s="15">
        <f>SUM(
    SUMIFS(MRP!$H$2:$H$245, MRP!$B$2:$B$245, $C156, MRP!$G$2:$G$245, J$1),
    SUMIFS(MRP!$I$2:$I$245, MRP!$B$2:$B$245, $C156, MRP!$G$2:$G$245, J$1),
    SUMIFS(MRP!$J$2:$J$245, MRP!$B$2:$B$245, $C156,  MRP!$G$2:$G$245, J$1),
    SUMIFS(MRP!$K$2:$K$245, MRP!$B$2:$B$245, $C156,  MRP!$G$2:$G$245, J$1),
    SUMIFS(MRP!$L$2:$L$245, MRP!$B$2:$B$245, $C156,  MRP!$G$2:$G$245, J$1)
)*F156</f>
        <v/>
      </c>
      <c r="K156" s="15">
        <f>SUM(
    SUMIFS(MRP!$H$2:$H$245, MRP!$B$2:$B$245, $C156, MRP!$G$2:$G$245, K$1),
    SUMIFS(MRP!$I$2:$I$245, MRP!$B$2:$B$245, $C156, MRP!$G$2:$G$245, K$1),
    SUMIFS(MRP!$J$2:$J$245, MRP!$B$2:$B$245, $C156,  MRP!$G$2:$G$245, K$1),
    SUMIFS(MRP!$K$2:$K$245, MRP!$B$2:$B$245, $C156,  MRP!$G$2:$G$245, K$1),
    SUMIFS(MRP!$L$2:$L$245, MRP!$B$2:$B$245, $C156,  MRP!$G$2:$G$245, K$1)
)*F156</f>
        <v/>
      </c>
      <c r="L156" s="55">
        <f>TRIM(Tabla3[[#This Row],[CodInternoArti]])</f>
        <v/>
      </c>
    </row>
    <row r="157">
      <c r="A157" s="38">
        <f>IF(ISNUMBER(_xlfn.XMATCH(Tabla3[[#This Row],[CodInternoArti]],'Tabla Articulos'!B:B)),"OK","NO ESTA")</f>
        <v/>
      </c>
      <c r="B157" s="38">
        <f>IF(ISNUMBER(_xlfn.XMATCH('Calcular necesidad'!E:E,'Necesidad por familia'!A:A)),"OK","NO ESTA")</f>
        <v/>
      </c>
      <c r="C157" s="17" t="inlineStr">
        <is>
          <t>7790000000517</t>
        </is>
      </c>
      <c r="D157" s="1" t="inlineStr">
        <is>
          <t>GL CUCH. COMP.11CM HEL.X100U BIOPAC</t>
        </is>
      </c>
      <c r="E157" s="1">
        <f>_xlfn.XLOOKUP(C157,'Tabla Articulos'!B:B,'Tabla Articulos'!D:D)</f>
        <v/>
      </c>
      <c r="F157" s="1">
        <f>_xlfn.XLOOKUP(C157,'Tabla Articulos'!B:B,'Tabla Articulos'!E:E)</f>
        <v/>
      </c>
      <c r="G157" s="15">
        <f>SUM(
    SUMIFS(MRP!$H$2:$H$245, MRP!$B$2:$B$245, $C157, MRP!$G$2:$G$245, G$1),
    SUMIFS(MRP!$I$2:$I$245, MRP!$B$2:$B$245, $C157, MRP!$G$2:$G$245, G$1),
    SUMIFS(MRP!$J$2:$J$245, MRP!$B$2:$B$245, $C157,  MRP!$G$2:$G$245, G$1),
    SUMIFS(MRP!$K$2:$K$245, MRP!$B$2:$B$245, $C157,  MRP!$G$2:$G$245, G$1),
    SUMIFS(MRP!$L$2:$L$245, MRP!$B$2:$B$245, $C157,  MRP!$G$2:$G$245, G$1)
)*F157</f>
        <v/>
      </c>
      <c r="H157" s="15">
        <f>SUM(
    SUMIFS(MRP!$H$2:$H$245, MRP!$B$2:$B$245, $C157, MRP!$G$2:$G$245, H$1),
    SUMIFS(MRP!$I$2:$I$245, MRP!$B$2:$B$245, $C157, MRP!$G$2:$G$245, H$1),
    SUMIFS(MRP!$J$2:$J$245, MRP!$B$2:$B$245, $C157,  MRP!$G$2:$G$245, H$1),
    SUMIFS(MRP!$K$2:$K$245, MRP!$B$2:$B$245, $C157,  MRP!$G$2:$G$245, H$1),
    SUMIFS(MRP!$L$2:$L$245, MRP!$B$2:$B$245, $C157,  MRP!$G$2:$G$245, H$1)
)*F157</f>
        <v/>
      </c>
      <c r="I157" s="15">
        <f>SUM(
    SUMIFS(MRP!$H$2:$H$245, MRP!$B$2:$B$245, $C157, MRP!$G$2:$G$245, I$1),
    SUMIFS(MRP!$I$2:$I$245, MRP!$B$2:$B$245, $C157, MRP!$G$2:$G$245, I$1),
    SUMIFS(MRP!$J$2:$J$245, MRP!$B$2:$B$245, $C157,  MRP!$G$2:$G$245, I$1),
    SUMIFS(MRP!$K$2:$K$245, MRP!$B$2:$B$245, $C157,  MRP!$G$2:$G$245, I$1),
    SUMIFS(MRP!$L$2:$L$245, MRP!$B$2:$B$245, $C157,  MRP!$G$2:$G$245, I$1)
)*F157</f>
        <v/>
      </c>
      <c r="J157" s="15">
        <f>SUM(
    SUMIFS(MRP!$H$2:$H$245, MRP!$B$2:$B$245, $C157, MRP!$G$2:$G$245, J$1),
    SUMIFS(MRP!$I$2:$I$245, MRP!$B$2:$B$245, $C157, MRP!$G$2:$G$245, J$1),
    SUMIFS(MRP!$J$2:$J$245, MRP!$B$2:$B$245, $C157,  MRP!$G$2:$G$245, J$1),
    SUMIFS(MRP!$K$2:$K$245, MRP!$B$2:$B$245, $C157,  MRP!$G$2:$G$245, J$1),
    SUMIFS(MRP!$L$2:$L$245, MRP!$B$2:$B$245, $C157,  MRP!$G$2:$G$245, J$1)
)*F157</f>
        <v/>
      </c>
      <c r="K157" s="15">
        <f>SUM(
    SUMIFS(MRP!$H$2:$H$245, MRP!$B$2:$B$245, $C157, MRP!$G$2:$G$245, K$1),
    SUMIFS(MRP!$I$2:$I$245, MRP!$B$2:$B$245, $C157, MRP!$G$2:$G$245, K$1),
    SUMIFS(MRP!$J$2:$J$245, MRP!$B$2:$B$245, $C157,  MRP!$G$2:$G$245, K$1),
    SUMIFS(MRP!$K$2:$K$245, MRP!$B$2:$B$245, $C157,  MRP!$G$2:$G$245, K$1),
    SUMIFS(MRP!$L$2:$L$245, MRP!$B$2:$B$245, $C157,  MRP!$G$2:$G$245, K$1)
)*F157</f>
        <v/>
      </c>
      <c r="L157" s="55">
        <f>TRIM(Tabla3[[#This Row],[CodInternoArti]])</f>
        <v/>
      </c>
    </row>
    <row r="158">
      <c r="A158" s="38">
        <f>IF(ISNUMBER(_xlfn.XMATCH(Tabla3[[#This Row],[CodInternoArti]],'Tabla Articulos'!B:B)),"OK","NO ESTA")</f>
        <v/>
      </c>
      <c r="B158" s="38">
        <f>IF(ISNUMBER(_xlfn.XMATCH('Calcular necesidad'!E:E,'Necesidad por familia'!A:A)),"OK","NO ESTA")</f>
        <v/>
      </c>
      <c r="C158" s="17" t="inlineStr">
        <is>
          <t>7798161675719</t>
        </is>
      </c>
      <c r="D158" s="1" t="inlineStr">
        <is>
          <t>GUANTE LATEX M X 100 EUROMIX</t>
        </is>
      </c>
      <c r="E158" s="1">
        <f>_xlfn.XLOOKUP(C158,'Tabla Articulos'!B:B,'Tabla Articulos'!D:D)</f>
        <v/>
      </c>
      <c r="F158" s="1">
        <f>_xlfn.XLOOKUP(C158,'Tabla Articulos'!B:B,'Tabla Articulos'!E:E)</f>
        <v/>
      </c>
      <c r="G158" s="15">
        <f>SUM(
    SUMIFS(MRP!$H$2:$H$245, MRP!$B$2:$B$245, $C158, MRP!$G$2:$G$245, G$1),
    SUMIFS(MRP!$I$2:$I$245, MRP!$B$2:$B$245, $C158, MRP!$G$2:$G$245, G$1),
    SUMIFS(MRP!$J$2:$J$245, MRP!$B$2:$B$245, $C158,  MRP!$G$2:$G$245, G$1),
    SUMIFS(MRP!$K$2:$K$245, MRP!$B$2:$B$245, $C158,  MRP!$G$2:$G$245, G$1),
    SUMIFS(MRP!$L$2:$L$245, MRP!$B$2:$B$245, $C158,  MRP!$G$2:$G$245, G$1)
)*F158</f>
        <v/>
      </c>
      <c r="H158" s="15">
        <f>SUM(
    SUMIFS(MRP!$H$2:$H$245, MRP!$B$2:$B$245, $C158, MRP!$G$2:$G$245, H$1),
    SUMIFS(MRP!$I$2:$I$245, MRP!$B$2:$B$245, $C158, MRP!$G$2:$G$245, H$1),
    SUMIFS(MRP!$J$2:$J$245, MRP!$B$2:$B$245, $C158,  MRP!$G$2:$G$245, H$1),
    SUMIFS(MRP!$K$2:$K$245, MRP!$B$2:$B$245, $C158,  MRP!$G$2:$G$245, H$1),
    SUMIFS(MRP!$L$2:$L$245, MRP!$B$2:$B$245, $C158,  MRP!$G$2:$G$245, H$1)
)*F158</f>
        <v/>
      </c>
      <c r="I158" s="15">
        <f>SUM(
    SUMIFS(MRP!$H$2:$H$245, MRP!$B$2:$B$245, $C158, MRP!$G$2:$G$245, I$1),
    SUMIFS(MRP!$I$2:$I$245, MRP!$B$2:$B$245, $C158, MRP!$G$2:$G$245, I$1),
    SUMIFS(MRP!$J$2:$J$245, MRP!$B$2:$B$245, $C158,  MRP!$G$2:$G$245, I$1),
    SUMIFS(MRP!$K$2:$K$245, MRP!$B$2:$B$245, $C158,  MRP!$G$2:$G$245, I$1),
    SUMIFS(MRP!$L$2:$L$245, MRP!$B$2:$B$245, $C158,  MRP!$G$2:$G$245, I$1)
)*F158</f>
        <v/>
      </c>
      <c r="J158" s="15">
        <f>SUM(
    SUMIFS(MRP!$H$2:$H$245, MRP!$B$2:$B$245, $C158, MRP!$G$2:$G$245, J$1),
    SUMIFS(MRP!$I$2:$I$245, MRP!$B$2:$B$245, $C158, MRP!$G$2:$G$245, J$1),
    SUMIFS(MRP!$J$2:$J$245, MRP!$B$2:$B$245, $C158,  MRP!$G$2:$G$245, J$1),
    SUMIFS(MRP!$K$2:$K$245, MRP!$B$2:$B$245, $C158,  MRP!$G$2:$G$245, J$1),
    SUMIFS(MRP!$L$2:$L$245, MRP!$B$2:$B$245, $C158,  MRP!$G$2:$G$245, J$1)
)*F158</f>
        <v/>
      </c>
      <c r="K158" s="15">
        <f>SUM(
    SUMIFS(MRP!$H$2:$H$245, MRP!$B$2:$B$245, $C158, MRP!$G$2:$G$245, K$1),
    SUMIFS(MRP!$I$2:$I$245, MRP!$B$2:$B$245, $C158, MRP!$G$2:$G$245, K$1),
    SUMIFS(MRP!$J$2:$J$245, MRP!$B$2:$B$245, $C158,  MRP!$G$2:$G$245, K$1),
    SUMIFS(MRP!$K$2:$K$245, MRP!$B$2:$B$245, $C158,  MRP!$G$2:$G$245, K$1),
    SUMIFS(MRP!$L$2:$L$245, MRP!$B$2:$B$245, $C158,  MRP!$G$2:$G$245, K$1)
)*F158</f>
        <v/>
      </c>
      <c r="L158" s="55">
        <f>TRIM(Tabla3[[#This Row],[CodInternoArti]])</f>
        <v/>
      </c>
    </row>
    <row r="159">
      <c r="A159" s="38">
        <f>IF(ISNUMBER(_xlfn.XMATCH(Tabla3[[#This Row],[CodInternoArti]],'Tabla Articulos'!B:B)),"OK","NO ESTA")</f>
        <v/>
      </c>
      <c r="B159" s="38">
        <f>IF(ISNUMBER(_xlfn.XMATCH('Calcular necesidad'!E:E,'Necesidad por familia'!A:A)),"OK","NO ESTA")</f>
        <v/>
      </c>
      <c r="C159" s="17" t="inlineStr">
        <is>
          <t>7790000000410</t>
        </is>
      </c>
      <c r="D159" s="1" t="inlineStr">
        <is>
          <t>VO SERV BEIGE 33X33X1000U CHEFGOURMET</t>
        </is>
      </c>
      <c r="E159" s="1">
        <f>_xlfn.XLOOKUP(C159,'Tabla Articulos'!B:B,'Tabla Articulos'!D:D)</f>
        <v/>
      </c>
      <c r="F159" s="1">
        <f>_xlfn.XLOOKUP(C159,'Tabla Articulos'!B:B,'Tabla Articulos'!E:E)</f>
        <v/>
      </c>
      <c r="G159" s="15">
        <f>SUM(
    SUMIFS(MRP!$H$2:$H$245, MRP!$B$2:$B$245, $C159, MRP!$G$2:$G$245, G$1),
    SUMIFS(MRP!$I$2:$I$245, MRP!$B$2:$B$245, $C159, MRP!$G$2:$G$245, G$1),
    SUMIFS(MRP!$J$2:$J$245, MRP!$B$2:$B$245, $C159,  MRP!$G$2:$G$245, G$1),
    SUMIFS(MRP!$K$2:$K$245, MRP!$B$2:$B$245, $C159,  MRP!$G$2:$G$245, G$1),
    SUMIFS(MRP!$L$2:$L$245, MRP!$B$2:$B$245, $C159,  MRP!$G$2:$G$245, G$1)
)*F159</f>
        <v/>
      </c>
      <c r="H159" s="15">
        <f>SUM(
    SUMIFS(MRP!$H$2:$H$245, MRP!$B$2:$B$245, $C159, MRP!$G$2:$G$245, H$1),
    SUMIFS(MRP!$I$2:$I$245, MRP!$B$2:$B$245, $C159, MRP!$G$2:$G$245, H$1),
    SUMIFS(MRP!$J$2:$J$245, MRP!$B$2:$B$245, $C159,  MRP!$G$2:$G$245, H$1),
    SUMIFS(MRP!$K$2:$K$245, MRP!$B$2:$B$245, $C159,  MRP!$G$2:$G$245, H$1),
    SUMIFS(MRP!$L$2:$L$245, MRP!$B$2:$B$245, $C159,  MRP!$G$2:$G$245, H$1)
)*F159</f>
        <v/>
      </c>
      <c r="I159" s="15">
        <f>SUM(
    SUMIFS(MRP!$H$2:$H$245, MRP!$B$2:$B$245, $C159, MRP!$G$2:$G$245, I$1),
    SUMIFS(MRP!$I$2:$I$245, MRP!$B$2:$B$245, $C159, MRP!$G$2:$G$245, I$1),
    SUMIFS(MRP!$J$2:$J$245, MRP!$B$2:$B$245, $C159,  MRP!$G$2:$G$245, I$1),
    SUMIFS(MRP!$K$2:$K$245, MRP!$B$2:$B$245, $C159,  MRP!$G$2:$G$245, I$1),
    SUMIFS(MRP!$L$2:$L$245, MRP!$B$2:$B$245, $C159,  MRP!$G$2:$G$245, I$1)
)*F159</f>
        <v/>
      </c>
      <c r="J159" s="15">
        <f>SUM(
    SUMIFS(MRP!$H$2:$H$245, MRP!$B$2:$B$245, $C159, MRP!$G$2:$G$245, J$1),
    SUMIFS(MRP!$I$2:$I$245, MRP!$B$2:$B$245, $C159, MRP!$G$2:$G$245, J$1),
    SUMIFS(MRP!$J$2:$J$245, MRP!$B$2:$B$245, $C159,  MRP!$G$2:$G$245, J$1),
    SUMIFS(MRP!$K$2:$K$245, MRP!$B$2:$B$245, $C159,  MRP!$G$2:$G$245, J$1),
    SUMIFS(MRP!$L$2:$L$245, MRP!$B$2:$B$245, $C159,  MRP!$G$2:$G$245, J$1)
)*F159</f>
        <v/>
      </c>
      <c r="K159" s="15">
        <f>SUM(
    SUMIFS(MRP!$H$2:$H$245, MRP!$B$2:$B$245, $C159, MRP!$G$2:$G$245, K$1),
    SUMIFS(MRP!$I$2:$I$245, MRP!$B$2:$B$245, $C159, MRP!$G$2:$G$245, K$1),
    SUMIFS(MRP!$J$2:$J$245, MRP!$B$2:$B$245, $C159,  MRP!$G$2:$G$245, K$1),
    SUMIFS(MRP!$K$2:$K$245, MRP!$B$2:$B$245, $C159,  MRP!$G$2:$G$245, K$1),
    SUMIFS(MRP!$L$2:$L$245, MRP!$B$2:$B$245, $C159,  MRP!$G$2:$G$245, K$1)
)*F159</f>
        <v/>
      </c>
      <c r="L159" s="55">
        <f>TRIM(Tabla3[[#This Row],[CodInternoArti]])</f>
        <v/>
      </c>
    </row>
    <row r="160">
      <c r="A160" s="38">
        <f>IF(ISNUMBER(_xlfn.XMATCH(Tabla3[[#This Row],[CodInternoArti]],'Tabla Articulos'!B:B)),"OK","NO ESTA")</f>
        <v/>
      </c>
      <c r="B160" s="38">
        <f>IF(ISNUMBER(_xlfn.XMATCH('Calcular necesidad'!E:E,'Necesidad por familia'!A:A)),"OK","NO ESTA")</f>
        <v/>
      </c>
      <c r="C160" s="17" t="inlineStr">
        <is>
          <t xml:space="preserve">7798452810027 </t>
        </is>
      </c>
      <c r="D160" s="1" t="inlineStr">
        <is>
          <t xml:space="preserve">GUANTES LATEX M X1000U ALUMAX  </t>
        </is>
      </c>
      <c r="E160" s="1">
        <f>_xlfn.XLOOKUP(C160,'Tabla Articulos'!B:B,'Tabla Articulos'!D:D)</f>
        <v/>
      </c>
      <c r="F160" s="1">
        <f>_xlfn.XLOOKUP(C160,'Tabla Articulos'!B:B,'Tabla Articulos'!E:E)</f>
        <v/>
      </c>
      <c r="G160" s="15">
        <f>SUM(
    SUMIFS(MRP!$H$2:$H$245, MRP!$B$2:$B$245, $C160, MRP!$G$2:$G$245, G$1),
    SUMIFS(MRP!$I$2:$I$245, MRP!$B$2:$B$245, $C160, MRP!$G$2:$G$245, G$1),
    SUMIFS(MRP!$J$2:$J$245, MRP!$B$2:$B$245, $C160,  MRP!$G$2:$G$245, G$1),
    SUMIFS(MRP!$K$2:$K$245, MRP!$B$2:$B$245, $C160,  MRP!$G$2:$G$245, G$1),
    SUMIFS(MRP!$L$2:$L$245, MRP!$B$2:$B$245, $C160,  MRP!$G$2:$G$245, G$1)
)*F160</f>
        <v/>
      </c>
      <c r="H160" s="15">
        <f>SUM(
    SUMIFS(MRP!$H$2:$H$245, MRP!$B$2:$B$245, $C160, MRP!$G$2:$G$245, H$1),
    SUMIFS(MRP!$I$2:$I$245, MRP!$B$2:$B$245, $C160, MRP!$G$2:$G$245, H$1),
    SUMIFS(MRP!$J$2:$J$245, MRP!$B$2:$B$245, $C160,  MRP!$G$2:$G$245, H$1),
    SUMIFS(MRP!$K$2:$K$245, MRP!$B$2:$B$245, $C160,  MRP!$G$2:$G$245, H$1),
    SUMIFS(MRP!$L$2:$L$245, MRP!$B$2:$B$245, $C160,  MRP!$G$2:$G$245, H$1)
)*F160</f>
        <v/>
      </c>
      <c r="I160" s="15">
        <f>SUM(
    SUMIFS(MRP!$H$2:$H$245, MRP!$B$2:$B$245, $C160, MRP!$G$2:$G$245, I$1),
    SUMIFS(MRP!$I$2:$I$245, MRP!$B$2:$B$245, $C160, MRP!$G$2:$G$245, I$1),
    SUMIFS(MRP!$J$2:$J$245, MRP!$B$2:$B$245, $C160,  MRP!$G$2:$G$245, I$1),
    SUMIFS(MRP!$K$2:$K$245, MRP!$B$2:$B$245, $C160,  MRP!$G$2:$G$245, I$1),
    SUMIFS(MRP!$L$2:$L$245, MRP!$B$2:$B$245, $C160,  MRP!$G$2:$G$245, I$1)
)*F160</f>
        <v/>
      </c>
      <c r="J160" s="15">
        <f>SUM(
    SUMIFS(MRP!$H$2:$H$245, MRP!$B$2:$B$245, $C160, MRP!$G$2:$G$245, J$1),
    SUMIFS(MRP!$I$2:$I$245, MRP!$B$2:$B$245, $C160, MRP!$G$2:$G$245, J$1),
    SUMIFS(MRP!$J$2:$J$245, MRP!$B$2:$B$245, $C160,  MRP!$G$2:$G$245, J$1),
    SUMIFS(MRP!$K$2:$K$245, MRP!$B$2:$B$245, $C160,  MRP!$G$2:$G$245, J$1),
    SUMIFS(MRP!$L$2:$L$245, MRP!$B$2:$B$245, $C160,  MRP!$G$2:$G$245, J$1)
)*F160</f>
        <v/>
      </c>
      <c r="K160" s="15">
        <f>SUM(
    SUMIFS(MRP!$H$2:$H$245, MRP!$B$2:$B$245, $C160, MRP!$G$2:$G$245, K$1),
    SUMIFS(MRP!$I$2:$I$245, MRP!$B$2:$B$245, $C160, MRP!$G$2:$G$245, K$1),
    SUMIFS(MRP!$J$2:$J$245, MRP!$B$2:$B$245, $C160,  MRP!$G$2:$G$245, K$1),
    SUMIFS(MRP!$K$2:$K$245, MRP!$B$2:$B$245, $C160,  MRP!$G$2:$G$245, K$1),
    SUMIFS(MRP!$L$2:$L$245, MRP!$B$2:$B$245, $C160,  MRP!$G$2:$G$245, K$1)
)*F160</f>
        <v/>
      </c>
      <c r="L160" s="55">
        <f>TRIM(Tabla3[[#This Row],[CodInternoArti]])</f>
        <v/>
      </c>
    </row>
    <row r="161">
      <c r="A161" s="38">
        <f>IF(ISNUMBER(_xlfn.XMATCH(Tabla3[[#This Row],[CodInternoArti]],'Tabla Articulos'!B:B)),"OK","NO ESTA")</f>
        <v/>
      </c>
      <c r="B161" s="38">
        <f>IF(ISNUMBER(_xlfn.XMATCH('Calcular necesidad'!E:E,'Necesidad por familia'!A:A)),"OK","NO ESTA")</f>
        <v/>
      </c>
      <c r="C161" s="17" t="inlineStr">
        <is>
          <t>7798662008446</t>
        </is>
      </c>
      <c r="D161" s="1" t="inlineStr">
        <is>
          <t>VASO TERMICO 240CC X100U</t>
        </is>
      </c>
      <c r="E161" s="1">
        <f>_xlfn.XLOOKUP(C161,'Tabla Articulos'!B:B,'Tabla Articulos'!D:D)</f>
        <v/>
      </c>
      <c r="F161" s="1">
        <f>_xlfn.XLOOKUP(C161,'Tabla Articulos'!B:B,'Tabla Articulos'!E:E)</f>
        <v/>
      </c>
      <c r="G161" s="15">
        <f>SUM(
    SUMIFS(MRP!$H$2:$H$245, MRP!$B$2:$B$245, $C161, MRP!$G$2:$G$245, G$1),
    SUMIFS(MRP!$I$2:$I$245, MRP!$B$2:$B$245, $C161, MRP!$G$2:$G$245, G$1),
    SUMIFS(MRP!$J$2:$J$245, MRP!$B$2:$B$245, $C161,  MRP!$G$2:$G$245, G$1),
    SUMIFS(MRP!$K$2:$K$245, MRP!$B$2:$B$245, $C161,  MRP!$G$2:$G$245, G$1),
    SUMIFS(MRP!$L$2:$L$245, MRP!$B$2:$B$245, $C161,  MRP!$G$2:$G$245, G$1)
)*F161</f>
        <v/>
      </c>
      <c r="H161" s="15">
        <f>SUM(
    SUMIFS(MRP!$H$2:$H$245, MRP!$B$2:$B$245, $C161, MRP!$G$2:$G$245, H$1),
    SUMIFS(MRP!$I$2:$I$245, MRP!$B$2:$B$245, $C161, MRP!$G$2:$G$245, H$1),
    SUMIFS(MRP!$J$2:$J$245, MRP!$B$2:$B$245, $C161,  MRP!$G$2:$G$245, H$1),
    SUMIFS(MRP!$K$2:$K$245, MRP!$B$2:$B$245, $C161,  MRP!$G$2:$G$245, H$1),
    SUMIFS(MRP!$L$2:$L$245, MRP!$B$2:$B$245, $C161,  MRP!$G$2:$G$245, H$1)
)*F161</f>
        <v/>
      </c>
      <c r="I161" s="15">
        <f>SUM(
    SUMIFS(MRP!$H$2:$H$245, MRP!$B$2:$B$245, $C161, MRP!$G$2:$G$245, I$1),
    SUMIFS(MRP!$I$2:$I$245, MRP!$B$2:$B$245, $C161, MRP!$G$2:$G$245, I$1),
    SUMIFS(MRP!$J$2:$J$245, MRP!$B$2:$B$245, $C161,  MRP!$G$2:$G$245, I$1),
    SUMIFS(MRP!$K$2:$K$245, MRP!$B$2:$B$245, $C161,  MRP!$G$2:$G$245, I$1),
    SUMIFS(MRP!$L$2:$L$245, MRP!$B$2:$B$245, $C161,  MRP!$G$2:$G$245, I$1)
)*F161</f>
        <v/>
      </c>
      <c r="J161" s="15">
        <f>SUM(
    SUMIFS(MRP!$H$2:$H$245, MRP!$B$2:$B$245, $C161, MRP!$G$2:$G$245, J$1),
    SUMIFS(MRP!$I$2:$I$245, MRP!$B$2:$B$245, $C161, MRP!$G$2:$G$245, J$1),
    SUMIFS(MRP!$J$2:$J$245, MRP!$B$2:$B$245, $C161,  MRP!$G$2:$G$245, J$1),
    SUMIFS(MRP!$K$2:$K$245, MRP!$B$2:$B$245, $C161,  MRP!$G$2:$G$245, J$1),
    SUMIFS(MRP!$L$2:$L$245, MRP!$B$2:$B$245, $C161,  MRP!$G$2:$G$245, J$1)
)*F161</f>
        <v/>
      </c>
      <c r="K161" s="15">
        <f>SUM(
    SUMIFS(MRP!$H$2:$H$245, MRP!$B$2:$B$245, $C161, MRP!$G$2:$G$245, K$1),
    SUMIFS(MRP!$I$2:$I$245, MRP!$B$2:$B$245, $C161, MRP!$G$2:$G$245, K$1),
    SUMIFS(MRP!$J$2:$J$245, MRP!$B$2:$B$245, $C161,  MRP!$G$2:$G$245, K$1),
    SUMIFS(MRP!$K$2:$K$245, MRP!$B$2:$B$245, $C161,  MRP!$G$2:$G$245, K$1),
    SUMIFS(MRP!$L$2:$L$245, MRP!$B$2:$B$245, $C161,  MRP!$G$2:$G$245, K$1)
)*F161</f>
        <v/>
      </c>
      <c r="L161" s="55">
        <f>TRIM(Tabla3[[#This Row],[CodInternoArti]])</f>
        <v/>
      </c>
    </row>
    <row r="162">
      <c r="A162" s="38">
        <f>IF(ISNUMBER(_xlfn.XMATCH(Tabla3[[#This Row],[CodInternoArti]],'Tabla Articulos'!B:B)),"OK","NO ESTA")</f>
        <v/>
      </c>
      <c r="B162" s="38">
        <f>IF(ISNUMBER(_xlfn.XMATCH('Calcular necesidad'!E:E,'Necesidad por familia'!A:A)),"OK","NO ESTA")</f>
        <v/>
      </c>
      <c r="C162" s="17" t="inlineStr">
        <is>
          <t>7798011210077</t>
        </is>
      </c>
      <c r="D162" s="1" t="inlineStr">
        <is>
          <t>BANDEJA 105 X100U COTNYL</t>
        </is>
      </c>
      <c r="E162" s="1">
        <f>_xlfn.XLOOKUP(C162,'Tabla Articulos'!B:B,'Tabla Articulos'!D:D)</f>
        <v/>
      </c>
      <c r="F162" s="1">
        <f>_xlfn.XLOOKUP(C162,'Tabla Articulos'!B:B,'Tabla Articulos'!E:E)</f>
        <v/>
      </c>
      <c r="G162" s="15">
        <f>SUM(
    SUMIFS(MRP!$H$2:$H$245, MRP!$B$2:$B$245, $C162, MRP!$G$2:$G$245, G$1),
    SUMIFS(MRP!$I$2:$I$245, MRP!$B$2:$B$245, $C162, MRP!$G$2:$G$245, G$1),
    SUMIFS(MRP!$J$2:$J$245, MRP!$B$2:$B$245, $C162,  MRP!$G$2:$G$245, G$1),
    SUMIFS(MRP!$K$2:$K$245, MRP!$B$2:$B$245, $C162,  MRP!$G$2:$G$245, G$1),
    SUMIFS(MRP!$L$2:$L$245, MRP!$B$2:$B$245, $C162,  MRP!$G$2:$G$245, G$1)
)*F162</f>
        <v/>
      </c>
      <c r="H162" s="15">
        <f>SUM(
    SUMIFS(MRP!$H$2:$H$245, MRP!$B$2:$B$245, $C162, MRP!$G$2:$G$245, H$1),
    SUMIFS(MRP!$I$2:$I$245, MRP!$B$2:$B$245, $C162, MRP!$G$2:$G$245, H$1),
    SUMIFS(MRP!$J$2:$J$245, MRP!$B$2:$B$245, $C162,  MRP!$G$2:$G$245, H$1),
    SUMIFS(MRP!$K$2:$K$245, MRP!$B$2:$B$245, $C162,  MRP!$G$2:$G$245, H$1),
    SUMIFS(MRP!$L$2:$L$245, MRP!$B$2:$B$245, $C162,  MRP!$G$2:$G$245, H$1)
)*F162</f>
        <v/>
      </c>
      <c r="I162" s="15">
        <f>SUM(
    SUMIFS(MRP!$H$2:$H$245, MRP!$B$2:$B$245, $C162, MRP!$G$2:$G$245, I$1),
    SUMIFS(MRP!$I$2:$I$245, MRP!$B$2:$B$245, $C162, MRP!$G$2:$G$245, I$1),
    SUMIFS(MRP!$J$2:$J$245, MRP!$B$2:$B$245, $C162,  MRP!$G$2:$G$245, I$1),
    SUMIFS(MRP!$K$2:$K$245, MRP!$B$2:$B$245, $C162,  MRP!$G$2:$G$245, I$1),
    SUMIFS(MRP!$L$2:$L$245, MRP!$B$2:$B$245, $C162,  MRP!$G$2:$G$245, I$1)
)*F162</f>
        <v/>
      </c>
      <c r="J162" s="15">
        <f>SUM(
    SUMIFS(MRP!$H$2:$H$245, MRP!$B$2:$B$245, $C162, MRP!$G$2:$G$245, J$1),
    SUMIFS(MRP!$I$2:$I$245, MRP!$B$2:$B$245, $C162, MRP!$G$2:$G$245, J$1),
    SUMIFS(MRP!$J$2:$J$245, MRP!$B$2:$B$245, $C162,  MRP!$G$2:$G$245, J$1),
    SUMIFS(MRP!$K$2:$K$245, MRP!$B$2:$B$245, $C162,  MRP!$G$2:$G$245, J$1),
    SUMIFS(MRP!$L$2:$L$245, MRP!$B$2:$B$245, $C162,  MRP!$G$2:$G$245, J$1)
)*F162</f>
        <v/>
      </c>
      <c r="K162" s="15">
        <f>SUM(
    SUMIFS(MRP!$H$2:$H$245, MRP!$B$2:$B$245, $C162, MRP!$G$2:$G$245, K$1),
    SUMIFS(MRP!$I$2:$I$245, MRP!$B$2:$B$245, $C162, MRP!$G$2:$G$245, K$1),
    SUMIFS(MRP!$J$2:$J$245, MRP!$B$2:$B$245, $C162,  MRP!$G$2:$G$245, K$1),
    SUMIFS(MRP!$K$2:$K$245, MRP!$B$2:$B$245, $C162,  MRP!$G$2:$G$245, K$1),
    SUMIFS(MRP!$L$2:$L$245, MRP!$B$2:$B$245, $C162,  MRP!$G$2:$G$245, K$1)
)*F162</f>
        <v/>
      </c>
      <c r="L162" s="55">
        <f>TRIM(Tabla3[[#This Row],[CodInternoArti]])</f>
        <v/>
      </c>
    </row>
    <row r="163">
      <c r="A163" s="38">
        <f>IF(ISNUMBER(_xlfn.XMATCH(Tabla3[[#This Row],[CodInternoArti]],'Tabla Articulos'!B:B)),"OK","NO ESTA")</f>
        <v/>
      </c>
      <c r="B163" s="38">
        <f>IF(ISNUMBER(_xlfn.XMATCH('Calcular necesidad'!E:E,'Necesidad por familia'!A:A)),"OK","NO ESTA")</f>
        <v/>
      </c>
      <c r="C163" s="17" t="inlineStr">
        <is>
          <t>7790000000498</t>
        </is>
      </c>
      <c r="D163" s="1" t="inlineStr">
        <is>
          <t>GL_ROLLO FILM STRECH AZUL 50CM</t>
        </is>
      </c>
      <c r="E163" s="1">
        <f>_xlfn.XLOOKUP(C163,'Tabla Articulos'!B:B,'Tabla Articulos'!D:D)</f>
        <v/>
      </c>
      <c r="F163" s="1">
        <f>_xlfn.XLOOKUP(C163,'Tabla Articulos'!B:B,'Tabla Articulos'!E:E)</f>
        <v/>
      </c>
      <c r="G163" s="15">
        <f>SUM(
    SUMIFS(MRP!$H$2:$H$245, MRP!$B$2:$B$245, $C163, MRP!$G$2:$G$245, G$1),
    SUMIFS(MRP!$I$2:$I$245, MRP!$B$2:$B$245, $C163, MRP!$G$2:$G$245, G$1),
    SUMIFS(MRP!$J$2:$J$245, MRP!$B$2:$B$245, $C163,  MRP!$G$2:$G$245, G$1),
    SUMIFS(MRP!$K$2:$K$245, MRP!$B$2:$B$245, $C163,  MRP!$G$2:$G$245, G$1),
    SUMIFS(MRP!$L$2:$L$245, MRP!$B$2:$B$245, $C163,  MRP!$G$2:$G$245, G$1)
)*F163</f>
        <v/>
      </c>
      <c r="H163" s="15">
        <f>SUM(
    SUMIFS(MRP!$H$2:$H$245, MRP!$B$2:$B$245, $C163, MRP!$G$2:$G$245, H$1),
    SUMIFS(MRP!$I$2:$I$245, MRP!$B$2:$B$245, $C163, MRP!$G$2:$G$245, H$1),
    SUMIFS(MRP!$J$2:$J$245, MRP!$B$2:$B$245, $C163,  MRP!$G$2:$G$245, H$1),
    SUMIFS(MRP!$K$2:$K$245, MRP!$B$2:$B$245, $C163,  MRP!$G$2:$G$245, H$1),
    SUMIFS(MRP!$L$2:$L$245, MRP!$B$2:$B$245, $C163,  MRP!$G$2:$G$245, H$1)
)*F163</f>
        <v/>
      </c>
      <c r="I163" s="15">
        <f>SUM(
    SUMIFS(MRP!$H$2:$H$245, MRP!$B$2:$B$245, $C163, MRP!$G$2:$G$245, I$1),
    SUMIFS(MRP!$I$2:$I$245, MRP!$B$2:$B$245, $C163, MRP!$G$2:$G$245, I$1),
    SUMIFS(MRP!$J$2:$J$245, MRP!$B$2:$B$245, $C163,  MRP!$G$2:$G$245, I$1),
    SUMIFS(MRP!$K$2:$K$245, MRP!$B$2:$B$245, $C163,  MRP!$G$2:$G$245, I$1),
    SUMIFS(MRP!$L$2:$L$245, MRP!$B$2:$B$245, $C163,  MRP!$G$2:$G$245, I$1)
)*F163</f>
        <v/>
      </c>
      <c r="J163" s="15">
        <f>SUM(
    SUMIFS(MRP!$H$2:$H$245, MRP!$B$2:$B$245, $C163, MRP!$G$2:$G$245, J$1),
    SUMIFS(MRP!$I$2:$I$245, MRP!$B$2:$B$245, $C163, MRP!$G$2:$G$245, J$1),
    SUMIFS(MRP!$J$2:$J$245, MRP!$B$2:$B$245, $C163,  MRP!$G$2:$G$245, J$1),
    SUMIFS(MRP!$K$2:$K$245, MRP!$B$2:$B$245, $C163,  MRP!$G$2:$G$245, J$1),
    SUMIFS(MRP!$L$2:$L$245, MRP!$B$2:$B$245, $C163,  MRP!$G$2:$G$245, J$1)
)*F163</f>
        <v/>
      </c>
      <c r="K163" s="15">
        <f>SUM(
    SUMIFS(MRP!$H$2:$H$245, MRP!$B$2:$B$245, $C163, MRP!$G$2:$G$245, K$1),
    SUMIFS(MRP!$I$2:$I$245, MRP!$B$2:$B$245, $C163, MRP!$G$2:$G$245, K$1),
    SUMIFS(MRP!$J$2:$J$245, MRP!$B$2:$B$245, $C163,  MRP!$G$2:$G$245, K$1),
    SUMIFS(MRP!$K$2:$K$245, MRP!$B$2:$B$245, $C163,  MRP!$G$2:$G$245, K$1),
    SUMIFS(MRP!$L$2:$L$245, MRP!$B$2:$B$245, $C163,  MRP!$G$2:$G$245, K$1)
)*F163</f>
        <v/>
      </c>
      <c r="L163" s="55">
        <f>TRIM(Tabla3[[#This Row],[CodInternoArti]])</f>
        <v/>
      </c>
    </row>
    <row r="164">
      <c r="A164" s="38">
        <f>IF(ISNUMBER(_xlfn.XMATCH(Tabla3[[#This Row],[CodInternoArti]],'Tabla Articulos'!B:B)),"OK","NO ESTA")</f>
        <v/>
      </c>
      <c r="B164" s="38">
        <f>IF(ISNUMBER(_xlfn.XMATCH('Calcular necesidad'!E:E,'Necesidad por familia'!A:A)),"OK","NO ESTA")</f>
        <v/>
      </c>
      <c r="C164" s="17" t="inlineStr">
        <is>
          <t>7798452810034</t>
        </is>
      </c>
      <c r="D164" s="1" t="inlineStr">
        <is>
          <t xml:space="preserve">GUANTES LATEX L X100U ALUMAX </t>
        </is>
      </c>
      <c r="E164" s="1">
        <f>_xlfn.XLOOKUP(C164,'Tabla Articulos'!B:B,'Tabla Articulos'!D:D)</f>
        <v/>
      </c>
      <c r="F164" s="1">
        <f>_xlfn.XLOOKUP(C164,'Tabla Articulos'!B:B,'Tabla Articulos'!E:E)</f>
        <v/>
      </c>
      <c r="G164" s="15">
        <f>SUM(
    SUMIFS(MRP!$H$2:$H$245, MRP!$B$2:$B$245, $C164, MRP!$G$2:$G$245, G$1),
    SUMIFS(MRP!$I$2:$I$245, MRP!$B$2:$B$245, $C164, MRP!$G$2:$G$245, G$1),
    SUMIFS(MRP!$J$2:$J$245, MRP!$B$2:$B$245, $C164,  MRP!$G$2:$G$245, G$1),
    SUMIFS(MRP!$K$2:$K$245, MRP!$B$2:$B$245, $C164,  MRP!$G$2:$G$245, G$1),
    SUMIFS(MRP!$L$2:$L$245, MRP!$B$2:$B$245, $C164,  MRP!$G$2:$G$245, G$1)
)*F164</f>
        <v/>
      </c>
      <c r="H164" s="15">
        <f>SUM(
    SUMIFS(MRP!$H$2:$H$245, MRP!$B$2:$B$245, $C164, MRP!$G$2:$G$245, H$1),
    SUMIFS(MRP!$I$2:$I$245, MRP!$B$2:$B$245, $C164, MRP!$G$2:$G$245, H$1),
    SUMIFS(MRP!$J$2:$J$245, MRP!$B$2:$B$245, $C164,  MRP!$G$2:$G$245, H$1),
    SUMIFS(MRP!$K$2:$K$245, MRP!$B$2:$B$245, $C164,  MRP!$G$2:$G$245, H$1),
    SUMIFS(MRP!$L$2:$L$245, MRP!$B$2:$B$245, $C164,  MRP!$G$2:$G$245, H$1)
)*F164</f>
        <v/>
      </c>
      <c r="I164" s="15">
        <f>SUM(
    SUMIFS(MRP!$H$2:$H$245, MRP!$B$2:$B$245, $C164, MRP!$G$2:$G$245, I$1),
    SUMIFS(MRP!$I$2:$I$245, MRP!$B$2:$B$245, $C164, MRP!$G$2:$G$245, I$1),
    SUMIFS(MRP!$J$2:$J$245, MRP!$B$2:$B$245, $C164,  MRP!$G$2:$G$245, I$1),
    SUMIFS(MRP!$K$2:$K$245, MRP!$B$2:$B$245, $C164,  MRP!$G$2:$G$245, I$1),
    SUMIFS(MRP!$L$2:$L$245, MRP!$B$2:$B$245, $C164,  MRP!$G$2:$G$245, I$1)
)*F164</f>
        <v/>
      </c>
      <c r="J164" s="15">
        <f>SUM(
    SUMIFS(MRP!$H$2:$H$245, MRP!$B$2:$B$245, $C164, MRP!$G$2:$G$245, J$1),
    SUMIFS(MRP!$I$2:$I$245, MRP!$B$2:$B$245, $C164, MRP!$G$2:$G$245, J$1),
    SUMIFS(MRP!$J$2:$J$245, MRP!$B$2:$B$245, $C164,  MRP!$G$2:$G$245, J$1),
    SUMIFS(MRP!$K$2:$K$245, MRP!$B$2:$B$245, $C164,  MRP!$G$2:$G$245, J$1),
    SUMIFS(MRP!$L$2:$L$245, MRP!$B$2:$B$245, $C164,  MRP!$G$2:$G$245, J$1)
)*F164</f>
        <v/>
      </c>
      <c r="K164" s="15">
        <f>SUM(
    SUMIFS(MRP!$H$2:$H$245, MRP!$B$2:$B$245, $C164, MRP!$G$2:$G$245, K$1),
    SUMIFS(MRP!$I$2:$I$245, MRP!$B$2:$B$245, $C164, MRP!$G$2:$G$245, K$1),
    SUMIFS(MRP!$J$2:$J$245, MRP!$B$2:$B$245, $C164,  MRP!$G$2:$G$245, K$1),
    SUMIFS(MRP!$K$2:$K$245, MRP!$B$2:$B$245, $C164,  MRP!$G$2:$G$245, K$1),
    SUMIFS(MRP!$L$2:$L$245, MRP!$B$2:$B$245, $C164,  MRP!$G$2:$G$245, K$1)
)*F164</f>
        <v/>
      </c>
      <c r="L164" s="55">
        <f>TRIM(Tabla3[[#This Row],[CodInternoArti]])</f>
        <v/>
      </c>
    </row>
    <row r="165">
      <c r="A165" s="38">
        <f>IF(ISNUMBER(_xlfn.XMATCH(Tabla3[[#This Row],[CodInternoArti]],'Tabla Articulos'!B:B)),"OK","NO ESTA")</f>
        <v/>
      </c>
      <c r="B165" s="38">
        <f>IF(ISNUMBER(_xlfn.XMATCH('Calcular necesidad'!E:E,'Necesidad por familia'!A:A)),"OK","NO ESTA")</f>
        <v/>
      </c>
      <c r="C165" s="17" t="inlineStr">
        <is>
          <t>7798452810027</t>
        </is>
      </c>
      <c r="D165" s="1" t="inlineStr">
        <is>
          <t>GUANTES LATEX M X100U ALUMAX</t>
        </is>
      </c>
      <c r="E165" s="1">
        <f>_xlfn.XLOOKUP(C165,'Tabla Articulos'!B:B,'Tabla Articulos'!D:D)</f>
        <v/>
      </c>
      <c r="F165" s="1">
        <f>_xlfn.XLOOKUP(C165,'Tabla Articulos'!B:B,'Tabla Articulos'!E:E)</f>
        <v/>
      </c>
      <c r="G165" s="15">
        <f>SUM(
    SUMIFS(MRP!$H$2:$H$245, MRP!$B$2:$B$245, $C165, MRP!$G$2:$G$245, G$1),
    SUMIFS(MRP!$I$2:$I$245, MRP!$B$2:$B$245, $C165, MRP!$G$2:$G$245, G$1),
    SUMIFS(MRP!$J$2:$J$245, MRP!$B$2:$B$245, $C165,  MRP!$G$2:$G$245, G$1),
    SUMIFS(MRP!$K$2:$K$245, MRP!$B$2:$B$245, $C165,  MRP!$G$2:$G$245, G$1),
    SUMIFS(MRP!$L$2:$L$245, MRP!$B$2:$B$245, $C165,  MRP!$G$2:$G$245, G$1)
)*F165</f>
        <v/>
      </c>
      <c r="H165" s="15">
        <f>SUM(
    SUMIFS(MRP!$H$2:$H$245, MRP!$B$2:$B$245, $C165, MRP!$G$2:$G$245, H$1),
    SUMIFS(MRP!$I$2:$I$245, MRP!$B$2:$B$245, $C165, MRP!$G$2:$G$245, H$1),
    SUMIFS(MRP!$J$2:$J$245, MRP!$B$2:$B$245, $C165,  MRP!$G$2:$G$245, H$1),
    SUMIFS(MRP!$K$2:$K$245, MRP!$B$2:$B$245, $C165,  MRP!$G$2:$G$245, H$1),
    SUMIFS(MRP!$L$2:$L$245, MRP!$B$2:$B$245, $C165,  MRP!$G$2:$G$245, H$1)
)*F165</f>
        <v/>
      </c>
      <c r="I165" s="15">
        <f>SUM(
    SUMIFS(MRP!$H$2:$H$245, MRP!$B$2:$B$245, $C165, MRP!$G$2:$G$245, I$1),
    SUMIFS(MRP!$I$2:$I$245, MRP!$B$2:$B$245, $C165, MRP!$G$2:$G$245, I$1),
    SUMIFS(MRP!$J$2:$J$245, MRP!$B$2:$B$245, $C165,  MRP!$G$2:$G$245, I$1),
    SUMIFS(MRP!$K$2:$K$245, MRP!$B$2:$B$245, $C165,  MRP!$G$2:$G$245, I$1),
    SUMIFS(MRP!$L$2:$L$245, MRP!$B$2:$B$245, $C165,  MRP!$G$2:$G$245, I$1)
)*F165</f>
        <v/>
      </c>
      <c r="J165" s="15">
        <f>SUM(
    SUMIFS(MRP!$H$2:$H$245, MRP!$B$2:$B$245, $C165, MRP!$G$2:$G$245, J$1),
    SUMIFS(MRP!$I$2:$I$245, MRP!$B$2:$B$245, $C165, MRP!$G$2:$G$245, J$1),
    SUMIFS(MRP!$J$2:$J$245, MRP!$B$2:$B$245, $C165,  MRP!$G$2:$G$245, J$1),
    SUMIFS(MRP!$K$2:$K$245, MRP!$B$2:$B$245, $C165,  MRP!$G$2:$G$245, J$1),
    SUMIFS(MRP!$L$2:$L$245, MRP!$B$2:$B$245, $C165,  MRP!$G$2:$G$245, J$1)
)*F165</f>
        <v/>
      </c>
      <c r="K165" s="15">
        <f>SUM(
    SUMIFS(MRP!$H$2:$H$245, MRP!$B$2:$B$245, $C165, MRP!$G$2:$G$245, K$1),
    SUMIFS(MRP!$I$2:$I$245, MRP!$B$2:$B$245, $C165, MRP!$G$2:$G$245, K$1),
    SUMIFS(MRP!$J$2:$J$245, MRP!$B$2:$B$245, $C165,  MRP!$G$2:$G$245, K$1),
    SUMIFS(MRP!$K$2:$K$245, MRP!$B$2:$B$245, $C165,  MRP!$G$2:$G$245, K$1),
    SUMIFS(MRP!$L$2:$L$245, MRP!$B$2:$B$245, $C165,  MRP!$G$2:$G$245, K$1)
)*F165</f>
        <v/>
      </c>
      <c r="L165" s="55">
        <f>TRIM(Tabla3[[#This Row],[CodInternoArti]])</f>
        <v/>
      </c>
    </row>
    <row r="166">
      <c r="A166" s="38">
        <f>IF(ISNUMBER(_xlfn.XMATCH(Tabla3[[#This Row],[CodInternoArti]],'Tabla Articulos'!B:B)),"OK","NO ESTA")</f>
        <v/>
      </c>
      <c r="B166" s="38">
        <f>IF(ISNUMBER(_xlfn.XMATCH('Calcular necesidad'!E:E,'Necesidad por familia'!A:A)),"OK","NO ESTA")</f>
        <v/>
      </c>
      <c r="C166" s="17" t="inlineStr">
        <is>
          <t>7790000000472</t>
        </is>
      </c>
      <c r="D166" s="1" t="inlineStr">
        <is>
          <t>GL_VASO TERM 240CCX1000UN ETISOL</t>
        </is>
      </c>
      <c r="E166" s="1">
        <f>_xlfn.XLOOKUP(C166,'Tabla Articulos'!B:B,'Tabla Articulos'!D:D)</f>
        <v/>
      </c>
      <c r="F166" s="1">
        <f>_xlfn.XLOOKUP(C166,'Tabla Articulos'!B:B,'Tabla Articulos'!E:E)</f>
        <v/>
      </c>
      <c r="G166" s="15">
        <f>SUM(
    SUMIFS(MRP!$H$2:$H$245, MRP!$B$2:$B$245, $C166, MRP!$G$2:$G$245, G$1),
    SUMIFS(MRP!$I$2:$I$245, MRP!$B$2:$B$245, $C166, MRP!$G$2:$G$245, G$1),
    SUMIFS(MRP!$J$2:$J$245, MRP!$B$2:$B$245, $C166,  MRP!$G$2:$G$245, G$1),
    SUMIFS(MRP!$K$2:$K$245, MRP!$B$2:$B$245, $C166,  MRP!$G$2:$G$245, G$1),
    SUMIFS(MRP!$L$2:$L$245, MRP!$B$2:$B$245, $C166,  MRP!$G$2:$G$245, G$1)
)*F166</f>
        <v/>
      </c>
      <c r="H166" s="15">
        <f>SUM(
    SUMIFS(MRP!$H$2:$H$245, MRP!$B$2:$B$245, $C166, MRP!$G$2:$G$245, H$1),
    SUMIFS(MRP!$I$2:$I$245, MRP!$B$2:$B$245, $C166, MRP!$G$2:$G$245, H$1),
    SUMIFS(MRP!$J$2:$J$245, MRP!$B$2:$B$245, $C166,  MRP!$G$2:$G$245, H$1),
    SUMIFS(MRP!$K$2:$K$245, MRP!$B$2:$B$245, $C166,  MRP!$G$2:$G$245, H$1),
    SUMIFS(MRP!$L$2:$L$245, MRP!$B$2:$B$245, $C166,  MRP!$G$2:$G$245, H$1)
)*F166</f>
        <v/>
      </c>
      <c r="I166" s="15">
        <f>SUM(
    SUMIFS(MRP!$H$2:$H$245, MRP!$B$2:$B$245, $C166, MRP!$G$2:$G$245, I$1),
    SUMIFS(MRP!$I$2:$I$245, MRP!$B$2:$B$245, $C166, MRP!$G$2:$G$245, I$1),
    SUMIFS(MRP!$J$2:$J$245, MRP!$B$2:$B$245, $C166,  MRP!$G$2:$G$245, I$1),
    SUMIFS(MRP!$K$2:$K$245, MRP!$B$2:$B$245, $C166,  MRP!$G$2:$G$245, I$1),
    SUMIFS(MRP!$L$2:$L$245, MRP!$B$2:$B$245, $C166,  MRP!$G$2:$G$245, I$1)
)*F166</f>
        <v/>
      </c>
      <c r="J166" s="15">
        <f>SUM(
    SUMIFS(MRP!$H$2:$H$245, MRP!$B$2:$B$245, $C166, MRP!$G$2:$G$245, J$1),
    SUMIFS(MRP!$I$2:$I$245, MRP!$B$2:$B$245, $C166, MRP!$G$2:$G$245, J$1),
    SUMIFS(MRP!$J$2:$J$245, MRP!$B$2:$B$245, $C166,  MRP!$G$2:$G$245, J$1),
    SUMIFS(MRP!$K$2:$K$245, MRP!$B$2:$B$245, $C166,  MRP!$G$2:$G$245, J$1),
    SUMIFS(MRP!$L$2:$L$245, MRP!$B$2:$B$245, $C166,  MRP!$G$2:$G$245, J$1)
)*F166</f>
        <v/>
      </c>
      <c r="K166" s="15">
        <f>SUM(
    SUMIFS(MRP!$H$2:$H$245, MRP!$B$2:$B$245, $C166, MRP!$G$2:$G$245, K$1),
    SUMIFS(MRP!$I$2:$I$245, MRP!$B$2:$B$245, $C166, MRP!$G$2:$G$245, K$1),
    SUMIFS(MRP!$J$2:$J$245, MRP!$B$2:$B$245, $C166,  MRP!$G$2:$G$245, K$1),
    SUMIFS(MRP!$K$2:$K$245, MRP!$B$2:$B$245, $C166,  MRP!$G$2:$G$245, K$1),
    SUMIFS(MRP!$L$2:$L$245, MRP!$B$2:$B$245, $C166,  MRP!$G$2:$G$245, K$1)
)*F166</f>
        <v/>
      </c>
      <c r="L166" s="55">
        <f>TRIM(Tabla3[[#This Row],[CodInternoArti]])</f>
        <v/>
      </c>
    </row>
    <row r="167">
      <c r="A167" s="38">
        <f>IF(ISNUMBER(_xlfn.XMATCH(Tabla3[[#This Row],[CodInternoArti]],'Tabla Articulos'!B:B)),"OK","NO ESTA")</f>
        <v/>
      </c>
      <c r="B167" s="38">
        <f>IF(ISNUMBER(_xlfn.XMATCH('Calcular necesidad'!E:E,'Necesidad por familia'!A:A)),"OK","NO ESTA")</f>
        <v/>
      </c>
      <c r="C167" s="17" t="inlineStr">
        <is>
          <t>LIM000225</t>
        </is>
      </c>
      <c r="D167" s="1" t="inlineStr">
        <is>
          <t>BOLSA MICROPERFORADA 60x90 x U</t>
        </is>
      </c>
      <c r="E167" s="1">
        <f>_xlfn.XLOOKUP(C167,'Tabla Articulos'!B:B,'Tabla Articulos'!D:D)</f>
        <v/>
      </c>
      <c r="F167" s="1">
        <f>_xlfn.XLOOKUP(C167,'Tabla Articulos'!B:B,'Tabla Articulos'!E:E)</f>
        <v/>
      </c>
      <c r="G167" s="15">
        <f>SUM(
    SUMIFS(MRP!$H$2:$H$245, MRP!$B$2:$B$245, $C167, MRP!$G$2:$G$245, G$1),
    SUMIFS(MRP!$I$2:$I$245, MRP!$B$2:$B$245, $C167, MRP!$G$2:$G$245, G$1),
    SUMIFS(MRP!$J$2:$J$245, MRP!$B$2:$B$245, $C167,  MRP!$G$2:$G$245, G$1),
    SUMIFS(MRP!$K$2:$K$245, MRP!$B$2:$B$245, $C167,  MRP!$G$2:$G$245, G$1),
    SUMIFS(MRP!$L$2:$L$245, MRP!$B$2:$B$245, $C167,  MRP!$G$2:$G$245, G$1)
)*F167</f>
        <v/>
      </c>
      <c r="H167" s="15">
        <f>SUM(
    SUMIFS(MRP!$H$2:$H$245, MRP!$B$2:$B$245, $C167, MRP!$G$2:$G$245, H$1),
    SUMIFS(MRP!$I$2:$I$245, MRP!$B$2:$B$245, $C167, MRP!$G$2:$G$245, H$1),
    SUMIFS(MRP!$J$2:$J$245, MRP!$B$2:$B$245, $C167,  MRP!$G$2:$G$245, H$1),
    SUMIFS(MRP!$K$2:$K$245, MRP!$B$2:$B$245, $C167,  MRP!$G$2:$G$245, H$1),
    SUMIFS(MRP!$L$2:$L$245, MRP!$B$2:$B$245, $C167,  MRP!$G$2:$G$245, H$1)
)*F167</f>
        <v/>
      </c>
      <c r="I167" s="15">
        <f>SUM(
    SUMIFS(MRP!$H$2:$H$245, MRP!$B$2:$B$245, $C167, MRP!$G$2:$G$245, I$1),
    SUMIFS(MRP!$I$2:$I$245, MRP!$B$2:$B$245, $C167, MRP!$G$2:$G$245, I$1),
    SUMIFS(MRP!$J$2:$J$245, MRP!$B$2:$B$245, $C167,  MRP!$G$2:$G$245, I$1),
    SUMIFS(MRP!$K$2:$K$245, MRP!$B$2:$B$245, $C167,  MRP!$G$2:$G$245, I$1),
    SUMIFS(MRP!$L$2:$L$245, MRP!$B$2:$B$245, $C167,  MRP!$G$2:$G$245, I$1)
)*F167</f>
        <v/>
      </c>
      <c r="J167" s="15">
        <f>SUM(
    SUMIFS(MRP!$H$2:$H$245, MRP!$B$2:$B$245, $C167, MRP!$G$2:$G$245, J$1),
    SUMIFS(MRP!$I$2:$I$245, MRP!$B$2:$B$245, $C167, MRP!$G$2:$G$245, J$1),
    SUMIFS(MRP!$J$2:$J$245, MRP!$B$2:$B$245, $C167,  MRP!$G$2:$G$245, J$1),
    SUMIFS(MRP!$K$2:$K$245, MRP!$B$2:$B$245, $C167,  MRP!$G$2:$G$245, J$1),
    SUMIFS(MRP!$L$2:$L$245, MRP!$B$2:$B$245, $C167,  MRP!$G$2:$G$245, J$1)
)*F167</f>
        <v/>
      </c>
      <c r="K167" s="15">
        <f>SUM(
    SUMIFS(MRP!$H$2:$H$245, MRP!$B$2:$B$245, $C167, MRP!$G$2:$G$245, K$1),
    SUMIFS(MRP!$I$2:$I$245, MRP!$B$2:$B$245, $C167, MRP!$G$2:$G$245, K$1),
    SUMIFS(MRP!$J$2:$J$245, MRP!$B$2:$B$245, $C167,  MRP!$G$2:$G$245, K$1),
    SUMIFS(MRP!$K$2:$K$245, MRP!$B$2:$B$245, $C167,  MRP!$G$2:$G$245, K$1),
    SUMIFS(MRP!$L$2:$L$245, MRP!$B$2:$B$245, $C167,  MRP!$G$2:$G$245, K$1)
)*F167</f>
        <v/>
      </c>
      <c r="L167" s="55">
        <f>TRIM(Tabla3[[#This Row],[CodInternoArti]])</f>
        <v/>
      </c>
    </row>
    <row r="168">
      <c r="A168" s="38">
        <f>IF(ISNUMBER(_xlfn.XMATCH(Tabla3[[#This Row],[CodInternoArti]],'Tabla Articulos'!B:B)),"OK","NO ESTA")</f>
        <v/>
      </c>
      <c r="B168" s="38">
        <f>IF(ISNUMBER(_xlfn.XMATCH('Calcular necesidad'!E:E,'Necesidad por familia'!A:A)),"OK","NO ESTA")</f>
        <v/>
      </c>
      <c r="C168" s="17" t="inlineStr">
        <is>
          <t>BAZ000525</t>
        </is>
      </c>
      <c r="D168" s="1" t="inlineStr">
        <is>
          <t>DEGUSTADOR X 2000U</t>
        </is>
      </c>
      <c r="E168" s="1">
        <f>_xlfn.XLOOKUP(C168,'Tabla Articulos'!B:B,'Tabla Articulos'!D:D)</f>
        <v/>
      </c>
      <c r="F168" s="1">
        <f>_xlfn.XLOOKUP(C168,'Tabla Articulos'!B:B,'Tabla Articulos'!E:E)</f>
        <v/>
      </c>
      <c r="G168" s="15">
        <f>SUM(
    SUMIFS(MRP!$H$2:$H$245, MRP!$B$2:$B$245, $C168, MRP!$G$2:$G$245, G$1),
    SUMIFS(MRP!$I$2:$I$245, MRP!$B$2:$B$245, $C168, MRP!$G$2:$G$245, G$1),
    SUMIFS(MRP!$J$2:$J$245, MRP!$B$2:$B$245, $C168,  MRP!$G$2:$G$245, G$1),
    SUMIFS(MRP!$K$2:$K$245, MRP!$B$2:$B$245, $C168,  MRP!$G$2:$G$245, G$1),
    SUMIFS(MRP!$L$2:$L$245, MRP!$B$2:$B$245, $C168,  MRP!$G$2:$G$245, G$1)
)*F168</f>
        <v/>
      </c>
      <c r="H168" s="15">
        <f>SUM(
    SUMIFS(MRP!$H$2:$H$245, MRP!$B$2:$B$245, $C168, MRP!$G$2:$G$245, H$1),
    SUMIFS(MRP!$I$2:$I$245, MRP!$B$2:$B$245, $C168, MRP!$G$2:$G$245, H$1),
    SUMIFS(MRP!$J$2:$J$245, MRP!$B$2:$B$245, $C168,  MRP!$G$2:$G$245, H$1),
    SUMIFS(MRP!$K$2:$K$245, MRP!$B$2:$B$245, $C168,  MRP!$G$2:$G$245, H$1),
    SUMIFS(MRP!$L$2:$L$245, MRP!$B$2:$B$245, $C168,  MRP!$G$2:$G$245, H$1)
)*F168</f>
        <v/>
      </c>
      <c r="I168" s="15">
        <f>SUM(
    SUMIFS(MRP!$H$2:$H$245, MRP!$B$2:$B$245, $C168, MRP!$G$2:$G$245, I$1),
    SUMIFS(MRP!$I$2:$I$245, MRP!$B$2:$B$245, $C168, MRP!$G$2:$G$245, I$1),
    SUMIFS(MRP!$J$2:$J$245, MRP!$B$2:$B$245, $C168,  MRP!$G$2:$G$245, I$1),
    SUMIFS(MRP!$K$2:$K$245, MRP!$B$2:$B$245, $C168,  MRP!$G$2:$G$245, I$1),
    SUMIFS(MRP!$L$2:$L$245, MRP!$B$2:$B$245, $C168,  MRP!$G$2:$G$245, I$1)
)*F168</f>
        <v/>
      </c>
      <c r="J168" s="15">
        <f>SUM(
    SUMIFS(MRP!$H$2:$H$245, MRP!$B$2:$B$245, $C168, MRP!$G$2:$G$245, J$1),
    SUMIFS(MRP!$I$2:$I$245, MRP!$B$2:$B$245, $C168, MRP!$G$2:$G$245, J$1),
    SUMIFS(MRP!$J$2:$J$245, MRP!$B$2:$B$245, $C168,  MRP!$G$2:$G$245, J$1),
    SUMIFS(MRP!$K$2:$K$245, MRP!$B$2:$B$245, $C168,  MRP!$G$2:$G$245, J$1),
    SUMIFS(MRP!$L$2:$L$245, MRP!$B$2:$B$245, $C168,  MRP!$G$2:$G$245, J$1)
)*F168</f>
        <v/>
      </c>
      <c r="K168" s="15">
        <f>SUM(
    SUMIFS(MRP!$H$2:$H$245, MRP!$B$2:$B$245, $C168, MRP!$G$2:$G$245, K$1),
    SUMIFS(MRP!$I$2:$I$245, MRP!$B$2:$B$245, $C168, MRP!$G$2:$G$245, K$1),
    SUMIFS(MRP!$J$2:$J$245, MRP!$B$2:$B$245, $C168,  MRP!$G$2:$G$245, K$1),
    SUMIFS(MRP!$K$2:$K$245, MRP!$B$2:$B$245, $C168,  MRP!$G$2:$G$245, K$1),
    SUMIFS(MRP!$L$2:$L$245, MRP!$B$2:$B$245, $C168,  MRP!$G$2:$G$245, K$1)
)*F168</f>
        <v/>
      </c>
      <c r="L168" s="55">
        <f>TRIM(Tabla3[[#This Row],[CodInternoArti]])</f>
        <v/>
      </c>
    </row>
    <row r="169">
      <c r="A169" s="38">
        <f>IF(ISNUMBER(_xlfn.XMATCH(Tabla3[[#This Row],[CodInternoArti]],'Tabla Articulos'!B:B)),"OK","NO ESTA")</f>
        <v/>
      </c>
      <c r="B169" s="38">
        <f>IF(ISNUMBER(_xlfn.XMATCH('Calcular necesidad'!E:E,'Necesidad por familia'!A:A)),"OK","NO ESTA")</f>
        <v/>
      </c>
      <c r="C169" s="17" t="inlineStr">
        <is>
          <t>7790321284500</t>
        </is>
      </c>
      <c r="D169" s="1" t="inlineStr">
        <is>
          <t xml:space="preserve">SERVILLETA 30X40X600U AIRLAD </t>
        </is>
      </c>
      <c r="E169" s="1">
        <f>_xlfn.XLOOKUP(C169,'Tabla Articulos'!B:B,'Tabla Articulos'!D:D)</f>
        <v/>
      </c>
      <c r="F169" s="1">
        <f>_xlfn.XLOOKUP(C169,'Tabla Articulos'!B:B,'Tabla Articulos'!E:E)</f>
        <v/>
      </c>
      <c r="G169" s="15">
        <f>SUM(
    SUMIFS(MRP!$H$2:$H$245, MRP!$B$2:$B$245, $C169, MRP!$G$2:$G$245, G$1),
    SUMIFS(MRP!$I$2:$I$245, MRP!$B$2:$B$245, $C169, MRP!$G$2:$G$245, G$1),
    SUMIFS(MRP!$J$2:$J$245, MRP!$B$2:$B$245, $C169,  MRP!$G$2:$G$245, G$1),
    SUMIFS(MRP!$K$2:$K$245, MRP!$B$2:$B$245, $C169,  MRP!$G$2:$G$245, G$1),
    SUMIFS(MRP!$L$2:$L$245, MRP!$B$2:$B$245, $C169,  MRP!$G$2:$G$245, G$1)
)*F169</f>
        <v/>
      </c>
      <c r="H169" s="15">
        <f>SUM(
    SUMIFS(MRP!$H$2:$H$245, MRP!$B$2:$B$245, $C169, MRP!$G$2:$G$245, H$1),
    SUMIFS(MRP!$I$2:$I$245, MRP!$B$2:$B$245, $C169, MRP!$G$2:$G$245, H$1),
    SUMIFS(MRP!$J$2:$J$245, MRP!$B$2:$B$245, $C169,  MRP!$G$2:$G$245, H$1),
    SUMIFS(MRP!$K$2:$K$245, MRP!$B$2:$B$245, $C169,  MRP!$G$2:$G$245, H$1),
    SUMIFS(MRP!$L$2:$L$245, MRP!$B$2:$B$245, $C169,  MRP!$G$2:$G$245, H$1)
)*F169</f>
        <v/>
      </c>
      <c r="I169" s="15">
        <f>SUM(
    SUMIFS(MRP!$H$2:$H$245, MRP!$B$2:$B$245, $C169, MRP!$G$2:$G$245, I$1),
    SUMIFS(MRP!$I$2:$I$245, MRP!$B$2:$B$245, $C169, MRP!$G$2:$G$245, I$1),
    SUMIFS(MRP!$J$2:$J$245, MRP!$B$2:$B$245, $C169,  MRP!$G$2:$G$245, I$1),
    SUMIFS(MRP!$K$2:$K$245, MRP!$B$2:$B$245, $C169,  MRP!$G$2:$G$245, I$1),
    SUMIFS(MRP!$L$2:$L$245, MRP!$B$2:$B$245, $C169,  MRP!$G$2:$G$245, I$1)
)*F169</f>
        <v/>
      </c>
      <c r="J169" s="15">
        <f>SUM(
    SUMIFS(MRP!$H$2:$H$245, MRP!$B$2:$B$245, $C169, MRP!$G$2:$G$245, J$1),
    SUMIFS(MRP!$I$2:$I$245, MRP!$B$2:$B$245, $C169, MRP!$G$2:$G$245, J$1),
    SUMIFS(MRP!$J$2:$J$245, MRP!$B$2:$B$245, $C169,  MRP!$G$2:$G$245, J$1),
    SUMIFS(MRP!$K$2:$K$245, MRP!$B$2:$B$245, $C169,  MRP!$G$2:$G$245, J$1),
    SUMIFS(MRP!$L$2:$L$245, MRP!$B$2:$B$245, $C169,  MRP!$G$2:$G$245, J$1)
)*F169</f>
        <v/>
      </c>
      <c r="K169" s="15">
        <f>SUM(
    SUMIFS(MRP!$H$2:$H$245, MRP!$B$2:$B$245, $C169, MRP!$G$2:$G$245, K$1),
    SUMIFS(MRP!$I$2:$I$245, MRP!$B$2:$B$245, $C169, MRP!$G$2:$G$245, K$1),
    SUMIFS(MRP!$J$2:$J$245, MRP!$B$2:$B$245, $C169,  MRP!$G$2:$G$245, K$1),
    SUMIFS(MRP!$K$2:$K$245, MRP!$B$2:$B$245, $C169,  MRP!$G$2:$G$245, K$1),
    SUMIFS(MRP!$L$2:$L$245, MRP!$B$2:$B$245, $C169,  MRP!$G$2:$G$245, K$1)
)*F169</f>
        <v/>
      </c>
      <c r="L169" s="55">
        <f>TRIM(Tabla3[[#This Row],[CodInternoArti]])</f>
        <v/>
      </c>
    </row>
    <row r="170">
      <c r="A170" s="38">
        <f>IF(ISNUMBER(_xlfn.XMATCH(Tabla3[[#This Row],[CodInternoArti]],'Tabla Articulos'!B:B)),"OK","NO ESTA")</f>
        <v/>
      </c>
      <c r="B170" s="38">
        <f>IF(ISNUMBER(_xlfn.XMATCH('Calcular necesidad'!E:E,'Necesidad por familia'!A:A)),"OK","NO ESTA")</f>
        <v/>
      </c>
      <c r="C170" s="17" t="inlineStr">
        <is>
          <t>7790321020330</t>
        </is>
      </c>
      <c r="D170" s="1" t="inlineStr">
        <is>
          <t>TAPA VASO TERMICO 240CC X80U</t>
        </is>
      </c>
      <c r="E170" s="1">
        <f>_xlfn.XLOOKUP(C170,'Tabla Articulos'!B:B,'Tabla Articulos'!D:D)</f>
        <v/>
      </c>
      <c r="F170" s="1">
        <f>_xlfn.XLOOKUP(C170,'Tabla Articulos'!B:B,'Tabla Articulos'!E:E)</f>
        <v/>
      </c>
      <c r="G170" s="15">
        <f>SUM(
    SUMIFS(MRP!$H$2:$H$245, MRP!$B$2:$B$245, $C170, MRP!$G$2:$G$245, G$1),
    SUMIFS(MRP!$I$2:$I$245, MRP!$B$2:$B$245, $C170, MRP!$G$2:$G$245, G$1),
    SUMIFS(MRP!$J$2:$J$245, MRP!$B$2:$B$245, $C170,  MRP!$G$2:$G$245, G$1),
    SUMIFS(MRP!$K$2:$K$245, MRP!$B$2:$B$245, $C170,  MRP!$G$2:$G$245, G$1),
    SUMIFS(MRP!$L$2:$L$245, MRP!$B$2:$B$245, $C170,  MRP!$G$2:$G$245, G$1)
)*F170</f>
        <v/>
      </c>
      <c r="H170" s="15">
        <f>SUM(
    SUMIFS(MRP!$H$2:$H$245, MRP!$B$2:$B$245, $C170, MRP!$G$2:$G$245, H$1),
    SUMIFS(MRP!$I$2:$I$245, MRP!$B$2:$B$245, $C170, MRP!$G$2:$G$245, H$1),
    SUMIFS(MRP!$J$2:$J$245, MRP!$B$2:$B$245, $C170,  MRP!$G$2:$G$245, H$1),
    SUMIFS(MRP!$K$2:$K$245, MRP!$B$2:$B$245, $C170,  MRP!$G$2:$G$245, H$1),
    SUMIFS(MRP!$L$2:$L$245, MRP!$B$2:$B$245, $C170,  MRP!$G$2:$G$245, H$1)
)*F170</f>
        <v/>
      </c>
      <c r="I170" s="15">
        <f>SUM(
    SUMIFS(MRP!$H$2:$H$245, MRP!$B$2:$B$245, $C170, MRP!$G$2:$G$245, I$1),
    SUMIFS(MRP!$I$2:$I$245, MRP!$B$2:$B$245, $C170, MRP!$G$2:$G$245, I$1),
    SUMIFS(MRP!$J$2:$J$245, MRP!$B$2:$B$245, $C170,  MRP!$G$2:$G$245, I$1),
    SUMIFS(MRP!$K$2:$K$245, MRP!$B$2:$B$245, $C170,  MRP!$G$2:$G$245, I$1),
    SUMIFS(MRP!$L$2:$L$245, MRP!$B$2:$B$245, $C170,  MRP!$G$2:$G$245, I$1)
)*F170</f>
        <v/>
      </c>
      <c r="J170" s="15">
        <f>SUM(
    SUMIFS(MRP!$H$2:$H$245, MRP!$B$2:$B$245, $C170, MRP!$G$2:$G$245, J$1),
    SUMIFS(MRP!$I$2:$I$245, MRP!$B$2:$B$245, $C170, MRP!$G$2:$G$245, J$1),
    SUMIFS(MRP!$J$2:$J$245, MRP!$B$2:$B$245, $C170,  MRP!$G$2:$G$245, J$1),
    SUMIFS(MRP!$K$2:$K$245, MRP!$B$2:$B$245, $C170,  MRP!$G$2:$G$245, J$1),
    SUMIFS(MRP!$L$2:$L$245, MRP!$B$2:$B$245, $C170,  MRP!$G$2:$G$245, J$1)
)*F170</f>
        <v/>
      </c>
      <c r="K170" s="15">
        <f>SUM(
    SUMIFS(MRP!$H$2:$H$245, MRP!$B$2:$B$245, $C170, MRP!$G$2:$G$245, K$1),
    SUMIFS(MRP!$I$2:$I$245, MRP!$B$2:$B$245, $C170, MRP!$G$2:$G$245, K$1),
    SUMIFS(MRP!$J$2:$J$245, MRP!$B$2:$B$245, $C170,  MRP!$G$2:$G$245, K$1),
    SUMIFS(MRP!$K$2:$K$245, MRP!$B$2:$B$245, $C170,  MRP!$G$2:$G$245, K$1),
    SUMIFS(MRP!$L$2:$L$245, MRP!$B$2:$B$245, $C170,  MRP!$G$2:$G$245, K$1)
)*F170</f>
        <v/>
      </c>
      <c r="L170" s="55">
        <f>TRIM(Tabla3[[#This Row],[CodInternoArti]])</f>
        <v/>
      </c>
    </row>
    <row r="171">
      <c r="A171" s="38">
        <f>IF(ISNUMBER(_xlfn.XMATCH(Tabla3[[#This Row],[CodInternoArti]],'Tabla Articulos'!B:B)),"OK","NO ESTA")</f>
        <v/>
      </c>
      <c r="B171" s="38">
        <f>IF(ISNUMBER(_xlfn.XMATCH('Calcular necesidad'!E:E,'Necesidad por familia'!A:A)),"OK","NO ESTA")</f>
        <v/>
      </c>
      <c r="C171" s="17" t="inlineStr">
        <is>
          <t>7793253004445</t>
        </is>
      </c>
      <c r="D171" s="1" t="inlineStr">
        <is>
          <t>TAPA VASO TERMICO X300CC X1000U</t>
        </is>
      </c>
      <c r="E171" s="1">
        <f>_xlfn.XLOOKUP(C171,'Tabla Articulos'!B:B,'Tabla Articulos'!D:D)</f>
        <v/>
      </c>
      <c r="F171" s="1">
        <f>_xlfn.XLOOKUP(C171,'Tabla Articulos'!B:B,'Tabla Articulos'!E:E)</f>
        <v/>
      </c>
      <c r="G171" s="15">
        <f>SUM(
    SUMIFS(MRP!$H$2:$H$245, MRP!$B$2:$B$245, $C171, MRP!$G$2:$G$245, G$1),
    SUMIFS(MRP!$I$2:$I$245, MRP!$B$2:$B$245, $C171, MRP!$G$2:$G$245, G$1),
    SUMIFS(MRP!$J$2:$J$245, MRP!$B$2:$B$245, $C171,  MRP!$G$2:$G$245, G$1),
    SUMIFS(MRP!$K$2:$K$245, MRP!$B$2:$B$245, $C171,  MRP!$G$2:$G$245, G$1),
    SUMIFS(MRP!$L$2:$L$245, MRP!$B$2:$B$245, $C171,  MRP!$G$2:$G$245, G$1)
)*F171</f>
        <v/>
      </c>
      <c r="H171" s="15">
        <f>SUM(
    SUMIFS(MRP!$H$2:$H$245, MRP!$B$2:$B$245, $C171, MRP!$G$2:$G$245, H$1),
    SUMIFS(MRP!$I$2:$I$245, MRP!$B$2:$B$245, $C171, MRP!$G$2:$G$245, H$1),
    SUMIFS(MRP!$J$2:$J$245, MRP!$B$2:$B$245, $C171,  MRP!$G$2:$G$245, H$1),
    SUMIFS(MRP!$K$2:$K$245, MRP!$B$2:$B$245, $C171,  MRP!$G$2:$G$245, H$1),
    SUMIFS(MRP!$L$2:$L$245, MRP!$B$2:$B$245, $C171,  MRP!$G$2:$G$245, H$1)
)*F171</f>
        <v/>
      </c>
      <c r="I171" s="15">
        <f>SUM(
    SUMIFS(MRP!$H$2:$H$245, MRP!$B$2:$B$245, $C171, MRP!$G$2:$G$245, I$1),
    SUMIFS(MRP!$I$2:$I$245, MRP!$B$2:$B$245, $C171, MRP!$G$2:$G$245, I$1),
    SUMIFS(MRP!$J$2:$J$245, MRP!$B$2:$B$245, $C171,  MRP!$G$2:$G$245, I$1),
    SUMIFS(MRP!$K$2:$K$245, MRP!$B$2:$B$245, $C171,  MRP!$G$2:$G$245, I$1),
    SUMIFS(MRP!$L$2:$L$245, MRP!$B$2:$B$245, $C171,  MRP!$G$2:$G$245, I$1)
)*F171</f>
        <v/>
      </c>
      <c r="J171" s="15">
        <f>SUM(
    SUMIFS(MRP!$H$2:$H$245, MRP!$B$2:$B$245, $C171, MRP!$G$2:$G$245, J$1),
    SUMIFS(MRP!$I$2:$I$245, MRP!$B$2:$B$245, $C171, MRP!$G$2:$G$245, J$1),
    SUMIFS(MRP!$J$2:$J$245, MRP!$B$2:$B$245, $C171,  MRP!$G$2:$G$245, J$1),
    SUMIFS(MRP!$K$2:$K$245, MRP!$B$2:$B$245, $C171,  MRP!$G$2:$G$245, J$1),
    SUMIFS(MRP!$L$2:$L$245, MRP!$B$2:$B$245, $C171,  MRP!$G$2:$G$245, J$1)
)*F171</f>
        <v/>
      </c>
      <c r="K171" s="15">
        <f>SUM(
    SUMIFS(MRP!$H$2:$H$245, MRP!$B$2:$B$245, $C171, MRP!$G$2:$G$245, K$1),
    SUMIFS(MRP!$I$2:$I$245, MRP!$B$2:$B$245, $C171, MRP!$G$2:$G$245, K$1),
    SUMIFS(MRP!$J$2:$J$245, MRP!$B$2:$B$245, $C171,  MRP!$G$2:$G$245, K$1),
    SUMIFS(MRP!$K$2:$K$245, MRP!$B$2:$B$245, $C171,  MRP!$G$2:$G$245, K$1),
    SUMIFS(MRP!$L$2:$L$245, MRP!$B$2:$B$245, $C171,  MRP!$G$2:$G$245, K$1)
)*F171</f>
        <v/>
      </c>
      <c r="L171" s="55">
        <f>TRIM(Tabla3[[#This Row],[CodInternoArti]])</f>
        <v/>
      </c>
    </row>
    <row r="172">
      <c r="A172" s="38">
        <f>IF(ISNUMBER(_xlfn.XMATCH(Tabla3[[#This Row],[CodInternoArti]],'Tabla Articulos'!B:B)),"OK","NO ESTA")</f>
        <v/>
      </c>
      <c r="B172" s="38">
        <f>IF(ISNUMBER(_xlfn.XMATCH('Calcular necesidad'!E:E,'Necesidad por familia'!A:A)),"OK","NO ESTA")</f>
        <v/>
      </c>
      <c r="C172" s="17" t="inlineStr">
        <is>
          <t>7790126328513</t>
        </is>
      </c>
      <c r="D172" s="1" t="inlineStr">
        <is>
          <t>BANDEJA 103 X200U CELPAK</t>
        </is>
      </c>
      <c r="E172" s="1">
        <f>_xlfn.XLOOKUP(C172,'Tabla Articulos'!B:B,'Tabla Articulos'!D:D)</f>
        <v/>
      </c>
      <c r="F172" s="1">
        <f>_xlfn.XLOOKUP(C172,'Tabla Articulos'!B:B,'Tabla Articulos'!E:E)</f>
        <v/>
      </c>
      <c r="G172" s="15">
        <f>SUM(
    SUMIFS(MRP!$H$2:$H$245, MRP!$B$2:$B$245, $C172, MRP!$G$2:$G$245, G$1),
    SUMIFS(MRP!$I$2:$I$245, MRP!$B$2:$B$245, $C172, MRP!$G$2:$G$245, G$1),
    SUMIFS(MRP!$J$2:$J$245, MRP!$B$2:$B$245, $C172,  MRP!$G$2:$G$245, G$1),
    SUMIFS(MRP!$K$2:$K$245, MRP!$B$2:$B$245, $C172,  MRP!$G$2:$G$245, G$1),
    SUMIFS(MRP!$L$2:$L$245, MRP!$B$2:$B$245, $C172,  MRP!$G$2:$G$245, G$1)
)*F172</f>
        <v/>
      </c>
      <c r="H172" s="15">
        <f>SUM(
    SUMIFS(MRP!$H$2:$H$245, MRP!$B$2:$B$245, $C172, MRP!$G$2:$G$245, H$1),
    SUMIFS(MRP!$I$2:$I$245, MRP!$B$2:$B$245, $C172, MRP!$G$2:$G$245, H$1),
    SUMIFS(MRP!$J$2:$J$245, MRP!$B$2:$B$245, $C172,  MRP!$G$2:$G$245, H$1),
    SUMIFS(MRP!$K$2:$K$245, MRP!$B$2:$B$245, $C172,  MRP!$G$2:$G$245, H$1),
    SUMIFS(MRP!$L$2:$L$245, MRP!$B$2:$B$245, $C172,  MRP!$G$2:$G$245, H$1)
)*F172</f>
        <v/>
      </c>
      <c r="I172" s="15">
        <f>SUM(
    SUMIFS(MRP!$H$2:$H$245, MRP!$B$2:$B$245, $C172, MRP!$G$2:$G$245, I$1),
    SUMIFS(MRP!$I$2:$I$245, MRP!$B$2:$B$245, $C172, MRP!$G$2:$G$245, I$1),
    SUMIFS(MRP!$J$2:$J$245, MRP!$B$2:$B$245, $C172,  MRP!$G$2:$G$245, I$1),
    SUMIFS(MRP!$K$2:$K$245, MRP!$B$2:$B$245, $C172,  MRP!$G$2:$G$245, I$1),
    SUMIFS(MRP!$L$2:$L$245, MRP!$B$2:$B$245, $C172,  MRP!$G$2:$G$245, I$1)
)*F172</f>
        <v/>
      </c>
      <c r="J172" s="15">
        <f>SUM(
    SUMIFS(MRP!$H$2:$H$245, MRP!$B$2:$B$245, $C172, MRP!$G$2:$G$245, J$1),
    SUMIFS(MRP!$I$2:$I$245, MRP!$B$2:$B$245, $C172, MRP!$G$2:$G$245, J$1),
    SUMIFS(MRP!$J$2:$J$245, MRP!$B$2:$B$245, $C172,  MRP!$G$2:$G$245, J$1),
    SUMIFS(MRP!$K$2:$K$245, MRP!$B$2:$B$245, $C172,  MRP!$G$2:$G$245, J$1),
    SUMIFS(MRP!$L$2:$L$245, MRP!$B$2:$B$245, $C172,  MRP!$G$2:$G$245, J$1)
)*F172</f>
        <v/>
      </c>
      <c r="K172" s="15">
        <f>SUM(
    SUMIFS(MRP!$H$2:$H$245, MRP!$B$2:$B$245, $C172, MRP!$G$2:$G$245, K$1),
    SUMIFS(MRP!$I$2:$I$245, MRP!$B$2:$B$245, $C172, MRP!$G$2:$G$245, K$1),
    SUMIFS(MRP!$J$2:$J$245, MRP!$B$2:$B$245, $C172,  MRP!$G$2:$G$245, K$1),
    SUMIFS(MRP!$K$2:$K$245, MRP!$B$2:$B$245, $C172,  MRP!$G$2:$G$245, K$1),
    SUMIFS(MRP!$L$2:$L$245, MRP!$B$2:$B$245, $C172,  MRP!$G$2:$G$245, K$1)
)*F172</f>
        <v/>
      </c>
      <c r="L172" s="55">
        <f>TRIM(Tabla3[[#This Row],[CodInternoArti]])</f>
        <v/>
      </c>
    </row>
    <row r="173">
      <c r="A173" s="38">
        <f>IF(ISNUMBER(_xlfn.XMATCH(Tabla3[[#This Row],[CodInternoArti]],'Tabla Articulos'!B:B)),"OK","NO ESTA")</f>
        <v/>
      </c>
      <c r="B173" s="38">
        <f>IF(ISNUMBER(_xlfn.XMATCH('Calcular necesidad'!E:E,'Necesidad por familia'!A:A)),"OK","NO ESTA")</f>
        <v/>
      </c>
      <c r="C173" s="17" t="inlineStr">
        <is>
          <t>7790321626939</t>
        </is>
      </c>
      <c r="D173" s="1" t="inlineStr">
        <is>
          <t>CAJA  30X26X28  MESA/HURLINGHAM 90 L</t>
        </is>
      </c>
      <c r="E173" s="1">
        <f>_xlfn.XLOOKUP(C173,'Tabla Articulos'!B:B,'Tabla Articulos'!D:D)</f>
        <v/>
      </c>
      <c r="F173" s="1">
        <f>_xlfn.XLOOKUP(C173,'Tabla Articulos'!B:B,'Tabla Articulos'!E:E)</f>
        <v/>
      </c>
      <c r="G173" s="15">
        <f>SUM(
    SUMIFS(MRP!$H$2:$H$245, MRP!$B$2:$B$245, $C173, MRP!$G$2:$G$245, G$1),
    SUMIFS(MRP!$I$2:$I$245, MRP!$B$2:$B$245, $C173, MRP!$G$2:$G$245, G$1),
    SUMIFS(MRP!$J$2:$J$245, MRP!$B$2:$B$245, $C173,  MRP!$G$2:$G$245, G$1),
    SUMIFS(MRP!$K$2:$K$245, MRP!$B$2:$B$245, $C173,  MRP!$G$2:$G$245, G$1),
    SUMIFS(MRP!$L$2:$L$245, MRP!$B$2:$B$245, $C173,  MRP!$G$2:$G$245, G$1)
)*F173</f>
        <v/>
      </c>
      <c r="H173" s="15">
        <f>SUM(
    SUMIFS(MRP!$H$2:$H$245, MRP!$B$2:$B$245, $C173, MRP!$G$2:$G$245, H$1),
    SUMIFS(MRP!$I$2:$I$245, MRP!$B$2:$B$245, $C173, MRP!$G$2:$G$245, H$1),
    SUMIFS(MRP!$J$2:$J$245, MRP!$B$2:$B$245, $C173,  MRP!$G$2:$G$245, H$1),
    SUMIFS(MRP!$K$2:$K$245, MRP!$B$2:$B$245, $C173,  MRP!$G$2:$G$245, H$1),
    SUMIFS(MRP!$L$2:$L$245, MRP!$B$2:$B$245, $C173,  MRP!$G$2:$G$245, H$1)
)*F173</f>
        <v/>
      </c>
      <c r="I173" s="15">
        <f>SUM(
    SUMIFS(MRP!$H$2:$H$245, MRP!$B$2:$B$245, $C173, MRP!$G$2:$G$245, I$1),
    SUMIFS(MRP!$I$2:$I$245, MRP!$B$2:$B$245, $C173, MRP!$G$2:$G$245, I$1),
    SUMIFS(MRP!$J$2:$J$245, MRP!$B$2:$B$245, $C173,  MRP!$G$2:$G$245, I$1),
    SUMIFS(MRP!$K$2:$K$245, MRP!$B$2:$B$245, $C173,  MRP!$G$2:$G$245, I$1),
    SUMIFS(MRP!$L$2:$L$245, MRP!$B$2:$B$245, $C173,  MRP!$G$2:$G$245, I$1)
)*F173</f>
        <v/>
      </c>
      <c r="J173" s="15">
        <f>SUM(
    SUMIFS(MRP!$H$2:$H$245, MRP!$B$2:$B$245, $C173, MRP!$G$2:$G$245, J$1),
    SUMIFS(MRP!$I$2:$I$245, MRP!$B$2:$B$245, $C173, MRP!$G$2:$G$245, J$1),
    SUMIFS(MRP!$J$2:$J$245, MRP!$B$2:$B$245, $C173,  MRP!$G$2:$G$245, J$1),
    SUMIFS(MRP!$K$2:$K$245, MRP!$B$2:$B$245, $C173,  MRP!$G$2:$G$245, J$1),
    SUMIFS(MRP!$L$2:$L$245, MRP!$B$2:$B$245, $C173,  MRP!$G$2:$G$245, J$1)
)*F173</f>
        <v/>
      </c>
      <c r="K173" s="15">
        <f>SUM(
    SUMIFS(MRP!$H$2:$H$245, MRP!$B$2:$B$245, $C173, MRP!$G$2:$G$245, K$1),
    SUMIFS(MRP!$I$2:$I$245, MRP!$B$2:$B$245, $C173, MRP!$G$2:$G$245, K$1),
    SUMIFS(MRP!$J$2:$J$245, MRP!$B$2:$B$245, $C173,  MRP!$G$2:$G$245, K$1),
    SUMIFS(MRP!$K$2:$K$245, MRP!$B$2:$B$245, $C173,  MRP!$G$2:$G$245, K$1),
    SUMIFS(MRP!$L$2:$L$245, MRP!$B$2:$B$245, $C173,  MRP!$G$2:$G$245, K$1)
)*F173</f>
        <v/>
      </c>
      <c r="L173" s="55">
        <f>TRIM(Tabla3[[#This Row],[CodInternoArti]])</f>
        <v/>
      </c>
    </row>
    <row r="174">
      <c r="A174" s="38">
        <f>IF(ISNUMBER(_xlfn.XMATCH(Tabla3[[#This Row],[CodInternoArti]],'Tabla Articulos'!B:B)),"OK","NO ESTA")</f>
        <v/>
      </c>
      <c r="B174" s="38">
        <f>IF(ISNUMBER(_xlfn.XMATCH('Calcular necesidad'!E:E,'Necesidad por familia'!A:A)),"OK","NO ESTA")</f>
        <v/>
      </c>
      <c r="C174" s="17" t="inlineStr">
        <is>
          <t>7790000000150</t>
        </is>
      </c>
      <c r="D174" s="1" t="inlineStr">
        <is>
          <t>CAJA  300x180x210 LOGO MESA (chica)</t>
        </is>
      </c>
      <c r="E174" s="1">
        <f>_xlfn.XLOOKUP(C174,'Tabla Articulos'!B:B,'Tabla Articulos'!D:D)</f>
        <v/>
      </c>
      <c r="F174" s="1">
        <f>_xlfn.XLOOKUP(C174,'Tabla Articulos'!B:B,'Tabla Articulos'!E:E)</f>
        <v/>
      </c>
      <c r="G174" s="15">
        <f>SUM(
    SUMIFS(MRP!$H$2:$H$245, MRP!$B$2:$B$245, $C174, MRP!$G$2:$G$245, G$1),
    SUMIFS(MRP!$I$2:$I$245, MRP!$B$2:$B$245, $C174, MRP!$G$2:$G$245, G$1),
    SUMIFS(MRP!$J$2:$J$245, MRP!$B$2:$B$245, $C174,  MRP!$G$2:$G$245, G$1),
    SUMIFS(MRP!$K$2:$K$245, MRP!$B$2:$B$245, $C174,  MRP!$G$2:$G$245, G$1),
    SUMIFS(MRP!$L$2:$L$245, MRP!$B$2:$B$245, $C174,  MRP!$G$2:$G$245, G$1)
)*F174</f>
        <v/>
      </c>
      <c r="H174" s="15">
        <f>SUM(
    SUMIFS(MRP!$H$2:$H$245, MRP!$B$2:$B$245, $C174, MRP!$G$2:$G$245, H$1),
    SUMIFS(MRP!$I$2:$I$245, MRP!$B$2:$B$245, $C174, MRP!$G$2:$G$245, H$1),
    SUMIFS(MRP!$J$2:$J$245, MRP!$B$2:$B$245, $C174,  MRP!$G$2:$G$245, H$1),
    SUMIFS(MRP!$K$2:$K$245, MRP!$B$2:$B$245, $C174,  MRP!$G$2:$G$245, H$1),
    SUMIFS(MRP!$L$2:$L$245, MRP!$B$2:$B$245, $C174,  MRP!$G$2:$G$245, H$1)
)*F174</f>
        <v/>
      </c>
      <c r="I174" s="15">
        <f>SUM(
    SUMIFS(MRP!$H$2:$H$245, MRP!$B$2:$B$245, $C174, MRP!$G$2:$G$245, I$1),
    SUMIFS(MRP!$I$2:$I$245, MRP!$B$2:$B$245, $C174, MRP!$G$2:$G$245, I$1),
    SUMIFS(MRP!$J$2:$J$245, MRP!$B$2:$B$245, $C174,  MRP!$G$2:$G$245, I$1),
    SUMIFS(MRP!$K$2:$K$245, MRP!$B$2:$B$245, $C174,  MRP!$G$2:$G$245, I$1),
    SUMIFS(MRP!$L$2:$L$245, MRP!$B$2:$B$245, $C174,  MRP!$G$2:$G$245, I$1)
)*F174</f>
        <v/>
      </c>
      <c r="J174" s="15">
        <f>SUM(
    SUMIFS(MRP!$H$2:$H$245, MRP!$B$2:$B$245, $C174, MRP!$G$2:$G$245, J$1),
    SUMIFS(MRP!$I$2:$I$245, MRP!$B$2:$B$245, $C174, MRP!$G$2:$G$245, J$1),
    SUMIFS(MRP!$J$2:$J$245, MRP!$B$2:$B$245, $C174,  MRP!$G$2:$G$245, J$1),
    SUMIFS(MRP!$K$2:$K$245, MRP!$B$2:$B$245, $C174,  MRP!$G$2:$G$245, J$1),
    SUMIFS(MRP!$L$2:$L$245, MRP!$B$2:$B$245, $C174,  MRP!$G$2:$G$245, J$1)
)*F174</f>
        <v/>
      </c>
      <c r="K174" s="15">
        <f>SUM(
    SUMIFS(MRP!$H$2:$H$245, MRP!$B$2:$B$245, $C174, MRP!$G$2:$G$245, K$1),
    SUMIFS(MRP!$I$2:$I$245, MRP!$B$2:$B$245, $C174, MRP!$G$2:$G$245, K$1),
    SUMIFS(MRP!$J$2:$J$245, MRP!$B$2:$B$245, $C174,  MRP!$G$2:$G$245, K$1),
    SUMIFS(MRP!$K$2:$K$245, MRP!$B$2:$B$245, $C174,  MRP!$G$2:$G$245, K$1),
    SUMIFS(MRP!$L$2:$L$245, MRP!$B$2:$B$245, $C174,  MRP!$G$2:$G$245, K$1)
)*F174</f>
        <v/>
      </c>
      <c r="L174" s="55">
        <f>TRIM(Tabla3[[#This Row],[CodInternoArti]])</f>
        <v/>
      </c>
    </row>
    <row r="175">
      <c r="A175" s="38">
        <f>IF(ISNUMBER(_xlfn.XMATCH(Tabla3[[#This Row],[CodInternoArti]],'Tabla Articulos'!B:B)),"OK","NO ESTA")</f>
        <v/>
      </c>
      <c r="B175" s="38">
        <f>IF(ISNUMBER(_xlfn.XMATCH('Calcular necesidad'!E:E,'Necesidad por familia'!A:A)),"OK","NO ESTA")</f>
        <v/>
      </c>
      <c r="C175" s="17" t="inlineStr">
        <is>
          <t>7790321626938</t>
        </is>
      </c>
      <c r="D175" s="1" t="inlineStr">
        <is>
          <t>CAJA 300X180X280 XU LOGO MESA (intermedia)</t>
        </is>
      </c>
      <c r="E175" s="1">
        <f>_xlfn.XLOOKUP(C175,'Tabla Articulos'!B:B,'Tabla Articulos'!D:D)</f>
        <v/>
      </c>
      <c r="F175" s="1">
        <f>_xlfn.XLOOKUP(C175,'Tabla Articulos'!B:B,'Tabla Articulos'!E:E)</f>
        <v/>
      </c>
      <c r="G175" s="15">
        <f>SUM(
    SUMIFS(MRP!$H$2:$H$245, MRP!$B$2:$B$245, $C175, MRP!$G$2:$G$245, G$1),
    SUMIFS(MRP!$I$2:$I$245, MRP!$B$2:$B$245, $C175, MRP!$G$2:$G$245, G$1),
    SUMIFS(MRP!$J$2:$J$245, MRP!$B$2:$B$245, $C175,  MRP!$G$2:$G$245, G$1),
    SUMIFS(MRP!$K$2:$K$245, MRP!$B$2:$B$245, $C175,  MRP!$G$2:$G$245, G$1),
    SUMIFS(MRP!$L$2:$L$245, MRP!$B$2:$B$245, $C175,  MRP!$G$2:$G$245, G$1)
)*F175</f>
        <v/>
      </c>
      <c r="H175" s="15">
        <f>SUM(
    SUMIFS(MRP!$H$2:$H$245, MRP!$B$2:$B$245, $C175, MRP!$G$2:$G$245, H$1),
    SUMIFS(MRP!$I$2:$I$245, MRP!$B$2:$B$245, $C175, MRP!$G$2:$G$245, H$1),
    SUMIFS(MRP!$J$2:$J$245, MRP!$B$2:$B$245, $C175,  MRP!$G$2:$G$245, H$1),
    SUMIFS(MRP!$K$2:$K$245, MRP!$B$2:$B$245, $C175,  MRP!$G$2:$G$245, H$1),
    SUMIFS(MRP!$L$2:$L$245, MRP!$B$2:$B$245, $C175,  MRP!$G$2:$G$245, H$1)
)*F175</f>
        <v/>
      </c>
      <c r="I175" s="15">
        <f>SUM(
    SUMIFS(MRP!$H$2:$H$245, MRP!$B$2:$B$245, $C175, MRP!$G$2:$G$245, I$1),
    SUMIFS(MRP!$I$2:$I$245, MRP!$B$2:$B$245, $C175, MRP!$G$2:$G$245, I$1),
    SUMIFS(MRP!$J$2:$J$245, MRP!$B$2:$B$245, $C175,  MRP!$G$2:$G$245, I$1),
    SUMIFS(MRP!$K$2:$K$245, MRP!$B$2:$B$245, $C175,  MRP!$G$2:$G$245, I$1),
    SUMIFS(MRP!$L$2:$L$245, MRP!$B$2:$B$245, $C175,  MRP!$G$2:$G$245, I$1)
)*F175</f>
        <v/>
      </c>
      <c r="J175" s="15">
        <f>SUM(
    SUMIFS(MRP!$H$2:$H$245, MRP!$B$2:$B$245, $C175, MRP!$G$2:$G$245, J$1),
    SUMIFS(MRP!$I$2:$I$245, MRP!$B$2:$B$245, $C175, MRP!$G$2:$G$245, J$1),
    SUMIFS(MRP!$J$2:$J$245, MRP!$B$2:$B$245, $C175,  MRP!$G$2:$G$245, J$1),
    SUMIFS(MRP!$K$2:$K$245, MRP!$B$2:$B$245, $C175,  MRP!$G$2:$G$245, J$1),
    SUMIFS(MRP!$L$2:$L$245, MRP!$B$2:$B$245, $C175,  MRP!$G$2:$G$245, J$1)
)*F175</f>
        <v/>
      </c>
      <c r="K175" s="15">
        <f>SUM(
    SUMIFS(MRP!$H$2:$H$245, MRP!$B$2:$B$245, $C175, MRP!$G$2:$G$245, K$1),
    SUMIFS(MRP!$I$2:$I$245, MRP!$B$2:$B$245, $C175, MRP!$G$2:$G$245, K$1),
    SUMIFS(MRP!$J$2:$J$245, MRP!$B$2:$B$245, $C175,  MRP!$G$2:$G$245, K$1),
    SUMIFS(MRP!$K$2:$K$245, MRP!$B$2:$B$245, $C175,  MRP!$G$2:$G$245, K$1),
    SUMIFS(MRP!$L$2:$L$245, MRP!$B$2:$B$245, $C175,  MRP!$G$2:$G$245, K$1)
)*F175</f>
        <v/>
      </c>
      <c r="L175" s="55">
        <f>TRIM(Tabla3[[#This Row],[CodInternoArti]])</f>
        <v/>
      </c>
    </row>
    <row r="176">
      <c r="A176" s="38">
        <f>IF(ISNUMBER(_xlfn.XMATCH(Tabla3[[#This Row],[CodInternoArti]],'Tabla Articulos'!B:B)),"OK","NO ESTA")</f>
        <v/>
      </c>
      <c r="B176" s="38">
        <f>IF(ISNUMBER(_xlfn.XMATCH('Calcular necesidad'!E:E,'Necesidad por familia'!A:A)),"OK","NO ESTA")</f>
        <v/>
      </c>
      <c r="C176" s="17" t="inlineStr">
        <is>
          <t>7790321626935</t>
        </is>
      </c>
      <c r="D176" s="1" t="inlineStr">
        <is>
          <t>CAJA  30X26X28  LOGO MESA (grande)</t>
        </is>
      </c>
      <c r="E176" s="1">
        <f>_xlfn.XLOOKUP(C176,'Tabla Articulos'!B:B,'Tabla Articulos'!D:D)</f>
        <v/>
      </c>
      <c r="F176" s="1">
        <f>_xlfn.XLOOKUP(C176,'Tabla Articulos'!B:B,'Tabla Articulos'!E:E)</f>
        <v/>
      </c>
      <c r="G176" s="15">
        <f>SUM(
    SUMIFS(MRP!$H$2:$H$245, MRP!$B$2:$B$245, $C176, MRP!$G$2:$G$245, G$1),
    SUMIFS(MRP!$I$2:$I$245, MRP!$B$2:$B$245, $C176, MRP!$G$2:$G$245, G$1),
    SUMIFS(MRP!$J$2:$J$245, MRP!$B$2:$B$245, $C176,  MRP!$G$2:$G$245, G$1),
    SUMIFS(MRP!$K$2:$K$245, MRP!$B$2:$B$245, $C176,  MRP!$G$2:$G$245, G$1),
    SUMIFS(MRP!$L$2:$L$245, MRP!$B$2:$B$245, $C176,  MRP!$G$2:$G$245, G$1)
)*F176</f>
        <v/>
      </c>
      <c r="H176" s="15">
        <f>SUM(
    SUMIFS(MRP!$H$2:$H$245, MRP!$B$2:$B$245, $C176, MRP!$G$2:$G$245, H$1),
    SUMIFS(MRP!$I$2:$I$245, MRP!$B$2:$B$245, $C176, MRP!$G$2:$G$245, H$1),
    SUMIFS(MRP!$J$2:$J$245, MRP!$B$2:$B$245, $C176,  MRP!$G$2:$G$245, H$1),
    SUMIFS(MRP!$K$2:$K$245, MRP!$B$2:$B$245, $C176,  MRP!$G$2:$G$245, H$1),
    SUMIFS(MRP!$L$2:$L$245, MRP!$B$2:$B$245, $C176,  MRP!$G$2:$G$245, H$1)
)*F176</f>
        <v/>
      </c>
      <c r="I176" s="15">
        <f>SUM(
    SUMIFS(MRP!$H$2:$H$245, MRP!$B$2:$B$245, $C176, MRP!$G$2:$G$245, I$1),
    SUMIFS(MRP!$I$2:$I$245, MRP!$B$2:$B$245, $C176, MRP!$G$2:$G$245, I$1),
    SUMIFS(MRP!$J$2:$J$245, MRP!$B$2:$B$245, $C176,  MRP!$G$2:$G$245, I$1),
    SUMIFS(MRP!$K$2:$K$245, MRP!$B$2:$B$245, $C176,  MRP!$G$2:$G$245, I$1),
    SUMIFS(MRP!$L$2:$L$245, MRP!$B$2:$B$245, $C176,  MRP!$G$2:$G$245, I$1)
)*F176</f>
        <v/>
      </c>
      <c r="J176" s="15">
        <f>SUM(
    SUMIFS(MRP!$H$2:$H$245, MRP!$B$2:$B$245, $C176, MRP!$G$2:$G$245, J$1),
    SUMIFS(MRP!$I$2:$I$245, MRP!$B$2:$B$245, $C176, MRP!$G$2:$G$245, J$1),
    SUMIFS(MRP!$J$2:$J$245, MRP!$B$2:$B$245, $C176,  MRP!$G$2:$G$245, J$1),
    SUMIFS(MRP!$K$2:$K$245, MRP!$B$2:$B$245, $C176,  MRP!$G$2:$G$245, J$1),
    SUMIFS(MRP!$L$2:$L$245, MRP!$B$2:$B$245, $C176,  MRP!$G$2:$G$245, J$1)
)*F176</f>
        <v/>
      </c>
      <c r="K176" s="15">
        <f>SUM(
    SUMIFS(MRP!$H$2:$H$245, MRP!$B$2:$B$245, $C176, MRP!$G$2:$G$245, K$1),
    SUMIFS(MRP!$I$2:$I$245, MRP!$B$2:$B$245, $C176, MRP!$G$2:$G$245, K$1),
    SUMIFS(MRP!$J$2:$J$245, MRP!$B$2:$B$245, $C176,  MRP!$G$2:$G$245, K$1),
    SUMIFS(MRP!$K$2:$K$245, MRP!$B$2:$B$245, $C176,  MRP!$G$2:$G$245, K$1),
    SUMIFS(MRP!$L$2:$L$245, MRP!$B$2:$B$245, $C176,  MRP!$G$2:$G$245, K$1)
)*F176</f>
        <v/>
      </c>
      <c r="L176" s="55">
        <f>TRIM(Tabla3[[#This Row],[CodInternoArti]])</f>
        <v/>
      </c>
    </row>
    <row r="177">
      <c r="A177" s="38">
        <f>IF(ISNUMBER(_xlfn.XMATCH(Tabla3[[#This Row],[CodInternoArti]],'Tabla Articulos'!B:B)),"OK","NO ESTA")</f>
        <v/>
      </c>
      <c r="B177" s="38">
        <f>IF(ISNUMBER(_xlfn.XMATCH('Calcular necesidad'!E:E,'Necesidad por familia'!A:A)),"OK","NO ESTA")</f>
        <v/>
      </c>
      <c r="C177" s="17" t="inlineStr">
        <is>
          <t>7790316030027</t>
        </is>
      </c>
      <c r="D177" s="1" t="inlineStr">
        <is>
          <t>CAJA  DOBLE BASE 40X30X27 LOGO MESA</t>
        </is>
      </c>
      <c r="E177" s="1">
        <f>_xlfn.XLOOKUP(C177,'Tabla Articulos'!B:B,'Tabla Articulos'!D:D)</f>
        <v/>
      </c>
      <c r="F177" s="1">
        <f>_xlfn.XLOOKUP(C177,'Tabla Articulos'!B:B,'Tabla Articulos'!E:E)</f>
        <v/>
      </c>
      <c r="G177" s="15">
        <f>SUM(
    SUMIFS(MRP!$H$2:$H$245, MRP!$B$2:$B$245, $C177, MRP!$G$2:$G$245, G$1),
    SUMIFS(MRP!$I$2:$I$245, MRP!$B$2:$B$245, $C177, MRP!$G$2:$G$245, G$1),
    SUMIFS(MRP!$J$2:$J$245, MRP!$B$2:$B$245, $C177,  MRP!$G$2:$G$245, G$1),
    SUMIFS(MRP!$K$2:$K$245, MRP!$B$2:$B$245, $C177,  MRP!$G$2:$G$245, G$1),
    SUMIFS(MRP!$L$2:$L$245, MRP!$B$2:$B$245, $C177,  MRP!$G$2:$G$245, G$1)
)*F177</f>
        <v/>
      </c>
      <c r="H177" s="15">
        <f>SUM(
    SUMIFS(MRP!$H$2:$H$245, MRP!$B$2:$B$245, $C177, MRP!$G$2:$G$245, H$1),
    SUMIFS(MRP!$I$2:$I$245, MRP!$B$2:$B$245, $C177, MRP!$G$2:$G$245, H$1),
    SUMIFS(MRP!$J$2:$J$245, MRP!$B$2:$B$245, $C177,  MRP!$G$2:$G$245, H$1),
    SUMIFS(MRP!$K$2:$K$245, MRP!$B$2:$B$245, $C177,  MRP!$G$2:$G$245, H$1),
    SUMIFS(MRP!$L$2:$L$245, MRP!$B$2:$B$245, $C177,  MRP!$G$2:$G$245, H$1)
)*F177</f>
        <v/>
      </c>
      <c r="I177" s="15">
        <f>SUM(
    SUMIFS(MRP!$H$2:$H$245, MRP!$B$2:$B$245, $C177, MRP!$G$2:$G$245, I$1),
    SUMIFS(MRP!$I$2:$I$245, MRP!$B$2:$B$245, $C177, MRP!$G$2:$G$245, I$1),
    SUMIFS(MRP!$J$2:$J$245, MRP!$B$2:$B$245, $C177,  MRP!$G$2:$G$245, I$1),
    SUMIFS(MRP!$K$2:$K$245, MRP!$B$2:$B$245, $C177,  MRP!$G$2:$G$245, I$1),
    SUMIFS(MRP!$L$2:$L$245, MRP!$B$2:$B$245, $C177,  MRP!$G$2:$G$245, I$1)
)*F177</f>
        <v/>
      </c>
      <c r="J177" s="15">
        <f>SUM(
    SUMIFS(MRP!$H$2:$H$245, MRP!$B$2:$B$245, $C177, MRP!$G$2:$G$245, J$1),
    SUMIFS(MRP!$I$2:$I$245, MRP!$B$2:$B$245, $C177, MRP!$G$2:$G$245, J$1),
    SUMIFS(MRP!$J$2:$J$245, MRP!$B$2:$B$245, $C177,  MRP!$G$2:$G$245, J$1),
    SUMIFS(MRP!$K$2:$K$245, MRP!$B$2:$B$245, $C177,  MRP!$G$2:$G$245, J$1),
    SUMIFS(MRP!$L$2:$L$245, MRP!$B$2:$B$245, $C177,  MRP!$G$2:$G$245, J$1)
)*F177</f>
        <v/>
      </c>
      <c r="K177" s="15">
        <f>SUM(
    SUMIFS(MRP!$H$2:$H$245, MRP!$B$2:$B$245, $C177, MRP!$G$2:$G$245, K$1),
    SUMIFS(MRP!$I$2:$I$245, MRP!$B$2:$B$245, $C177, MRP!$G$2:$G$245, K$1),
    SUMIFS(MRP!$J$2:$J$245, MRP!$B$2:$B$245, $C177,  MRP!$G$2:$G$245, K$1),
    SUMIFS(MRP!$K$2:$K$245, MRP!$B$2:$B$245, $C177,  MRP!$G$2:$G$245, K$1),
    SUMIFS(MRP!$L$2:$L$245, MRP!$B$2:$B$245, $C177,  MRP!$G$2:$G$245, K$1)
)*F177</f>
        <v/>
      </c>
      <c r="L177" s="55">
        <f>TRIM(Tabla3[[#This Row],[CodInternoArti]])</f>
        <v/>
      </c>
    </row>
    <row r="178">
      <c r="A178" s="38">
        <f>IF(ISNUMBER(_xlfn.XMATCH(Tabla3[[#This Row],[CodInternoArti]],'Tabla Articulos'!B:B)),"OK","NO ESTA")</f>
        <v/>
      </c>
      <c r="B178" s="38">
        <f>IF(ISNUMBER(_xlfn.XMATCH('Calcular necesidad'!E:E,'Necesidad por familia'!A:A)),"OK","NO ESTA")</f>
        <v/>
      </c>
      <c r="C178" s="17" t="inlineStr">
        <is>
          <t>7790321626929</t>
        </is>
      </c>
      <c r="D178" s="1" t="inlineStr">
        <is>
          <t>CAJA 300X180X280 90LIB S/LOGO  (Herrera)</t>
        </is>
      </c>
      <c r="E178" s="1">
        <f>_xlfn.XLOOKUP(C178,'Tabla Articulos'!B:B,'Tabla Articulos'!D:D)</f>
        <v/>
      </c>
      <c r="F178" s="1">
        <f>_xlfn.XLOOKUP(C178,'Tabla Articulos'!B:B,'Tabla Articulos'!E:E)</f>
        <v/>
      </c>
      <c r="G178" s="15">
        <f>SUM(
    SUMIFS(MRP!$H$2:$H$245, MRP!$B$2:$B$245, $C178, MRP!$G$2:$G$245, G$1),
    SUMIFS(MRP!$I$2:$I$245, MRP!$B$2:$B$245, $C178, MRP!$G$2:$G$245, G$1),
    SUMIFS(MRP!$J$2:$J$245, MRP!$B$2:$B$245, $C178,  MRP!$G$2:$G$245, G$1),
    SUMIFS(MRP!$K$2:$K$245, MRP!$B$2:$B$245, $C178,  MRP!$G$2:$G$245, G$1),
    SUMIFS(MRP!$L$2:$L$245, MRP!$B$2:$B$245, $C178,  MRP!$G$2:$G$245, G$1)
)*F178</f>
        <v/>
      </c>
      <c r="H178" s="15">
        <f>SUM(
    SUMIFS(MRP!$H$2:$H$245, MRP!$B$2:$B$245, $C178, MRP!$G$2:$G$245, H$1),
    SUMIFS(MRP!$I$2:$I$245, MRP!$B$2:$B$245, $C178, MRP!$G$2:$G$245, H$1),
    SUMIFS(MRP!$J$2:$J$245, MRP!$B$2:$B$245, $C178,  MRP!$G$2:$G$245, H$1),
    SUMIFS(MRP!$K$2:$K$245, MRP!$B$2:$B$245, $C178,  MRP!$G$2:$G$245, H$1),
    SUMIFS(MRP!$L$2:$L$245, MRP!$B$2:$B$245, $C178,  MRP!$G$2:$G$245, H$1)
)*F178</f>
        <v/>
      </c>
      <c r="I178" s="15">
        <f>SUM(
    SUMIFS(MRP!$H$2:$H$245, MRP!$B$2:$B$245, $C178, MRP!$G$2:$G$245, I$1),
    SUMIFS(MRP!$I$2:$I$245, MRP!$B$2:$B$245, $C178, MRP!$G$2:$G$245, I$1),
    SUMIFS(MRP!$J$2:$J$245, MRP!$B$2:$B$245, $C178,  MRP!$G$2:$G$245, I$1),
    SUMIFS(MRP!$K$2:$K$245, MRP!$B$2:$B$245, $C178,  MRP!$G$2:$G$245, I$1),
    SUMIFS(MRP!$L$2:$L$245, MRP!$B$2:$B$245, $C178,  MRP!$G$2:$G$245, I$1)
)*F178</f>
        <v/>
      </c>
      <c r="J178" s="15">
        <f>SUM(
    SUMIFS(MRP!$H$2:$H$245, MRP!$B$2:$B$245, $C178, MRP!$G$2:$G$245, J$1),
    SUMIFS(MRP!$I$2:$I$245, MRP!$B$2:$B$245, $C178, MRP!$G$2:$G$245, J$1),
    SUMIFS(MRP!$J$2:$J$245, MRP!$B$2:$B$245, $C178,  MRP!$G$2:$G$245, J$1),
    SUMIFS(MRP!$K$2:$K$245, MRP!$B$2:$B$245, $C178,  MRP!$G$2:$G$245, J$1),
    SUMIFS(MRP!$L$2:$L$245, MRP!$B$2:$B$245, $C178,  MRP!$G$2:$G$245, J$1)
)*F178</f>
        <v/>
      </c>
      <c r="K178" s="15">
        <f>SUM(
    SUMIFS(MRP!$H$2:$H$245, MRP!$B$2:$B$245, $C178, MRP!$G$2:$G$245, K$1),
    SUMIFS(MRP!$I$2:$I$245, MRP!$B$2:$B$245, $C178, MRP!$G$2:$G$245, K$1),
    SUMIFS(MRP!$J$2:$J$245, MRP!$B$2:$B$245, $C178,  MRP!$G$2:$G$245, K$1),
    SUMIFS(MRP!$K$2:$K$245, MRP!$B$2:$B$245, $C178,  MRP!$G$2:$G$245, K$1),
    SUMIFS(MRP!$L$2:$L$245, MRP!$B$2:$B$245, $C178,  MRP!$G$2:$G$245, K$1)
)*F178</f>
        <v/>
      </c>
      <c r="L178" s="55">
        <f>TRIM(Tabla3[[#This Row],[CodInternoArti]])</f>
        <v/>
      </c>
    </row>
    <row r="179">
      <c r="A179" s="38">
        <f>IF(ISNUMBER(_xlfn.XMATCH(Tabla3[[#This Row],[CodInternoArti]],'Tabla Articulos'!B:B)),"OK","NO ESTA")</f>
        <v/>
      </c>
      <c r="B179" s="38">
        <f>IF(ISNUMBER(_xlfn.XMATCH('Calcular necesidad'!E:E,'Necesidad por familia'!A:A)),"OK","NO ESTA")</f>
        <v/>
      </c>
      <c r="C179" s="17" t="inlineStr">
        <is>
          <t>7790321626838</t>
        </is>
      </c>
      <c r="D179" s="1" t="inlineStr">
        <is>
          <t xml:space="preserve">CAJA 300X180X280 MESA/LANUS        </t>
        </is>
      </c>
      <c r="E179" s="1">
        <f>_xlfn.XLOOKUP(C179,'Tabla Articulos'!B:B,'Tabla Articulos'!D:D)</f>
        <v/>
      </c>
      <c r="F179" s="1">
        <f>_xlfn.XLOOKUP(C179,'Tabla Articulos'!B:B,'Tabla Articulos'!E:E)</f>
        <v/>
      </c>
      <c r="G179" s="15">
        <f>SUM(
    SUMIFS(MRP!$H$2:$H$245, MRP!$B$2:$B$245, $C179, MRP!$G$2:$G$245, G$1),
    SUMIFS(MRP!$I$2:$I$245, MRP!$B$2:$B$245, $C179, MRP!$G$2:$G$245, G$1),
    SUMIFS(MRP!$J$2:$J$245, MRP!$B$2:$B$245, $C179,  MRP!$G$2:$G$245, G$1),
    SUMIFS(MRP!$K$2:$K$245, MRP!$B$2:$B$245, $C179,  MRP!$G$2:$G$245, G$1),
    SUMIFS(MRP!$L$2:$L$245, MRP!$B$2:$B$245, $C179,  MRP!$G$2:$G$245, G$1)
)*F179</f>
        <v/>
      </c>
      <c r="H179" s="15">
        <f>SUM(
    SUMIFS(MRP!$H$2:$H$245, MRP!$B$2:$B$245, $C179, MRP!$G$2:$G$245, H$1),
    SUMIFS(MRP!$I$2:$I$245, MRP!$B$2:$B$245, $C179, MRP!$G$2:$G$245, H$1),
    SUMIFS(MRP!$J$2:$J$245, MRP!$B$2:$B$245, $C179,  MRP!$G$2:$G$245, H$1),
    SUMIFS(MRP!$K$2:$K$245, MRP!$B$2:$B$245, $C179,  MRP!$G$2:$G$245, H$1),
    SUMIFS(MRP!$L$2:$L$245, MRP!$B$2:$B$245, $C179,  MRP!$G$2:$G$245, H$1)
)*F179</f>
        <v/>
      </c>
      <c r="I179" s="15">
        <f>SUM(
    SUMIFS(MRP!$H$2:$H$245, MRP!$B$2:$B$245, $C179, MRP!$G$2:$G$245, I$1),
    SUMIFS(MRP!$I$2:$I$245, MRP!$B$2:$B$245, $C179, MRP!$G$2:$G$245, I$1),
    SUMIFS(MRP!$J$2:$J$245, MRP!$B$2:$B$245, $C179,  MRP!$G$2:$G$245, I$1),
    SUMIFS(MRP!$K$2:$K$245, MRP!$B$2:$B$245, $C179,  MRP!$G$2:$G$245, I$1),
    SUMIFS(MRP!$L$2:$L$245, MRP!$B$2:$B$245, $C179,  MRP!$G$2:$G$245, I$1)
)*F179</f>
        <v/>
      </c>
      <c r="J179" s="15">
        <f>SUM(
    SUMIFS(MRP!$H$2:$H$245, MRP!$B$2:$B$245, $C179, MRP!$G$2:$G$245, J$1),
    SUMIFS(MRP!$I$2:$I$245, MRP!$B$2:$B$245, $C179, MRP!$G$2:$G$245, J$1),
    SUMIFS(MRP!$J$2:$J$245, MRP!$B$2:$B$245, $C179,  MRP!$G$2:$G$245, J$1),
    SUMIFS(MRP!$K$2:$K$245, MRP!$B$2:$B$245, $C179,  MRP!$G$2:$G$245, J$1),
    SUMIFS(MRP!$L$2:$L$245, MRP!$B$2:$B$245, $C179,  MRP!$G$2:$G$245, J$1)
)*F179</f>
        <v/>
      </c>
      <c r="K179" s="15">
        <f>SUM(
    SUMIFS(MRP!$H$2:$H$245, MRP!$B$2:$B$245, $C179, MRP!$G$2:$G$245, K$1),
    SUMIFS(MRP!$I$2:$I$245, MRP!$B$2:$B$245, $C179, MRP!$G$2:$G$245, K$1),
    SUMIFS(MRP!$J$2:$J$245, MRP!$B$2:$B$245, $C179,  MRP!$G$2:$G$245, K$1),
    SUMIFS(MRP!$K$2:$K$245, MRP!$B$2:$B$245, $C179,  MRP!$G$2:$G$245, K$1),
    SUMIFS(MRP!$L$2:$L$245, MRP!$B$2:$B$245, $C179,  MRP!$G$2:$G$245, K$1)
)*F179</f>
        <v/>
      </c>
      <c r="L179" s="55">
        <f>TRIM(Tabla3[[#This Row],[CodInternoArti]])</f>
        <v/>
      </c>
    </row>
    <row r="180">
      <c r="A180" s="38">
        <f>IF(ISNUMBER(_xlfn.XMATCH(Tabla3[[#This Row],[CodInternoArti]],'Tabla Articulos'!B:B)),"OK","NO ESTA")</f>
        <v/>
      </c>
      <c r="B180" s="38">
        <f>IF(ISNUMBER(_xlfn.XMATCH('Calcular necesidad'!E:E,'Necesidad por familia'!A:A)),"OK","NO ESTA")</f>
        <v/>
      </c>
      <c r="C180" s="17" t="inlineStr">
        <is>
          <t>7798072299620</t>
        </is>
      </c>
      <c r="D180" s="1" t="inlineStr">
        <is>
          <t xml:space="preserve">CAJA 300X180X280XU LOGO LANUS 2    </t>
        </is>
      </c>
      <c r="E180" s="1">
        <f>_xlfn.XLOOKUP(C180,'Tabla Articulos'!B:B,'Tabla Articulos'!D:D)</f>
        <v/>
      </c>
      <c r="F180" s="1">
        <f>_xlfn.XLOOKUP(C180,'Tabla Articulos'!B:B,'Tabla Articulos'!E:E)</f>
        <v/>
      </c>
      <c r="G180" s="15">
        <f>SUM(
    SUMIFS(MRP!$H$2:$H$245, MRP!$B$2:$B$245, $C180, MRP!$G$2:$G$245, G$1),
    SUMIFS(MRP!$I$2:$I$245, MRP!$B$2:$B$245, $C180, MRP!$G$2:$G$245, G$1),
    SUMIFS(MRP!$J$2:$J$245, MRP!$B$2:$B$245, $C180,  MRP!$G$2:$G$245, G$1),
    SUMIFS(MRP!$K$2:$K$245, MRP!$B$2:$B$245, $C180,  MRP!$G$2:$G$245, G$1),
    SUMIFS(MRP!$L$2:$L$245, MRP!$B$2:$B$245, $C180,  MRP!$G$2:$G$245, G$1)
)*F180</f>
        <v/>
      </c>
      <c r="H180" s="15">
        <f>SUM(
    SUMIFS(MRP!$H$2:$H$245, MRP!$B$2:$B$245, $C180, MRP!$G$2:$G$245, H$1),
    SUMIFS(MRP!$I$2:$I$245, MRP!$B$2:$B$245, $C180, MRP!$G$2:$G$245, H$1),
    SUMIFS(MRP!$J$2:$J$245, MRP!$B$2:$B$245, $C180,  MRP!$G$2:$G$245, H$1),
    SUMIFS(MRP!$K$2:$K$245, MRP!$B$2:$B$245, $C180,  MRP!$G$2:$G$245, H$1),
    SUMIFS(MRP!$L$2:$L$245, MRP!$B$2:$B$245, $C180,  MRP!$G$2:$G$245, H$1)
)*F180</f>
        <v/>
      </c>
      <c r="I180" s="15">
        <f>SUM(
    SUMIFS(MRP!$H$2:$H$245, MRP!$B$2:$B$245, $C180, MRP!$G$2:$G$245, I$1),
    SUMIFS(MRP!$I$2:$I$245, MRP!$B$2:$B$245, $C180, MRP!$G$2:$G$245, I$1),
    SUMIFS(MRP!$J$2:$J$245, MRP!$B$2:$B$245, $C180,  MRP!$G$2:$G$245, I$1),
    SUMIFS(MRP!$K$2:$K$245, MRP!$B$2:$B$245, $C180,  MRP!$G$2:$G$245, I$1),
    SUMIFS(MRP!$L$2:$L$245, MRP!$B$2:$B$245, $C180,  MRP!$G$2:$G$245, I$1)
)*F180</f>
        <v/>
      </c>
      <c r="J180" s="15">
        <f>SUM(
    SUMIFS(MRP!$H$2:$H$245, MRP!$B$2:$B$245, $C180, MRP!$G$2:$G$245, J$1),
    SUMIFS(MRP!$I$2:$I$245, MRP!$B$2:$B$245, $C180, MRP!$G$2:$G$245, J$1),
    SUMIFS(MRP!$J$2:$J$245, MRP!$B$2:$B$245, $C180,  MRP!$G$2:$G$245, J$1),
    SUMIFS(MRP!$K$2:$K$245, MRP!$B$2:$B$245, $C180,  MRP!$G$2:$G$245, J$1),
    SUMIFS(MRP!$L$2:$L$245, MRP!$B$2:$B$245, $C180,  MRP!$G$2:$G$245, J$1)
)*F180</f>
        <v/>
      </c>
      <c r="K180" s="15">
        <f>SUM(
    SUMIFS(MRP!$H$2:$H$245, MRP!$B$2:$B$245, $C180, MRP!$G$2:$G$245, K$1),
    SUMIFS(MRP!$I$2:$I$245, MRP!$B$2:$B$245, $C180, MRP!$G$2:$G$245, K$1),
    SUMIFS(MRP!$J$2:$J$245, MRP!$B$2:$B$245, $C180,  MRP!$G$2:$G$245, K$1),
    SUMIFS(MRP!$K$2:$K$245, MRP!$B$2:$B$245, $C180,  MRP!$G$2:$G$245, K$1),
    SUMIFS(MRP!$L$2:$L$245, MRP!$B$2:$B$245, $C180,  MRP!$G$2:$G$245, K$1)
)*F180</f>
        <v/>
      </c>
      <c r="L180" s="55">
        <f>TRIM(Tabla3[[#This Row],[CodInternoArti]])</f>
        <v/>
      </c>
    </row>
    <row r="181">
      <c r="A181" s="38">
        <f>IF(ISNUMBER(_xlfn.XMATCH(Tabla3[[#This Row],[CodInternoArti]],'Tabla Articulos'!B:B)),"OK","NO ESTA")</f>
        <v/>
      </c>
      <c r="B181" s="38">
        <f>IF(ISNUMBER(_xlfn.XMATCH('Calcular necesidad'!E:E,'Necesidad por familia'!A:A)),"OK","NO ESTA")</f>
        <v/>
      </c>
      <c r="C181" s="1" t="inlineStr">
        <is>
          <t>7790000000523</t>
        </is>
      </c>
      <c r="D181" s="1" t="inlineStr">
        <is>
          <t>GL TENEDOR COMPOST 16CM X100 BIOPAC</t>
        </is>
      </c>
      <c r="E181" s="1">
        <f>_xlfn.XLOOKUP(C181,'Tabla Articulos'!B:B,'Tabla Articulos'!D:D)</f>
        <v/>
      </c>
      <c r="F181" s="1">
        <f>_xlfn.XLOOKUP(C181,'Tabla Articulos'!B:B,'Tabla Articulos'!E:E)</f>
        <v/>
      </c>
      <c r="G181" s="15">
        <f>SUM(
    SUMIFS(MRP!$H$2:$H$245, MRP!$B$2:$B$245, $C181, MRP!$G$2:$G$245, G$1),
    SUMIFS(MRP!$I$2:$I$245, MRP!$B$2:$B$245, $C181, MRP!$G$2:$G$245, G$1),
    SUMIFS(MRP!$J$2:$J$245, MRP!$B$2:$B$245, $C181,  MRP!$G$2:$G$245, G$1),
    SUMIFS(MRP!$K$2:$K$245, MRP!$B$2:$B$245, $C181,  MRP!$G$2:$G$245, G$1),
    SUMIFS(MRP!$L$2:$L$245, MRP!$B$2:$B$245, $C181,  MRP!$G$2:$G$245, G$1)
)*F181</f>
        <v/>
      </c>
      <c r="H181" s="15">
        <f>SUM(
    SUMIFS(MRP!$H$2:$H$245, MRP!$B$2:$B$245, $C181, MRP!$G$2:$G$245, H$1),
    SUMIFS(MRP!$I$2:$I$245, MRP!$B$2:$B$245, $C181, MRP!$G$2:$G$245, H$1),
    SUMIFS(MRP!$J$2:$J$245, MRP!$B$2:$B$245, $C181,  MRP!$G$2:$G$245, H$1),
    SUMIFS(MRP!$K$2:$K$245, MRP!$B$2:$B$245, $C181,  MRP!$G$2:$G$245, H$1),
    SUMIFS(MRP!$L$2:$L$245, MRP!$B$2:$B$245, $C181,  MRP!$G$2:$G$245, H$1)
)*F181</f>
        <v/>
      </c>
      <c r="I181" s="15">
        <f>SUM(
    SUMIFS(MRP!$H$2:$H$245, MRP!$B$2:$B$245, $C181, MRP!$G$2:$G$245, I$1),
    SUMIFS(MRP!$I$2:$I$245, MRP!$B$2:$B$245, $C181, MRP!$G$2:$G$245, I$1),
    SUMIFS(MRP!$J$2:$J$245, MRP!$B$2:$B$245, $C181,  MRP!$G$2:$G$245, I$1),
    SUMIFS(MRP!$K$2:$K$245, MRP!$B$2:$B$245, $C181,  MRP!$G$2:$G$245, I$1),
    SUMIFS(MRP!$L$2:$L$245, MRP!$B$2:$B$245, $C181,  MRP!$G$2:$G$245, I$1)
)*F181</f>
        <v/>
      </c>
      <c r="J181" s="15">
        <f>SUM(
    SUMIFS(MRP!$H$2:$H$245, MRP!$B$2:$B$245, $C181, MRP!$G$2:$G$245, J$1),
    SUMIFS(MRP!$I$2:$I$245, MRP!$B$2:$B$245, $C181, MRP!$G$2:$G$245, J$1),
    SUMIFS(MRP!$J$2:$J$245, MRP!$B$2:$B$245, $C181,  MRP!$G$2:$G$245, J$1),
    SUMIFS(MRP!$K$2:$K$245, MRP!$B$2:$B$245, $C181,  MRP!$G$2:$G$245, J$1),
    SUMIFS(MRP!$L$2:$L$245, MRP!$B$2:$B$245, $C181,  MRP!$G$2:$G$245, J$1)
)*F181</f>
        <v/>
      </c>
      <c r="K181" s="15">
        <f>SUM(
    SUMIFS(MRP!$H$2:$H$245, MRP!$B$2:$B$245, $C181, MRP!$G$2:$G$245, K$1),
    SUMIFS(MRP!$I$2:$I$245, MRP!$B$2:$B$245, $C181, MRP!$G$2:$G$245, K$1),
    SUMIFS(MRP!$J$2:$J$245, MRP!$B$2:$B$245, $C181,  MRP!$G$2:$G$245, K$1),
    SUMIFS(MRP!$K$2:$K$245, MRP!$B$2:$B$245, $C181,  MRP!$G$2:$G$245, K$1),
    SUMIFS(MRP!$L$2:$L$245, MRP!$B$2:$B$245, $C181,  MRP!$G$2:$G$245, K$1)
)*F181</f>
        <v/>
      </c>
      <c r="L181" s="55">
        <f>TRIM(Tabla3[[#This Row],[CodInternoArti]])</f>
        <v/>
      </c>
    </row>
    <row r="182">
      <c r="A182" s="38">
        <f>IF(ISNUMBER(_xlfn.XMATCH(Tabla3[[#This Row],[CodInternoArti]],'Tabla Articulos'!B:B)),"OK","NO ESTA")</f>
        <v/>
      </c>
      <c r="B182" s="38">
        <f>IF(ISNUMBER(_xlfn.XMATCH('Calcular necesidad'!E:E,'Necesidad por familia'!A:A)),"OK","NO ESTA")</f>
        <v/>
      </c>
      <c r="C182" s="1" t="inlineStr">
        <is>
          <t>5712455070440</t>
        </is>
      </c>
      <c r="D182" s="1" t="inlineStr">
        <is>
          <t>VO BARBIJOS N95 X U MPROP</t>
        </is>
      </c>
      <c r="E182" s="1">
        <f>_xlfn.XLOOKUP(C182,'Tabla Articulos'!B:B,'Tabla Articulos'!D:D)</f>
        <v/>
      </c>
      <c r="F182" s="1">
        <f>_xlfn.XLOOKUP(C182,'Tabla Articulos'!B:B,'Tabla Articulos'!E:E)</f>
        <v/>
      </c>
      <c r="G182" s="15">
        <f>SUM(
    SUMIFS(MRP!$H$2:$H$245, MRP!$B$2:$B$245, $C182, MRP!$G$2:$G$245, G$1),
    SUMIFS(MRP!$I$2:$I$245, MRP!$B$2:$B$245, $C182, MRP!$G$2:$G$245, G$1),
    SUMIFS(MRP!$J$2:$J$245, MRP!$B$2:$B$245, $C182,  MRP!$G$2:$G$245, G$1),
    SUMIFS(MRP!$K$2:$K$245, MRP!$B$2:$B$245, $C182,  MRP!$G$2:$G$245, G$1),
    SUMIFS(MRP!$L$2:$L$245, MRP!$B$2:$B$245, $C182,  MRP!$G$2:$G$245, G$1)
)*F182</f>
        <v/>
      </c>
      <c r="H182" s="15">
        <f>SUM(
    SUMIFS(MRP!$H$2:$H$245, MRP!$B$2:$B$245, $C182, MRP!$G$2:$G$245, H$1),
    SUMIFS(MRP!$I$2:$I$245, MRP!$B$2:$B$245, $C182, MRP!$G$2:$G$245, H$1),
    SUMIFS(MRP!$J$2:$J$245, MRP!$B$2:$B$245, $C182,  MRP!$G$2:$G$245, H$1),
    SUMIFS(MRP!$K$2:$K$245, MRP!$B$2:$B$245, $C182,  MRP!$G$2:$G$245, H$1),
    SUMIFS(MRP!$L$2:$L$245, MRP!$B$2:$B$245, $C182,  MRP!$G$2:$G$245, H$1)
)*F182</f>
        <v/>
      </c>
      <c r="I182" s="15">
        <f>SUM(
    SUMIFS(MRP!$H$2:$H$245, MRP!$B$2:$B$245, $C182, MRP!$G$2:$G$245, I$1),
    SUMIFS(MRP!$I$2:$I$245, MRP!$B$2:$B$245, $C182, MRP!$G$2:$G$245, I$1),
    SUMIFS(MRP!$J$2:$J$245, MRP!$B$2:$B$245, $C182,  MRP!$G$2:$G$245, I$1),
    SUMIFS(MRP!$K$2:$K$245, MRP!$B$2:$B$245, $C182,  MRP!$G$2:$G$245, I$1),
    SUMIFS(MRP!$L$2:$L$245, MRP!$B$2:$B$245, $C182,  MRP!$G$2:$G$245, I$1)
)*F182</f>
        <v/>
      </c>
      <c r="J182" s="15">
        <f>SUM(
    SUMIFS(MRP!$H$2:$H$245, MRP!$B$2:$B$245, $C182, MRP!$G$2:$G$245, J$1),
    SUMIFS(MRP!$I$2:$I$245, MRP!$B$2:$B$245, $C182, MRP!$G$2:$G$245, J$1),
    SUMIFS(MRP!$J$2:$J$245, MRP!$B$2:$B$245, $C182,  MRP!$G$2:$G$245, J$1),
    SUMIFS(MRP!$K$2:$K$245, MRP!$B$2:$B$245, $C182,  MRP!$G$2:$G$245, J$1),
    SUMIFS(MRP!$L$2:$L$245, MRP!$B$2:$B$245, $C182,  MRP!$G$2:$G$245, J$1)
)*F182</f>
        <v/>
      </c>
      <c r="K182" s="15">
        <f>SUM(
    SUMIFS(MRP!$H$2:$H$245, MRP!$B$2:$B$245, $C182, MRP!$G$2:$G$245, K$1),
    SUMIFS(MRP!$I$2:$I$245, MRP!$B$2:$B$245, $C182, MRP!$G$2:$G$245, K$1),
    SUMIFS(MRP!$J$2:$J$245, MRP!$B$2:$B$245, $C182,  MRP!$G$2:$G$245, K$1),
    SUMIFS(MRP!$K$2:$K$245, MRP!$B$2:$B$245, $C182,  MRP!$G$2:$G$245, K$1),
    SUMIFS(MRP!$L$2:$L$245, MRP!$B$2:$B$245, $C182,  MRP!$G$2:$G$245, K$1)
)*F182</f>
        <v/>
      </c>
      <c r="L182" s="55">
        <f>TRIM(Tabla3[[#This Row],[CodInternoArti]])</f>
        <v/>
      </c>
    </row>
    <row r="183">
      <c r="A183" s="38">
        <f>IF(ISNUMBER(_xlfn.XMATCH(Tabla3[[#This Row],[CodInternoArti]],'Tabla Articulos'!B:B)),"OK","NO ESTA")</f>
        <v/>
      </c>
      <c r="B183" s="38">
        <f>IF(ISNUMBER(_xlfn.XMATCH('Calcular necesidad'!E:E,'Necesidad por familia'!A:A)),"OK","NO ESTA")</f>
        <v/>
      </c>
      <c r="C183" s="1" t="inlineStr">
        <is>
          <t>7790000000525</t>
        </is>
      </c>
      <c r="D183" s="1" t="inlineStr">
        <is>
          <t>GL TAPA BOWL COMP 23x16 780CC BIOPAC</t>
        </is>
      </c>
      <c r="E183" s="1">
        <f>_xlfn.XLOOKUP(C183,'Tabla Articulos'!B:B,'Tabla Articulos'!D:D)</f>
        <v/>
      </c>
      <c r="F183" s="1">
        <f>_xlfn.XLOOKUP(C183,'Tabla Articulos'!B:B,'Tabla Articulos'!E:E)</f>
        <v/>
      </c>
      <c r="G183" s="15">
        <f>SUM(
    SUMIFS(MRP!$H$2:$H$245, MRP!$B$2:$B$245, $C183, MRP!$G$2:$G$245, G$1),
    SUMIFS(MRP!$I$2:$I$245, MRP!$B$2:$B$245, $C183, MRP!$G$2:$G$245, G$1),
    SUMIFS(MRP!$J$2:$J$245, MRP!$B$2:$B$245, $C183,  MRP!$G$2:$G$245, G$1),
    SUMIFS(MRP!$K$2:$K$245, MRP!$B$2:$B$245, $C183,  MRP!$G$2:$G$245, G$1),
    SUMIFS(MRP!$L$2:$L$245, MRP!$B$2:$B$245, $C183,  MRP!$G$2:$G$245, G$1)
)*F183</f>
        <v/>
      </c>
      <c r="H183" s="15">
        <f>SUM(
    SUMIFS(MRP!$H$2:$H$245, MRP!$B$2:$B$245, $C183, MRP!$G$2:$G$245, H$1),
    SUMIFS(MRP!$I$2:$I$245, MRP!$B$2:$B$245, $C183, MRP!$G$2:$G$245, H$1),
    SUMIFS(MRP!$J$2:$J$245, MRP!$B$2:$B$245, $C183,  MRP!$G$2:$G$245, H$1),
    SUMIFS(MRP!$K$2:$K$245, MRP!$B$2:$B$245, $C183,  MRP!$G$2:$G$245, H$1),
    SUMIFS(MRP!$L$2:$L$245, MRP!$B$2:$B$245, $C183,  MRP!$G$2:$G$245, H$1)
)*F183</f>
        <v/>
      </c>
      <c r="I183" s="15">
        <f>SUM(
    SUMIFS(MRP!$H$2:$H$245, MRP!$B$2:$B$245, $C183, MRP!$G$2:$G$245, I$1),
    SUMIFS(MRP!$I$2:$I$245, MRP!$B$2:$B$245, $C183, MRP!$G$2:$G$245, I$1),
    SUMIFS(MRP!$J$2:$J$245, MRP!$B$2:$B$245, $C183,  MRP!$G$2:$G$245, I$1),
    SUMIFS(MRP!$K$2:$K$245, MRP!$B$2:$B$245, $C183,  MRP!$G$2:$G$245, I$1),
    SUMIFS(MRP!$L$2:$L$245, MRP!$B$2:$B$245, $C183,  MRP!$G$2:$G$245, I$1)
)*F183</f>
        <v/>
      </c>
      <c r="J183" s="15">
        <f>SUM(
    SUMIFS(MRP!$H$2:$H$245, MRP!$B$2:$B$245, $C183, MRP!$G$2:$G$245, J$1),
    SUMIFS(MRP!$I$2:$I$245, MRP!$B$2:$B$245, $C183, MRP!$G$2:$G$245, J$1),
    SUMIFS(MRP!$J$2:$J$245, MRP!$B$2:$B$245, $C183,  MRP!$G$2:$G$245, J$1),
    SUMIFS(MRP!$K$2:$K$245, MRP!$B$2:$B$245, $C183,  MRP!$G$2:$G$245, J$1),
    SUMIFS(MRP!$L$2:$L$245, MRP!$B$2:$B$245, $C183,  MRP!$G$2:$G$245, J$1)
)*F183</f>
        <v/>
      </c>
      <c r="K183" s="15">
        <f>SUM(
    SUMIFS(MRP!$H$2:$H$245, MRP!$B$2:$B$245, $C183, MRP!$G$2:$G$245, K$1),
    SUMIFS(MRP!$I$2:$I$245, MRP!$B$2:$B$245, $C183, MRP!$G$2:$G$245, K$1),
    SUMIFS(MRP!$J$2:$J$245, MRP!$B$2:$B$245, $C183,  MRP!$G$2:$G$245, K$1),
    SUMIFS(MRP!$K$2:$K$245, MRP!$B$2:$B$245, $C183,  MRP!$G$2:$G$245, K$1),
    SUMIFS(MRP!$L$2:$L$245, MRP!$B$2:$B$245, $C183,  MRP!$G$2:$G$245, K$1)
)*F183</f>
        <v/>
      </c>
      <c r="L183" s="55">
        <f>TRIM(Tabla3[[#This Row],[CodInternoArti]])</f>
        <v/>
      </c>
    </row>
    <row r="184">
      <c r="A184" s="38">
        <f>IF(ISNUMBER(_xlfn.XMATCH(Tabla3[[#This Row],[CodInternoArti]],'Tabla Articulos'!B:B)),"OK","NO ESTA")</f>
        <v/>
      </c>
      <c r="B184" s="38">
        <f>IF(ISNUMBER(_xlfn.XMATCH('Calcular necesidad'!E:E,'Necesidad por familia'!A:A)),"OK","NO ESTA")</f>
        <v/>
      </c>
      <c r="C184" s="1" t="inlineStr">
        <is>
          <t>7790000000218</t>
        </is>
      </c>
      <c r="D184" s="1" t="inlineStr">
        <is>
          <t>BOWL COMPOST.17x7 960CC BIO X600UN</t>
        </is>
      </c>
      <c r="E184" s="1">
        <f>_xlfn.XLOOKUP(C184,'Tabla Articulos'!B:B,'Tabla Articulos'!D:D)</f>
        <v/>
      </c>
      <c r="F184" s="1">
        <f>_xlfn.XLOOKUP(C184,'Tabla Articulos'!B:B,'Tabla Articulos'!E:E)</f>
        <v/>
      </c>
      <c r="G184" s="15">
        <f>SUM(
    SUMIFS(MRP!$H$2:$H$245, MRP!$B$2:$B$245, $C184, MRP!$G$2:$G$245, G$1),
    SUMIFS(MRP!$I$2:$I$245, MRP!$B$2:$B$245, $C184, MRP!$G$2:$G$245, G$1),
    SUMIFS(MRP!$J$2:$J$245, MRP!$B$2:$B$245, $C184,  MRP!$G$2:$G$245, G$1),
    SUMIFS(MRP!$K$2:$K$245, MRP!$B$2:$B$245, $C184,  MRP!$G$2:$G$245, G$1),
    SUMIFS(MRP!$L$2:$L$245, MRP!$B$2:$B$245, $C184,  MRP!$G$2:$G$245, G$1)
)*F184</f>
        <v/>
      </c>
      <c r="H184" s="15">
        <f>SUM(
    SUMIFS(MRP!$H$2:$H$245, MRP!$B$2:$B$245, $C184, MRP!$G$2:$G$245, H$1),
    SUMIFS(MRP!$I$2:$I$245, MRP!$B$2:$B$245, $C184, MRP!$G$2:$G$245, H$1),
    SUMIFS(MRP!$J$2:$J$245, MRP!$B$2:$B$245, $C184,  MRP!$G$2:$G$245, H$1),
    SUMIFS(MRP!$K$2:$K$245, MRP!$B$2:$B$245, $C184,  MRP!$G$2:$G$245, H$1),
    SUMIFS(MRP!$L$2:$L$245, MRP!$B$2:$B$245, $C184,  MRP!$G$2:$G$245, H$1)
)*F184</f>
        <v/>
      </c>
      <c r="I184" s="15">
        <f>SUM(
    SUMIFS(MRP!$H$2:$H$245, MRP!$B$2:$B$245, $C184, MRP!$G$2:$G$245, I$1),
    SUMIFS(MRP!$I$2:$I$245, MRP!$B$2:$B$245, $C184, MRP!$G$2:$G$245, I$1),
    SUMIFS(MRP!$J$2:$J$245, MRP!$B$2:$B$245, $C184,  MRP!$G$2:$G$245, I$1),
    SUMIFS(MRP!$K$2:$K$245, MRP!$B$2:$B$245, $C184,  MRP!$G$2:$G$245, I$1),
    SUMIFS(MRP!$L$2:$L$245, MRP!$B$2:$B$245, $C184,  MRP!$G$2:$G$245, I$1)
)*F184</f>
        <v/>
      </c>
      <c r="J184" s="15">
        <f>SUM(
    SUMIFS(MRP!$H$2:$H$245, MRP!$B$2:$B$245, $C184, MRP!$G$2:$G$245, J$1),
    SUMIFS(MRP!$I$2:$I$245, MRP!$B$2:$B$245, $C184, MRP!$G$2:$G$245, J$1),
    SUMIFS(MRP!$J$2:$J$245, MRP!$B$2:$B$245, $C184,  MRP!$G$2:$G$245, J$1),
    SUMIFS(MRP!$K$2:$K$245, MRP!$B$2:$B$245, $C184,  MRP!$G$2:$G$245, J$1),
    SUMIFS(MRP!$L$2:$L$245, MRP!$B$2:$B$245, $C184,  MRP!$G$2:$G$245, J$1)
)*F184</f>
        <v/>
      </c>
      <c r="K184" s="15">
        <f>SUM(
    SUMIFS(MRP!$H$2:$H$245, MRP!$B$2:$B$245, $C184, MRP!$G$2:$G$245, K$1),
    SUMIFS(MRP!$I$2:$I$245, MRP!$B$2:$B$245, $C184, MRP!$G$2:$G$245, K$1),
    SUMIFS(MRP!$J$2:$J$245, MRP!$B$2:$B$245, $C184,  MRP!$G$2:$G$245, K$1),
    SUMIFS(MRP!$K$2:$K$245, MRP!$B$2:$B$245, $C184,  MRP!$G$2:$G$245, K$1),
    SUMIFS(MRP!$L$2:$L$245, MRP!$B$2:$B$245, $C184,  MRP!$G$2:$G$245, K$1)
)*F184</f>
        <v/>
      </c>
      <c r="L184" s="55">
        <f>TRIM(Tabla3[[#This Row],[CodInternoArti]])</f>
        <v/>
      </c>
    </row>
    <row r="185">
      <c r="A185" s="38">
        <f>IF(ISNUMBER(_xlfn.XMATCH(Tabla3[[#This Row],[CodInternoArti]],'Tabla Articulos'!B:B)),"OK","NO ESTA")</f>
        <v/>
      </c>
      <c r="B185" s="38">
        <f>IF(ISNUMBER(_xlfn.XMATCH('Calcular necesidad'!E:E,'Necesidad por familia'!A:A)),"OK","NO ESTA")</f>
        <v/>
      </c>
      <c r="C185" s="1" t="inlineStr">
        <is>
          <t>7790000000381</t>
        </is>
      </c>
      <c r="D185" s="1" t="inlineStr">
        <is>
          <t>BANDEJA 105 BIODEG. X 700UN MPROPIA</t>
        </is>
      </c>
      <c r="E185" s="1">
        <f>_xlfn.XLOOKUP(C185,'Tabla Articulos'!B:B,'Tabla Articulos'!D:D)</f>
        <v/>
      </c>
      <c r="F185" s="1">
        <f>_xlfn.XLOOKUP(C185,'Tabla Articulos'!B:B,'Tabla Articulos'!E:E)</f>
        <v/>
      </c>
      <c r="G185" s="15">
        <f>SUM(
    SUMIFS(MRP!$H$2:$H$245, MRP!$B$2:$B$245, $C185, MRP!$G$2:$G$245, G$1),
    SUMIFS(MRP!$I$2:$I$245, MRP!$B$2:$B$245, $C185, MRP!$G$2:$G$245, G$1),
    SUMIFS(MRP!$J$2:$J$245, MRP!$B$2:$B$245, $C185,  MRP!$G$2:$G$245, G$1),
    SUMIFS(MRP!$K$2:$K$245, MRP!$B$2:$B$245, $C185,  MRP!$G$2:$G$245, G$1),
    SUMIFS(MRP!$L$2:$L$245, MRP!$B$2:$B$245, $C185,  MRP!$G$2:$G$245, G$1)
)*F185</f>
        <v/>
      </c>
      <c r="H185" s="15">
        <f>SUM(
    SUMIFS(MRP!$H$2:$H$245, MRP!$B$2:$B$245, $C185, MRP!$G$2:$G$245, H$1),
    SUMIFS(MRP!$I$2:$I$245, MRP!$B$2:$B$245, $C185, MRP!$G$2:$G$245, H$1),
    SUMIFS(MRP!$J$2:$J$245, MRP!$B$2:$B$245, $C185,  MRP!$G$2:$G$245, H$1),
    SUMIFS(MRP!$K$2:$K$245, MRP!$B$2:$B$245, $C185,  MRP!$G$2:$G$245, H$1),
    SUMIFS(MRP!$L$2:$L$245, MRP!$B$2:$B$245, $C185,  MRP!$G$2:$G$245, H$1)
)*F185</f>
        <v/>
      </c>
      <c r="I185" s="15">
        <f>SUM(
    SUMIFS(MRP!$H$2:$H$245, MRP!$B$2:$B$245, $C185, MRP!$G$2:$G$245, I$1),
    SUMIFS(MRP!$I$2:$I$245, MRP!$B$2:$B$245, $C185, MRP!$G$2:$G$245, I$1),
    SUMIFS(MRP!$J$2:$J$245, MRP!$B$2:$B$245, $C185,  MRP!$G$2:$G$245, I$1),
    SUMIFS(MRP!$K$2:$K$245, MRP!$B$2:$B$245, $C185,  MRP!$G$2:$G$245, I$1),
    SUMIFS(MRP!$L$2:$L$245, MRP!$B$2:$B$245, $C185,  MRP!$G$2:$G$245, I$1)
)*F185</f>
        <v/>
      </c>
      <c r="J185" s="15">
        <f>SUM(
    SUMIFS(MRP!$H$2:$H$245, MRP!$B$2:$B$245, $C185, MRP!$G$2:$G$245, J$1),
    SUMIFS(MRP!$I$2:$I$245, MRP!$B$2:$B$245, $C185, MRP!$G$2:$G$245, J$1),
    SUMIFS(MRP!$J$2:$J$245, MRP!$B$2:$B$245, $C185,  MRP!$G$2:$G$245, J$1),
    SUMIFS(MRP!$K$2:$K$245, MRP!$B$2:$B$245, $C185,  MRP!$G$2:$G$245, J$1),
    SUMIFS(MRP!$L$2:$L$245, MRP!$B$2:$B$245, $C185,  MRP!$G$2:$G$245, J$1)
)*F185</f>
        <v/>
      </c>
      <c r="K185" s="15">
        <f>SUM(
    SUMIFS(MRP!$H$2:$H$245, MRP!$B$2:$B$245, $C185, MRP!$G$2:$G$245, K$1),
    SUMIFS(MRP!$I$2:$I$245, MRP!$B$2:$B$245, $C185, MRP!$G$2:$G$245, K$1),
    SUMIFS(MRP!$J$2:$J$245, MRP!$B$2:$B$245, $C185,  MRP!$G$2:$G$245, K$1),
    SUMIFS(MRP!$K$2:$K$245, MRP!$B$2:$B$245, $C185,  MRP!$G$2:$G$245, K$1),
    SUMIFS(MRP!$L$2:$L$245, MRP!$B$2:$B$245, $C185,  MRP!$G$2:$G$245, K$1)
)*F185</f>
        <v/>
      </c>
      <c r="L185" s="55">
        <f>TRIM(Tabla3[[#This Row],[CodInternoArti]])</f>
        <v/>
      </c>
    </row>
    <row r="186">
      <c r="A186" s="38">
        <f>IF(ISNUMBER(_xlfn.XMATCH(Tabla3[[#This Row],[CodInternoArti]],'Tabla Articulos'!B:B)),"OK","NO ESTA")</f>
        <v/>
      </c>
      <c r="B186" s="38">
        <f>IF(ISNUMBER(_xlfn.XMATCH('Calcular necesidad'!E:E,'Necesidad por familia'!A:A)),"OK","NO ESTA")</f>
        <v/>
      </c>
      <c r="C186" s="1" t="inlineStr">
        <is>
          <t>7790000000162</t>
        </is>
      </c>
      <c r="D186" s="1" t="inlineStr">
        <is>
          <t>BARBIJOS N95 MARCA PROPIA 50UN</t>
        </is>
      </c>
      <c r="E186" s="1">
        <f>_xlfn.XLOOKUP(C186,'Tabla Articulos'!B:B,'Tabla Articulos'!D:D)</f>
        <v/>
      </c>
      <c r="F186" s="1">
        <f>_xlfn.XLOOKUP(C186,'Tabla Articulos'!B:B,'Tabla Articulos'!E:E)</f>
        <v/>
      </c>
      <c r="G186" s="15">
        <f>SUM(
    SUMIFS(MRP!$H$2:$H$245, MRP!$B$2:$B$245, $C186, MRP!$G$2:$G$245, G$1),
    SUMIFS(MRP!$I$2:$I$245, MRP!$B$2:$B$245, $C186, MRP!$G$2:$G$245, G$1),
    SUMIFS(MRP!$J$2:$J$245, MRP!$B$2:$B$245, $C186,  MRP!$G$2:$G$245, G$1),
    SUMIFS(MRP!$K$2:$K$245, MRP!$B$2:$B$245, $C186,  MRP!$G$2:$G$245, G$1),
    SUMIFS(MRP!$L$2:$L$245, MRP!$B$2:$B$245, $C186,  MRP!$G$2:$G$245, G$1)
)*F186</f>
        <v/>
      </c>
      <c r="H186" s="15">
        <f>SUM(
    SUMIFS(MRP!$H$2:$H$245, MRP!$B$2:$B$245, $C186, MRP!$G$2:$G$245, H$1),
    SUMIFS(MRP!$I$2:$I$245, MRP!$B$2:$B$245, $C186, MRP!$G$2:$G$245, H$1),
    SUMIFS(MRP!$J$2:$J$245, MRP!$B$2:$B$245, $C186,  MRP!$G$2:$G$245, H$1),
    SUMIFS(MRP!$K$2:$K$245, MRP!$B$2:$B$245, $C186,  MRP!$G$2:$G$245, H$1),
    SUMIFS(MRP!$L$2:$L$245, MRP!$B$2:$B$245, $C186,  MRP!$G$2:$G$245, H$1)
)*F186</f>
        <v/>
      </c>
      <c r="I186" s="15">
        <f>SUM(
    SUMIFS(MRP!$H$2:$H$245, MRP!$B$2:$B$245, $C186, MRP!$G$2:$G$245, I$1),
    SUMIFS(MRP!$I$2:$I$245, MRP!$B$2:$B$245, $C186, MRP!$G$2:$G$245, I$1),
    SUMIFS(MRP!$J$2:$J$245, MRP!$B$2:$B$245, $C186,  MRP!$G$2:$G$245, I$1),
    SUMIFS(MRP!$K$2:$K$245, MRP!$B$2:$B$245, $C186,  MRP!$G$2:$G$245, I$1),
    SUMIFS(MRP!$L$2:$L$245, MRP!$B$2:$B$245, $C186,  MRP!$G$2:$G$245, I$1)
)*F186</f>
        <v/>
      </c>
      <c r="J186" s="15">
        <f>SUM(
    SUMIFS(MRP!$H$2:$H$245, MRP!$B$2:$B$245, $C186, MRP!$G$2:$G$245, J$1),
    SUMIFS(MRP!$I$2:$I$245, MRP!$B$2:$B$245, $C186, MRP!$G$2:$G$245, J$1),
    SUMIFS(MRP!$J$2:$J$245, MRP!$B$2:$B$245, $C186,  MRP!$G$2:$G$245, J$1),
    SUMIFS(MRP!$K$2:$K$245, MRP!$B$2:$B$245, $C186,  MRP!$G$2:$G$245, J$1),
    SUMIFS(MRP!$L$2:$L$245, MRP!$B$2:$B$245, $C186,  MRP!$G$2:$G$245, J$1)
)*F186</f>
        <v/>
      </c>
      <c r="K186" s="15">
        <f>SUM(
    SUMIFS(MRP!$H$2:$H$245, MRP!$B$2:$B$245, $C186, MRP!$G$2:$G$245, K$1),
    SUMIFS(MRP!$I$2:$I$245, MRP!$B$2:$B$245, $C186, MRP!$G$2:$G$245, K$1),
    SUMIFS(MRP!$J$2:$J$245, MRP!$B$2:$B$245, $C186,  MRP!$G$2:$G$245, K$1),
    SUMIFS(MRP!$K$2:$K$245, MRP!$B$2:$B$245, $C186,  MRP!$G$2:$G$245, K$1),
    SUMIFS(MRP!$L$2:$L$245, MRP!$B$2:$B$245, $C186,  MRP!$G$2:$G$245, K$1)
)*F186</f>
        <v/>
      </c>
      <c r="L186" s="55">
        <f>TRIM(Tabla3[[#This Row],[CodInternoArti]])</f>
        <v/>
      </c>
    </row>
    <row r="187">
      <c r="A187" s="38">
        <f>IF(ISNUMBER(_xlfn.XMATCH(Tabla3[[#This Row],[CodInternoArti]],'Tabla Articulos'!B:B)),"OK","NO ESTA")</f>
        <v/>
      </c>
      <c r="B187" s="38">
        <f>IF(ISNUMBER(_xlfn.XMATCH('Calcular necesidad'!E:E,'Necesidad por familia'!A:A)),"OK","NO ESTA")</f>
        <v/>
      </c>
      <c r="C187" s="1" t="inlineStr">
        <is>
          <t>7790000000380</t>
        </is>
      </c>
      <c r="D187" s="1" t="inlineStr">
        <is>
          <t>BANDEJA 103 BIODEG. X 900U MPROPIA</t>
        </is>
      </c>
      <c r="E187" s="1">
        <f>_xlfn.XLOOKUP(C187,'Tabla Articulos'!B:B,'Tabla Articulos'!D:D)</f>
        <v/>
      </c>
      <c r="F187" s="1">
        <f>_xlfn.XLOOKUP(C187,'Tabla Articulos'!B:B,'Tabla Articulos'!E:E)</f>
        <v/>
      </c>
      <c r="G187" s="15">
        <f>SUM(
    SUMIFS(MRP!$H$2:$H$245, MRP!$B$2:$B$245, $C187, MRP!$G$2:$G$245, G$1),
    SUMIFS(MRP!$I$2:$I$245, MRP!$B$2:$B$245, $C187, MRP!$G$2:$G$245, G$1),
    SUMIFS(MRP!$J$2:$J$245, MRP!$B$2:$B$245, $C187,  MRP!$G$2:$G$245, G$1),
    SUMIFS(MRP!$K$2:$K$245, MRP!$B$2:$B$245, $C187,  MRP!$G$2:$G$245, G$1),
    SUMIFS(MRP!$L$2:$L$245, MRP!$B$2:$B$245, $C187,  MRP!$G$2:$G$245, G$1)
)*F187</f>
        <v/>
      </c>
      <c r="H187" s="15">
        <f>SUM(
    SUMIFS(MRP!$H$2:$H$245, MRP!$B$2:$B$245, $C187, MRP!$G$2:$G$245, H$1),
    SUMIFS(MRP!$I$2:$I$245, MRP!$B$2:$B$245, $C187, MRP!$G$2:$G$245, H$1),
    SUMIFS(MRP!$J$2:$J$245, MRP!$B$2:$B$245, $C187,  MRP!$G$2:$G$245, H$1),
    SUMIFS(MRP!$K$2:$K$245, MRP!$B$2:$B$245, $C187,  MRP!$G$2:$G$245, H$1),
    SUMIFS(MRP!$L$2:$L$245, MRP!$B$2:$B$245, $C187,  MRP!$G$2:$G$245, H$1)
)*F187</f>
        <v/>
      </c>
      <c r="I187" s="15">
        <f>SUM(
    SUMIFS(MRP!$H$2:$H$245, MRP!$B$2:$B$245, $C187, MRP!$G$2:$G$245, I$1),
    SUMIFS(MRP!$I$2:$I$245, MRP!$B$2:$B$245, $C187, MRP!$G$2:$G$245, I$1),
    SUMIFS(MRP!$J$2:$J$245, MRP!$B$2:$B$245, $C187,  MRP!$G$2:$G$245, I$1),
    SUMIFS(MRP!$K$2:$K$245, MRP!$B$2:$B$245, $C187,  MRP!$G$2:$G$245, I$1),
    SUMIFS(MRP!$L$2:$L$245, MRP!$B$2:$B$245, $C187,  MRP!$G$2:$G$245, I$1)
)*F187</f>
        <v/>
      </c>
      <c r="J187" s="15">
        <f>SUM(
    SUMIFS(MRP!$H$2:$H$245, MRP!$B$2:$B$245, $C187, MRP!$G$2:$G$245, J$1),
    SUMIFS(MRP!$I$2:$I$245, MRP!$B$2:$B$245, $C187, MRP!$G$2:$G$245, J$1),
    SUMIFS(MRP!$J$2:$J$245, MRP!$B$2:$B$245, $C187,  MRP!$G$2:$G$245, J$1),
    SUMIFS(MRP!$K$2:$K$245, MRP!$B$2:$B$245, $C187,  MRP!$G$2:$G$245, J$1),
    SUMIFS(MRP!$L$2:$L$245, MRP!$B$2:$B$245, $C187,  MRP!$G$2:$G$245, J$1)
)*F187</f>
        <v/>
      </c>
      <c r="K187" s="15">
        <f>SUM(
    SUMIFS(MRP!$H$2:$H$245, MRP!$B$2:$B$245, $C187, MRP!$G$2:$G$245, K$1),
    SUMIFS(MRP!$I$2:$I$245, MRP!$B$2:$B$245, $C187, MRP!$G$2:$G$245, K$1),
    SUMIFS(MRP!$J$2:$J$245, MRP!$B$2:$B$245, $C187,  MRP!$G$2:$G$245, K$1),
    SUMIFS(MRP!$K$2:$K$245, MRP!$B$2:$B$245, $C187,  MRP!$G$2:$G$245, K$1),
    SUMIFS(MRP!$L$2:$L$245, MRP!$B$2:$B$245, $C187,  MRP!$G$2:$G$245, K$1)
)*F187</f>
        <v/>
      </c>
      <c r="L187" s="55">
        <f>TRIM(Tabla3[[#This Row],[CodInternoArti]])</f>
        <v/>
      </c>
    </row>
    <row r="188">
      <c r="A188" s="38">
        <f>IF(ISNUMBER(_xlfn.XMATCH(Tabla3[[#This Row],[CodInternoArti]],'Tabla Articulos'!B:B)),"OK","NO ESTA")</f>
        <v/>
      </c>
      <c r="B188" s="38">
        <f>IF(ISNUMBER(_xlfn.XMATCH('Calcular necesidad'!E:E,'Necesidad por familia'!A:A)),"OK","NO ESTA")</f>
        <v/>
      </c>
      <c r="C188" s="1" t="inlineStr">
        <is>
          <t>736372273444</t>
        </is>
      </c>
      <c r="D188" s="1" t="inlineStr">
        <is>
          <t>ROLLO ALUM. 38CM 14MT 20MIC ALUMAX</t>
        </is>
      </c>
      <c r="E188" s="1">
        <f>_xlfn.XLOOKUP(C188,'Tabla Articulos'!B:B,'Tabla Articulos'!D:D)</f>
        <v/>
      </c>
      <c r="F188" s="1">
        <f>_xlfn.XLOOKUP(C188,'Tabla Articulos'!B:B,'Tabla Articulos'!E:E)</f>
        <v/>
      </c>
      <c r="G188" s="15">
        <f>SUM(
    SUMIFS(MRP!$H$2:$H$245, MRP!$B$2:$B$245, $C188, MRP!$G$2:$G$245, G$1),
    SUMIFS(MRP!$I$2:$I$245, MRP!$B$2:$B$245, $C188, MRP!$G$2:$G$245, G$1),
    SUMIFS(MRP!$J$2:$J$245, MRP!$B$2:$B$245, $C188,  MRP!$G$2:$G$245, G$1),
    SUMIFS(MRP!$K$2:$K$245, MRP!$B$2:$B$245, $C188,  MRP!$G$2:$G$245, G$1),
    SUMIFS(MRP!$L$2:$L$245, MRP!$B$2:$B$245, $C188,  MRP!$G$2:$G$245, G$1)
)*F188</f>
        <v/>
      </c>
      <c r="H188" s="15">
        <f>SUM(
    SUMIFS(MRP!$H$2:$H$245, MRP!$B$2:$B$245, $C188, MRP!$G$2:$G$245, H$1),
    SUMIFS(MRP!$I$2:$I$245, MRP!$B$2:$B$245, $C188, MRP!$G$2:$G$245, H$1),
    SUMIFS(MRP!$J$2:$J$245, MRP!$B$2:$B$245, $C188,  MRP!$G$2:$G$245, H$1),
    SUMIFS(MRP!$K$2:$K$245, MRP!$B$2:$B$245, $C188,  MRP!$G$2:$G$245, H$1),
    SUMIFS(MRP!$L$2:$L$245, MRP!$B$2:$B$245, $C188,  MRP!$G$2:$G$245, H$1)
)*F188</f>
        <v/>
      </c>
      <c r="I188" s="15">
        <f>SUM(
    SUMIFS(MRP!$H$2:$H$245, MRP!$B$2:$B$245, $C188, MRP!$G$2:$G$245, I$1),
    SUMIFS(MRP!$I$2:$I$245, MRP!$B$2:$B$245, $C188, MRP!$G$2:$G$245, I$1),
    SUMIFS(MRP!$J$2:$J$245, MRP!$B$2:$B$245, $C188,  MRP!$G$2:$G$245, I$1),
    SUMIFS(MRP!$K$2:$K$245, MRP!$B$2:$B$245, $C188,  MRP!$G$2:$G$245, I$1),
    SUMIFS(MRP!$L$2:$L$245, MRP!$B$2:$B$245, $C188,  MRP!$G$2:$G$245, I$1)
)*F188</f>
        <v/>
      </c>
      <c r="J188" s="15">
        <f>SUM(
    SUMIFS(MRP!$H$2:$H$245, MRP!$B$2:$B$245, $C188, MRP!$G$2:$G$245, J$1),
    SUMIFS(MRP!$I$2:$I$245, MRP!$B$2:$B$245, $C188, MRP!$G$2:$G$245, J$1),
    SUMIFS(MRP!$J$2:$J$245, MRP!$B$2:$B$245, $C188,  MRP!$G$2:$G$245, J$1),
    SUMIFS(MRP!$K$2:$K$245, MRP!$B$2:$B$245, $C188,  MRP!$G$2:$G$245, J$1),
    SUMIFS(MRP!$L$2:$L$245, MRP!$B$2:$B$245, $C188,  MRP!$G$2:$G$245, J$1)
)*F188</f>
        <v/>
      </c>
      <c r="K188" s="15">
        <f>SUM(
    SUMIFS(MRP!$H$2:$H$245, MRP!$B$2:$B$245, $C188, MRP!$G$2:$G$245, K$1),
    SUMIFS(MRP!$I$2:$I$245, MRP!$B$2:$B$245, $C188, MRP!$G$2:$G$245, K$1),
    SUMIFS(MRP!$J$2:$J$245, MRP!$B$2:$B$245, $C188,  MRP!$G$2:$G$245, K$1),
    SUMIFS(MRP!$K$2:$K$245, MRP!$B$2:$B$245, $C188,  MRP!$G$2:$G$245, K$1),
    SUMIFS(MRP!$L$2:$L$245, MRP!$B$2:$B$245, $C188,  MRP!$G$2:$G$245, K$1)
)*F188</f>
        <v/>
      </c>
      <c r="L188" s="55">
        <f>TRIM(Tabla3[[#This Row],[CodInternoArti]])</f>
        <v/>
      </c>
    </row>
    <row r="189">
      <c r="A189" s="38">
        <f>IF(ISNUMBER(_xlfn.XMATCH(Tabla3[[#This Row],[CodInternoArti]],'Tabla Articulos'!B:B)),"OK","NO ESTA")</f>
        <v/>
      </c>
      <c r="B189" s="38">
        <f>IF(ISNUMBER(_xlfn.XMATCH('Calcular necesidad'!E:E,'Necesidad por familia'!A:A)),"OK","NO ESTA")</f>
        <v/>
      </c>
      <c r="C189" s="1" t="inlineStr">
        <is>
          <t>9992016801751</t>
        </is>
      </c>
      <c r="D189" s="1" t="inlineStr">
        <is>
          <t>SERVILLETA 18X18 X1000U BLUE</t>
        </is>
      </c>
      <c r="E189" s="1">
        <f>_xlfn.XLOOKUP(C189,'Tabla Articulos'!B:B,'Tabla Articulos'!D:D)</f>
        <v/>
      </c>
      <c r="F189" s="1">
        <f>_xlfn.XLOOKUP(C189,'Tabla Articulos'!B:B,'Tabla Articulos'!E:E)</f>
        <v/>
      </c>
      <c r="G189" s="15">
        <f>SUM(
    SUMIFS(MRP!$H$2:$H$245, MRP!$B$2:$B$245, $C189, MRP!$G$2:$G$245, G$1),
    SUMIFS(MRP!$I$2:$I$245, MRP!$B$2:$B$245, $C189, MRP!$G$2:$G$245, G$1),
    SUMIFS(MRP!$J$2:$J$245, MRP!$B$2:$B$245, $C189,  MRP!$G$2:$G$245, G$1),
    SUMIFS(MRP!$K$2:$K$245, MRP!$B$2:$B$245, $C189,  MRP!$G$2:$G$245, G$1),
    SUMIFS(MRP!$L$2:$L$245, MRP!$B$2:$B$245, $C189,  MRP!$G$2:$G$245, G$1)
)*F189</f>
        <v/>
      </c>
      <c r="H189" s="15">
        <f>SUM(
    SUMIFS(MRP!$H$2:$H$245, MRP!$B$2:$B$245, $C189, MRP!$G$2:$G$245, H$1),
    SUMIFS(MRP!$I$2:$I$245, MRP!$B$2:$B$245, $C189, MRP!$G$2:$G$245, H$1),
    SUMIFS(MRP!$J$2:$J$245, MRP!$B$2:$B$245, $C189,  MRP!$G$2:$G$245, H$1),
    SUMIFS(MRP!$K$2:$K$245, MRP!$B$2:$B$245, $C189,  MRP!$G$2:$G$245, H$1),
    SUMIFS(MRP!$L$2:$L$245, MRP!$B$2:$B$245, $C189,  MRP!$G$2:$G$245, H$1)
)*F189</f>
        <v/>
      </c>
      <c r="I189" s="15">
        <f>SUM(
    SUMIFS(MRP!$H$2:$H$245, MRP!$B$2:$B$245, $C189, MRP!$G$2:$G$245, I$1),
    SUMIFS(MRP!$I$2:$I$245, MRP!$B$2:$B$245, $C189, MRP!$G$2:$G$245, I$1),
    SUMIFS(MRP!$J$2:$J$245, MRP!$B$2:$B$245, $C189,  MRP!$G$2:$G$245, I$1),
    SUMIFS(MRP!$K$2:$K$245, MRP!$B$2:$B$245, $C189,  MRP!$G$2:$G$245, I$1),
    SUMIFS(MRP!$L$2:$L$245, MRP!$B$2:$B$245, $C189,  MRP!$G$2:$G$245, I$1)
)*F189</f>
        <v/>
      </c>
      <c r="J189" s="15">
        <f>SUM(
    SUMIFS(MRP!$H$2:$H$245, MRP!$B$2:$B$245, $C189, MRP!$G$2:$G$245, J$1),
    SUMIFS(MRP!$I$2:$I$245, MRP!$B$2:$B$245, $C189, MRP!$G$2:$G$245, J$1),
    SUMIFS(MRP!$J$2:$J$245, MRP!$B$2:$B$245, $C189,  MRP!$G$2:$G$245, J$1),
    SUMIFS(MRP!$K$2:$K$245, MRP!$B$2:$B$245, $C189,  MRP!$G$2:$G$245, J$1),
    SUMIFS(MRP!$L$2:$L$245, MRP!$B$2:$B$245, $C189,  MRP!$G$2:$G$245, J$1)
)*F189</f>
        <v/>
      </c>
      <c r="K189" s="15">
        <f>SUM(
    SUMIFS(MRP!$H$2:$H$245, MRP!$B$2:$B$245, $C189, MRP!$G$2:$G$245, K$1),
    SUMIFS(MRP!$I$2:$I$245, MRP!$B$2:$B$245, $C189, MRP!$G$2:$G$245, K$1),
    SUMIFS(MRP!$J$2:$J$245, MRP!$B$2:$B$245, $C189,  MRP!$G$2:$G$245, K$1),
    SUMIFS(MRP!$K$2:$K$245, MRP!$B$2:$B$245, $C189,  MRP!$G$2:$G$245, K$1),
    SUMIFS(MRP!$L$2:$L$245, MRP!$B$2:$B$245, $C189,  MRP!$G$2:$G$245, K$1)
)*F189</f>
        <v/>
      </c>
      <c r="L189" s="55">
        <f>TRIM(Tabla3[[#This Row],[CodInternoArti]])</f>
        <v/>
      </c>
    </row>
    <row r="190">
      <c r="A190" s="38">
        <f>IF(ISNUMBER(_xlfn.XMATCH(Tabla3[[#This Row],[CodInternoArti]],'Tabla Articulos'!B:B)),"OK","NO ESTA")</f>
        <v/>
      </c>
      <c r="B190" s="38">
        <f>IF(ISNUMBER(_xlfn.XMATCH('Calcular necesidad'!E:E,'Necesidad por familia'!A:A)),"OK","NO ESTA")</f>
        <v/>
      </c>
      <c r="C190" s="1" t="inlineStr">
        <is>
          <t>7790000000526</t>
        </is>
      </c>
      <c r="D190" s="1" t="inlineStr">
        <is>
          <t>GL BOWL COMP 23x16CM 780CC BIOPAC</t>
        </is>
      </c>
      <c r="E190" s="1">
        <f>_xlfn.XLOOKUP(C190,'Tabla Articulos'!B:B,'Tabla Articulos'!D:D)</f>
        <v/>
      </c>
      <c r="F190" s="1">
        <f>_xlfn.XLOOKUP(C190,'Tabla Articulos'!B:B,'Tabla Articulos'!E:E)</f>
        <v/>
      </c>
      <c r="G190" s="15">
        <f>SUM(
    SUMIFS(MRP!$H$2:$H$245, MRP!$B$2:$B$245, $C190, MRP!$G$2:$G$245, G$1),
    SUMIFS(MRP!$I$2:$I$245, MRP!$B$2:$B$245, $C190, MRP!$G$2:$G$245, G$1),
    SUMIFS(MRP!$J$2:$J$245, MRP!$B$2:$B$245, $C190,  MRP!$G$2:$G$245, G$1),
    SUMIFS(MRP!$K$2:$K$245, MRP!$B$2:$B$245, $C190,  MRP!$G$2:$G$245, G$1),
    SUMIFS(MRP!$L$2:$L$245, MRP!$B$2:$B$245, $C190,  MRP!$G$2:$G$245, G$1)
)*F190</f>
        <v/>
      </c>
      <c r="H190" s="15">
        <f>SUM(
    SUMIFS(MRP!$H$2:$H$245, MRP!$B$2:$B$245, $C190, MRP!$G$2:$G$245, H$1),
    SUMIFS(MRP!$I$2:$I$245, MRP!$B$2:$B$245, $C190, MRP!$G$2:$G$245, H$1),
    SUMIFS(MRP!$J$2:$J$245, MRP!$B$2:$B$245, $C190,  MRP!$G$2:$G$245, H$1),
    SUMIFS(MRP!$K$2:$K$245, MRP!$B$2:$B$245, $C190,  MRP!$G$2:$G$245, H$1),
    SUMIFS(MRP!$L$2:$L$245, MRP!$B$2:$B$245, $C190,  MRP!$G$2:$G$245, H$1)
)*F190</f>
        <v/>
      </c>
      <c r="I190" s="15">
        <f>SUM(
    SUMIFS(MRP!$H$2:$H$245, MRP!$B$2:$B$245, $C190, MRP!$G$2:$G$245, I$1),
    SUMIFS(MRP!$I$2:$I$245, MRP!$B$2:$B$245, $C190, MRP!$G$2:$G$245, I$1),
    SUMIFS(MRP!$J$2:$J$245, MRP!$B$2:$B$245, $C190,  MRP!$G$2:$G$245, I$1),
    SUMIFS(MRP!$K$2:$K$245, MRP!$B$2:$B$245, $C190,  MRP!$G$2:$G$245, I$1),
    SUMIFS(MRP!$L$2:$L$245, MRP!$B$2:$B$245, $C190,  MRP!$G$2:$G$245, I$1)
)*F190</f>
        <v/>
      </c>
      <c r="J190" s="15">
        <f>SUM(
    SUMIFS(MRP!$H$2:$H$245, MRP!$B$2:$B$245, $C190, MRP!$G$2:$G$245, J$1),
    SUMIFS(MRP!$I$2:$I$245, MRP!$B$2:$B$245, $C190, MRP!$G$2:$G$245, J$1),
    SUMIFS(MRP!$J$2:$J$245, MRP!$B$2:$B$245, $C190,  MRP!$G$2:$G$245, J$1),
    SUMIFS(MRP!$K$2:$K$245, MRP!$B$2:$B$245, $C190,  MRP!$G$2:$G$245, J$1),
    SUMIFS(MRP!$L$2:$L$245, MRP!$B$2:$B$245, $C190,  MRP!$G$2:$G$245, J$1)
)*F190</f>
        <v/>
      </c>
      <c r="K190" s="15">
        <f>SUM(
    SUMIFS(MRP!$H$2:$H$245, MRP!$B$2:$B$245, $C190, MRP!$G$2:$G$245, K$1),
    SUMIFS(MRP!$I$2:$I$245, MRP!$B$2:$B$245, $C190, MRP!$G$2:$G$245, K$1),
    SUMIFS(MRP!$J$2:$J$245, MRP!$B$2:$B$245, $C190,  MRP!$G$2:$G$245, K$1),
    SUMIFS(MRP!$K$2:$K$245, MRP!$B$2:$B$245, $C190,  MRP!$G$2:$G$245, K$1),
    SUMIFS(MRP!$L$2:$L$245, MRP!$B$2:$B$245, $C190,  MRP!$G$2:$G$245, K$1)
)*F190</f>
        <v/>
      </c>
      <c r="L190" s="55">
        <f>TRIM(Tabla3[[#This Row],[CodInternoArti]])</f>
        <v/>
      </c>
    </row>
    <row r="191">
      <c r="A191" s="38">
        <f>IF(ISNUMBER(_xlfn.XMATCH(Tabla3[[#This Row],[CodInternoArti]],'Tabla Articulos'!B:B)),"OK","NO ESTA")</f>
        <v/>
      </c>
      <c r="B191" s="38">
        <f>IF(ISNUMBER(_xlfn.XMATCH('Calcular necesidad'!E:E,'Necesidad por familia'!A:A)),"OK","NO ESTA")</f>
        <v/>
      </c>
      <c r="C191" s="1" t="inlineStr">
        <is>
          <t>7790321020391</t>
        </is>
      </c>
      <c r="D191" s="1" t="inlineStr">
        <is>
          <t>SORBETE CON FUNDA X70U</t>
        </is>
      </c>
      <c r="E191" s="1">
        <f>_xlfn.XLOOKUP(C191,'Tabla Articulos'!B:B,'Tabla Articulos'!D:D)</f>
        <v/>
      </c>
      <c r="F191" s="1">
        <f>_xlfn.XLOOKUP(C191,'Tabla Articulos'!B:B,'Tabla Articulos'!E:E)</f>
        <v/>
      </c>
      <c r="G191" s="15">
        <f>SUM(
    SUMIFS(MRP!$H$2:$H$245, MRP!$B$2:$B$245, $C191, MRP!$G$2:$G$245, G$1),
    SUMIFS(MRP!$I$2:$I$245, MRP!$B$2:$B$245, $C191, MRP!$G$2:$G$245, G$1),
    SUMIFS(MRP!$J$2:$J$245, MRP!$B$2:$B$245, $C191,  MRP!$G$2:$G$245, G$1),
    SUMIFS(MRP!$K$2:$K$245, MRP!$B$2:$B$245, $C191,  MRP!$G$2:$G$245, G$1),
    SUMIFS(MRP!$L$2:$L$245, MRP!$B$2:$B$245, $C191,  MRP!$G$2:$G$245, G$1)
)*F191</f>
        <v/>
      </c>
      <c r="H191" s="15">
        <f>SUM(
    SUMIFS(MRP!$H$2:$H$245, MRP!$B$2:$B$245, $C191, MRP!$G$2:$G$245, H$1),
    SUMIFS(MRP!$I$2:$I$245, MRP!$B$2:$B$245, $C191, MRP!$G$2:$G$245, H$1),
    SUMIFS(MRP!$J$2:$J$245, MRP!$B$2:$B$245, $C191,  MRP!$G$2:$G$245, H$1),
    SUMIFS(MRP!$K$2:$K$245, MRP!$B$2:$B$245, $C191,  MRP!$G$2:$G$245, H$1),
    SUMIFS(MRP!$L$2:$L$245, MRP!$B$2:$B$245, $C191,  MRP!$G$2:$G$245, H$1)
)*F191</f>
        <v/>
      </c>
      <c r="I191" s="15">
        <f>SUM(
    SUMIFS(MRP!$H$2:$H$245, MRP!$B$2:$B$245, $C191, MRP!$G$2:$G$245, I$1),
    SUMIFS(MRP!$I$2:$I$245, MRP!$B$2:$B$245, $C191, MRP!$G$2:$G$245, I$1),
    SUMIFS(MRP!$J$2:$J$245, MRP!$B$2:$B$245, $C191,  MRP!$G$2:$G$245, I$1),
    SUMIFS(MRP!$K$2:$K$245, MRP!$B$2:$B$245, $C191,  MRP!$G$2:$G$245, I$1),
    SUMIFS(MRP!$L$2:$L$245, MRP!$B$2:$B$245, $C191,  MRP!$G$2:$G$245, I$1)
)*F191</f>
        <v/>
      </c>
      <c r="J191" s="15">
        <f>SUM(
    SUMIFS(MRP!$H$2:$H$245, MRP!$B$2:$B$245, $C191, MRP!$G$2:$G$245, J$1),
    SUMIFS(MRP!$I$2:$I$245, MRP!$B$2:$B$245, $C191, MRP!$G$2:$G$245, J$1),
    SUMIFS(MRP!$J$2:$J$245, MRP!$B$2:$B$245, $C191,  MRP!$G$2:$G$245, J$1),
    SUMIFS(MRP!$K$2:$K$245, MRP!$B$2:$B$245, $C191,  MRP!$G$2:$G$245, J$1),
    SUMIFS(MRP!$L$2:$L$245, MRP!$B$2:$B$245, $C191,  MRP!$G$2:$G$245, J$1)
)*F191</f>
        <v/>
      </c>
      <c r="K191" s="15">
        <f>SUM(
    SUMIFS(MRP!$H$2:$H$245, MRP!$B$2:$B$245, $C191, MRP!$G$2:$G$245, K$1),
    SUMIFS(MRP!$I$2:$I$245, MRP!$B$2:$B$245, $C191, MRP!$G$2:$G$245, K$1),
    SUMIFS(MRP!$J$2:$J$245, MRP!$B$2:$B$245, $C191,  MRP!$G$2:$G$245, K$1),
    SUMIFS(MRP!$K$2:$K$245, MRP!$B$2:$B$245, $C191,  MRP!$G$2:$G$245, K$1),
    SUMIFS(MRP!$L$2:$L$245, MRP!$B$2:$B$245, $C191,  MRP!$G$2:$G$245, K$1)
)*F191</f>
        <v/>
      </c>
      <c r="L191" s="55">
        <f>TRIM(Tabla3[[#This Row],[CodInternoArti]])</f>
        <v/>
      </c>
    </row>
    <row r="192">
      <c r="A192" s="38">
        <f>IF(ISNUMBER(_xlfn.XMATCH(Tabla3[[#This Row],[CodInternoArti]],'Tabla Articulos'!B:B)),"OK","NO ESTA")</f>
        <v/>
      </c>
      <c r="B192" s="38">
        <f>IF(ISNUMBER(_xlfn.XMATCH('Calcular necesidad'!E:E,'Necesidad por familia'!A:A)),"OK","NO ESTA")</f>
        <v/>
      </c>
      <c r="C192" s="1" t="inlineStr">
        <is>
          <t>7790321020167</t>
        </is>
      </c>
      <c r="D192" s="1" t="inlineStr">
        <is>
          <t>BOLSA CAMISETA 50X60 X100U REF</t>
        </is>
      </c>
      <c r="E192" s="1">
        <f>_xlfn.XLOOKUP(C192,'Tabla Articulos'!B:B,'Tabla Articulos'!D:D)</f>
        <v/>
      </c>
      <c r="F192" s="1">
        <f>_xlfn.XLOOKUP(C192,'Tabla Articulos'!B:B,'Tabla Articulos'!E:E)</f>
        <v/>
      </c>
      <c r="G192" s="15">
        <f>SUM(
    SUMIFS(MRP!$H$2:$H$245, MRP!$B$2:$B$245, $C192, MRP!$G$2:$G$245, G$1),
    SUMIFS(MRP!$I$2:$I$245, MRP!$B$2:$B$245, $C192, MRP!$G$2:$G$245, G$1),
    SUMIFS(MRP!$J$2:$J$245, MRP!$B$2:$B$245, $C192,  MRP!$G$2:$G$245, G$1),
    SUMIFS(MRP!$K$2:$K$245, MRP!$B$2:$B$245, $C192,  MRP!$G$2:$G$245, G$1),
    SUMIFS(MRP!$L$2:$L$245, MRP!$B$2:$B$245, $C192,  MRP!$G$2:$G$245, G$1)
)*F192</f>
        <v/>
      </c>
      <c r="H192" s="15">
        <f>SUM(
    SUMIFS(MRP!$H$2:$H$245, MRP!$B$2:$B$245, $C192, MRP!$G$2:$G$245, H$1),
    SUMIFS(MRP!$I$2:$I$245, MRP!$B$2:$B$245, $C192, MRP!$G$2:$G$245, H$1),
    SUMIFS(MRP!$J$2:$J$245, MRP!$B$2:$B$245, $C192,  MRP!$G$2:$G$245, H$1),
    SUMIFS(MRP!$K$2:$K$245, MRP!$B$2:$B$245, $C192,  MRP!$G$2:$G$245, H$1),
    SUMIFS(MRP!$L$2:$L$245, MRP!$B$2:$B$245, $C192,  MRP!$G$2:$G$245, H$1)
)*F192</f>
        <v/>
      </c>
      <c r="I192" s="15">
        <f>SUM(
    SUMIFS(MRP!$H$2:$H$245, MRP!$B$2:$B$245, $C192, MRP!$G$2:$G$245, I$1),
    SUMIFS(MRP!$I$2:$I$245, MRP!$B$2:$B$245, $C192, MRP!$G$2:$G$245, I$1),
    SUMIFS(MRP!$J$2:$J$245, MRP!$B$2:$B$245, $C192,  MRP!$G$2:$G$245, I$1),
    SUMIFS(MRP!$K$2:$K$245, MRP!$B$2:$B$245, $C192,  MRP!$G$2:$G$245, I$1),
    SUMIFS(MRP!$L$2:$L$245, MRP!$B$2:$B$245, $C192,  MRP!$G$2:$G$245, I$1)
)*F192</f>
        <v/>
      </c>
      <c r="J192" s="15">
        <f>SUM(
    SUMIFS(MRP!$H$2:$H$245, MRP!$B$2:$B$245, $C192, MRP!$G$2:$G$245, J$1),
    SUMIFS(MRP!$I$2:$I$245, MRP!$B$2:$B$245, $C192, MRP!$G$2:$G$245, J$1),
    SUMIFS(MRP!$J$2:$J$245, MRP!$B$2:$B$245, $C192,  MRP!$G$2:$G$245, J$1),
    SUMIFS(MRP!$K$2:$K$245, MRP!$B$2:$B$245, $C192,  MRP!$G$2:$G$245, J$1),
    SUMIFS(MRP!$L$2:$L$245, MRP!$B$2:$B$245, $C192,  MRP!$G$2:$G$245, J$1)
)*F192</f>
        <v/>
      </c>
      <c r="K192" s="15">
        <f>SUM(
    SUMIFS(MRP!$H$2:$H$245, MRP!$B$2:$B$245, $C192, MRP!$G$2:$G$245, K$1),
    SUMIFS(MRP!$I$2:$I$245, MRP!$B$2:$B$245, $C192, MRP!$G$2:$G$245, K$1),
    SUMIFS(MRP!$J$2:$J$245, MRP!$B$2:$B$245, $C192,  MRP!$G$2:$G$245, K$1),
    SUMIFS(MRP!$K$2:$K$245, MRP!$B$2:$B$245, $C192,  MRP!$G$2:$G$245, K$1),
    SUMIFS(MRP!$L$2:$L$245, MRP!$B$2:$B$245, $C192,  MRP!$G$2:$G$245, K$1)
)*F192</f>
        <v/>
      </c>
      <c r="L192" s="55">
        <f>TRIM(Tabla3[[#This Row],[CodInternoArti]])</f>
        <v/>
      </c>
    </row>
    <row r="193">
      <c r="A193" s="38">
        <f>IF(ISNUMBER(_xlfn.XMATCH(Tabla3[[#This Row],[CodInternoArti]],'Tabla Articulos'!B:B)),"OK","NO ESTA")</f>
        <v/>
      </c>
      <c r="B193" s="38">
        <f>IF(ISNUMBER(_xlfn.XMATCH('Calcular necesidad'!E:E,'Necesidad por familia'!A:A)),"OK","NO ESTA")</f>
        <v/>
      </c>
      <c r="C193" s="1" t="inlineStr">
        <is>
          <t>140470001</t>
        </is>
      </c>
      <c r="D193" s="1" t="inlineStr">
        <is>
          <t>SERVILLETA 21 x 21 x 2000 U</t>
        </is>
      </c>
      <c r="E193" s="1">
        <f>_xlfn.XLOOKUP(C193,'Tabla Articulos'!B:B,'Tabla Articulos'!D:D)</f>
        <v/>
      </c>
      <c r="F193" s="1">
        <f>_xlfn.XLOOKUP(C193,'Tabla Articulos'!B:B,'Tabla Articulos'!E:E)</f>
        <v/>
      </c>
      <c r="G193" s="15">
        <f>SUM(
    SUMIFS(MRP!$H$2:$H$245, MRP!$B$2:$B$245, $C193, MRP!$G$2:$G$245, G$1),
    SUMIFS(MRP!$I$2:$I$245, MRP!$B$2:$B$245, $C193, MRP!$G$2:$G$245, G$1),
    SUMIFS(MRP!$J$2:$J$245, MRP!$B$2:$B$245, $C193,  MRP!$G$2:$G$245, G$1),
    SUMIFS(MRP!$K$2:$K$245, MRP!$B$2:$B$245, $C193,  MRP!$G$2:$G$245, G$1),
    SUMIFS(MRP!$L$2:$L$245, MRP!$B$2:$B$245, $C193,  MRP!$G$2:$G$245, G$1)
)*F193</f>
        <v/>
      </c>
      <c r="H193" s="15">
        <f>SUM(
    SUMIFS(MRP!$H$2:$H$245, MRP!$B$2:$B$245, $C193, MRP!$G$2:$G$245, H$1),
    SUMIFS(MRP!$I$2:$I$245, MRP!$B$2:$B$245, $C193, MRP!$G$2:$G$245, H$1),
    SUMIFS(MRP!$J$2:$J$245, MRP!$B$2:$B$245, $C193,  MRP!$G$2:$G$245, H$1),
    SUMIFS(MRP!$K$2:$K$245, MRP!$B$2:$B$245, $C193,  MRP!$G$2:$G$245, H$1),
    SUMIFS(MRP!$L$2:$L$245, MRP!$B$2:$B$245, $C193,  MRP!$G$2:$G$245, H$1)
)*F193</f>
        <v/>
      </c>
      <c r="I193" s="15">
        <f>SUM(
    SUMIFS(MRP!$H$2:$H$245, MRP!$B$2:$B$245, $C193, MRP!$G$2:$G$245, I$1),
    SUMIFS(MRP!$I$2:$I$245, MRP!$B$2:$B$245, $C193, MRP!$G$2:$G$245, I$1),
    SUMIFS(MRP!$J$2:$J$245, MRP!$B$2:$B$245, $C193,  MRP!$G$2:$G$245, I$1),
    SUMIFS(MRP!$K$2:$K$245, MRP!$B$2:$B$245, $C193,  MRP!$G$2:$G$245, I$1),
    SUMIFS(MRP!$L$2:$L$245, MRP!$B$2:$B$245, $C193,  MRP!$G$2:$G$245, I$1)
)*F193</f>
        <v/>
      </c>
      <c r="J193" s="15">
        <f>SUM(
    SUMIFS(MRP!$H$2:$H$245, MRP!$B$2:$B$245, $C193, MRP!$G$2:$G$245, J$1),
    SUMIFS(MRP!$I$2:$I$245, MRP!$B$2:$B$245, $C193, MRP!$G$2:$G$245, J$1),
    SUMIFS(MRP!$J$2:$J$245, MRP!$B$2:$B$245, $C193,  MRP!$G$2:$G$245, J$1),
    SUMIFS(MRP!$K$2:$K$245, MRP!$B$2:$B$245, $C193,  MRP!$G$2:$G$245, J$1),
    SUMIFS(MRP!$L$2:$L$245, MRP!$B$2:$B$245, $C193,  MRP!$G$2:$G$245, J$1)
)*F193</f>
        <v/>
      </c>
      <c r="K193" s="15">
        <f>SUM(
    SUMIFS(MRP!$H$2:$H$245, MRP!$B$2:$B$245, $C193, MRP!$G$2:$G$245, K$1),
    SUMIFS(MRP!$I$2:$I$245, MRP!$B$2:$B$245, $C193, MRP!$G$2:$G$245, K$1),
    SUMIFS(MRP!$J$2:$J$245, MRP!$B$2:$B$245, $C193,  MRP!$G$2:$G$245, K$1),
    SUMIFS(MRP!$K$2:$K$245, MRP!$B$2:$B$245, $C193,  MRP!$G$2:$G$245, K$1),
    SUMIFS(MRP!$L$2:$L$245, MRP!$B$2:$B$245, $C193,  MRP!$G$2:$G$245, K$1)
)*F193</f>
        <v/>
      </c>
      <c r="L193" s="55">
        <f>TRIM(Tabla3[[#This Row],[CodInternoArti]])</f>
        <v/>
      </c>
    </row>
    <row r="194">
      <c r="A194" s="38">
        <f>IF(ISNUMBER(_xlfn.XMATCH(Tabla3[[#This Row],[CodInternoArti]],'Tabla Articulos'!B:B)),"OK","NO ESTA")</f>
        <v/>
      </c>
      <c r="B194" s="38">
        <f>IF(ISNUMBER(_xlfn.XMATCH('Calcular necesidad'!E:E,'Necesidad por familia'!A:A)),"OK","NO ESTA")</f>
        <v/>
      </c>
      <c r="C194" s="1" t="inlineStr">
        <is>
          <t>LIM000393</t>
        </is>
      </c>
      <c r="D194" s="1" t="inlineStr">
        <is>
          <t>BARBIJOS X 50 U</t>
        </is>
      </c>
      <c r="E194" s="1">
        <f>_xlfn.XLOOKUP(C194,'Tabla Articulos'!B:B,'Tabla Articulos'!D:D)</f>
        <v/>
      </c>
      <c r="F194" s="1">
        <f>_xlfn.XLOOKUP(C194,'Tabla Articulos'!B:B,'Tabla Articulos'!E:E)</f>
        <v/>
      </c>
      <c r="G194" s="15">
        <f>SUM(
    SUMIFS(MRP!$H$2:$H$245, MRP!$B$2:$B$245, $C194, MRP!$G$2:$G$245, G$1),
    SUMIFS(MRP!$I$2:$I$245, MRP!$B$2:$B$245, $C194, MRP!$G$2:$G$245, G$1),
    SUMIFS(MRP!$J$2:$J$245, MRP!$B$2:$B$245, $C194,  MRP!$G$2:$G$245, G$1),
    SUMIFS(MRP!$K$2:$K$245, MRP!$B$2:$B$245, $C194,  MRP!$G$2:$G$245, G$1),
    SUMIFS(MRP!$L$2:$L$245, MRP!$B$2:$B$245, $C194,  MRP!$G$2:$G$245, G$1)
)*F194</f>
        <v/>
      </c>
      <c r="H194" s="15">
        <f>SUM(
    SUMIFS(MRP!$H$2:$H$245, MRP!$B$2:$B$245, $C194, MRP!$G$2:$G$245, H$1),
    SUMIFS(MRP!$I$2:$I$245, MRP!$B$2:$B$245, $C194, MRP!$G$2:$G$245, H$1),
    SUMIFS(MRP!$J$2:$J$245, MRP!$B$2:$B$245, $C194,  MRP!$G$2:$G$245, H$1),
    SUMIFS(MRP!$K$2:$K$245, MRP!$B$2:$B$245, $C194,  MRP!$G$2:$G$245, H$1),
    SUMIFS(MRP!$L$2:$L$245, MRP!$B$2:$B$245, $C194,  MRP!$G$2:$G$245, H$1)
)*F194</f>
        <v/>
      </c>
      <c r="I194" s="15">
        <f>SUM(
    SUMIFS(MRP!$H$2:$H$245, MRP!$B$2:$B$245, $C194, MRP!$G$2:$G$245, I$1),
    SUMIFS(MRP!$I$2:$I$245, MRP!$B$2:$B$245, $C194, MRP!$G$2:$G$245, I$1),
    SUMIFS(MRP!$J$2:$J$245, MRP!$B$2:$B$245, $C194,  MRP!$G$2:$G$245, I$1),
    SUMIFS(MRP!$K$2:$K$245, MRP!$B$2:$B$245, $C194,  MRP!$G$2:$G$245, I$1),
    SUMIFS(MRP!$L$2:$L$245, MRP!$B$2:$B$245, $C194,  MRP!$G$2:$G$245, I$1)
)*F194</f>
        <v/>
      </c>
      <c r="J194" s="15">
        <f>SUM(
    SUMIFS(MRP!$H$2:$H$245, MRP!$B$2:$B$245, $C194, MRP!$G$2:$G$245, J$1),
    SUMIFS(MRP!$I$2:$I$245, MRP!$B$2:$B$245, $C194, MRP!$G$2:$G$245, J$1),
    SUMIFS(MRP!$J$2:$J$245, MRP!$B$2:$B$245, $C194,  MRP!$G$2:$G$245, J$1),
    SUMIFS(MRP!$K$2:$K$245, MRP!$B$2:$B$245, $C194,  MRP!$G$2:$G$245, J$1),
    SUMIFS(MRP!$L$2:$L$245, MRP!$B$2:$B$245, $C194,  MRP!$G$2:$G$245, J$1)
)*F194</f>
        <v/>
      </c>
      <c r="K194" s="15">
        <f>SUM(
    SUMIFS(MRP!$H$2:$H$245, MRP!$B$2:$B$245, $C194, MRP!$G$2:$G$245, K$1),
    SUMIFS(MRP!$I$2:$I$245, MRP!$B$2:$B$245, $C194, MRP!$G$2:$G$245, K$1),
    SUMIFS(MRP!$J$2:$J$245, MRP!$B$2:$B$245, $C194,  MRP!$G$2:$G$245, K$1),
    SUMIFS(MRP!$K$2:$K$245, MRP!$B$2:$B$245, $C194,  MRP!$G$2:$G$245, K$1),
    SUMIFS(MRP!$L$2:$L$245, MRP!$B$2:$B$245, $C194,  MRP!$G$2:$G$245, K$1)
)*F194</f>
        <v/>
      </c>
      <c r="L194" s="55">
        <f>TRIM(Tabla3[[#This Row],[CodInternoArti]])</f>
        <v/>
      </c>
    </row>
    <row r="195">
      <c r="A195" s="39">
        <f>IF(ISNUMBER(_xlfn.XMATCH(Tabla3[[#This Row],[CodInternoArti]],'Tabla Articulos'!B:B)),"OK","NO ESTA")</f>
        <v/>
      </c>
      <c r="B195" s="39">
        <f>IF(ISNUMBER(_xlfn.XMATCH('Calcular necesidad'!E:E,'Necesidad por familia'!A:A)),"OK","NO ESTA")</f>
        <v/>
      </c>
      <c r="C195" s="36" t="inlineStr">
        <is>
          <t>BAZ000524</t>
        </is>
      </c>
      <c r="D195" s="36" t="inlineStr">
        <is>
          <t>DEGUSTADOR X 1000 U</t>
        </is>
      </c>
      <c r="E195" s="36">
        <f>_xlfn.XLOOKUP(C195,'Tabla Articulos'!B:B,'Tabla Articulos'!D:D)</f>
        <v/>
      </c>
      <c r="F195" s="36">
        <f>_xlfn.XLOOKUP(C195,'Tabla Articulos'!B:B,'Tabla Articulos'!E:E)</f>
        <v/>
      </c>
      <c r="G195" s="40">
        <f>SUM(
    SUMIFS(MRP!$H$2:$H$245, MRP!$B$2:$B$245, $C195, MRP!$G$2:$G$245, G$1),
    SUMIFS(MRP!$I$2:$I$245, MRP!$B$2:$B$245, $C195, MRP!$G$2:$G$245, G$1),
    SUMIFS(MRP!$J$2:$J$245, MRP!$B$2:$B$245, $C195,  MRP!$G$2:$G$245, G$1),
    SUMIFS(MRP!$K$2:$K$245, MRP!$B$2:$B$245, $C195,  MRP!$G$2:$G$245, G$1),
    SUMIFS(MRP!$L$2:$L$245, MRP!$B$2:$B$245, $C195,  MRP!$G$2:$G$245, G$1)
)*F195</f>
        <v/>
      </c>
      <c r="H195" s="40">
        <f>SUM(
    SUMIFS(MRP!$H$2:$H$245, MRP!$B$2:$B$245, $C195, MRP!$G$2:$G$245, H$1),
    SUMIFS(MRP!$I$2:$I$245, MRP!$B$2:$B$245, $C195, MRP!$G$2:$G$245, H$1),
    SUMIFS(MRP!$J$2:$J$245, MRP!$B$2:$B$245, $C195,  MRP!$G$2:$G$245, H$1),
    SUMIFS(MRP!$K$2:$K$245, MRP!$B$2:$B$245, $C195,  MRP!$G$2:$G$245, H$1),
    SUMIFS(MRP!$L$2:$L$245, MRP!$B$2:$B$245, $C195,  MRP!$G$2:$G$245, H$1)
)*F195</f>
        <v/>
      </c>
      <c r="I195" s="15">
        <f>SUM(
    SUMIFS(MRP!$H$2:$H$245, MRP!$B$2:$B$245, $C195, MRP!$G$2:$G$245, I$1),
    SUMIFS(MRP!$I$2:$I$245, MRP!$B$2:$B$245, $C195, MRP!$G$2:$G$245, I$1),
    SUMIFS(MRP!$J$2:$J$245, MRP!$B$2:$B$245, $C195,  MRP!$G$2:$G$245, I$1),
    SUMIFS(MRP!$K$2:$K$245, MRP!$B$2:$B$245, $C195,  MRP!$G$2:$G$245, I$1),
    SUMIFS(MRP!$L$2:$L$245, MRP!$B$2:$B$245, $C195,  MRP!$G$2:$G$245, I$1)
)*F195</f>
        <v/>
      </c>
      <c r="J195" s="15">
        <f>SUM(
    SUMIFS(MRP!$H$2:$H$245, MRP!$B$2:$B$245, $C195, MRP!$G$2:$G$245, J$1),
    SUMIFS(MRP!$I$2:$I$245, MRP!$B$2:$B$245, $C195, MRP!$G$2:$G$245, J$1),
    SUMIFS(MRP!$J$2:$J$245, MRP!$B$2:$B$245, $C195,  MRP!$G$2:$G$245, J$1),
    SUMIFS(MRP!$K$2:$K$245, MRP!$B$2:$B$245, $C195,  MRP!$G$2:$G$245, J$1),
    SUMIFS(MRP!$L$2:$L$245, MRP!$B$2:$B$245, $C195,  MRP!$G$2:$G$245, J$1)
)*F195</f>
        <v/>
      </c>
      <c r="K195" s="15">
        <f>SUM(
    SUMIFS(MRP!$H$2:$H$245, MRP!$B$2:$B$245, $C195, MRP!$G$2:$G$245, K$1),
    SUMIFS(MRP!$I$2:$I$245, MRP!$B$2:$B$245, $C195, MRP!$G$2:$G$245, K$1),
    SUMIFS(MRP!$J$2:$J$245, MRP!$B$2:$B$245, $C195,  MRP!$G$2:$G$245, K$1),
    SUMIFS(MRP!$K$2:$K$245, MRP!$B$2:$B$245, $C195,  MRP!$G$2:$G$245, K$1),
    SUMIFS(MRP!$L$2:$L$245, MRP!$B$2:$B$245, $C195,  MRP!$G$2:$G$245, K$1)
)*F195</f>
        <v/>
      </c>
      <c r="L195" s="55">
        <f>TRIM(Tabla3[[#This Row],[CodInternoArti]])</f>
        <v/>
      </c>
    </row>
    <row r="196">
      <c r="A196" s="41">
        <f>IF(ISNUMBER(_xlfn.XMATCH(Tabla3[[#This Row],[CodInternoArti]],'Tabla Articulos'!B:B)),"OK","NO ESTA")</f>
        <v/>
      </c>
      <c r="B196" s="29">
        <f>IF(ISNUMBER(_xlfn.XMATCH('Calcular necesidad'!E:E,'Necesidad por familia'!A:A)),"OK","NO ESTA")</f>
        <v/>
      </c>
      <c r="C196" s="36" t="inlineStr">
        <is>
          <t>610000108746</t>
        </is>
      </c>
      <c r="D196" s="36" t="inlineStr">
        <is>
          <t>BANDEJA ALUM R3/F275 X500U</t>
        </is>
      </c>
      <c r="E196" s="36">
        <f>_xlfn.XLOOKUP(C196,'Tabla Articulos'!B:B,'Tabla Articulos'!D:D)</f>
        <v/>
      </c>
      <c r="F196" s="36">
        <f>_xlfn.XLOOKUP(C196,'Tabla Articulos'!B:B,'Tabla Articulos'!E:E)</f>
        <v/>
      </c>
      <c r="G196" s="40">
        <f>SUM(
    SUMIFS(MRP!$H$2:$H$245, MRP!$B$2:$B$245, $C196, MRP!$G$2:$G$245, G$1),
    SUMIFS(MRP!$I$2:$I$245, MRP!$B$2:$B$245, $C196, MRP!$G$2:$G$245, G$1),
    SUMIFS(MRP!$J$2:$J$245, MRP!$B$2:$B$245, $C196,  MRP!$G$2:$G$245, G$1),
    SUMIFS(MRP!$K$2:$K$245, MRP!$B$2:$B$245, $C196,  MRP!$G$2:$G$245, G$1),
    SUMIFS(MRP!$L$2:$L$245, MRP!$B$2:$B$245, $C196,  MRP!$G$2:$G$245, G$1)
)*F196</f>
        <v/>
      </c>
      <c r="H196" s="40">
        <f>SUM(
    SUMIFS(MRP!$H$2:$H$245, MRP!$B$2:$B$245, $C196, MRP!$G$2:$G$245, H$1),
    SUMIFS(MRP!$I$2:$I$245, MRP!$B$2:$B$245, $C196, MRP!$G$2:$G$245, H$1),
    SUMIFS(MRP!$J$2:$J$245, MRP!$B$2:$B$245, $C196,  MRP!$G$2:$G$245, H$1),
    SUMIFS(MRP!$K$2:$K$245, MRP!$B$2:$B$245, $C196,  MRP!$G$2:$G$245, H$1),
    SUMIFS(MRP!$L$2:$L$245, MRP!$B$2:$B$245, $C196,  MRP!$G$2:$G$245, H$1)
)*F196</f>
        <v/>
      </c>
      <c r="I196" s="15">
        <f>SUM(
    SUMIFS(MRP!$H$2:$H$245, MRP!$B$2:$B$245, $C196, MRP!$G$2:$G$245, I$1),
    SUMIFS(MRP!$I$2:$I$245, MRP!$B$2:$B$245, $C196, MRP!$G$2:$G$245, I$1),
    SUMIFS(MRP!$J$2:$J$245, MRP!$B$2:$B$245, $C196,  MRP!$G$2:$G$245, I$1),
    SUMIFS(MRP!$K$2:$K$245, MRP!$B$2:$B$245, $C196,  MRP!$G$2:$G$245, I$1),
    SUMIFS(MRP!$L$2:$L$245, MRP!$B$2:$B$245, $C196,  MRP!$G$2:$G$245, I$1)
)*F196</f>
        <v/>
      </c>
      <c r="J196" s="15">
        <f>SUM(
    SUMIFS(MRP!$H$2:$H$245, MRP!$B$2:$B$245, $C196, MRP!$G$2:$G$245, J$1),
    SUMIFS(MRP!$I$2:$I$245, MRP!$B$2:$B$245, $C196, MRP!$G$2:$G$245, J$1),
    SUMIFS(MRP!$J$2:$J$245, MRP!$B$2:$B$245, $C196,  MRP!$G$2:$G$245, J$1),
    SUMIFS(MRP!$K$2:$K$245, MRP!$B$2:$B$245, $C196,  MRP!$G$2:$G$245, J$1),
    SUMIFS(MRP!$L$2:$L$245, MRP!$B$2:$B$245, $C196,  MRP!$G$2:$G$245, J$1)
)*F196</f>
        <v/>
      </c>
      <c r="K196" s="15">
        <f>SUM(
    SUMIFS(MRP!$H$2:$H$245, MRP!$B$2:$B$245, $C196, MRP!$G$2:$G$245, K$1),
    SUMIFS(MRP!$I$2:$I$245, MRP!$B$2:$B$245, $C196, MRP!$G$2:$G$245, K$1),
    SUMIFS(MRP!$J$2:$J$245, MRP!$B$2:$B$245, $C196,  MRP!$G$2:$G$245, K$1),
    SUMIFS(MRP!$K$2:$K$245, MRP!$B$2:$B$245, $C196,  MRP!$G$2:$G$245, K$1),
    SUMIFS(MRP!$L$2:$L$245, MRP!$B$2:$B$245, $C196,  MRP!$G$2:$G$245, K$1)
)*F196</f>
        <v/>
      </c>
      <c r="L196" s="55">
        <f>TRIM(Tabla3[[#This Row],[CodInternoArti]])</f>
        <v/>
      </c>
    </row>
    <row r="197">
      <c r="A197" s="41">
        <f>IF(ISNUMBER(_xlfn.XMATCH(Tabla3[[#This Row],[CodInternoArti]],'Tabla Articulos'!B:B)),"OK","NO ESTA")</f>
        <v/>
      </c>
      <c r="B197" s="29">
        <f>IF(ISNUMBER(_xlfn.XMATCH('Calcular necesidad'!E:E,'Necesidad por familia'!A:A)),"OK","NO ESTA")</f>
        <v/>
      </c>
      <c r="C197" s="36" t="inlineStr">
        <is>
          <t>7790430132762</t>
        </is>
      </c>
      <c r="D197" s="36" t="inlineStr">
        <is>
          <t>VASO PLASTICO X180CC X50U PROLIX</t>
        </is>
      </c>
      <c r="E197" s="36">
        <f>_xlfn.XLOOKUP(C197,'Tabla Articulos'!B:B,'Tabla Articulos'!D:D)</f>
        <v/>
      </c>
      <c r="F197" s="36">
        <f>_xlfn.XLOOKUP(C197,'Tabla Articulos'!B:B,'Tabla Articulos'!E:E)</f>
        <v/>
      </c>
      <c r="G197" s="40">
        <f>SUM(
    SUMIFS(MRP!$H$2:$H$245, MRP!$B$2:$B$245, $C197, MRP!$G$2:$G$245, G$1),
    SUMIFS(MRP!$I$2:$I$245, MRP!$B$2:$B$245, $C197, MRP!$G$2:$G$245, G$1),
    SUMIFS(MRP!$J$2:$J$245, MRP!$B$2:$B$245, $C197,  MRP!$G$2:$G$245, G$1),
    SUMIFS(MRP!$K$2:$K$245, MRP!$B$2:$B$245, $C197,  MRP!$G$2:$G$245, G$1),
    SUMIFS(MRP!$L$2:$L$245, MRP!$B$2:$B$245, $C197,  MRP!$G$2:$G$245, G$1)
)*F197</f>
        <v/>
      </c>
      <c r="H197" s="40">
        <f>SUM(
    SUMIFS(MRP!$H$2:$H$245, MRP!$B$2:$B$245, $C197, MRP!$G$2:$G$245, H$1),
    SUMIFS(MRP!$I$2:$I$245, MRP!$B$2:$B$245, $C197, MRP!$G$2:$G$245, H$1),
    SUMIFS(MRP!$J$2:$J$245, MRP!$B$2:$B$245, $C197,  MRP!$G$2:$G$245, H$1),
    SUMIFS(MRP!$K$2:$K$245, MRP!$B$2:$B$245, $C197,  MRP!$G$2:$G$245, H$1),
    SUMIFS(MRP!$L$2:$L$245, MRP!$B$2:$B$245, $C197,  MRP!$G$2:$G$245, H$1)
)*F197</f>
        <v/>
      </c>
      <c r="I197" s="15">
        <f>SUM(
    SUMIFS(MRP!$H$2:$H$245, MRP!$B$2:$B$245, $C197, MRP!$G$2:$G$245, I$1),
    SUMIFS(MRP!$I$2:$I$245, MRP!$B$2:$B$245, $C197, MRP!$G$2:$G$245, I$1),
    SUMIFS(MRP!$J$2:$J$245, MRP!$B$2:$B$245, $C197,  MRP!$G$2:$G$245, I$1),
    SUMIFS(MRP!$K$2:$K$245, MRP!$B$2:$B$245, $C197,  MRP!$G$2:$G$245, I$1),
    SUMIFS(MRP!$L$2:$L$245, MRP!$B$2:$B$245, $C197,  MRP!$G$2:$G$245, I$1)
)*F197</f>
        <v/>
      </c>
      <c r="J197" s="15">
        <f>SUM(
    SUMIFS(MRP!$H$2:$H$245, MRP!$B$2:$B$245, $C197, MRP!$G$2:$G$245, J$1),
    SUMIFS(MRP!$I$2:$I$245, MRP!$B$2:$B$245, $C197, MRP!$G$2:$G$245, J$1),
    SUMIFS(MRP!$J$2:$J$245, MRP!$B$2:$B$245, $C197,  MRP!$G$2:$G$245, J$1),
    SUMIFS(MRP!$K$2:$K$245, MRP!$B$2:$B$245, $C197,  MRP!$G$2:$G$245, J$1),
    SUMIFS(MRP!$L$2:$L$245, MRP!$B$2:$B$245, $C197,  MRP!$G$2:$G$245, J$1)
)*F197</f>
        <v/>
      </c>
      <c r="K197" s="15">
        <f>SUM(
    SUMIFS(MRP!$H$2:$H$245, MRP!$B$2:$B$245, $C197, MRP!$G$2:$G$245, K$1),
    SUMIFS(MRP!$I$2:$I$245, MRP!$B$2:$B$245, $C197, MRP!$G$2:$G$245, K$1),
    SUMIFS(MRP!$J$2:$J$245, MRP!$B$2:$B$245, $C197,  MRP!$G$2:$G$245, K$1),
    SUMIFS(MRP!$K$2:$K$245, MRP!$B$2:$B$245, $C197,  MRP!$G$2:$G$245, K$1),
    SUMIFS(MRP!$L$2:$L$245, MRP!$B$2:$B$245, $C197,  MRP!$G$2:$G$245, K$1)
)*F197</f>
        <v/>
      </c>
      <c r="L197" s="55">
        <f>TRIM(Tabla3[[#This Row],[CodInternoArti]])</f>
        <v/>
      </c>
    </row>
    <row r="198">
      <c r="A198" s="41">
        <f>IF(ISNUMBER(_xlfn.XMATCH(Tabla3[[#This Row],[CodInternoArti]],'Tabla Articulos'!B:B)),"OK","NO ESTA")</f>
        <v/>
      </c>
      <c r="B198" s="29">
        <f>IF(ISNUMBER(_xlfn.XMATCH('Calcular necesidad'!E:E,'Necesidad por familia'!A:A)),"OK","NO ESTA")</f>
        <v/>
      </c>
      <c r="C198" s="36" t="inlineStr">
        <is>
          <t>7790000000657</t>
        </is>
      </c>
      <c r="D198" s="36" t="inlineStr">
        <is>
          <t>FILM STRETCH 50CMX15KG AUTOMATIC</t>
        </is>
      </c>
      <c r="E198" s="36">
        <f>_xlfn.XLOOKUP(C198,'Tabla Articulos'!B:B,'Tabla Articulos'!D:D)</f>
        <v/>
      </c>
      <c r="F198" s="36">
        <f>_xlfn.XLOOKUP(C198,'Tabla Articulos'!B:B,'Tabla Articulos'!E:E)</f>
        <v/>
      </c>
      <c r="G198" s="40">
        <f>SUM(
    SUMIFS(MRP!$H$2:$H$245, MRP!$B$2:$B$245, $C198, MRP!$G$2:$G$245, G$1),
    SUMIFS(MRP!$I$2:$I$245, MRP!$B$2:$B$245, $C198, MRP!$G$2:$G$245, G$1),
    SUMIFS(MRP!$J$2:$J$245, MRP!$B$2:$B$245, $C198,  MRP!$G$2:$G$245, G$1),
    SUMIFS(MRP!$K$2:$K$245, MRP!$B$2:$B$245, $C198,  MRP!$G$2:$G$245, G$1),
    SUMIFS(MRP!$L$2:$L$245, MRP!$B$2:$B$245, $C198,  MRP!$G$2:$G$245, G$1)
)*F198</f>
        <v/>
      </c>
      <c r="H198" s="40">
        <f>SUM(
    SUMIFS(MRP!$H$2:$H$245, MRP!$B$2:$B$245, $C198, MRP!$G$2:$G$245, H$1),
    SUMIFS(MRP!$I$2:$I$245, MRP!$B$2:$B$245, $C198, MRP!$G$2:$G$245, H$1),
    SUMIFS(MRP!$J$2:$J$245, MRP!$B$2:$B$245, $C198,  MRP!$G$2:$G$245, H$1),
    SUMIFS(MRP!$K$2:$K$245, MRP!$B$2:$B$245, $C198,  MRP!$G$2:$G$245, H$1),
    SUMIFS(MRP!$L$2:$L$245, MRP!$B$2:$B$245, $C198,  MRP!$G$2:$G$245, H$1)
)*F198</f>
        <v/>
      </c>
      <c r="I198" s="15">
        <f>SUM(
    SUMIFS(MRP!$H$2:$H$245, MRP!$B$2:$B$245, $C198, MRP!$G$2:$G$245, I$1),
    SUMIFS(MRP!$I$2:$I$245, MRP!$B$2:$B$245, $C198, MRP!$G$2:$G$245, I$1),
    SUMIFS(MRP!$J$2:$J$245, MRP!$B$2:$B$245, $C198,  MRP!$G$2:$G$245, I$1),
    SUMIFS(MRP!$K$2:$K$245, MRP!$B$2:$B$245, $C198,  MRP!$G$2:$G$245, I$1),
    SUMIFS(MRP!$L$2:$L$245, MRP!$B$2:$B$245, $C198,  MRP!$G$2:$G$245, I$1)
)*F198</f>
        <v/>
      </c>
      <c r="J198" s="15">
        <f>SUM(
    SUMIFS(MRP!$H$2:$H$245, MRP!$B$2:$B$245, $C198, MRP!$G$2:$G$245, J$1),
    SUMIFS(MRP!$I$2:$I$245, MRP!$B$2:$B$245, $C198, MRP!$G$2:$G$245, J$1),
    SUMIFS(MRP!$J$2:$J$245, MRP!$B$2:$B$245, $C198,  MRP!$G$2:$G$245, J$1),
    SUMIFS(MRP!$K$2:$K$245, MRP!$B$2:$B$245, $C198,  MRP!$G$2:$G$245, J$1),
    SUMIFS(MRP!$L$2:$L$245, MRP!$B$2:$B$245, $C198,  MRP!$G$2:$G$245, J$1)
)*F198</f>
        <v/>
      </c>
      <c r="K198" s="15">
        <f>SUM(
    SUMIFS(MRP!$H$2:$H$245, MRP!$B$2:$B$245, $C198, MRP!$G$2:$G$245, K$1),
    SUMIFS(MRP!$I$2:$I$245, MRP!$B$2:$B$245, $C198, MRP!$G$2:$G$245, K$1),
    SUMIFS(MRP!$J$2:$J$245, MRP!$B$2:$B$245, $C198,  MRP!$G$2:$G$245, K$1),
    SUMIFS(MRP!$K$2:$K$245, MRP!$B$2:$B$245, $C198,  MRP!$G$2:$G$245, K$1),
    SUMIFS(MRP!$L$2:$L$245, MRP!$B$2:$B$245, $C198,  MRP!$G$2:$G$245, K$1)
)*F198</f>
        <v/>
      </c>
      <c r="L198" s="55">
        <f>TRIM(Tabla3[[#This Row],[CodInternoArti]])</f>
        <v/>
      </c>
    </row>
    <row r="199">
      <c r="A199" s="41">
        <f>IF(ISNUMBER(_xlfn.XMATCH(Tabla3[[#This Row],[CodInternoArti]],'Tabla Articulos'!B:B)),"OK","NO ESTA")</f>
        <v/>
      </c>
      <c r="B199" s="29">
        <f>IF(ISNUMBER(_xlfn.XMATCH('Calcular necesidad'!E:E,'Necesidad por familia'!A:A)),"OK","NO ESTA")</f>
        <v/>
      </c>
      <c r="C199" s="36" t="inlineStr">
        <is>
          <t>7790000000524</t>
        </is>
      </c>
      <c r="D199" s="36" t="inlineStr">
        <is>
          <t>GL SERVILLETA ECO 33x33 X500 BIOPAC</t>
        </is>
      </c>
      <c r="E199" s="36">
        <f>_xlfn.XLOOKUP(C199,'Tabla Articulos'!B:B,'Tabla Articulos'!D:D)</f>
        <v/>
      </c>
      <c r="F199" s="36">
        <f>_xlfn.XLOOKUP(C199,'Tabla Articulos'!B:B,'Tabla Articulos'!E:E)</f>
        <v/>
      </c>
      <c r="G199" s="40">
        <f>SUM(
    SUMIFS(MRP!$H$2:$H$245, MRP!$B$2:$B$245, $C199, MRP!$G$2:$G$245, G$1),
    SUMIFS(MRP!$I$2:$I$245, MRP!$B$2:$B$245, $C199, MRP!$G$2:$G$245, G$1),
    SUMIFS(MRP!$J$2:$J$245, MRP!$B$2:$B$245, $C199,  MRP!$G$2:$G$245, G$1),
    SUMIFS(MRP!$K$2:$K$245, MRP!$B$2:$B$245, $C199,  MRP!$G$2:$G$245, G$1),
    SUMIFS(MRP!$L$2:$L$245, MRP!$B$2:$B$245, $C199,  MRP!$G$2:$G$245, G$1)
)*F199</f>
        <v/>
      </c>
      <c r="H199" s="40">
        <f>SUM(
    SUMIFS(MRP!$H$2:$H$245, MRP!$B$2:$B$245, $C199, MRP!$G$2:$G$245, H$1),
    SUMIFS(MRP!$I$2:$I$245, MRP!$B$2:$B$245, $C199, MRP!$G$2:$G$245, H$1),
    SUMIFS(MRP!$J$2:$J$245, MRP!$B$2:$B$245, $C199,  MRP!$G$2:$G$245, H$1),
    SUMIFS(MRP!$K$2:$K$245, MRP!$B$2:$B$245, $C199,  MRP!$G$2:$G$245, H$1),
    SUMIFS(MRP!$L$2:$L$245, MRP!$B$2:$B$245, $C199,  MRP!$G$2:$G$245, H$1)
)*F199</f>
        <v/>
      </c>
      <c r="I199" s="15">
        <f>SUM(
    SUMIFS(MRP!$H$2:$H$245, MRP!$B$2:$B$245, $C199, MRP!$G$2:$G$245, I$1),
    SUMIFS(MRP!$I$2:$I$245, MRP!$B$2:$B$245, $C199, MRP!$G$2:$G$245, I$1),
    SUMIFS(MRP!$J$2:$J$245, MRP!$B$2:$B$245, $C199,  MRP!$G$2:$G$245, I$1),
    SUMIFS(MRP!$K$2:$K$245, MRP!$B$2:$B$245, $C199,  MRP!$G$2:$G$245, I$1),
    SUMIFS(MRP!$L$2:$L$245, MRP!$B$2:$B$245, $C199,  MRP!$G$2:$G$245, I$1)
)*F199</f>
        <v/>
      </c>
      <c r="J199" s="15">
        <f>SUM(
    SUMIFS(MRP!$H$2:$H$245, MRP!$B$2:$B$245, $C199, MRP!$G$2:$G$245, J$1),
    SUMIFS(MRP!$I$2:$I$245, MRP!$B$2:$B$245, $C199, MRP!$G$2:$G$245, J$1),
    SUMIFS(MRP!$J$2:$J$245, MRP!$B$2:$B$245, $C199,  MRP!$G$2:$G$245, J$1),
    SUMIFS(MRP!$K$2:$K$245, MRP!$B$2:$B$245, $C199,  MRP!$G$2:$G$245, J$1),
    SUMIFS(MRP!$L$2:$L$245, MRP!$B$2:$B$245, $C199,  MRP!$G$2:$G$245, J$1)
)*F199</f>
        <v/>
      </c>
      <c r="K199" s="15">
        <f>SUM(
    SUMIFS(MRP!$H$2:$H$245, MRP!$B$2:$B$245, $C199, MRP!$G$2:$G$245, K$1),
    SUMIFS(MRP!$I$2:$I$245, MRP!$B$2:$B$245, $C199, MRP!$G$2:$G$245, K$1),
    SUMIFS(MRP!$J$2:$J$245, MRP!$B$2:$B$245, $C199,  MRP!$G$2:$G$245, K$1),
    SUMIFS(MRP!$K$2:$K$245, MRP!$B$2:$B$245, $C199,  MRP!$G$2:$G$245, K$1),
    SUMIFS(MRP!$L$2:$L$245, MRP!$B$2:$B$245, $C199,  MRP!$G$2:$G$245, K$1)
)*F199</f>
        <v/>
      </c>
      <c r="L199" s="55">
        <f>TRIM(Tabla3[[#This Row],[CodInternoArti]])</f>
        <v/>
      </c>
    </row>
    <row r="200">
      <c r="A200" s="41">
        <f>IF(ISNUMBER(_xlfn.XMATCH(Tabla3[[#This Row],[CodInternoArti]],'Tabla Articulos'!B:B)),"OK","NO ESTA")</f>
        <v/>
      </c>
      <c r="B200" s="29">
        <f>IF(ISNUMBER(_xlfn.XMATCH('Calcular necesidad'!E:E,'Necesidad por familia'!A:A)),"OK","NO ESTA")</f>
        <v/>
      </c>
      <c r="C200" s="36" t="inlineStr">
        <is>
          <t>640000108776</t>
        </is>
      </c>
      <c r="D200" s="36" t="inlineStr">
        <is>
          <t>VO TAPA ALUM R3/F275X1000U VASSOI</t>
        </is>
      </c>
      <c r="E200" s="36">
        <f>_xlfn.XLOOKUP(C200,'Tabla Articulos'!B:B,'Tabla Articulos'!D:D)</f>
        <v/>
      </c>
      <c r="F200" s="36">
        <f>_xlfn.XLOOKUP(C200,'Tabla Articulos'!B:B,'Tabla Articulos'!E:E)</f>
        <v/>
      </c>
      <c r="G200" s="40">
        <f>SUM(
    SUMIFS(MRP!$H$2:$H$245, MRP!$B$2:$B$245, $C200, MRP!$G$2:$G$245, G$1),
    SUMIFS(MRP!$I$2:$I$245, MRP!$B$2:$B$245, $C200, MRP!$G$2:$G$245, G$1),
    SUMIFS(MRP!$J$2:$J$245, MRP!$B$2:$B$245, $C200,  MRP!$G$2:$G$245, G$1),
    SUMIFS(MRP!$K$2:$K$245, MRP!$B$2:$B$245, $C200,  MRP!$G$2:$G$245, G$1),
    SUMIFS(MRP!$L$2:$L$245, MRP!$B$2:$B$245, $C200,  MRP!$G$2:$G$245, G$1)
)*F200</f>
        <v/>
      </c>
      <c r="H200" s="40">
        <f>SUM(
    SUMIFS(MRP!$H$2:$H$245, MRP!$B$2:$B$245, $C200, MRP!$G$2:$G$245, H$1),
    SUMIFS(MRP!$I$2:$I$245, MRP!$B$2:$B$245, $C200, MRP!$G$2:$G$245, H$1),
    SUMIFS(MRP!$J$2:$J$245, MRP!$B$2:$B$245, $C200,  MRP!$G$2:$G$245, H$1),
    SUMIFS(MRP!$K$2:$K$245, MRP!$B$2:$B$245, $C200,  MRP!$G$2:$G$245, H$1),
    SUMIFS(MRP!$L$2:$L$245, MRP!$B$2:$B$245, $C200,  MRP!$G$2:$G$245, H$1)
)*F200</f>
        <v/>
      </c>
      <c r="I200" s="15">
        <f>SUM(
    SUMIFS(MRP!$H$2:$H$245, MRP!$B$2:$B$245, $C200, MRP!$G$2:$G$245, I$1),
    SUMIFS(MRP!$I$2:$I$245, MRP!$B$2:$B$245, $C200, MRP!$G$2:$G$245, I$1),
    SUMIFS(MRP!$J$2:$J$245, MRP!$B$2:$B$245, $C200,  MRP!$G$2:$G$245, I$1),
    SUMIFS(MRP!$K$2:$K$245, MRP!$B$2:$B$245, $C200,  MRP!$G$2:$G$245, I$1),
    SUMIFS(MRP!$L$2:$L$245, MRP!$B$2:$B$245, $C200,  MRP!$G$2:$G$245, I$1)
)*F200</f>
        <v/>
      </c>
      <c r="J200" s="15">
        <f>SUM(
    SUMIFS(MRP!$H$2:$H$245, MRP!$B$2:$B$245, $C200, MRP!$G$2:$G$245, J$1),
    SUMIFS(MRP!$I$2:$I$245, MRP!$B$2:$B$245, $C200, MRP!$G$2:$G$245, J$1),
    SUMIFS(MRP!$J$2:$J$245, MRP!$B$2:$B$245, $C200,  MRP!$G$2:$G$245, J$1),
    SUMIFS(MRP!$K$2:$K$245, MRP!$B$2:$B$245, $C200,  MRP!$G$2:$G$245, J$1),
    SUMIFS(MRP!$L$2:$L$245, MRP!$B$2:$B$245, $C200,  MRP!$G$2:$G$245, J$1)
)*F200</f>
        <v/>
      </c>
      <c r="K200" s="15">
        <f>SUM(
    SUMIFS(MRP!$H$2:$H$245, MRP!$B$2:$B$245, $C200, MRP!$G$2:$G$245, K$1),
    SUMIFS(MRP!$I$2:$I$245, MRP!$B$2:$B$245, $C200, MRP!$G$2:$G$245, K$1),
    SUMIFS(MRP!$J$2:$J$245, MRP!$B$2:$B$245, $C200,  MRP!$G$2:$G$245, K$1),
    SUMIFS(MRP!$K$2:$K$245, MRP!$B$2:$B$245, $C200,  MRP!$G$2:$G$245, K$1),
    SUMIFS(MRP!$L$2:$L$245, MRP!$B$2:$B$245, $C200,  MRP!$G$2:$G$245, K$1)
)*F200</f>
        <v/>
      </c>
      <c r="L200" s="55">
        <f>TRIM(Tabla3[[#This Row],[CodInternoArti]])</f>
        <v/>
      </c>
    </row>
    <row r="201">
      <c r="A201" s="41">
        <f>IF(ISNUMBER(_xlfn.XMATCH(Tabla3[[#This Row],[CodInternoArti]],'Tabla Articulos'!B:B)),"OK","NO ESTA")</f>
        <v/>
      </c>
      <c r="B201" s="29">
        <f>IF(ISNUMBER(_xlfn.XMATCH('Calcular necesidad'!E:E,'Necesidad por familia'!A:A)),"OK","NO ESTA")</f>
        <v/>
      </c>
      <c r="C201" s="36" t="inlineStr">
        <is>
          <t>7798044557721</t>
        </is>
      </c>
      <c r="D201" s="36" t="inlineStr">
        <is>
          <t>ROLLO MANGA REPOS N5 25X28X25U</t>
        </is>
      </c>
      <c r="E201" s="36">
        <f>_xlfn.XLOOKUP(C201,'Tabla Articulos'!B:B,'Tabla Articulos'!D:D)</f>
        <v/>
      </c>
      <c r="F201" s="36">
        <f>_xlfn.XLOOKUP(C201,'Tabla Articulos'!B:B,'Tabla Articulos'!E:E)</f>
        <v/>
      </c>
      <c r="G201" s="40">
        <f>SUM(
    SUMIFS(MRP!$H$2:$H$245, MRP!$B$2:$B$245, $C201, MRP!$G$2:$G$245, G$1),
    SUMIFS(MRP!$I$2:$I$245, MRP!$B$2:$B$245, $C201, MRP!$G$2:$G$245, G$1),
    SUMIFS(MRP!$J$2:$J$245, MRP!$B$2:$B$245, $C201,  MRP!$G$2:$G$245, G$1),
    SUMIFS(MRP!$K$2:$K$245, MRP!$B$2:$B$245, $C201,  MRP!$G$2:$G$245, G$1),
    SUMIFS(MRP!$L$2:$L$245, MRP!$B$2:$B$245, $C201,  MRP!$G$2:$G$245, G$1)
)*F201</f>
        <v/>
      </c>
      <c r="H201" s="40">
        <f>SUM(
    SUMIFS(MRP!$H$2:$H$245, MRP!$B$2:$B$245, $C201, MRP!$G$2:$G$245, H$1),
    SUMIFS(MRP!$I$2:$I$245, MRP!$B$2:$B$245, $C201, MRP!$G$2:$G$245, H$1),
    SUMIFS(MRP!$J$2:$J$245, MRP!$B$2:$B$245, $C201,  MRP!$G$2:$G$245, H$1),
    SUMIFS(MRP!$K$2:$K$245, MRP!$B$2:$B$245, $C201,  MRP!$G$2:$G$245, H$1),
    SUMIFS(MRP!$L$2:$L$245, MRP!$B$2:$B$245, $C201,  MRP!$G$2:$G$245, H$1)
)*F201</f>
        <v/>
      </c>
      <c r="I201" s="15">
        <f>SUM(
    SUMIFS(MRP!$H$2:$H$245, MRP!$B$2:$B$245, $C201, MRP!$G$2:$G$245, I$1),
    SUMIFS(MRP!$I$2:$I$245, MRP!$B$2:$B$245, $C201, MRP!$G$2:$G$245, I$1),
    SUMIFS(MRP!$J$2:$J$245, MRP!$B$2:$B$245, $C201,  MRP!$G$2:$G$245, I$1),
    SUMIFS(MRP!$K$2:$K$245, MRP!$B$2:$B$245, $C201,  MRP!$G$2:$G$245, I$1),
    SUMIFS(MRP!$L$2:$L$245, MRP!$B$2:$B$245, $C201,  MRP!$G$2:$G$245, I$1)
)*F201</f>
        <v/>
      </c>
      <c r="J201" s="15">
        <f>SUM(
    SUMIFS(MRP!$H$2:$H$245, MRP!$B$2:$B$245, $C201, MRP!$G$2:$G$245, J$1),
    SUMIFS(MRP!$I$2:$I$245, MRP!$B$2:$B$245, $C201, MRP!$G$2:$G$245, J$1),
    SUMIFS(MRP!$J$2:$J$245, MRP!$B$2:$B$245, $C201,  MRP!$G$2:$G$245, J$1),
    SUMIFS(MRP!$K$2:$K$245, MRP!$B$2:$B$245, $C201,  MRP!$G$2:$G$245, J$1),
    SUMIFS(MRP!$L$2:$L$245, MRP!$B$2:$B$245, $C201,  MRP!$G$2:$G$245, J$1)
)*F201</f>
        <v/>
      </c>
      <c r="K201" s="15">
        <f>SUM(
    SUMIFS(MRP!$H$2:$H$245, MRP!$B$2:$B$245, $C201, MRP!$G$2:$G$245, K$1),
    SUMIFS(MRP!$I$2:$I$245, MRP!$B$2:$B$245, $C201, MRP!$G$2:$G$245, K$1),
    SUMIFS(MRP!$J$2:$J$245, MRP!$B$2:$B$245, $C201,  MRP!$G$2:$G$245, K$1),
    SUMIFS(MRP!$K$2:$K$245, MRP!$B$2:$B$245, $C201,  MRP!$G$2:$G$245, K$1),
    SUMIFS(MRP!$L$2:$L$245, MRP!$B$2:$B$245, $C201,  MRP!$G$2:$G$245, K$1)
)*F201</f>
        <v/>
      </c>
      <c r="L201" s="55">
        <f>TRIM(Tabla3[[#This Row],[CodInternoArti]])</f>
        <v/>
      </c>
    </row>
    <row r="202">
      <c r="A202" s="41">
        <f>IF(ISNUMBER(_xlfn.XMATCH(Tabla3[[#This Row],[CodInternoArti]],'Tabla Articulos'!B:B)),"OK","NO ESTA")</f>
        <v/>
      </c>
      <c r="B202" s="29">
        <f>IF(ISNUMBER(_xlfn.XMATCH('Calcular necesidad'!E:E,'Necesidad por familia'!A:A)),"OK","NO ESTA")</f>
        <v/>
      </c>
      <c r="C202" s="36" t="inlineStr">
        <is>
          <t>7790000000195</t>
        </is>
      </c>
      <c r="D202" s="36" t="inlineStr">
        <is>
          <t>BARBIJOS TRICAPA PR MARCA PROP X50U</t>
        </is>
      </c>
      <c r="E202" s="36">
        <f>_xlfn.XLOOKUP(C202,'Tabla Articulos'!B:B,'Tabla Articulos'!D:D)</f>
        <v/>
      </c>
      <c r="F202" s="36">
        <f>_xlfn.XLOOKUP(C202,'Tabla Articulos'!B:B,'Tabla Articulos'!E:E)</f>
        <v/>
      </c>
      <c r="G202" s="40">
        <f>SUM(
    SUMIFS(MRP!$H$2:$H$245, MRP!$B$2:$B$245, $C202, MRP!$G$2:$G$245, G$1),
    SUMIFS(MRP!$I$2:$I$245, MRP!$B$2:$B$245, $C202, MRP!$G$2:$G$245, G$1),
    SUMIFS(MRP!$J$2:$J$245, MRP!$B$2:$B$245, $C202,  MRP!$G$2:$G$245, G$1),
    SUMIFS(MRP!$K$2:$K$245, MRP!$B$2:$B$245, $C202,  MRP!$G$2:$G$245, G$1),
    SUMIFS(MRP!$L$2:$L$245, MRP!$B$2:$B$245, $C202,  MRP!$G$2:$G$245, G$1)
)*F202</f>
        <v/>
      </c>
      <c r="H202" s="40">
        <f>SUM(
    SUMIFS(MRP!$H$2:$H$245, MRP!$B$2:$B$245, $C202, MRP!$G$2:$G$245, H$1),
    SUMIFS(MRP!$I$2:$I$245, MRP!$B$2:$B$245, $C202, MRP!$G$2:$G$245, H$1),
    SUMIFS(MRP!$J$2:$J$245, MRP!$B$2:$B$245, $C202,  MRP!$G$2:$G$245, H$1),
    SUMIFS(MRP!$K$2:$K$245, MRP!$B$2:$B$245, $C202,  MRP!$G$2:$G$245, H$1),
    SUMIFS(MRP!$L$2:$L$245, MRP!$B$2:$B$245, $C202,  MRP!$G$2:$G$245, H$1)
)*F202</f>
        <v/>
      </c>
      <c r="I202" s="15">
        <f>SUM(
    SUMIFS(MRP!$H$2:$H$245, MRP!$B$2:$B$245, $C202, MRP!$G$2:$G$245, I$1),
    SUMIFS(MRP!$I$2:$I$245, MRP!$B$2:$B$245, $C202, MRP!$G$2:$G$245, I$1),
    SUMIFS(MRP!$J$2:$J$245, MRP!$B$2:$B$245, $C202,  MRP!$G$2:$G$245, I$1),
    SUMIFS(MRP!$K$2:$K$245, MRP!$B$2:$B$245, $C202,  MRP!$G$2:$G$245, I$1),
    SUMIFS(MRP!$L$2:$L$245, MRP!$B$2:$B$245, $C202,  MRP!$G$2:$G$245, I$1)
)*F202</f>
        <v/>
      </c>
      <c r="J202" s="15">
        <f>SUM(
    SUMIFS(MRP!$H$2:$H$245, MRP!$B$2:$B$245, $C202, MRP!$G$2:$G$245, J$1),
    SUMIFS(MRP!$I$2:$I$245, MRP!$B$2:$B$245, $C202, MRP!$G$2:$G$245, J$1),
    SUMIFS(MRP!$J$2:$J$245, MRP!$B$2:$B$245, $C202,  MRP!$G$2:$G$245, J$1),
    SUMIFS(MRP!$K$2:$K$245, MRP!$B$2:$B$245, $C202,  MRP!$G$2:$G$245, J$1),
    SUMIFS(MRP!$L$2:$L$245, MRP!$B$2:$B$245, $C202,  MRP!$G$2:$G$245, J$1)
)*F202</f>
        <v/>
      </c>
      <c r="K202" s="15">
        <f>SUM(
    SUMIFS(MRP!$H$2:$H$245, MRP!$B$2:$B$245, $C202, MRP!$G$2:$G$245, K$1),
    SUMIFS(MRP!$I$2:$I$245, MRP!$B$2:$B$245, $C202, MRP!$G$2:$G$245, K$1),
    SUMIFS(MRP!$J$2:$J$245, MRP!$B$2:$B$245, $C202,  MRP!$G$2:$G$245, K$1),
    SUMIFS(MRP!$K$2:$K$245, MRP!$B$2:$B$245, $C202,  MRP!$G$2:$G$245, K$1),
    SUMIFS(MRP!$L$2:$L$245, MRP!$B$2:$B$245, $C202,  MRP!$G$2:$G$245, K$1)
)*F202</f>
        <v/>
      </c>
      <c r="L202" s="55">
        <f>TRIM(Tabla3[[#This Row],[CodInternoArti]])</f>
        <v/>
      </c>
    </row>
    <row r="203">
      <c r="A203" s="41">
        <f>IF(ISNUMBER(_xlfn.XMATCH(Tabla3[[#This Row],[CodInternoArti]],'Tabla Articulos'!B:B)),"OK","NO ESTA")</f>
        <v/>
      </c>
      <c r="B203" s="29">
        <f>IF(ISNUMBER(_xlfn.XMATCH('Calcular necesidad'!E:E,'Necesidad por familia'!A:A)),"OK","NO ESTA")</f>
        <v/>
      </c>
      <c r="C203" s="36" t="inlineStr">
        <is>
          <t>7790000000702</t>
        </is>
      </c>
      <c r="D203" s="36" t="inlineStr">
        <is>
          <t>GUANTES NITRILO X100U ALUMAX</t>
        </is>
      </c>
      <c r="E203" s="36">
        <f>_xlfn.XLOOKUP(C203,'Tabla Articulos'!B:B,'Tabla Articulos'!D:D)</f>
        <v/>
      </c>
      <c r="F203" s="36">
        <f>_xlfn.XLOOKUP(C203,'Tabla Articulos'!B:B,'Tabla Articulos'!E:E)</f>
        <v/>
      </c>
      <c r="G203" s="40">
        <f>SUM(
    SUMIFS(MRP!$H$2:$H$245, MRP!$B$2:$B$245, $C203, MRP!$G$2:$G$245, G$1),
    SUMIFS(MRP!$I$2:$I$245, MRP!$B$2:$B$245, $C203, MRP!$G$2:$G$245, G$1),
    SUMIFS(MRP!$J$2:$J$245, MRP!$B$2:$B$245, $C203,  MRP!$G$2:$G$245, G$1),
    SUMIFS(MRP!$K$2:$K$245, MRP!$B$2:$B$245, $C203,  MRP!$G$2:$G$245, G$1),
    SUMIFS(MRP!$L$2:$L$245, MRP!$B$2:$B$245, $C203,  MRP!$G$2:$G$245, G$1)
)*F203</f>
        <v/>
      </c>
      <c r="H203" s="40">
        <f>SUM(
    SUMIFS(MRP!$H$2:$H$245, MRP!$B$2:$B$245, $C203, MRP!$G$2:$G$245, H$1),
    SUMIFS(MRP!$I$2:$I$245, MRP!$B$2:$B$245, $C203, MRP!$G$2:$G$245, H$1),
    SUMIFS(MRP!$J$2:$J$245, MRP!$B$2:$B$245, $C203,  MRP!$G$2:$G$245, H$1),
    SUMIFS(MRP!$K$2:$K$245, MRP!$B$2:$B$245, $C203,  MRP!$G$2:$G$245, H$1),
    SUMIFS(MRP!$L$2:$L$245, MRP!$B$2:$B$245, $C203,  MRP!$G$2:$G$245, H$1)
)*F203</f>
        <v/>
      </c>
      <c r="I203" s="40">
        <f>SUM(
    SUMIFS(MRP!$H$2:$H$245, MRP!$B$2:$B$245, $C203, MRP!$G$2:$G$245, I$1),
    SUMIFS(MRP!$I$2:$I$245, MRP!$B$2:$B$245, $C203, MRP!$G$2:$G$245, I$1),
    SUMIFS(MRP!$J$2:$J$245, MRP!$B$2:$B$245, $C203,  MRP!$G$2:$G$245, I$1),
    SUMIFS(MRP!$K$2:$K$245, MRP!$B$2:$B$245, $C203,  MRP!$G$2:$G$245, I$1),
    SUMIFS(MRP!$L$2:$L$245, MRP!$B$2:$B$245, $C203,  MRP!$G$2:$G$245, I$1)
)*F203</f>
        <v/>
      </c>
      <c r="J203" s="40">
        <f>SUM(
    SUMIFS(MRP!$H$2:$H$245, MRP!$B$2:$B$245, $C203, MRP!$G$2:$G$245, J$1),
    SUMIFS(MRP!$I$2:$I$245, MRP!$B$2:$B$245, $C203, MRP!$G$2:$G$245, J$1),
    SUMIFS(MRP!$J$2:$J$245, MRP!$B$2:$B$245, $C203,  MRP!$G$2:$G$245, J$1),
    SUMIFS(MRP!$K$2:$K$245, MRP!$B$2:$B$245, $C203,  MRP!$G$2:$G$245, J$1),
    SUMIFS(MRP!$L$2:$L$245, MRP!$B$2:$B$245, $C203,  MRP!$G$2:$G$245, J$1)
)*F203</f>
        <v/>
      </c>
      <c r="K203" s="56">
        <f>SUM(
    SUMIFS(MRP!$H$2:$H$245, MRP!$B$2:$B$245, $C203, MRP!$G$2:$G$245, K$1),
    SUMIFS(MRP!$I$2:$I$245, MRP!$B$2:$B$245, $C203, MRP!$G$2:$G$245, K$1),
    SUMIFS(MRP!$J$2:$J$245, MRP!$B$2:$B$245, $C203,  MRP!$G$2:$G$245, K$1),
    SUMIFS(MRP!$K$2:$K$245, MRP!$B$2:$B$245, $C203,  MRP!$G$2:$G$245, K$1),
    SUMIFS(MRP!$L$2:$L$245, MRP!$B$2:$B$245, $C203,  MRP!$G$2:$G$245, K$1)
)*F203</f>
        <v/>
      </c>
      <c r="L203" s="55">
        <f>TRIM(Tabla3[[#This Row],[CodInternoArti]])</f>
        <v/>
      </c>
    </row>
    <row r="204">
      <c r="A204" s="41">
        <f>IF(ISNUMBER(_xlfn.XMATCH(Tabla3[[#This Row],[CodInternoArti]],'Tabla Articulos'!B:B)),"OK","NO ESTA")</f>
        <v/>
      </c>
      <c r="B204" s="29">
        <f>IF(ISNUMBER(_xlfn.XMATCH('Calcular necesidad'!E:E,'Necesidad por familia'!A:A)),"OK","NO ESTA")</f>
        <v/>
      </c>
      <c r="C204" s="36" t="inlineStr">
        <is>
          <t>798011210077</t>
        </is>
      </c>
      <c r="D204" s="36" t="inlineStr">
        <is>
          <t>BANDEJA 105 X100U COTNYL MICRO</t>
        </is>
      </c>
      <c r="E204" s="36">
        <f>_xlfn.XLOOKUP(C204,'Tabla Articulos'!B:B,'Tabla Articulos'!D:D)</f>
        <v/>
      </c>
      <c r="F204" s="36">
        <f>_xlfn.XLOOKUP(C204,'Tabla Articulos'!B:B,'Tabla Articulos'!E:E)</f>
        <v/>
      </c>
      <c r="G204" s="40">
        <f>SUM(
    SUMIFS(MRP!$H$2:$H$245, MRP!$B$2:$B$245, $C204, MRP!$G$2:$G$245, G$1),
    SUMIFS(MRP!$I$2:$I$245, MRP!$B$2:$B$245, $C204, MRP!$G$2:$G$245, G$1),
    SUMIFS(MRP!$J$2:$J$245, MRP!$B$2:$B$245, $C204,  MRP!$G$2:$G$245, G$1),
    SUMIFS(MRP!$K$2:$K$245, MRP!$B$2:$B$245, $C204,  MRP!$G$2:$G$245, G$1),
    SUMIFS(MRP!$L$2:$L$245, MRP!$B$2:$B$245, $C204,  MRP!$G$2:$G$245, G$1)
)*F204</f>
        <v/>
      </c>
      <c r="H204" s="40">
        <f>SUM(
    SUMIFS(MRP!$H$2:$H$245, MRP!$B$2:$B$245, $C204, MRP!$G$2:$G$245, H$1),
    SUMIFS(MRP!$I$2:$I$245, MRP!$B$2:$B$245, $C204, MRP!$G$2:$G$245, H$1),
    SUMIFS(MRP!$J$2:$J$245, MRP!$B$2:$B$245, $C204,  MRP!$G$2:$G$245, H$1),
    SUMIFS(MRP!$K$2:$K$245, MRP!$B$2:$B$245, $C204,  MRP!$G$2:$G$245, H$1),
    SUMIFS(MRP!$L$2:$L$245, MRP!$B$2:$B$245, $C204,  MRP!$G$2:$G$245, H$1)
)*F204</f>
        <v/>
      </c>
      <c r="I204" s="40">
        <f>SUM(
    SUMIFS(MRP!$H$2:$H$245, MRP!$B$2:$B$245, $C204, MRP!$G$2:$G$245, I$1),
    SUMIFS(MRP!$I$2:$I$245, MRP!$B$2:$B$245, $C204, MRP!$G$2:$G$245, I$1),
    SUMIFS(MRP!$J$2:$J$245, MRP!$B$2:$B$245, $C204,  MRP!$G$2:$G$245, I$1),
    SUMIFS(MRP!$K$2:$K$245, MRP!$B$2:$B$245, $C204,  MRP!$G$2:$G$245, I$1),
    SUMIFS(MRP!$L$2:$L$245, MRP!$B$2:$B$245, $C204,  MRP!$G$2:$G$245, I$1)
)*F204</f>
        <v/>
      </c>
      <c r="J204" s="40">
        <f>SUM(
    SUMIFS(MRP!$H$2:$H$245, MRP!$B$2:$B$245, $C204, MRP!$G$2:$G$245, J$1),
    SUMIFS(MRP!$I$2:$I$245, MRP!$B$2:$B$245, $C204, MRP!$G$2:$G$245, J$1),
    SUMIFS(MRP!$J$2:$J$245, MRP!$B$2:$B$245, $C204,  MRP!$G$2:$G$245, J$1),
    SUMIFS(MRP!$K$2:$K$245, MRP!$B$2:$B$245, $C204,  MRP!$G$2:$G$245, J$1),
    SUMIFS(MRP!$L$2:$L$245, MRP!$B$2:$B$245, $C204,  MRP!$G$2:$G$245, J$1)
)*F204</f>
        <v/>
      </c>
      <c r="K204" s="56">
        <f>SUM(
    SUMIFS(MRP!$H$2:$H$245, MRP!$B$2:$B$245, $C204, MRP!$G$2:$G$245, K$1),
    SUMIFS(MRP!$I$2:$I$245, MRP!$B$2:$B$245, $C204, MRP!$G$2:$G$245, K$1),
    SUMIFS(MRP!$J$2:$J$245, MRP!$B$2:$B$245, $C204,  MRP!$G$2:$G$245, K$1),
    SUMIFS(MRP!$K$2:$K$245, MRP!$B$2:$B$245, $C204,  MRP!$G$2:$G$245, K$1),
    SUMIFS(MRP!$L$2:$L$245, MRP!$B$2:$B$245, $C204,  MRP!$G$2:$G$245, K$1)
)*F204</f>
        <v/>
      </c>
      <c r="L204" s="55">
        <f>TRIM(Tabla3[[#This Row],[CodInternoArti]])</f>
        <v/>
      </c>
    </row>
    <row r="205">
      <c r="A205" s="41">
        <f>IF(ISNUMBER(_xlfn.XMATCH(Tabla3[[#This Row],[CodInternoArti]],'Tabla Articulos'!B:B)),"OK","NO ESTA")</f>
        <v/>
      </c>
      <c r="B205" s="29">
        <f>IF(ISNUMBER(_xlfn.XMATCH('Calcular necesidad'!E:E,'Necesidad por familia'!A:A)),"OK","NO ESTA")</f>
        <v/>
      </c>
      <c r="C205" s="36" t="inlineStr">
        <is>
          <t>7798011210053</t>
        </is>
      </c>
      <c r="D205" s="36" t="inlineStr">
        <is>
          <t>BANDEJA 103 MICRO X100U</t>
        </is>
      </c>
      <c r="E205" s="36">
        <f>_xlfn.XLOOKUP(C205,'Tabla Articulos'!B:B,'Tabla Articulos'!D:D)</f>
        <v/>
      </c>
      <c r="F205" s="36">
        <f>_xlfn.XLOOKUP(C205,'Tabla Articulos'!B:B,'Tabla Articulos'!E:E)</f>
        <v/>
      </c>
      <c r="G205" s="40">
        <f>SUM(
    SUMIFS(MRP!$H$2:$H$245, MRP!$B$2:$B$245, $C205, MRP!$G$2:$G$245, G$1),
    SUMIFS(MRP!$I$2:$I$245, MRP!$B$2:$B$245, $C205, MRP!$G$2:$G$245, G$1),
    SUMIFS(MRP!$J$2:$J$245, MRP!$B$2:$B$245, $C205,  MRP!$G$2:$G$245, G$1),
    SUMIFS(MRP!$K$2:$K$245, MRP!$B$2:$B$245, $C205,  MRP!$G$2:$G$245, G$1),
    SUMIFS(MRP!$L$2:$L$245, MRP!$B$2:$B$245, $C205,  MRP!$G$2:$G$245, G$1)
)*F205</f>
        <v/>
      </c>
      <c r="H205" s="40">
        <f>SUM(
    SUMIFS(MRP!$H$2:$H$245, MRP!$B$2:$B$245, $C205, MRP!$G$2:$G$245, H$1),
    SUMIFS(MRP!$I$2:$I$245, MRP!$B$2:$B$245, $C205, MRP!$G$2:$G$245, H$1),
    SUMIFS(MRP!$J$2:$J$245, MRP!$B$2:$B$245, $C205,  MRP!$G$2:$G$245, H$1),
    SUMIFS(MRP!$K$2:$K$245, MRP!$B$2:$B$245, $C205,  MRP!$G$2:$G$245, H$1),
    SUMIFS(MRP!$L$2:$L$245, MRP!$B$2:$B$245, $C205,  MRP!$G$2:$G$245, H$1)
)*F205</f>
        <v/>
      </c>
      <c r="I205" s="40">
        <f>SUM(
    SUMIFS(MRP!$H$2:$H$245, MRP!$B$2:$B$245, $C205, MRP!$G$2:$G$245, I$1),
    SUMIFS(MRP!$I$2:$I$245, MRP!$B$2:$B$245, $C205, MRP!$G$2:$G$245, I$1),
    SUMIFS(MRP!$J$2:$J$245, MRP!$B$2:$B$245, $C205,  MRP!$G$2:$G$245, I$1),
    SUMIFS(MRP!$K$2:$K$245, MRP!$B$2:$B$245, $C205,  MRP!$G$2:$G$245, I$1),
    SUMIFS(MRP!$L$2:$L$245, MRP!$B$2:$B$245, $C205,  MRP!$G$2:$G$245, I$1)
)*F205</f>
        <v/>
      </c>
      <c r="J205" s="40">
        <f>SUM(
    SUMIFS(MRP!$H$2:$H$245, MRP!$B$2:$B$245, $C205, MRP!$G$2:$G$245, J$1),
    SUMIFS(MRP!$I$2:$I$245, MRP!$B$2:$B$245, $C205, MRP!$G$2:$G$245, J$1),
    SUMIFS(MRP!$J$2:$J$245, MRP!$B$2:$B$245, $C205,  MRP!$G$2:$G$245, J$1),
    SUMIFS(MRP!$K$2:$K$245, MRP!$B$2:$B$245, $C205,  MRP!$G$2:$G$245, J$1),
    SUMIFS(MRP!$L$2:$L$245, MRP!$B$2:$B$245, $C205,  MRP!$G$2:$G$245, J$1)
)*F205</f>
        <v/>
      </c>
      <c r="K205" s="56">
        <f>SUM(
    SUMIFS(MRP!$H$2:$H$245, MRP!$B$2:$B$245, $C205, MRP!$G$2:$G$245, K$1),
    SUMIFS(MRP!$I$2:$I$245, MRP!$B$2:$B$245, $C205, MRP!$G$2:$G$245, K$1),
    SUMIFS(MRP!$J$2:$J$245, MRP!$B$2:$B$245, $C205,  MRP!$G$2:$G$245, K$1),
    SUMIFS(MRP!$K$2:$K$245, MRP!$B$2:$B$245, $C205,  MRP!$G$2:$G$245, K$1),
    SUMIFS(MRP!$L$2:$L$245, MRP!$B$2:$B$245, $C205,  MRP!$G$2:$G$245, K$1)
)*F205</f>
        <v/>
      </c>
      <c r="L205" s="55">
        <f>TRIM(Tabla3[[#This Row],[CodInternoArti]])</f>
        <v/>
      </c>
    </row>
    <row r="206">
      <c r="A206" s="41">
        <f>IF(ISNUMBER(_xlfn.XMATCH(Tabla3[[#This Row],[CodInternoArti]],'Tabla Articulos'!B:B)),"OK","NO ESTA")</f>
        <v/>
      </c>
      <c r="B206" s="29">
        <f>IF(ISNUMBER(_xlfn.XMATCH('Calcular necesidad'!E:E,'Necesidad por familia'!A:A)),"OK","NO ESTA")</f>
        <v/>
      </c>
      <c r="C206" s="36" t="inlineStr">
        <is>
          <t>7790321020046</t>
        </is>
      </c>
      <c r="D206" s="36" t="inlineStr">
        <is>
          <t>BANDEJA 105 C/ BISAGRA x 50 U</t>
        </is>
      </c>
      <c r="E206" s="36">
        <f>_xlfn.XLOOKUP(C206,'Tabla Articulos'!B:B,'Tabla Articulos'!D:D)</f>
        <v/>
      </c>
      <c r="F206" s="36">
        <f>_xlfn.XLOOKUP(C206,'Tabla Articulos'!B:B,'Tabla Articulos'!E:E)</f>
        <v/>
      </c>
      <c r="G206" s="40">
        <f>SUM(
    SUMIFS(MRP!$H$2:$H$245, MRP!$B$2:$B$245, $C206, MRP!$G$2:$G$245, G$1),
    SUMIFS(MRP!$I$2:$I$245, MRP!$B$2:$B$245, $C206, MRP!$G$2:$G$245, G$1),
    SUMIFS(MRP!$J$2:$J$245, MRP!$B$2:$B$245, $C206,  MRP!$G$2:$G$245, G$1),
    SUMIFS(MRP!$K$2:$K$245, MRP!$B$2:$B$245, $C206,  MRP!$G$2:$G$245, G$1),
    SUMIFS(MRP!$L$2:$L$245, MRP!$B$2:$B$245, $C206,  MRP!$G$2:$G$245, G$1)
)*F206</f>
        <v/>
      </c>
      <c r="H206" s="40">
        <f>SUM(
    SUMIFS(MRP!$H$2:$H$245, MRP!$B$2:$B$245, $C206, MRP!$G$2:$G$245, H$1),
    SUMIFS(MRP!$I$2:$I$245, MRP!$B$2:$B$245, $C206, MRP!$G$2:$G$245, H$1),
    SUMIFS(MRP!$J$2:$J$245, MRP!$B$2:$B$245, $C206,  MRP!$G$2:$G$245, H$1),
    SUMIFS(MRP!$K$2:$K$245, MRP!$B$2:$B$245, $C206,  MRP!$G$2:$G$245, H$1),
    SUMIFS(MRP!$L$2:$L$245, MRP!$B$2:$B$245, $C206,  MRP!$G$2:$G$245, H$1)
)*F206</f>
        <v/>
      </c>
      <c r="I206" s="40">
        <f>SUM(
    SUMIFS(MRP!$H$2:$H$245, MRP!$B$2:$B$245, $C206, MRP!$G$2:$G$245, I$1),
    SUMIFS(MRP!$I$2:$I$245, MRP!$B$2:$B$245, $C206, MRP!$G$2:$G$245, I$1),
    SUMIFS(MRP!$J$2:$J$245, MRP!$B$2:$B$245, $C206,  MRP!$G$2:$G$245, I$1),
    SUMIFS(MRP!$K$2:$K$245, MRP!$B$2:$B$245, $C206,  MRP!$G$2:$G$245, I$1),
    SUMIFS(MRP!$L$2:$L$245, MRP!$B$2:$B$245, $C206,  MRP!$G$2:$G$245, I$1)
)*F206</f>
        <v/>
      </c>
      <c r="J206" s="40">
        <f>SUM(
    SUMIFS(MRP!$H$2:$H$245, MRP!$B$2:$B$245, $C206, MRP!$G$2:$G$245, J$1),
    SUMIFS(MRP!$I$2:$I$245, MRP!$B$2:$B$245, $C206, MRP!$G$2:$G$245, J$1),
    SUMIFS(MRP!$J$2:$J$245, MRP!$B$2:$B$245, $C206,  MRP!$G$2:$G$245, J$1),
    SUMIFS(MRP!$K$2:$K$245, MRP!$B$2:$B$245, $C206,  MRP!$G$2:$G$245, J$1),
    SUMIFS(MRP!$L$2:$L$245, MRP!$B$2:$B$245, $C206,  MRP!$G$2:$G$245, J$1)
)*F206</f>
        <v/>
      </c>
      <c r="K206" s="56">
        <f>SUM(
    SUMIFS(MRP!$H$2:$H$245, MRP!$B$2:$B$245, $C206, MRP!$G$2:$G$245, K$1),
    SUMIFS(MRP!$I$2:$I$245, MRP!$B$2:$B$245, $C206, MRP!$G$2:$G$245, K$1),
    SUMIFS(MRP!$J$2:$J$245, MRP!$B$2:$B$245, $C206,  MRP!$G$2:$G$245, K$1),
    SUMIFS(MRP!$K$2:$K$245, MRP!$B$2:$B$245, $C206,  MRP!$G$2:$G$245, K$1),
    SUMIFS(MRP!$L$2:$L$245, MRP!$B$2:$B$245, $C206,  MRP!$G$2:$G$245, K$1)
)*F206</f>
        <v/>
      </c>
      <c r="L206" s="55">
        <f>TRIM(Tabla3[[#This Row],[CodInternoArti]])</f>
        <v/>
      </c>
    </row>
    <row r="207">
      <c r="A207" s="41">
        <f>IF(ISNUMBER(_xlfn.XMATCH(Tabla3[[#This Row],[CodInternoArti]],'Tabla Articulos'!B:B)),"OK","NO ESTA")</f>
        <v/>
      </c>
      <c r="B207" s="29">
        <f>IF(ISNUMBER(_xlfn.XMATCH('Calcular necesidad'!E:E,'Necesidad por familia'!A:A)),"OK","NO ESTA")</f>
        <v/>
      </c>
      <c r="C207" s="36" t="n">
        <v>7794459003554</v>
      </c>
      <c r="D207" s="36" t="inlineStr">
        <is>
          <t>GL ROLLO ARRANQUE 60x90 X4U 2000GR</t>
        </is>
      </c>
      <c r="E207" s="36">
        <f>_xlfn.XLOOKUP(C207,'Tabla Articulos'!B:B,'Tabla Articulos'!D:D)</f>
        <v/>
      </c>
      <c r="F207" s="36">
        <f>_xlfn.XLOOKUP(C207,'Tabla Articulos'!B:B,'Tabla Articulos'!E:E)</f>
        <v/>
      </c>
      <c r="G207" s="40">
        <f>SUM(
    SUMIFS(MRP!$H$2:$H$245, MRP!$B$2:$B$245, $C207, MRP!$G$2:$G$245, G$1),
    SUMIFS(MRP!$I$2:$I$245, MRP!$B$2:$B$245, $C207, MRP!$G$2:$G$245, G$1),
    SUMIFS(MRP!$J$2:$J$245, MRP!$B$2:$B$245, $C207,  MRP!$G$2:$G$245, G$1),
    SUMIFS(MRP!$K$2:$K$245, MRP!$B$2:$B$245, $C207,  MRP!$G$2:$G$245, G$1),
    SUMIFS(MRP!$L$2:$L$245, MRP!$B$2:$B$245, $C207,  MRP!$G$2:$G$245, G$1)
)*F207</f>
        <v/>
      </c>
      <c r="H207" s="40">
        <f>SUM(
    SUMIFS(MRP!$H$2:$H$245, MRP!$B$2:$B$245, $C207, MRP!$G$2:$G$245, H$1),
    SUMIFS(MRP!$I$2:$I$245, MRP!$B$2:$B$245, $C207, MRP!$G$2:$G$245, H$1),
    SUMIFS(MRP!$J$2:$J$245, MRP!$B$2:$B$245, $C207,  MRP!$G$2:$G$245, H$1),
    SUMIFS(MRP!$K$2:$K$245, MRP!$B$2:$B$245, $C207,  MRP!$G$2:$G$245, H$1),
    SUMIFS(MRP!$L$2:$L$245, MRP!$B$2:$B$245, $C207,  MRP!$G$2:$G$245, H$1)
)*F207</f>
        <v/>
      </c>
      <c r="I207" s="40">
        <f>SUM(
    SUMIFS(MRP!$H$2:$H$245, MRP!$B$2:$B$245, $C207, MRP!$G$2:$G$245, I$1),
    SUMIFS(MRP!$I$2:$I$245, MRP!$B$2:$B$245, $C207, MRP!$G$2:$G$245, I$1),
    SUMIFS(MRP!$J$2:$J$245, MRP!$B$2:$B$245, $C207,  MRP!$G$2:$G$245, I$1),
    SUMIFS(MRP!$K$2:$K$245, MRP!$B$2:$B$245, $C207,  MRP!$G$2:$G$245, I$1),
    SUMIFS(MRP!$L$2:$L$245, MRP!$B$2:$B$245, $C207,  MRP!$G$2:$G$245, I$1)
)*F207</f>
        <v/>
      </c>
      <c r="J207" s="40">
        <f>SUM(
    SUMIFS(MRP!$H$2:$H$245, MRP!$B$2:$B$245, $C207, MRP!$G$2:$G$245, J$1),
    SUMIFS(MRP!$I$2:$I$245, MRP!$B$2:$B$245, $C207, MRP!$G$2:$G$245, J$1),
    SUMIFS(MRP!$J$2:$J$245, MRP!$B$2:$B$245, $C207,  MRP!$G$2:$G$245, J$1),
    SUMIFS(MRP!$K$2:$K$245, MRP!$B$2:$B$245, $C207,  MRP!$G$2:$G$245, J$1),
    SUMIFS(MRP!$L$2:$L$245, MRP!$B$2:$B$245, $C207,  MRP!$G$2:$G$245, J$1)
)*F207</f>
        <v/>
      </c>
      <c r="K207" s="56">
        <f>SUM(
    SUMIFS(MRP!$H$2:$H$245, MRP!$B$2:$B$245, $C207, MRP!$G$2:$G$245, K$1),
    SUMIFS(MRP!$I$2:$I$245, MRP!$B$2:$B$245, $C207, MRP!$G$2:$G$245, K$1),
    SUMIFS(MRP!$J$2:$J$245, MRP!$B$2:$B$245, $C207,  MRP!$G$2:$G$245, K$1),
    SUMIFS(MRP!$K$2:$K$245, MRP!$B$2:$B$245, $C207,  MRP!$G$2:$G$245, K$1),
    SUMIFS(MRP!$L$2:$L$245, MRP!$B$2:$B$245, $C207,  MRP!$G$2:$G$245, K$1)
)*F207</f>
        <v/>
      </c>
      <c r="L207" s="55">
        <f>TRIM(Tabla3[[#This Row],[CodInternoArti]])</f>
        <v/>
      </c>
    </row>
    <row r="208">
      <c r="A208" s="41">
        <f>IF(ISNUMBER(_xlfn.XMATCH(Tabla3[[#This Row],[CodInternoArti]],'Tabla Articulos'!B:B)),"OK","NO ESTA")</f>
        <v/>
      </c>
      <c r="B208" s="29">
        <f>IF(ISNUMBER(_xlfn.XMATCH('Calcular necesidad'!E:E,'Necesidad por familia'!A:A)),"OK","NO ESTA")</f>
        <v/>
      </c>
      <c r="C208" s="36" t="n">
        <v>7794459003516</v>
      </c>
      <c r="D208" s="36" t="inlineStr">
        <is>
          <t>GL ROLLO ARRANQUE 20x30 X6U 500GR</t>
        </is>
      </c>
      <c r="E208" s="36">
        <f>_xlfn.XLOOKUP(C208,'Tabla Articulos'!B:B,'Tabla Articulos'!D:D)</f>
        <v/>
      </c>
      <c r="F208" s="36">
        <f>_xlfn.XLOOKUP(C208,'Tabla Articulos'!B:B,'Tabla Articulos'!E:E)</f>
        <v/>
      </c>
      <c r="G208" s="40">
        <f>SUM(
    SUMIFS(MRP!$H$2:$H$245, MRP!$B$2:$B$245, $C208, MRP!$G$2:$G$245, G$1),
    SUMIFS(MRP!$I$2:$I$245, MRP!$B$2:$B$245, $C208, MRP!$G$2:$G$245, G$1),
    SUMIFS(MRP!$J$2:$J$245, MRP!$B$2:$B$245, $C208,  MRP!$G$2:$G$245, G$1),
    SUMIFS(MRP!$K$2:$K$245, MRP!$B$2:$B$245, $C208,  MRP!$G$2:$G$245, G$1),
    SUMIFS(MRP!$L$2:$L$245, MRP!$B$2:$B$245, $C208,  MRP!$G$2:$G$245, G$1)
)*F208</f>
        <v/>
      </c>
      <c r="H208" s="40">
        <f>SUM(
    SUMIFS(MRP!$H$2:$H$245, MRP!$B$2:$B$245, $C208, MRP!$G$2:$G$245, H$1),
    SUMIFS(MRP!$I$2:$I$245, MRP!$B$2:$B$245, $C208, MRP!$G$2:$G$245, H$1),
    SUMIFS(MRP!$J$2:$J$245, MRP!$B$2:$B$245, $C208,  MRP!$G$2:$G$245, H$1),
    SUMIFS(MRP!$K$2:$K$245, MRP!$B$2:$B$245, $C208,  MRP!$G$2:$G$245, H$1),
    SUMIFS(MRP!$L$2:$L$245, MRP!$B$2:$B$245, $C208,  MRP!$G$2:$G$245, H$1)
)*F208</f>
        <v/>
      </c>
      <c r="I208" s="40">
        <f>SUM(
    SUMIFS(MRP!$H$2:$H$245, MRP!$B$2:$B$245, $C208, MRP!$G$2:$G$245, I$1),
    SUMIFS(MRP!$I$2:$I$245, MRP!$B$2:$B$245, $C208, MRP!$G$2:$G$245, I$1),
    SUMIFS(MRP!$J$2:$J$245, MRP!$B$2:$B$245, $C208,  MRP!$G$2:$G$245, I$1),
    SUMIFS(MRP!$K$2:$K$245, MRP!$B$2:$B$245, $C208,  MRP!$G$2:$G$245, I$1),
    SUMIFS(MRP!$L$2:$L$245, MRP!$B$2:$B$245, $C208,  MRP!$G$2:$G$245, I$1)
)*F208</f>
        <v/>
      </c>
      <c r="J208" s="40">
        <f>SUM(
    SUMIFS(MRP!$H$2:$H$245, MRP!$B$2:$B$245, $C208, MRP!$G$2:$G$245, J$1),
    SUMIFS(MRP!$I$2:$I$245, MRP!$B$2:$B$245, $C208, MRP!$G$2:$G$245, J$1),
    SUMIFS(MRP!$J$2:$J$245, MRP!$B$2:$B$245, $C208,  MRP!$G$2:$G$245, J$1),
    SUMIFS(MRP!$K$2:$K$245, MRP!$B$2:$B$245, $C208,  MRP!$G$2:$G$245, J$1),
    SUMIFS(MRP!$L$2:$L$245, MRP!$B$2:$B$245, $C208,  MRP!$G$2:$G$245, J$1)
)*F208</f>
        <v/>
      </c>
      <c r="K208" s="56">
        <f>SUM(
    SUMIFS(MRP!$H$2:$H$245, MRP!$B$2:$B$245, $C208, MRP!$G$2:$G$245, K$1),
    SUMIFS(MRP!$I$2:$I$245, MRP!$B$2:$B$245, $C208, MRP!$G$2:$G$245, K$1),
    SUMIFS(MRP!$J$2:$J$245, MRP!$B$2:$B$245, $C208,  MRP!$G$2:$G$245, K$1),
    SUMIFS(MRP!$K$2:$K$245, MRP!$B$2:$B$245, $C208,  MRP!$G$2:$G$245, K$1),
    SUMIFS(MRP!$L$2:$L$245, MRP!$B$2:$B$245, $C208,  MRP!$G$2:$G$245, K$1)
)*F208</f>
        <v/>
      </c>
      <c r="L208" s="55">
        <f>TRIM(Tabla3[[#This Row],[CodInternoArti]])</f>
        <v/>
      </c>
    </row>
    <row r="209">
      <c r="A209" s="41">
        <f>IF(ISNUMBER(_xlfn.XMATCH(Tabla3[[#This Row],[CodInternoArti]],'Tabla Articulos'!B:B)),"OK","NO ESTA")</f>
        <v/>
      </c>
      <c r="B209" s="29">
        <f>IF(ISNUMBER(_xlfn.XMATCH('Calcular necesidad'!E:E,'Necesidad por familia'!A:A)),"OK","NO ESTA")</f>
        <v/>
      </c>
      <c r="C209" s="36" t="n">
        <v>7790000000768</v>
      </c>
      <c r="D209" s="36" t="inlineStr">
        <is>
          <t>FILM 38CM 500M DISPAFILM</t>
        </is>
      </c>
      <c r="E209" s="36">
        <f>_xlfn.XLOOKUP(C209,'Tabla Articulos'!B:B,'Tabla Articulos'!D:D)</f>
        <v/>
      </c>
      <c r="F209" s="36">
        <f>_xlfn.XLOOKUP(C209,'Tabla Articulos'!B:B,'Tabla Articulos'!E:E)</f>
        <v/>
      </c>
      <c r="G209" s="40">
        <f>SUM(
    SUMIFS(MRP!$H$2:$H$245, MRP!$B$2:$B$245, $C209, MRP!$G$2:$G$245, G$1),
    SUMIFS(MRP!$I$2:$I$245, MRP!$B$2:$B$245, $C209, MRP!$G$2:$G$245, G$1),
    SUMIFS(MRP!$J$2:$J$245, MRP!$B$2:$B$245, $C209,  MRP!$G$2:$G$245, G$1),
    SUMIFS(MRP!$K$2:$K$245, MRP!$B$2:$B$245, $C209,  MRP!$G$2:$G$245, G$1),
    SUMIFS(MRP!$L$2:$L$245, MRP!$B$2:$B$245, $C209,  MRP!$G$2:$G$245, G$1)
)*F209</f>
        <v/>
      </c>
      <c r="H209" s="40">
        <f>SUM(
    SUMIFS(MRP!$H$2:$H$245, MRP!$B$2:$B$245, $C209, MRP!$G$2:$G$245, H$1),
    SUMIFS(MRP!$I$2:$I$245, MRP!$B$2:$B$245, $C209, MRP!$G$2:$G$245, H$1),
    SUMIFS(MRP!$J$2:$J$245, MRP!$B$2:$B$245, $C209,  MRP!$G$2:$G$245, H$1),
    SUMIFS(MRP!$K$2:$K$245, MRP!$B$2:$B$245, $C209,  MRP!$G$2:$G$245, H$1),
    SUMIFS(MRP!$L$2:$L$245, MRP!$B$2:$B$245, $C209,  MRP!$G$2:$G$245, H$1)
)*F209</f>
        <v/>
      </c>
      <c r="I209" s="40">
        <f>SUM(
    SUMIFS(MRP!$H$2:$H$245, MRP!$B$2:$B$245, $C209, MRP!$G$2:$G$245, I$1),
    SUMIFS(MRP!$I$2:$I$245, MRP!$B$2:$B$245, $C209, MRP!$G$2:$G$245, I$1),
    SUMIFS(MRP!$J$2:$J$245, MRP!$B$2:$B$245, $C209,  MRP!$G$2:$G$245, I$1),
    SUMIFS(MRP!$K$2:$K$245, MRP!$B$2:$B$245, $C209,  MRP!$G$2:$G$245, I$1),
    SUMIFS(MRP!$L$2:$L$245, MRP!$B$2:$B$245, $C209,  MRP!$G$2:$G$245, I$1)
)*F209</f>
        <v/>
      </c>
      <c r="J209" s="40">
        <f>SUM(
    SUMIFS(MRP!$H$2:$H$245, MRP!$B$2:$B$245, $C209, MRP!$G$2:$G$245, J$1),
    SUMIFS(MRP!$I$2:$I$245, MRP!$B$2:$B$245, $C209, MRP!$G$2:$G$245, J$1),
    SUMIFS(MRP!$J$2:$J$245, MRP!$B$2:$B$245, $C209,  MRP!$G$2:$G$245, J$1),
    SUMIFS(MRP!$K$2:$K$245, MRP!$B$2:$B$245, $C209,  MRP!$G$2:$G$245, J$1),
    SUMIFS(MRP!$L$2:$L$245, MRP!$B$2:$B$245, $C209,  MRP!$G$2:$G$245, J$1)
)*F209</f>
        <v/>
      </c>
      <c r="K209" s="56">
        <f>SUM(
    SUMIFS(MRP!$H$2:$H$245, MRP!$B$2:$B$245, $C209, MRP!$G$2:$G$245, K$1),
    SUMIFS(MRP!$I$2:$I$245, MRP!$B$2:$B$245, $C209, MRP!$G$2:$G$245, K$1),
    SUMIFS(MRP!$J$2:$J$245, MRP!$B$2:$B$245, $C209,  MRP!$G$2:$G$245, K$1),
    SUMIFS(MRP!$K$2:$K$245, MRP!$B$2:$B$245, $C209,  MRP!$G$2:$G$245, K$1),
    SUMIFS(MRP!$L$2:$L$245, MRP!$B$2:$B$245, $C209,  MRP!$G$2:$G$245, K$1)
)*F209</f>
        <v/>
      </c>
      <c r="L209" s="55">
        <f>TRIM(Tabla3[[#This Row],[CodInternoArti]])</f>
        <v/>
      </c>
    </row>
    <row r="210">
      <c r="A210" s="41">
        <f>IF(ISNUMBER(_xlfn.XMATCH(Tabla3[[#This Row],[CodInternoArti]],'Tabla Articulos'!B:B)),"OK","NO ESTA")</f>
        <v/>
      </c>
      <c r="B210" s="29">
        <f>IF(ISNUMBER(_xlfn.XMATCH('Calcular necesidad'!E:E,'Necesidad por familia'!A:A)),"OK","NO ESTA")</f>
        <v/>
      </c>
      <c r="C210" s="36" t="n">
        <v>7790250912828</v>
      </c>
      <c r="D210" s="36" t="inlineStr">
        <is>
          <t>GL_SERV FASTFOOD 16X21X8400U ELITE</t>
        </is>
      </c>
      <c r="E210" s="36">
        <f>_xlfn.XLOOKUP(C210,'Tabla Articulos'!B:B,'Tabla Articulos'!D:D)</f>
        <v/>
      </c>
      <c r="F210" s="36">
        <f>_xlfn.XLOOKUP(C210,'Tabla Articulos'!B:B,'Tabla Articulos'!E:E)</f>
        <v/>
      </c>
      <c r="G210" s="40">
        <f>SUM(
    SUMIFS(MRP!$H$2:$H$245, MRP!$B$2:$B$245, $C210, MRP!$G$2:$G$245, G$1),
    SUMIFS(MRP!$I$2:$I$245, MRP!$B$2:$B$245, $C210, MRP!$G$2:$G$245, G$1),
    SUMIFS(MRP!$J$2:$J$245, MRP!$B$2:$B$245, $C210,  MRP!$G$2:$G$245, G$1),
    SUMIFS(MRP!$K$2:$K$245, MRP!$B$2:$B$245, $C210,  MRP!$G$2:$G$245, G$1),
    SUMIFS(MRP!$L$2:$L$245, MRP!$B$2:$B$245, $C210,  MRP!$G$2:$G$245, G$1)
)*F210</f>
        <v/>
      </c>
      <c r="H210" s="40">
        <f>SUM(
    SUMIFS(MRP!$H$2:$H$245, MRP!$B$2:$B$245, $C210, MRP!$G$2:$G$245, H$1),
    SUMIFS(MRP!$I$2:$I$245, MRP!$B$2:$B$245, $C210, MRP!$G$2:$G$245, H$1),
    SUMIFS(MRP!$J$2:$J$245, MRP!$B$2:$B$245, $C210,  MRP!$G$2:$G$245, H$1),
    SUMIFS(MRP!$K$2:$K$245, MRP!$B$2:$B$245, $C210,  MRP!$G$2:$G$245, H$1),
    SUMIFS(MRP!$L$2:$L$245, MRP!$B$2:$B$245, $C210,  MRP!$G$2:$G$245, H$1)
)*F210</f>
        <v/>
      </c>
      <c r="I210" s="40">
        <f>SUM(
    SUMIFS(MRP!$H$2:$H$245, MRP!$B$2:$B$245, $C210, MRP!$G$2:$G$245, I$1),
    SUMIFS(MRP!$I$2:$I$245, MRP!$B$2:$B$245, $C210, MRP!$G$2:$G$245, I$1),
    SUMIFS(MRP!$J$2:$J$245, MRP!$B$2:$B$245, $C210,  MRP!$G$2:$G$245, I$1),
    SUMIFS(MRP!$K$2:$K$245, MRP!$B$2:$B$245, $C210,  MRP!$G$2:$G$245, I$1),
    SUMIFS(MRP!$L$2:$L$245, MRP!$B$2:$B$245, $C210,  MRP!$G$2:$G$245, I$1)
)*F210</f>
        <v/>
      </c>
      <c r="J210" s="40">
        <f>SUM(
    SUMIFS(MRP!$H$2:$H$245, MRP!$B$2:$B$245, $C210, MRP!$G$2:$G$245, J$1),
    SUMIFS(MRP!$I$2:$I$245, MRP!$B$2:$B$245, $C210, MRP!$G$2:$G$245, J$1),
    SUMIFS(MRP!$J$2:$J$245, MRP!$B$2:$B$245, $C210,  MRP!$G$2:$G$245, J$1),
    SUMIFS(MRP!$K$2:$K$245, MRP!$B$2:$B$245, $C210,  MRP!$G$2:$G$245, J$1),
    SUMIFS(MRP!$L$2:$L$245, MRP!$B$2:$B$245, $C210,  MRP!$G$2:$G$245, J$1)
)*F210</f>
        <v/>
      </c>
      <c r="K210" s="56">
        <f>SUM(
    SUMIFS(MRP!$H$2:$H$245, MRP!$B$2:$B$245, $C210, MRP!$G$2:$G$245, K$1),
    SUMIFS(MRP!$I$2:$I$245, MRP!$B$2:$B$245, $C210, MRP!$G$2:$G$245, K$1),
    SUMIFS(MRP!$J$2:$J$245, MRP!$B$2:$B$245, $C210,  MRP!$G$2:$G$245, K$1),
    SUMIFS(MRP!$K$2:$K$245, MRP!$B$2:$B$245, $C210,  MRP!$G$2:$G$245, K$1),
    SUMIFS(MRP!$L$2:$L$245, MRP!$B$2:$B$245, $C210,  MRP!$G$2:$G$245, K$1)
)*F210</f>
        <v/>
      </c>
      <c r="L210" s="55">
        <f>TRIM(Tabla3[[#This Row],[CodInternoArti]])</f>
        <v/>
      </c>
    </row>
    <row r="211">
      <c r="A211" s="63">
        <f>IF(ISNUMBER(_xlfn.XMATCH(Tabla3[[#This Row],[CodInternoArti]],'Tabla Articulos'!B:B)),"OK","NO ESTA")</f>
        <v/>
      </c>
      <c r="B211" s="19">
        <f>IF(ISNUMBER(_xlfn.XMATCH('Calcular necesidad'!E:E,'Necesidad por familia'!A:A)),"OK","NO ESTA")</f>
        <v/>
      </c>
      <c r="C211" s="1" t="n">
        <v>7790000000762</v>
      </c>
      <c r="D211" s="1" t="inlineStr">
        <is>
          <t xml:space="preserve">TAPA BOWL COMP 17X7 960C X300U  </t>
        </is>
      </c>
      <c r="E211" s="1">
        <f>_xlfn.XLOOKUP(C211,'Tabla Articulos'!B:B,'Tabla Articulos'!D:D)</f>
        <v/>
      </c>
      <c r="F211" s="1">
        <f>_xlfn.XLOOKUP(C211,'Tabla Articulos'!B:B,'Tabla Articulos'!E:E)</f>
        <v/>
      </c>
      <c r="G211" s="15">
        <f>SUM(
    SUMIFS(MRP!$H$2:$H$245, MRP!$B$2:$B$245, $C211, MRP!$G$2:$G$245, G$1),
    SUMIFS(MRP!$I$2:$I$245, MRP!$B$2:$B$245, $C211, MRP!$G$2:$G$245, G$1),
    SUMIFS(MRP!$J$2:$J$245, MRP!$B$2:$B$245, $C211,  MRP!$G$2:$G$245, G$1),
    SUMIFS(MRP!$K$2:$K$245, MRP!$B$2:$B$245, $C211,  MRP!$G$2:$G$245, G$1),
    SUMIFS(MRP!$L$2:$L$245, MRP!$B$2:$B$245, $C211,  MRP!$G$2:$G$245, G$1)
)*F211</f>
        <v/>
      </c>
      <c r="H211" s="15">
        <f>SUM(
    SUMIFS(MRP!$H$2:$H$245, MRP!$B$2:$B$245, $C211, MRP!$G$2:$G$245, H$1),
    SUMIFS(MRP!$I$2:$I$245, MRP!$B$2:$B$245, $C211, MRP!$G$2:$G$245, H$1),
    SUMIFS(MRP!$J$2:$J$245, MRP!$B$2:$B$245, $C211,  MRP!$G$2:$G$245, H$1),
    SUMIFS(MRP!$K$2:$K$245, MRP!$B$2:$B$245, $C211,  MRP!$G$2:$G$245, H$1),
    SUMIFS(MRP!$L$2:$L$245, MRP!$B$2:$B$245, $C211,  MRP!$G$2:$G$245, H$1)
)*F211</f>
        <v/>
      </c>
      <c r="I211" s="15">
        <f>SUM(
    SUMIFS(MRP!$H$2:$H$245, MRP!$B$2:$B$245, $C211, MRP!$G$2:$G$245, I$1),
    SUMIFS(MRP!$I$2:$I$245, MRP!$B$2:$B$245, $C211, MRP!$G$2:$G$245, I$1),
    SUMIFS(MRP!$J$2:$J$245, MRP!$B$2:$B$245, $C211,  MRP!$G$2:$G$245, I$1),
    SUMIFS(MRP!$K$2:$K$245, MRP!$B$2:$B$245, $C211,  MRP!$G$2:$G$245, I$1),
    SUMIFS(MRP!$L$2:$L$245, MRP!$B$2:$B$245, $C211,  MRP!$G$2:$G$245, I$1)
)*F211</f>
        <v/>
      </c>
      <c r="J211" s="15">
        <f>SUM(
    SUMIFS(MRP!$H$2:$H$245, MRP!$B$2:$B$245, $C211, MRP!$G$2:$G$245, J$1),
    SUMIFS(MRP!$I$2:$I$245, MRP!$B$2:$B$245, $C211, MRP!$G$2:$G$245, J$1),
    SUMIFS(MRP!$J$2:$J$245, MRP!$B$2:$B$245, $C211,  MRP!$G$2:$G$245, J$1),
    SUMIFS(MRP!$K$2:$K$245, MRP!$B$2:$B$245, $C211,  MRP!$G$2:$G$245, J$1),
    SUMIFS(MRP!$L$2:$L$245, MRP!$B$2:$B$245, $C211,  MRP!$G$2:$G$245, J$1)
)*F211</f>
        <v/>
      </c>
      <c r="K211" s="64">
        <f>SUM(
    SUMIFS(MRP!$H$2:$H$245, MRP!$B$2:$B$245, $C211, MRP!$G$2:$G$245, K$1),
    SUMIFS(MRP!$I$2:$I$245, MRP!$B$2:$B$245, $C211, MRP!$G$2:$G$245, K$1),
    SUMIFS(MRP!$J$2:$J$245, MRP!$B$2:$B$245, $C211,  MRP!$G$2:$G$245, K$1),
    SUMIFS(MRP!$K$2:$K$245, MRP!$B$2:$B$245, $C211,  MRP!$G$2:$G$245, K$1),
    SUMIFS(MRP!$L$2:$L$245, MRP!$B$2:$B$245, $C211,  MRP!$G$2:$G$245, K$1)
)*F211</f>
        <v/>
      </c>
      <c r="L211" s="55">
        <f>TRIM(Tabla3[[#This Row],[CodInternoArti]])</f>
        <v/>
      </c>
    </row>
    <row r="212">
      <c r="A212" s="41">
        <f>IF(ISNUMBER(_xlfn.XMATCH(Tabla3[[#This Row],[CodInternoArti]],'Tabla Articulos'!B:B)),"OK","NO ESTA")</f>
        <v/>
      </c>
      <c r="B212" s="29">
        <f>IF(ISNUMBER(_xlfn.XMATCH('Calcular necesidad'!E:E,'Necesidad por familia'!A:A)),"OK","NO ESTA")</f>
        <v/>
      </c>
      <c r="C212" s="36" t="n">
        <v>7790000000250</v>
      </c>
      <c r="D212" s="36" t="inlineStr">
        <is>
          <t>TAPA BOWL COMPOS.17x7 960CC BIO X600UN</t>
        </is>
      </c>
      <c r="E212" s="36">
        <f>_xlfn.XLOOKUP(C212,'Tabla Articulos'!B:B,'Tabla Articulos'!D:D)</f>
        <v/>
      </c>
      <c r="F212" s="36">
        <f>_xlfn.XLOOKUP(C212,'Tabla Articulos'!B:B,'Tabla Articulos'!E:E)</f>
        <v/>
      </c>
      <c r="G212" s="40">
        <f>SUM(
    SUMIFS(MRP!$H$2:$H$245, MRP!$B$2:$B$245, $C212, MRP!$G$2:$G$245, G$1),
    SUMIFS(MRP!$I$2:$I$245, MRP!$B$2:$B$245, $C212, MRP!$G$2:$G$245, G$1),
    SUMIFS(MRP!$J$2:$J$245, MRP!$B$2:$B$245, $C212,  MRP!$G$2:$G$245, G$1),
    SUMIFS(MRP!$K$2:$K$245, MRP!$B$2:$B$245, $C212,  MRP!$G$2:$G$245, G$1),
    SUMIFS(MRP!$L$2:$L$245, MRP!$B$2:$B$245, $C212,  MRP!$G$2:$G$245, G$1)
)*F212</f>
        <v/>
      </c>
      <c r="H212" s="40">
        <f>SUM(
    SUMIFS(MRP!$H$2:$H$245, MRP!$B$2:$B$245, $C212, MRP!$G$2:$G$245, H$1),
    SUMIFS(MRP!$I$2:$I$245, MRP!$B$2:$B$245, $C212, MRP!$G$2:$G$245, H$1),
    SUMIFS(MRP!$J$2:$J$245, MRP!$B$2:$B$245, $C212,  MRP!$G$2:$G$245, H$1),
    SUMIFS(MRP!$K$2:$K$245, MRP!$B$2:$B$245, $C212,  MRP!$G$2:$G$245, H$1),
    SUMIFS(MRP!$L$2:$L$245, MRP!$B$2:$B$245, $C212,  MRP!$G$2:$G$245, H$1)
)*F212</f>
        <v/>
      </c>
      <c r="I212" s="40">
        <f>SUM(
    SUMIFS(MRP!$H$2:$H$245, MRP!$B$2:$B$245, $C212, MRP!$G$2:$G$245, I$1),
    SUMIFS(MRP!$I$2:$I$245, MRP!$B$2:$B$245, $C212, MRP!$G$2:$G$245, I$1),
    SUMIFS(MRP!$J$2:$J$245, MRP!$B$2:$B$245, $C212,  MRP!$G$2:$G$245, I$1),
    SUMIFS(MRP!$K$2:$K$245, MRP!$B$2:$B$245, $C212,  MRP!$G$2:$G$245, I$1),
    SUMIFS(MRP!$L$2:$L$245, MRP!$B$2:$B$245, $C212,  MRP!$G$2:$G$245, I$1)
)*F212</f>
        <v/>
      </c>
      <c r="J212" s="40">
        <f>SUM(
    SUMIFS(MRP!$H$2:$H$245, MRP!$B$2:$B$245, $C212, MRP!$G$2:$G$245, J$1),
    SUMIFS(MRP!$I$2:$I$245, MRP!$B$2:$B$245, $C212, MRP!$G$2:$G$245, J$1),
    SUMIFS(MRP!$J$2:$J$245, MRP!$B$2:$B$245, $C212,  MRP!$G$2:$G$245, J$1),
    SUMIFS(MRP!$K$2:$K$245, MRP!$B$2:$B$245, $C212,  MRP!$G$2:$G$245, J$1),
    SUMIFS(MRP!$L$2:$L$245, MRP!$B$2:$B$245, $C212,  MRP!$G$2:$G$245, J$1)
)*F212</f>
        <v/>
      </c>
      <c r="K212" s="56">
        <f>SUM(
    SUMIFS(MRP!$H$2:$H$245, MRP!$B$2:$B$245, $C212, MRP!$G$2:$G$245, K$1),
    SUMIFS(MRP!$I$2:$I$245, MRP!$B$2:$B$245, $C212, MRP!$G$2:$G$245, K$1),
    SUMIFS(MRP!$J$2:$J$245, MRP!$B$2:$B$245, $C212,  MRP!$G$2:$G$245, K$1),
    SUMIFS(MRP!$K$2:$K$245, MRP!$B$2:$B$245, $C212,  MRP!$G$2:$G$245, K$1),
    SUMIFS(MRP!$L$2:$L$245, MRP!$B$2:$B$245, $C212,  MRP!$G$2:$G$245, K$1)
)*F212</f>
        <v/>
      </c>
      <c r="L212" s="55">
        <f>TRIM(Tabla3[[#This Row],[CodInternoArti]])</f>
        <v/>
      </c>
    </row>
    <row r="213">
      <c r="A213" s="41">
        <f>IF(ISNUMBER(_xlfn.XMATCH(Tabla3[[#This Row],[CodInternoArti]],'Tabla Articulos'!B:B)),"OK","NO ESTA")</f>
        <v/>
      </c>
      <c r="B213" s="29">
        <f>IF(ISNUMBER(_xlfn.XMATCH('Calcular necesidad'!E:E,'Necesidad por familia'!A:A)),"OK","NO ESTA")</f>
        <v/>
      </c>
      <c r="C213" s="36" t="n">
        <v>790757820753</v>
      </c>
      <c r="D213" s="36" t="inlineStr">
        <is>
          <t>GL SERVILLETAS 24x24 X2000U</t>
        </is>
      </c>
      <c r="E213" s="36">
        <f>_xlfn.XLOOKUP(C213,'Tabla Articulos'!B:B,'Tabla Articulos'!D:D)</f>
        <v/>
      </c>
      <c r="F213" s="36">
        <f>_xlfn.XLOOKUP(C213,'Tabla Articulos'!B:B,'Tabla Articulos'!E:E)</f>
        <v/>
      </c>
      <c r="G213" s="40">
        <f>SUM(
    SUMIFS(MRP!$H$2:$H$245, MRP!$B$2:$B$245, $C213, MRP!$G$2:$G$245, G$1),
    SUMIFS(MRP!$I$2:$I$245, MRP!$B$2:$B$245, $C213, MRP!$G$2:$G$245, G$1),
    SUMIFS(MRP!$J$2:$J$245, MRP!$B$2:$B$245, $C213,  MRP!$G$2:$G$245, G$1),
    SUMIFS(MRP!$K$2:$K$245, MRP!$B$2:$B$245, $C213,  MRP!$G$2:$G$245, G$1),
    SUMIFS(MRP!$L$2:$L$245, MRP!$B$2:$B$245, $C213,  MRP!$G$2:$G$245, G$1)
)*F213</f>
        <v/>
      </c>
      <c r="H213" s="40">
        <f>SUM(
    SUMIFS(MRP!$H$2:$H$245, MRP!$B$2:$B$245, $C213, MRP!$G$2:$G$245, H$1),
    SUMIFS(MRP!$I$2:$I$245, MRP!$B$2:$B$245, $C213, MRP!$G$2:$G$245, H$1),
    SUMIFS(MRP!$J$2:$J$245, MRP!$B$2:$B$245, $C213,  MRP!$G$2:$G$245, H$1),
    SUMIFS(MRP!$K$2:$K$245, MRP!$B$2:$B$245, $C213,  MRP!$G$2:$G$245, H$1),
    SUMIFS(MRP!$L$2:$L$245, MRP!$B$2:$B$245, $C213,  MRP!$G$2:$G$245, H$1)
)*F213</f>
        <v/>
      </c>
      <c r="I213" s="40">
        <f>SUM(
    SUMIFS(MRP!$H$2:$H$245, MRP!$B$2:$B$245, $C213, MRP!$G$2:$G$245, I$1),
    SUMIFS(MRP!$I$2:$I$245, MRP!$B$2:$B$245, $C213, MRP!$G$2:$G$245, I$1),
    SUMIFS(MRP!$J$2:$J$245, MRP!$B$2:$B$245, $C213,  MRP!$G$2:$G$245, I$1),
    SUMIFS(MRP!$K$2:$K$245, MRP!$B$2:$B$245, $C213,  MRP!$G$2:$G$245, I$1),
    SUMIFS(MRP!$L$2:$L$245, MRP!$B$2:$B$245, $C213,  MRP!$G$2:$G$245, I$1)
)*F213</f>
        <v/>
      </c>
      <c r="J213" s="40">
        <f>SUM(
    SUMIFS(MRP!$H$2:$H$245, MRP!$B$2:$B$245, $C213, MRP!$G$2:$G$245, J$1),
    SUMIFS(MRP!$I$2:$I$245, MRP!$B$2:$B$245, $C213, MRP!$G$2:$G$245, J$1),
    SUMIFS(MRP!$J$2:$J$245, MRP!$B$2:$B$245, $C213,  MRP!$G$2:$G$245, J$1),
    SUMIFS(MRP!$K$2:$K$245, MRP!$B$2:$B$245, $C213,  MRP!$G$2:$G$245, J$1),
    SUMIFS(MRP!$L$2:$L$245, MRP!$B$2:$B$245, $C213,  MRP!$G$2:$G$245, J$1)
)*F213</f>
        <v/>
      </c>
      <c r="K213" s="56">
        <f>SUM(
    SUMIFS(MRP!$H$2:$H$245, MRP!$B$2:$B$245, $C213, MRP!$G$2:$G$245, K$1),
    SUMIFS(MRP!$I$2:$I$245, MRP!$B$2:$B$245, $C213, MRP!$G$2:$G$245, K$1),
    SUMIFS(MRP!$J$2:$J$245, MRP!$B$2:$B$245, $C213,  MRP!$G$2:$G$245, K$1),
    SUMIFS(MRP!$K$2:$K$245, MRP!$B$2:$B$245, $C213,  MRP!$G$2:$G$245, K$1),
    SUMIFS(MRP!$L$2:$L$245, MRP!$B$2:$B$245, $C213,  MRP!$G$2:$G$245, K$1)
)*F213</f>
        <v/>
      </c>
      <c r="L213" s="55">
        <f>TRIM(Tabla3[[#This Row],[CodInternoArti]])</f>
        <v/>
      </c>
    </row>
    <row r="214">
      <c r="A214" s="41">
        <f>IF(ISNUMBER(_xlfn.XMATCH(Tabla3[[#This Row],[CodInternoArti]],'Tabla Articulos'!B:B)),"OK","NO ESTA")</f>
        <v/>
      </c>
      <c r="B214" s="29">
        <f>IF(ISNUMBER(_xlfn.XMATCH('Calcular necesidad'!E:E,'Necesidad por familia'!A:A)),"OK","NO ESTA")</f>
        <v/>
      </c>
      <c r="C214" s="36" t="n">
        <v>754697478351</v>
      </c>
      <c r="D214" s="36" t="inlineStr">
        <is>
          <t>GUANTE NITRILO T.9 X PAR DE PASCALE</t>
        </is>
      </c>
      <c r="E214" s="36">
        <f>_xlfn.XLOOKUP(C214,'Tabla Articulos'!B:B,'Tabla Articulos'!D:D)</f>
        <v/>
      </c>
      <c r="F214" s="36">
        <f>_xlfn.XLOOKUP(C214,'Tabla Articulos'!B:B,'Tabla Articulos'!E:E)</f>
        <v/>
      </c>
      <c r="G214" s="40">
        <f>SUM(
    SUMIFS(MRP!$H$2:$H$245, MRP!$B$2:$B$245, $C214, MRP!$G$2:$G$245, G$1),
    SUMIFS(MRP!$I$2:$I$245, MRP!$B$2:$B$245, $C214, MRP!$G$2:$G$245, G$1),
    SUMIFS(MRP!$J$2:$J$245, MRP!$B$2:$B$245, $C214,  MRP!$G$2:$G$245, G$1),
    SUMIFS(MRP!$K$2:$K$245, MRP!$B$2:$B$245, $C214,  MRP!$G$2:$G$245, G$1),
    SUMIFS(MRP!$L$2:$L$245, MRP!$B$2:$B$245, $C214,  MRP!$G$2:$G$245, G$1)
)*F214</f>
        <v/>
      </c>
      <c r="H214" s="40">
        <f>SUM(
    SUMIFS(MRP!$H$2:$H$245, MRP!$B$2:$B$245, $C214, MRP!$G$2:$G$245, H$1),
    SUMIFS(MRP!$I$2:$I$245, MRP!$B$2:$B$245, $C214, MRP!$G$2:$G$245, H$1),
    SUMIFS(MRP!$J$2:$J$245, MRP!$B$2:$B$245, $C214,  MRP!$G$2:$G$245, H$1),
    SUMIFS(MRP!$K$2:$K$245, MRP!$B$2:$B$245, $C214,  MRP!$G$2:$G$245, H$1),
    SUMIFS(MRP!$L$2:$L$245, MRP!$B$2:$B$245, $C214,  MRP!$G$2:$G$245, H$1)
)*F214</f>
        <v/>
      </c>
      <c r="I214" s="40">
        <f>SUM(
    SUMIFS(MRP!$H$2:$H$245, MRP!$B$2:$B$245, $C214, MRP!$G$2:$G$245, I$1),
    SUMIFS(MRP!$I$2:$I$245, MRP!$B$2:$B$245, $C214, MRP!$G$2:$G$245, I$1),
    SUMIFS(MRP!$J$2:$J$245, MRP!$B$2:$B$245, $C214,  MRP!$G$2:$G$245, I$1),
    SUMIFS(MRP!$K$2:$K$245, MRP!$B$2:$B$245, $C214,  MRP!$G$2:$G$245, I$1),
    SUMIFS(MRP!$L$2:$L$245, MRP!$B$2:$B$245, $C214,  MRP!$G$2:$G$245, I$1)
)*F214</f>
        <v/>
      </c>
      <c r="J214" s="40">
        <f>SUM(
    SUMIFS(MRP!$H$2:$H$245, MRP!$B$2:$B$245, $C214, MRP!$G$2:$G$245, J$1),
    SUMIFS(MRP!$I$2:$I$245, MRP!$B$2:$B$245, $C214, MRP!$G$2:$G$245, J$1),
    SUMIFS(MRP!$J$2:$J$245, MRP!$B$2:$B$245, $C214,  MRP!$G$2:$G$245, J$1),
    SUMIFS(MRP!$K$2:$K$245, MRP!$B$2:$B$245, $C214,  MRP!$G$2:$G$245, J$1),
    SUMIFS(MRP!$L$2:$L$245, MRP!$B$2:$B$245, $C214,  MRP!$G$2:$G$245, J$1)
)*F214</f>
        <v/>
      </c>
      <c r="K214" s="56">
        <f>SUM(
    SUMIFS(MRP!$H$2:$H$245, MRP!$B$2:$B$245, $C214, MRP!$G$2:$G$245, K$1),
    SUMIFS(MRP!$I$2:$I$245, MRP!$B$2:$B$245, $C214, MRP!$G$2:$G$245, K$1),
    SUMIFS(MRP!$J$2:$J$245, MRP!$B$2:$B$245, $C214,  MRP!$G$2:$G$245, K$1),
    SUMIFS(MRP!$K$2:$K$245, MRP!$B$2:$B$245, $C214,  MRP!$G$2:$G$245, K$1),
    SUMIFS(MRP!$L$2:$L$245, MRP!$B$2:$B$245, $C214,  MRP!$G$2:$G$245, K$1)
)*F214</f>
        <v/>
      </c>
      <c r="L214" s="55">
        <f>TRIM(Tabla3[[#This Row],[CodInternoArti]])</f>
        <v/>
      </c>
    </row>
    <row r="215">
      <c r="A215" s="41">
        <f>IF(ISNUMBER(_xlfn.XMATCH(Tabla3[[#This Row],[CodInternoArti]],'Tabla Articulos'!B:B)),"OK","NO ESTA")</f>
        <v/>
      </c>
      <c r="B215" s="29">
        <f>IF(ISNUMBER(_xlfn.XMATCH('Calcular necesidad'!E:E,'Necesidad por familia'!A:A)),"OK","NO ESTA")</f>
        <v/>
      </c>
      <c r="C215" s="36" t="inlineStr">
        <is>
          <t>798011214860</t>
        </is>
      </c>
      <c r="D215" s="36" t="inlineStr">
        <is>
          <t>BANDEJA 101 X100U COTNYL</t>
        </is>
      </c>
      <c r="E215" s="36">
        <f>_xlfn.XLOOKUP(C215,'Tabla Articulos'!B:B,'Tabla Articulos'!D:D)</f>
        <v/>
      </c>
      <c r="F215" s="36">
        <f>_xlfn.XLOOKUP(C215,'Tabla Articulos'!B:B,'Tabla Articulos'!E:E)</f>
        <v/>
      </c>
      <c r="G215" s="40">
        <f>SUM(
    SUMIFS(MRP!$H$2:$H$245, MRP!$B$2:$B$245, $C215, MRP!$G$2:$G$245, G$1),
    SUMIFS(MRP!$I$2:$I$245, MRP!$B$2:$B$245, $C215, MRP!$G$2:$G$245, G$1),
    SUMIFS(MRP!$J$2:$J$245, MRP!$B$2:$B$245, $C215,  MRP!$G$2:$G$245, G$1),
    SUMIFS(MRP!$K$2:$K$245, MRP!$B$2:$B$245, $C215,  MRP!$G$2:$G$245, G$1),
    SUMIFS(MRP!$L$2:$L$245, MRP!$B$2:$B$245, $C215,  MRP!$G$2:$G$245, G$1)
)*F215</f>
        <v/>
      </c>
      <c r="H215" s="40">
        <f>SUM(
    SUMIFS(MRP!$H$2:$H$245, MRP!$B$2:$B$245, $C215, MRP!$G$2:$G$245, H$1),
    SUMIFS(MRP!$I$2:$I$245, MRP!$B$2:$B$245, $C215, MRP!$G$2:$G$245, H$1),
    SUMIFS(MRP!$J$2:$J$245, MRP!$B$2:$B$245, $C215,  MRP!$G$2:$G$245, H$1),
    SUMIFS(MRP!$K$2:$K$245, MRP!$B$2:$B$245, $C215,  MRP!$G$2:$G$245, H$1),
    SUMIFS(MRP!$L$2:$L$245, MRP!$B$2:$B$245, $C215,  MRP!$G$2:$G$245, H$1)
)*F215</f>
        <v/>
      </c>
      <c r="I215" s="40">
        <f>SUM(
    SUMIFS(MRP!$H$2:$H$245, MRP!$B$2:$B$245, $C215, MRP!$G$2:$G$245, I$1),
    SUMIFS(MRP!$I$2:$I$245, MRP!$B$2:$B$245, $C215, MRP!$G$2:$G$245, I$1),
    SUMIFS(MRP!$J$2:$J$245, MRP!$B$2:$B$245, $C215,  MRP!$G$2:$G$245, I$1),
    SUMIFS(MRP!$K$2:$K$245, MRP!$B$2:$B$245, $C215,  MRP!$G$2:$G$245, I$1),
    SUMIFS(MRP!$L$2:$L$245, MRP!$B$2:$B$245, $C215,  MRP!$G$2:$G$245, I$1)
)*F215</f>
        <v/>
      </c>
      <c r="J215" s="40">
        <f>SUM(
    SUMIFS(MRP!$H$2:$H$245, MRP!$B$2:$B$245, $C215, MRP!$G$2:$G$245, J$1),
    SUMIFS(MRP!$I$2:$I$245, MRP!$B$2:$B$245, $C215, MRP!$G$2:$G$245, J$1),
    SUMIFS(MRP!$J$2:$J$245, MRP!$B$2:$B$245, $C215,  MRP!$G$2:$G$245, J$1),
    SUMIFS(MRP!$K$2:$K$245, MRP!$B$2:$B$245, $C215,  MRP!$G$2:$G$245, J$1),
    SUMIFS(MRP!$L$2:$L$245, MRP!$B$2:$B$245, $C215,  MRP!$G$2:$G$245, J$1)
)*F215</f>
        <v/>
      </c>
      <c r="K215" s="56">
        <f>SUM(
    SUMIFS(MRP!$H$2:$H$245, MRP!$B$2:$B$245, $C215, MRP!$G$2:$G$245, K$1),
    SUMIFS(MRP!$I$2:$I$245, MRP!$B$2:$B$245, $C215, MRP!$G$2:$G$245, K$1),
    SUMIFS(MRP!$J$2:$J$245, MRP!$B$2:$B$245, $C215,  MRP!$G$2:$G$245, K$1),
    SUMIFS(MRP!$K$2:$K$245, MRP!$B$2:$B$245, $C215,  MRP!$G$2:$G$245, K$1),
    SUMIFS(MRP!$L$2:$L$245, MRP!$B$2:$B$245, $C215,  MRP!$G$2:$G$245, K$1)
)*F215</f>
        <v/>
      </c>
      <c r="L215" s="55">
        <f>TRIM(Tabla3[[#This Row],[CodInternoArti]])</f>
        <v/>
      </c>
    </row>
    <row r="216">
      <c r="A216" s="41">
        <f>IF(ISNUMBER(_xlfn.XMATCH(Tabla3[[#This Row],[CodInternoArti]],'Tabla Articulos'!B:B)),"OK","NO ESTA")</f>
        <v/>
      </c>
      <c r="B216" s="29">
        <f>IF(ISNUMBER(_xlfn.XMATCH('Calcular necesidad'!E:E,'Necesidad por familia'!A:A)),"OK","NO ESTA")</f>
        <v/>
      </c>
      <c r="C216" s="36" t="inlineStr">
        <is>
          <t>7790023000196</t>
        </is>
      </c>
      <c r="D216" s="36" t="inlineStr">
        <is>
          <t>GL BOBINA DE ARRANQ 20X30X12U</t>
        </is>
      </c>
      <c r="E216" s="36">
        <f>_xlfn.XLOOKUP(C216,'Tabla Articulos'!B:B,'Tabla Articulos'!D:D)</f>
        <v/>
      </c>
      <c r="F216" s="36">
        <f>_xlfn.XLOOKUP(C216,'Tabla Articulos'!B:B,'Tabla Articulos'!E:E)</f>
        <v/>
      </c>
      <c r="G216" s="40">
        <f>SUM(
    SUMIFS(MRP!$H$2:$H$245, MRP!$B$2:$B$245, $C216, MRP!$G$2:$G$245, G$1),
    SUMIFS(MRP!$I$2:$I$245, MRP!$B$2:$B$245, $C216, MRP!$G$2:$G$245, G$1),
    SUMIFS(MRP!$J$2:$J$245, MRP!$B$2:$B$245, $C216,  MRP!$G$2:$G$245, G$1),
    SUMIFS(MRP!$K$2:$K$245, MRP!$B$2:$B$245, $C216,  MRP!$G$2:$G$245, G$1),
    SUMIFS(MRP!$L$2:$L$245, MRP!$B$2:$B$245, $C216,  MRP!$G$2:$G$245, G$1)
)*F216</f>
        <v/>
      </c>
      <c r="H216" s="40">
        <f>SUM(
    SUMIFS(MRP!$H$2:$H$245, MRP!$B$2:$B$245, $C216, MRP!$G$2:$G$245, H$1),
    SUMIFS(MRP!$I$2:$I$245, MRP!$B$2:$B$245, $C216, MRP!$G$2:$G$245, H$1),
    SUMIFS(MRP!$J$2:$J$245, MRP!$B$2:$B$245, $C216,  MRP!$G$2:$G$245, H$1),
    SUMIFS(MRP!$K$2:$K$245, MRP!$B$2:$B$245, $C216,  MRP!$G$2:$G$245, H$1),
    SUMIFS(MRP!$L$2:$L$245, MRP!$B$2:$B$245, $C216,  MRP!$G$2:$G$245, H$1)
)*F216</f>
        <v/>
      </c>
      <c r="I216" s="40">
        <f>SUM(
    SUMIFS(MRP!$H$2:$H$245, MRP!$B$2:$B$245, $C216, MRP!$G$2:$G$245, I$1),
    SUMIFS(MRP!$I$2:$I$245, MRP!$B$2:$B$245, $C216, MRP!$G$2:$G$245, I$1),
    SUMIFS(MRP!$J$2:$J$245, MRP!$B$2:$B$245, $C216,  MRP!$G$2:$G$245, I$1),
    SUMIFS(MRP!$K$2:$K$245, MRP!$B$2:$B$245, $C216,  MRP!$G$2:$G$245, I$1),
    SUMIFS(MRP!$L$2:$L$245, MRP!$B$2:$B$245, $C216,  MRP!$G$2:$G$245, I$1)
)*F216</f>
        <v/>
      </c>
      <c r="J216" s="40">
        <f>SUM(
    SUMIFS(MRP!$H$2:$H$245, MRP!$B$2:$B$245, $C216, MRP!$G$2:$G$245, J$1),
    SUMIFS(MRP!$I$2:$I$245, MRP!$B$2:$B$245, $C216, MRP!$G$2:$G$245, J$1),
    SUMIFS(MRP!$J$2:$J$245, MRP!$B$2:$B$245, $C216,  MRP!$G$2:$G$245, J$1),
    SUMIFS(MRP!$K$2:$K$245, MRP!$B$2:$B$245, $C216,  MRP!$G$2:$G$245, J$1),
    SUMIFS(MRP!$L$2:$L$245, MRP!$B$2:$B$245, $C216,  MRP!$G$2:$G$245, J$1)
)*F216</f>
        <v/>
      </c>
      <c r="K216" s="56">
        <f>SUM(
    SUMIFS(MRP!$H$2:$H$245, MRP!$B$2:$B$245, $C216, MRP!$G$2:$G$245, K$1),
    SUMIFS(MRP!$I$2:$I$245, MRP!$B$2:$B$245, $C216, MRP!$G$2:$G$245, K$1),
    SUMIFS(MRP!$J$2:$J$245, MRP!$B$2:$B$245, $C216,  MRP!$G$2:$G$245, K$1),
    SUMIFS(MRP!$K$2:$K$245, MRP!$B$2:$B$245, $C216,  MRP!$G$2:$G$245, K$1),
    SUMIFS(MRP!$L$2:$L$245, MRP!$B$2:$B$245, $C216,  MRP!$G$2:$G$245, K$1)
)*F216</f>
        <v/>
      </c>
      <c r="L216" s="55">
        <f>TRIM(Tabla3[[#This Row],[CodInternoArti]])</f>
        <v/>
      </c>
    </row>
    <row r="217">
      <c r="A217" s="41">
        <f>IF(ISNUMBER(_xlfn.XMATCH(Tabla3[[#This Row],[CodInternoArti]],'Tabla Articulos'!B:B)),"OK","NO ESTA")</f>
        <v/>
      </c>
      <c r="B217" s="29">
        <f>IF(ISNUMBER(_xlfn.XMATCH('Calcular necesidad'!E:E,'Necesidad por familia'!A:A)),"OK","NO ESTA")</f>
        <v/>
      </c>
      <c r="C217" s="36" t="inlineStr">
        <is>
          <t>7794459003547</t>
        </is>
      </c>
      <c r="D217" s="36" t="inlineStr">
        <is>
          <t>GL ROLLO ARRANQUE 40x60 X6U 1500GR</t>
        </is>
      </c>
      <c r="E217" s="36">
        <f>_xlfn.XLOOKUP(C217,'Tabla Articulos'!B:B,'Tabla Articulos'!D:D)</f>
        <v/>
      </c>
      <c r="F217" s="36">
        <f>_xlfn.XLOOKUP(C217,'Tabla Articulos'!B:B,'Tabla Articulos'!E:E)</f>
        <v/>
      </c>
      <c r="G217" s="40">
        <f>SUM(
    SUMIFS(MRP!$H$2:$H$245, MRP!$B$2:$B$245, $C217, MRP!$G$2:$G$245, G$1),
    SUMIFS(MRP!$I$2:$I$245, MRP!$B$2:$B$245, $C217, MRP!$G$2:$G$245, G$1),
    SUMIFS(MRP!$J$2:$J$245, MRP!$B$2:$B$245, $C217,  MRP!$G$2:$G$245, G$1),
    SUMIFS(MRP!$K$2:$K$245, MRP!$B$2:$B$245, $C217,  MRP!$G$2:$G$245, G$1),
    SUMIFS(MRP!$L$2:$L$245, MRP!$B$2:$B$245, $C217,  MRP!$G$2:$G$245, G$1)
)*F217</f>
        <v/>
      </c>
      <c r="H217" s="40">
        <f>SUM(
    SUMIFS(MRP!$H$2:$H$245, MRP!$B$2:$B$245, $C217, MRP!$G$2:$G$245, H$1),
    SUMIFS(MRP!$I$2:$I$245, MRP!$B$2:$B$245, $C217, MRP!$G$2:$G$245, H$1),
    SUMIFS(MRP!$J$2:$J$245, MRP!$B$2:$B$245, $C217,  MRP!$G$2:$G$245, H$1),
    SUMIFS(MRP!$K$2:$K$245, MRP!$B$2:$B$245, $C217,  MRP!$G$2:$G$245, H$1),
    SUMIFS(MRP!$L$2:$L$245, MRP!$B$2:$B$245, $C217,  MRP!$G$2:$G$245, H$1)
)*F217</f>
        <v/>
      </c>
      <c r="I217" s="40">
        <f>SUM(
    SUMIFS(MRP!$H$2:$H$245, MRP!$B$2:$B$245, $C217, MRP!$G$2:$G$245, I$1),
    SUMIFS(MRP!$I$2:$I$245, MRP!$B$2:$B$245, $C217, MRP!$G$2:$G$245, I$1),
    SUMIFS(MRP!$J$2:$J$245, MRP!$B$2:$B$245, $C217,  MRP!$G$2:$G$245, I$1),
    SUMIFS(MRP!$K$2:$K$245, MRP!$B$2:$B$245, $C217,  MRP!$G$2:$G$245, I$1),
    SUMIFS(MRP!$L$2:$L$245, MRP!$B$2:$B$245, $C217,  MRP!$G$2:$G$245, I$1)
)*F217</f>
        <v/>
      </c>
      <c r="J217" s="40">
        <f>SUM(
    SUMIFS(MRP!$H$2:$H$245, MRP!$B$2:$B$245, $C217, MRP!$G$2:$G$245, J$1),
    SUMIFS(MRP!$I$2:$I$245, MRP!$B$2:$B$245, $C217, MRP!$G$2:$G$245, J$1),
    SUMIFS(MRP!$J$2:$J$245, MRP!$B$2:$B$245, $C217,  MRP!$G$2:$G$245, J$1),
    SUMIFS(MRP!$K$2:$K$245, MRP!$B$2:$B$245, $C217,  MRP!$G$2:$G$245, J$1),
    SUMIFS(MRP!$L$2:$L$245, MRP!$B$2:$B$245, $C217,  MRP!$G$2:$G$245, J$1)
)*F217</f>
        <v/>
      </c>
      <c r="K217" s="56">
        <f>SUM(
    SUMIFS(MRP!$H$2:$H$245, MRP!$B$2:$B$245, $C217, MRP!$G$2:$G$245, K$1),
    SUMIFS(MRP!$I$2:$I$245, MRP!$B$2:$B$245, $C217, MRP!$G$2:$G$245, K$1),
    SUMIFS(MRP!$J$2:$J$245, MRP!$B$2:$B$245, $C217,  MRP!$G$2:$G$245, K$1),
    SUMIFS(MRP!$K$2:$K$245, MRP!$B$2:$B$245, $C217,  MRP!$G$2:$G$245, K$1),
    SUMIFS(MRP!$L$2:$L$245, MRP!$B$2:$B$245, $C217,  MRP!$G$2:$G$245, K$1)
)*F217</f>
        <v/>
      </c>
      <c r="L217" s="55">
        <f>TRIM(Tabla3[[#This Row],[CodInternoArti]])</f>
        <v/>
      </c>
    </row>
    <row r="218">
      <c r="A218" s="41">
        <f>IF(ISNUMBER(_xlfn.XMATCH(Tabla3[[#This Row],[CodInternoArti]],'Tabla Articulos'!B:B)),"OK","NO ESTA")</f>
        <v/>
      </c>
      <c r="B218" s="29">
        <f>IF(ISNUMBER(_xlfn.XMATCH('Calcular necesidad'!E:E,'Necesidad por familia'!A:A)),"OK","NO ESTA")</f>
        <v/>
      </c>
      <c r="C218" s="36" t="inlineStr">
        <is>
          <t>7798011210060</t>
        </is>
      </c>
      <c r="D218" s="36" t="inlineStr">
        <is>
          <t>TAPA BAND 103 MICRO COTNYL X100U</t>
        </is>
      </c>
      <c r="E218" s="36">
        <f>_xlfn.XLOOKUP(C218,'Tabla Articulos'!B:B,'Tabla Articulos'!D:D)</f>
        <v/>
      </c>
      <c r="F218" s="36">
        <f>_xlfn.XLOOKUP(C218,'Tabla Articulos'!B:B,'Tabla Articulos'!E:E)</f>
        <v/>
      </c>
      <c r="G218" s="40">
        <f>SUM(
    SUMIFS(MRP!$H$2:$H$245, MRP!$B$2:$B$245, $C218, MRP!$G$2:$G$245, G$1),
    SUMIFS(MRP!$I$2:$I$245, MRP!$B$2:$B$245, $C218, MRP!$G$2:$G$245, G$1),
    SUMIFS(MRP!$J$2:$J$245, MRP!$B$2:$B$245, $C218,  MRP!$G$2:$G$245, G$1),
    SUMIFS(MRP!$K$2:$K$245, MRP!$B$2:$B$245, $C218,  MRP!$G$2:$G$245, G$1),
    SUMIFS(MRP!$L$2:$L$245, MRP!$B$2:$B$245, $C218,  MRP!$G$2:$G$245, G$1)
)*F218</f>
        <v/>
      </c>
      <c r="H218" s="40">
        <f>SUM(
    SUMIFS(MRP!$H$2:$H$245, MRP!$B$2:$B$245, $C218, MRP!$G$2:$G$245, H$1),
    SUMIFS(MRP!$I$2:$I$245, MRP!$B$2:$B$245, $C218, MRP!$G$2:$G$245, H$1),
    SUMIFS(MRP!$J$2:$J$245, MRP!$B$2:$B$245, $C218,  MRP!$G$2:$G$245, H$1),
    SUMIFS(MRP!$K$2:$K$245, MRP!$B$2:$B$245, $C218,  MRP!$G$2:$G$245, H$1),
    SUMIFS(MRP!$L$2:$L$245, MRP!$B$2:$B$245, $C218,  MRP!$G$2:$G$245, H$1)
)*F218</f>
        <v/>
      </c>
      <c r="I218" s="40">
        <f>SUM(
    SUMIFS(MRP!$H$2:$H$245, MRP!$B$2:$B$245, $C218, MRP!$G$2:$G$245, I$1),
    SUMIFS(MRP!$I$2:$I$245, MRP!$B$2:$B$245, $C218, MRP!$G$2:$G$245, I$1),
    SUMIFS(MRP!$J$2:$J$245, MRP!$B$2:$B$245, $C218,  MRP!$G$2:$G$245, I$1),
    SUMIFS(MRP!$K$2:$K$245, MRP!$B$2:$B$245, $C218,  MRP!$G$2:$G$245, I$1),
    SUMIFS(MRP!$L$2:$L$245, MRP!$B$2:$B$245, $C218,  MRP!$G$2:$G$245, I$1)
)*F218</f>
        <v/>
      </c>
      <c r="J218" s="40">
        <f>SUM(
    SUMIFS(MRP!$H$2:$H$245, MRP!$B$2:$B$245, $C218, MRP!$G$2:$G$245, J$1),
    SUMIFS(MRP!$I$2:$I$245, MRP!$B$2:$B$245, $C218, MRP!$G$2:$G$245, J$1),
    SUMIFS(MRP!$J$2:$J$245, MRP!$B$2:$B$245, $C218,  MRP!$G$2:$G$245, J$1),
    SUMIFS(MRP!$K$2:$K$245, MRP!$B$2:$B$245, $C218,  MRP!$G$2:$G$245, J$1),
    SUMIFS(MRP!$L$2:$L$245, MRP!$B$2:$B$245, $C218,  MRP!$G$2:$G$245, J$1)
)*F218</f>
        <v/>
      </c>
      <c r="K218" s="56">
        <f>SUM(
    SUMIFS(MRP!$H$2:$H$245, MRP!$B$2:$B$245, $C218, MRP!$G$2:$G$245, K$1),
    SUMIFS(MRP!$I$2:$I$245, MRP!$B$2:$B$245, $C218, MRP!$G$2:$G$245, K$1),
    SUMIFS(MRP!$J$2:$J$245, MRP!$B$2:$B$245, $C218,  MRP!$G$2:$G$245, K$1),
    SUMIFS(MRP!$K$2:$K$245, MRP!$B$2:$B$245, $C218,  MRP!$G$2:$G$245, K$1),
    SUMIFS(MRP!$L$2:$L$245, MRP!$B$2:$B$245, $C218,  MRP!$G$2:$G$245, K$1)
)*F218</f>
        <v/>
      </c>
      <c r="L218" s="55">
        <f>TRIM(Tabla3[[#This Row],[CodInternoArti]])</f>
        <v/>
      </c>
    </row>
    <row r="219">
      <c r="A219" s="41">
        <f>IF(ISNUMBER(_xlfn.XMATCH(Tabla3[[#This Row],[CodInternoArti]],'Tabla Articulos'!B:B)),"OK","NO ESTA")</f>
        <v/>
      </c>
      <c r="B219" s="29">
        <f>IF(ISNUMBER(_xlfn.XMATCH('Calcular necesidad'!E:E,'Necesidad por familia'!A:A)),"OK","NO ESTA")</f>
        <v/>
      </c>
      <c r="C219" s="36" t="inlineStr">
        <is>
          <t>7794459003530</t>
        </is>
      </c>
      <c r="D219" s="36" t="inlineStr">
        <is>
          <t>GL ROLLO ARRANQUE 20x30 X12U 750GR</t>
        </is>
      </c>
      <c r="E219" s="36">
        <f>_xlfn.XLOOKUP(C219,'Tabla Articulos'!B:B,'Tabla Articulos'!D:D)</f>
        <v/>
      </c>
      <c r="F219" s="36">
        <f>_xlfn.XLOOKUP(C219,'Tabla Articulos'!B:B,'Tabla Articulos'!E:E)</f>
        <v/>
      </c>
      <c r="G219" s="40">
        <f>SUM(
    SUMIFS(MRP!$H$2:$H$245, MRP!$B$2:$B$245, $C219, MRP!$G$2:$G$245, G$1),
    SUMIFS(MRP!$I$2:$I$245, MRP!$B$2:$B$245, $C219, MRP!$G$2:$G$245, G$1),
    SUMIFS(MRP!$J$2:$J$245, MRP!$B$2:$B$245, $C219,  MRP!$G$2:$G$245, G$1),
    SUMIFS(MRP!$K$2:$K$245, MRP!$B$2:$B$245, $C219,  MRP!$G$2:$G$245, G$1),
    SUMIFS(MRP!$L$2:$L$245, MRP!$B$2:$B$245, $C219,  MRP!$G$2:$G$245, G$1)
)*F219</f>
        <v/>
      </c>
      <c r="H219" s="40">
        <f>SUM(
    SUMIFS(MRP!$H$2:$H$245, MRP!$B$2:$B$245, $C219, MRP!$G$2:$G$245, H$1),
    SUMIFS(MRP!$I$2:$I$245, MRP!$B$2:$B$245, $C219, MRP!$G$2:$G$245, H$1),
    SUMIFS(MRP!$J$2:$J$245, MRP!$B$2:$B$245, $C219,  MRP!$G$2:$G$245, H$1),
    SUMIFS(MRP!$K$2:$K$245, MRP!$B$2:$B$245, $C219,  MRP!$G$2:$G$245, H$1),
    SUMIFS(MRP!$L$2:$L$245, MRP!$B$2:$B$245, $C219,  MRP!$G$2:$G$245, H$1)
)*F219</f>
        <v/>
      </c>
      <c r="I219" s="40">
        <f>SUM(
    SUMIFS(MRP!$H$2:$H$245, MRP!$B$2:$B$245, $C219, MRP!$G$2:$G$245, I$1),
    SUMIFS(MRP!$I$2:$I$245, MRP!$B$2:$B$245, $C219, MRP!$G$2:$G$245, I$1),
    SUMIFS(MRP!$J$2:$J$245, MRP!$B$2:$B$245, $C219,  MRP!$G$2:$G$245, I$1),
    SUMIFS(MRP!$K$2:$K$245, MRP!$B$2:$B$245, $C219,  MRP!$G$2:$G$245, I$1),
    SUMIFS(MRP!$L$2:$L$245, MRP!$B$2:$B$245, $C219,  MRP!$G$2:$G$245, I$1)
)*F219</f>
        <v/>
      </c>
      <c r="J219" s="40">
        <f>SUM(
    SUMIFS(MRP!$H$2:$H$245, MRP!$B$2:$B$245, $C219, MRP!$G$2:$G$245, J$1),
    SUMIFS(MRP!$I$2:$I$245, MRP!$B$2:$B$245, $C219, MRP!$G$2:$G$245, J$1),
    SUMIFS(MRP!$J$2:$J$245, MRP!$B$2:$B$245, $C219,  MRP!$G$2:$G$245, J$1),
    SUMIFS(MRP!$K$2:$K$245, MRP!$B$2:$B$245, $C219,  MRP!$G$2:$G$245, J$1),
    SUMIFS(MRP!$L$2:$L$245, MRP!$B$2:$B$245, $C219,  MRP!$G$2:$G$245, J$1)
)*F219</f>
        <v/>
      </c>
      <c r="K219" s="56">
        <f>SUM(
    SUMIFS(MRP!$H$2:$H$245, MRP!$B$2:$B$245, $C219, MRP!$G$2:$G$245, K$1),
    SUMIFS(MRP!$I$2:$I$245, MRP!$B$2:$B$245, $C219, MRP!$G$2:$G$245, K$1),
    SUMIFS(MRP!$J$2:$J$245, MRP!$B$2:$B$245, $C219,  MRP!$G$2:$G$245, K$1),
    SUMIFS(MRP!$K$2:$K$245, MRP!$B$2:$B$245, $C219,  MRP!$G$2:$G$245, K$1),
    SUMIFS(MRP!$L$2:$L$245, MRP!$B$2:$B$245, $C219,  MRP!$G$2:$G$245, K$1)
)*F219</f>
        <v/>
      </c>
      <c r="L219" s="55">
        <f>TRIM(Tabla3[[#This Row],[CodInternoArti]])</f>
        <v/>
      </c>
    </row>
    <row r="220">
      <c r="A220" s="41">
        <f>IF(ISNUMBER(_xlfn.XMATCH(Tabla3[[#This Row],[CodInternoArti]],'Tabla Articulos'!B:B)),"OK","NO ESTA")</f>
        <v/>
      </c>
      <c r="B220" s="29">
        <f>IF(ISNUMBER(_xlfn.XMATCH('Calcular necesidad'!E:E,'Necesidad por familia'!A:A)),"OK","NO ESTA")</f>
        <v/>
      </c>
      <c r="C220" s="36" t="inlineStr">
        <is>
          <t>7798188651727</t>
        </is>
      </c>
      <c r="D220" s="36" t="inlineStr">
        <is>
          <t xml:space="preserve">SERVILLETA S/LOGO 30X30X1000U      </t>
        </is>
      </c>
      <c r="E220" s="36">
        <f>_xlfn.XLOOKUP(C220,'Tabla Articulos'!B:B,'Tabla Articulos'!D:D)</f>
        <v/>
      </c>
      <c r="F220" s="36">
        <f>_xlfn.XLOOKUP(C220,'Tabla Articulos'!B:B,'Tabla Articulos'!E:E)</f>
        <v/>
      </c>
      <c r="G220" s="40">
        <f>SUM(
    SUMIFS(MRP!$H$2:$H$245, MRP!$B$2:$B$245, $C220, MRP!$G$2:$G$245, G$1),
    SUMIFS(MRP!$I$2:$I$245, MRP!$B$2:$B$245, $C220, MRP!$G$2:$G$245, G$1),
    SUMIFS(MRP!$J$2:$J$245, MRP!$B$2:$B$245, $C220,  MRP!$G$2:$G$245, G$1),
    SUMIFS(MRP!$K$2:$K$245, MRP!$B$2:$B$245, $C220,  MRP!$G$2:$G$245, G$1),
    SUMIFS(MRP!$L$2:$L$245, MRP!$B$2:$B$245, $C220,  MRP!$G$2:$G$245, G$1)
)*F220</f>
        <v/>
      </c>
      <c r="H220" s="40">
        <f>SUM(
    SUMIFS(MRP!$H$2:$H$245, MRP!$B$2:$B$245, $C220, MRP!$G$2:$G$245, H$1),
    SUMIFS(MRP!$I$2:$I$245, MRP!$B$2:$B$245, $C220, MRP!$G$2:$G$245, H$1),
    SUMIFS(MRP!$J$2:$J$245, MRP!$B$2:$B$245, $C220,  MRP!$G$2:$G$245, H$1),
    SUMIFS(MRP!$K$2:$K$245, MRP!$B$2:$B$245, $C220,  MRP!$G$2:$G$245, H$1),
    SUMIFS(MRP!$L$2:$L$245, MRP!$B$2:$B$245, $C220,  MRP!$G$2:$G$245, H$1)
)*F220</f>
        <v/>
      </c>
      <c r="I220" s="40">
        <f>SUM(
    SUMIFS(MRP!$H$2:$H$245, MRP!$B$2:$B$245, $C220, MRP!$G$2:$G$245, I$1),
    SUMIFS(MRP!$I$2:$I$245, MRP!$B$2:$B$245, $C220, MRP!$G$2:$G$245, I$1),
    SUMIFS(MRP!$J$2:$J$245, MRP!$B$2:$B$245, $C220,  MRP!$G$2:$G$245, I$1),
    SUMIFS(MRP!$K$2:$K$245, MRP!$B$2:$B$245, $C220,  MRP!$G$2:$G$245, I$1),
    SUMIFS(MRP!$L$2:$L$245, MRP!$B$2:$B$245, $C220,  MRP!$G$2:$G$245, I$1)
)*F220</f>
        <v/>
      </c>
      <c r="J220" s="40">
        <f>SUM(
    SUMIFS(MRP!$H$2:$H$245, MRP!$B$2:$B$245, $C220, MRP!$G$2:$G$245, J$1),
    SUMIFS(MRP!$I$2:$I$245, MRP!$B$2:$B$245, $C220, MRP!$G$2:$G$245, J$1),
    SUMIFS(MRP!$J$2:$J$245, MRP!$B$2:$B$245, $C220,  MRP!$G$2:$G$245, J$1),
    SUMIFS(MRP!$K$2:$K$245, MRP!$B$2:$B$245, $C220,  MRP!$G$2:$G$245, J$1),
    SUMIFS(MRP!$L$2:$L$245, MRP!$B$2:$B$245, $C220,  MRP!$G$2:$G$245, J$1)
)*F220</f>
        <v/>
      </c>
      <c r="K220" s="56">
        <f>SUM(
    SUMIFS(MRP!$H$2:$H$245, MRP!$B$2:$B$245, $C220, MRP!$G$2:$G$245, K$1),
    SUMIFS(MRP!$I$2:$I$245, MRP!$B$2:$B$245, $C220, MRP!$G$2:$G$245, K$1),
    SUMIFS(MRP!$J$2:$J$245, MRP!$B$2:$B$245, $C220,  MRP!$G$2:$G$245, K$1),
    SUMIFS(MRP!$K$2:$K$245, MRP!$B$2:$B$245, $C220,  MRP!$G$2:$G$245, K$1),
    SUMIFS(MRP!$L$2:$L$245, MRP!$B$2:$B$245, $C220,  MRP!$G$2:$G$245, K$1)
)*F220</f>
        <v/>
      </c>
      <c r="L220" s="55">
        <f>TRIM(Tabla3[[#This Row],[CodInternoArti]])</f>
        <v/>
      </c>
    </row>
    <row r="221">
      <c r="A221" s="63">
        <f>IF(ISNUMBER(_xlfn.XMATCH(Tabla3[[#This Row],[CodInternoArti]],'Tabla Articulos'!B:B)),"OK","NO ESTA")</f>
        <v/>
      </c>
      <c r="B221" s="19">
        <f>IF(ISNUMBER(_xlfn.XMATCH('Calcular necesidad'!E:E,'Necesidad por familia'!A:A)),"OK","NO ESTA")</f>
        <v/>
      </c>
      <c r="C221" s="1" t="inlineStr">
        <is>
          <t>648260488628</t>
        </is>
      </c>
      <c r="D221" s="1" t="inlineStr">
        <is>
          <t>ESCARBADIENTES X 500 UN</t>
        </is>
      </c>
      <c r="E221" s="1">
        <f>_xlfn.XLOOKUP(C221,'Tabla Articulos'!B:B,'Tabla Articulos'!D:D)</f>
        <v/>
      </c>
      <c r="F221" s="1">
        <f>_xlfn.XLOOKUP(C221,'Tabla Articulos'!B:B,'Tabla Articulos'!E:E)</f>
        <v/>
      </c>
      <c r="G221" s="15">
        <f>SUM(
    SUMIFS(MRP!$H$2:$H$245, MRP!$B$2:$B$245, $C221, MRP!$G$2:$G$245, G$1),
    SUMIFS(MRP!$I$2:$I$245, MRP!$B$2:$B$245, $C221, MRP!$G$2:$G$245, G$1),
    SUMIFS(MRP!$J$2:$J$245, MRP!$B$2:$B$245, $C221,  MRP!$G$2:$G$245, G$1),
    SUMIFS(MRP!$K$2:$K$245, MRP!$B$2:$B$245, $C221,  MRP!$G$2:$G$245, G$1),
    SUMIFS(MRP!$L$2:$L$245, MRP!$B$2:$B$245, $C221,  MRP!$G$2:$G$245, G$1)
)*F221</f>
        <v/>
      </c>
      <c r="H221" s="15">
        <f>SUM(
    SUMIFS(MRP!$H$2:$H$245, MRP!$B$2:$B$245, $C221, MRP!$G$2:$G$245, H$1),
    SUMIFS(MRP!$I$2:$I$245, MRP!$B$2:$B$245, $C221, MRP!$G$2:$G$245, H$1),
    SUMIFS(MRP!$J$2:$J$245, MRP!$B$2:$B$245, $C221,  MRP!$G$2:$G$245, H$1),
    SUMIFS(MRP!$K$2:$K$245, MRP!$B$2:$B$245, $C221,  MRP!$G$2:$G$245, H$1),
    SUMIFS(MRP!$L$2:$L$245, MRP!$B$2:$B$245, $C221,  MRP!$G$2:$G$245, H$1)
)*F221</f>
        <v/>
      </c>
      <c r="I221" s="15">
        <f>SUM(
    SUMIFS(MRP!$H$2:$H$245, MRP!$B$2:$B$245, $C221, MRP!$G$2:$G$245, I$1),
    SUMIFS(MRP!$I$2:$I$245, MRP!$B$2:$B$245, $C221, MRP!$G$2:$G$245, I$1),
    SUMIFS(MRP!$J$2:$J$245, MRP!$B$2:$B$245, $C221,  MRP!$G$2:$G$245, I$1),
    SUMIFS(MRP!$K$2:$K$245, MRP!$B$2:$B$245, $C221,  MRP!$G$2:$G$245, I$1),
    SUMIFS(MRP!$L$2:$L$245, MRP!$B$2:$B$245, $C221,  MRP!$G$2:$G$245, I$1)
)*F221</f>
        <v/>
      </c>
      <c r="J221" s="15">
        <f>SUM(
    SUMIFS(MRP!$H$2:$H$245, MRP!$B$2:$B$245, $C221, MRP!$G$2:$G$245, J$1),
    SUMIFS(MRP!$I$2:$I$245, MRP!$B$2:$B$245, $C221, MRP!$G$2:$G$245, J$1),
    SUMIFS(MRP!$J$2:$J$245, MRP!$B$2:$B$245, $C221,  MRP!$G$2:$G$245, J$1),
    SUMIFS(MRP!$K$2:$K$245, MRP!$B$2:$B$245, $C221,  MRP!$G$2:$G$245, J$1),
    SUMIFS(MRP!$L$2:$L$245, MRP!$B$2:$B$245, $C221,  MRP!$G$2:$G$245, J$1)
)*F221</f>
        <v/>
      </c>
      <c r="K221" s="64">
        <f>SUM(
    SUMIFS(MRP!$H$2:$H$245, MRP!$B$2:$B$245, $C221, MRP!$G$2:$G$245, K$1),
    SUMIFS(MRP!$I$2:$I$245, MRP!$B$2:$B$245, $C221, MRP!$G$2:$G$245, K$1),
    SUMIFS(MRP!$J$2:$J$245, MRP!$B$2:$B$245, $C221,  MRP!$G$2:$G$245, K$1),
    SUMIFS(MRP!$K$2:$K$245, MRP!$B$2:$B$245, $C221,  MRP!$G$2:$G$245, K$1),
    SUMIFS(MRP!$L$2:$L$245, MRP!$B$2:$B$245, $C221,  MRP!$G$2:$G$245, K$1)
)*F221</f>
        <v/>
      </c>
      <c r="L221" s="55">
        <f>TRIM(Tabla3[[#This Row],[CodInternoArti]])</f>
        <v/>
      </c>
    </row>
    <row r="222">
      <c r="A222" s="41">
        <f>IF(ISNUMBER(_xlfn.XMATCH(Tabla3[[#This Row],[CodInternoArti]],'Tabla Articulos'!B:B)),"OK","NO ESTA")</f>
        <v/>
      </c>
      <c r="B222" s="29">
        <f>IF(ISNUMBER(_xlfn.XMATCH('Calcular necesidad'!E:E,'Necesidad por familia'!A:A)),"OK","NO ESTA")</f>
        <v/>
      </c>
      <c r="C222" s="36" t="inlineStr">
        <is>
          <t>7798011210022</t>
        </is>
      </c>
      <c r="D222" s="36" t="inlineStr">
        <is>
          <t>TAPA BANDEJA 121 MICR X100U</t>
        </is>
      </c>
      <c r="E222" s="36">
        <f>_xlfn.XLOOKUP(C222,'Tabla Articulos'!B:B,'Tabla Articulos'!D:D)</f>
        <v/>
      </c>
      <c r="F222" s="36">
        <f>_xlfn.XLOOKUP(C222,'Tabla Articulos'!B:B,'Tabla Articulos'!E:E)</f>
        <v/>
      </c>
      <c r="G222" s="40">
        <f>SUM(
    SUMIFS(MRP!$H$2:$H$245, MRP!$B$2:$B$245, $C222, MRP!$G$2:$G$245, G$1),
    SUMIFS(MRP!$I$2:$I$245, MRP!$B$2:$B$245, $C222, MRP!$G$2:$G$245, G$1),
    SUMIFS(MRP!$J$2:$J$245, MRP!$B$2:$B$245, $C222,  MRP!$G$2:$G$245, G$1),
    SUMIFS(MRP!$K$2:$K$245, MRP!$B$2:$B$245, $C222,  MRP!$G$2:$G$245, G$1),
    SUMIFS(MRP!$L$2:$L$245, MRP!$B$2:$B$245, $C222,  MRP!$G$2:$G$245, G$1)
)*F222</f>
        <v/>
      </c>
      <c r="H222" s="40">
        <f>SUM(
    SUMIFS(MRP!$H$2:$H$245, MRP!$B$2:$B$245, $C222, MRP!$G$2:$G$245, H$1),
    SUMIFS(MRP!$I$2:$I$245, MRP!$B$2:$B$245, $C222, MRP!$G$2:$G$245, H$1),
    SUMIFS(MRP!$J$2:$J$245, MRP!$B$2:$B$245, $C222,  MRP!$G$2:$G$245, H$1),
    SUMIFS(MRP!$K$2:$K$245, MRP!$B$2:$B$245, $C222,  MRP!$G$2:$G$245, H$1),
    SUMIFS(MRP!$L$2:$L$245, MRP!$B$2:$B$245, $C222,  MRP!$G$2:$G$245, H$1)
)*F222</f>
        <v/>
      </c>
      <c r="I222" s="40">
        <f>SUM(
    SUMIFS(MRP!$H$2:$H$245, MRP!$B$2:$B$245, $C222, MRP!$G$2:$G$245, I$1),
    SUMIFS(MRP!$I$2:$I$245, MRP!$B$2:$B$245, $C222, MRP!$G$2:$G$245, I$1),
    SUMIFS(MRP!$J$2:$J$245, MRP!$B$2:$B$245, $C222,  MRP!$G$2:$G$245, I$1),
    SUMIFS(MRP!$K$2:$K$245, MRP!$B$2:$B$245, $C222,  MRP!$G$2:$G$245, I$1),
    SUMIFS(MRP!$L$2:$L$245, MRP!$B$2:$B$245, $C222,  MRP!$G$2:$G$245, I$1)
)*F222</f>
        <v/>
      </c>
      <c r="J222" s="40">
        <f>SUM(
    SUMIFS(MRP!$H$2:$H$245, MRP!$B$2:$B$245, $C222, MRP!$G$2:$G$245, J$1),
    SUMIFS(MRP!$I$2:$I$245, MRP!$B$2:$B$245, $C222, MRP!$G$2:$G$245, J$1),
    SUMIFS(MRP!$J$2:$J$245, MRP!$B$2:$B$245, $C222,  MRP!$G$2:$G$245, J$1),
    SUMIFS(MRP!$K$2:$K$245, MRP!$B$2:$B$245, $C222,  MRP!$G$2:$G$245, J$1),
    SUMIFS(MRP!$L$2:$L$245, MRP!$B$2:$B$245, $C222,  MRP!$G$2:$G$245, J$1)
)*F222</f>
        <v/>
      </c>
      <c r="K222" s="56">
        <f>SUM(
    SUMIFS(MRP!$H$2:$H$245, MRP!$B$2:$B$245, $C222, MRP!$G$2:$G$245, K$1),
    SUMIFS(MRP!$I$2:$I$245, MRP!$B$2:$B$245, $C222, MRP!$G$2:$G$245, K$1),
    SUMIFS(MRP!$J$2:$J$245, MRP!$B$2:$B$245, $C222,  MRP!$G$2:$G$245, K$1),
    SUMIFS(MRP!$K$2:$K$245, MRP!$B$2:$B$245, $C222,  MRP!$G$2:$G$245, K$1),
    SUMIFS(MRP!$L$2:$L$245, MRP!$B$2:$B$245, $C222,  MRP!$G$2:$G$245, K$1)
)*F222</f>
        <v/>
      </c>
      <c r="L222" s="55">
        <f>TRIM(Tabla3[[#This Row],[CodInternoArti]])</f>
        <v/>
      </c>
    </row>
    <row r="223">
      <c r="A223" s="63">
        <f>IF(ISNUMBER(_xlfn.XMATCH(Tabla3[[#This Row],[CodInternoArti]],'Tabla Articulos'!B:B)),"OK","NO ESTA")</f>
        <v/>
      </c>
      <c r="B223" s="19">
        <f>IF(ISNUMBER(_xlfn.XMATCH('Calcular necesidad'!E:E,'Necesidad por familia'!A:A)),"OK","NO ESTA")</f>
        <v/>
      </c>
      <c r="C223" s="1" t="inlineStr">
        <is>
          <t>7790321020994</t>
        </is>
      </c>
      <c r="D223" s="1" t="inlineStr">
        <is>
          <t>BOLSA CUBIERTO 10X25X200U</t>
        </is>
      </c>
      <c r="E223" s="1">
        <f>_xlfn.XLOOKUP(C223,'Tabla Articulos'!B:B,'Tabla Articulos'!D:D)</f>
        <v/>
      </c>
      <c r="F223" s="1">
        <f>_xlfn.XLOOKUP(C223,'Tabla Articulos'!B:B,'Tabla Articulos'!E:E)</f>
        <v/>
      </c>
      <c r="G223" s="15">
        <f>SUM(
    SUMIFS(MRP!$H$2:$H$245, MRP!$B$2:$B$245, $C223, MRP!$G$2:$G$245, G$1),
    SUMIFS(MRP!$I$2:$I$245, MRP!$B$2:$B$245, $C223, MRP!$G$2:$G$245, G$1),
    SUMIFS(MRP!$J$2:$J$245, MRP!$B$2:$B$245, $C223,  MRP!$G$2:$G$245, G$1),
    SUMIFS(MRP!$K$2:$K$245, MRP!$B$2:$B$245, $C223,  MRP!$G$2:$G$245, G$1),
    SUMIFS(MRP!$L$2:$L$245, MRP!$B$2:$B$245, $C223,  MRP!$G$2:$G$245, G$1)
)*F223</f>
        <v/>
      </c>
      <c r="H223" s="15">
        <f>SUM(
    SUMIFS(MRP!$H$2:$H$245, MRP!$B$2:$B$245, $C223, MRP!$G$2:$G$245, H$1),
    SUMIFS(MRP!$I$2:$I$245, MRP!$B$2:$B$245, $C223, MRP!$G$2:$G$245, H$1),
    SUMIFS(MRP!$J$2:$J$245, MRP!$B$2:$B$245, $C223,  MRP!$G$2:$G$245, H$1),
    SUMIFS(MRP!$K$2:$K$245, MRP!$B$2:$B$245, $C223,  MRP!$G$2:$G$245, H$1),
    SUMIFS(MRP!$L$2:$L$245, MRP!$B$2:$B$245, $C223,  MRP!$G$2:$G$245, H$1)
)*F223</f>
        <v/>
      </c>
      <c r="I223" s="15">
        <f>SUM(
    SUMIFS(MRP!$H$2:$H$245, MRP!$B$2:$B$245, $C223, MRP!$G$2:$G$245, I$1),
    SUMIFS(MRP!$I$2:$I$245, MRP!$B$2:$B$245, $C223, MRP!$G$2:$G$245, I$1),
    SUMIFS(MRP!$J$2:$J$245, MRP!$B$2:$B$245, $C223,  MRP!$G$2:$G$245, I$1),
    SUMIFS(MRP!$K$2:$K$245, MRP!$B$2:$B$245, $C223,  MRP!$G$2:$G$245, I$1),
    SUMIFS(MRP!$L$2:$L$245, MRP!$B$2:$B$245, $C223,  MRP!$G$2:$G$245, I$1)
)*F223</f>
        <v/>
      </c>
      <c r="J223" s="15">
        <f>SUM(
    SUMIFS(MRP!$H$2:$H$245, MRP!$B$2:$B$245, $C223, MRP!$G$2:$G$245, J$1),
    SUMIFS(MRP!$I$2:$I$245, MRP!$B$2:$B$245, $C223, MRP!$G$2:$G$245, J$1),
    SUMIFS(MRP!$J$2:$J$245, MRP!$B$2:$B$245, $C223,  MRP!$G$2:$G$245, J$1),
    SUMIFS(MRP!$K$2:$K$245, MRP!$B$2:$B$245, $C223,  MRP!$G$2:$G$245, J$1),
    SUMIFS(MRP!$L$2:$L$245, MRP!$B$2:$B$245, $C223,  MRP!$G$2:$G$245, J$1)
)*F223</f>
        <v/>
      </c>
      <c r="K223" s="64">
        <f>SUM(
    SUMIFS(MRP!$H$2:$H$245, MRP!$B$2:$B$245, $C223, MRP!$G$2:$G$245, K$1),
    SUMIFS(MRP!$I$2:$I$245, MRP!$B$2:$B$245, $C223, MRP!$G$2:$G$245, K$1),
    SUMIFS(MRP!$J$2:$J$245, MRP!$B$2:$B$245, $C223,  MRP!$G$2:$G$245, K$1),
    SUMIFS(MRP!$K$2:$K$245, MRP!$B$2:$B$245, $C223,  MRP!$G$2:$G$245, K$1),
    SUMIFS(MRP!$L$2:$L$245, MRP!$B$2:$B$245, $C223,  MRP!$G$2:$G$245, K$1)
)*F223</f>
        <v/>
      </c>
      <c r="L223" s="55">
        <f>TRIM(Tabla3[[#This Row],[CodInternoArti]])</f>
        <v/>
      </c>
    </row>
    <row r="224">
      <c r="A224" s="63">
        <f>IF(ISNUMBER(_xlfn.XMATCH(Tabla3[[#This Row],[CodInternoArti]],'Tabla Articulos'!B:B)),"OK","NO ESTA")</f>
        <v/>
      </c>
      <c r="B224" s="19">
        <f>IF(ISNUMBER(_xlfn.XMATCH('Calcular necesidad'!E:E,'Necesidad por familia'!A:A)),"OK","NO ESTA")</f>
        <v/>
      </c>
      <c r="C224" s="1" t="inlineStr">
        <is>
          <t>7790321123456</t>
        </is>
      </c>
      <c r="D224" s="1" t="inlineStr">
        <is>
          <t xml:space="preserve">PALITO BROCHETTE 25CM X80U  </t>
        </is>
      </c>
      <c r="E224" s="1">
        <f>_xlfn.XLOOKUP(C224,'Tabla Articulos'!B:B,'Tabla Articulos'!D:D)</f>
        <v/>
      </c>
      <c r="F224" s="1">
        <f>_xlfn.XLOOKUP(C224,'Tabla Articulos'!B:B,'Tabla Articulos'!E:E)</f>
        <v/>
      </c>
      <c r="G224" s="15">
        <f>SUM(
    SUMIFS(MRP!$H$2:$H$245, MRP!$B$2:$B$245, $C224, MRP!$G$2:$G$245, G$1),
    SUMIFS(MRP!$I$2:$I$245, MRP!$B$2:$B$245, $C224, MRP!$G$2:$G$245, G$1),
    SUMIFS(MRP!$J$2:$J$245, MRP!$B$2:$B$245, $C224,  MRP!$G$2:$G$245, G$1),
    SUMIFS(MRP!$K$2:$K$245, MRP!$B$2:$B$245, $C224,  MRP!$G$2:$G$245, G$1),
    SUMIFS(MRP!$L$2:$L$245, MRP!$B$2:$B$245, $C224,  MRP!$G$2:$G$245, G$1)
)*F224</f>
        <v/>
      </c>
      <c r="H224" s="15">
        <f>SUM(
    SUMIFS(MRP!$H$2:$H$245, MRP!$B$2:$B$245, $C224, MRP!$G$2:$G$245, H$1),
    SUMIFS(MRP!$I$2:$I$245, MRP!$B$2:$B$245, $C224, MRP!$G$2:$G$245, H$1),
    SUMIFS(MRP!$J$2:$J$245, MRP!$B$2:$B$245, $C224,  MRP!$G$2:$G$245, H$1),
    SUMIFS(MRP!$K$2:$K$245, MRP!$B$2:$B$245, $C224,  MRP!$G$2:$G$245, H$1),
    SUMIFS(MRP!$L$2:$L$245, MRP!$B$2:$B$245, $C224,  MRP!$G$2:$G$245, H$1)
)*F224</f>
        <v/>
      </c>
      <c r="I224" s="15">
        <f>SUM(
    SUMIFS(MRP!$H$2:$H$245, MRP!$B$2:$B$245, $C224, MRP!$G$2:$G$245, I$1),
    SUMIFS(MRP!$I$2:$I$245, MRP!$B$2:$B$245, $C224, MRP!$G$2:$G$245, I$1),
    SUMIFS(MRP!$J$2:$J$245, MRP!$B$2:$B$245, $C224,  MRP!$G$2:$G$245, I$1),
    SUMIFS(MRP!$K$2:$K$245, MRP!$B$2:$B$245, $C224,  MRP!$G$2:$G$245, I$1),
    SUMIFS(MRP!$L$2:$L$245, MRP!$B$2:$B$245, $C224,  MRP!$G$2:$G$245, I$1)
)*F224</f>
        <v/>
      </c>
      <c r="J224" s="15">
        <f>SUM(
    SUMIFS(MRP!$H$2:$H$245, MRP!$B$2:$B$245, $C224, MRP!$G$2:$G$245, J$1),
    SUMIFS(MRP!$I$2:$I$245, MRP!$B$2:$B$245, $C224, MRP!$G$2:$G$245, J$1),
    SUMIFS(MRP!$J$2:$J$245, MRP!$B$2:$B$245, $C224,  MRP!$G$2:$G$245, J$1),
    SUMIFS(MRP!$K$2:$K$245, MRP!$B$2:$B$245, $C224,  MRP!$G$2:$G$245, J$1),
    SUMIFS(MRP!$L$2:$L$245, MRP!$B$2:$B$245, $C224,  MRP!$G$2:$G$245, J$1)
)*F224</f>
        <v/>
      </c>
      <c r="K224" s="64">
        <f>SUM(
    SUMIFS(MRP!$H$2:$H$245, MRP!$B$2:$B$245, $C224, MRP!$G$2:$G$245, K$1),
    SUMIFS(MRP!$I$2:$I$245, MRP!$B$2:$B$245, $C224, MRP!$G$2:$G$245, K$1),
    SUMIFS(MRP!$J$2:$J$245, MRP!$B$2:$B$245, $C224,  MRP!$G$2:$G$245, K$1),
    SUMIFS(MRP!$K$2:$K$245, MRP!$B$2:$B$245, $C224,  MRP!$G$2:$G$245, K$1),
    SUMIFS(MRP!$L$2:$L$245, MRP!$B$2:$B$245, $C224,  MRP!$G$2:$G$245, K$1)
)*F224</f>
        <v/>
      </c>
      <c r="L224" s="55">
        <f>TRIM(Tabla3[[#This Row],[CodInternoArti]])</f>
        <v/>
      </c>
    </row>
    <row r="225">
      <c r="A225" s="63">
        <f>IF(ISNUMBER(_xlfn.XMATCH(Tabla3[[#This Row],[CodInternoArti]],'Tabla Articulos'!B:B)),"OK","NO ESTA")</f>
        <v/>
      </c>
      <c r="B225" s="19">
        <f>IF(ISNUMBER(_xlfn.XMATCH('Calcular necesidad'!E:E,'Necesidad por familia'!A:A)),"OK","NO ESTA")</f>
        <v/>
      </c>
      <c r="C225" s="1" t="inlineStr">
        <is>
          <t>7790321130875</t>
        </is>
      </c>
      <c r="D225" s="1" t="inlineStr">
        <is>
          <t>ENSALADERA CRISTAL X25U PLASTIVAS</t>
        </is>
      </c>
      <c r="E225" s="1">
        <f>_xlfn.XLOOKUP(C225,'Tabla Articulos'!B:B,'Tabla Articulos'!D:D)</f>
        <v/>
      </c>
      <c r="F225" s="1">
        <f>_xlfn.XLOOKUP(C225,'Tabla Articulos'!B:B,'Tabla Articulos'!E:E)</f>
        <v/>
      </c>
      <c r="G225" s="15">
        <f>SUM(
    SUMIFS(MRP!$H$2:$H$245, MRP!$B$2:$B$245, $C225, MRP!$G$2:$G$245, G$1),
    SUMIFS(MRP!$I$2:$I$245, MRP!$B$2:$B$245, $C225, MRP!$G$2:$G$245, G$1),
    SUMIFS(MRP!$J$2:$J$245, MRP!$B$2:$B$245, $C225,  MRP!$G$2:$G$245, G$1),
    SUMIFS(MRP!$K$2:$K$245, MRP!$B$2:$B$245, $C225,  MRP!$G$2:$G$245, G$1),
    SUMIFS(MRP!$L$2:$L$245, MRP!$B$2:$B$245, $C225,  MRP!$G$2:$G$245, G$1)
)*F225</f>
        <v/>
      </c>
      <c r="H225" s="15">
        <f>SUM(
    SUMIFS(MRP!$H$2:$H$245, MRP!$B$2:$B$245, $C225, MRP!$G$2:$G$245, H$1),
    SUMIFS(MRP!$I$2:$I$245, MRP!$B$2:$B$245, $C225, MRP!$G$2:$G$245, H$1),
    SUMIFS(MRP!$J$2:$J$245, MRP!$B$2:$B$245, $C225,  MRP!$G$2:$G$245, H$1),
    SUMIFS(MRP!$K$2:$K$245, MRP!$B$2:$B$245, $C225,  MRP!$G$2:$G$245, H$1),
    SUMIFS(MRP!$L$2:$L$245, MRP!$B$2:$B$245, $C225,  MRP!$G$2:$G$245, H$1)
)*F225</f>
        <v/>
      </c>
      <c r="I225" s="15">
        <f>SUM(
    SUMIFS(MRP!$H$2:$H$245, MRP!$B$2:$B$245, $C225, MRP!$G$2:$G$245, I$1),
    SUMIFS(MRP!$I$2:$I$245, MRP!$B$2:$B$245, $C225, MRP!$G$2:$G$245, I$1),
    SUMIFS(MRP!$J$2:$J$245, MRP!$B$2:$B$245, $C225,  MRP!$G$2:$G$245, I$1),
    SUMIFS(MRP!$K$2:$K$245, MRP!$B$2:$B$245, $C225,  MRP!$G$2:$G$245, I$1),
    SUMIFS(MRP!$L$2:$L$245, MRP!$B$2:$B$245, $C225,  MRP!$G$2:$G$245, I$1)
)*F225</f>
        <v/>
      </c>
      <c r="J225" s="15">
        <f>SUM(
    SUMIFS(MRP!$H$2:$H$245, MRP!$B$2:$B$245, $C225, MRP!$G$2:$G$245, J$1),
    SUMIFS(MRP!$I$2:$I$245, MRP!$B$2:$B$245, $C225, MRP!$G$2:$G$245, J$1),
    SUMIFS(MRP!$J$2:$J$245, MRP!$B$2:$B$245, $C225,  MRP!$G$2:$G$245, J$1),
    SUMIFS(MRP!$K$2:$K$245, MRP!$B$2:$B$245, $C225,  MRP!$G$2:$G$245, J$1),
    SUMIFS(MRP!$L$2:$L$245, MRP!$B$2:$B$245, $C225,  MRP!$G$2:$G$245, J$1)
)*F225</f>
        <v/>
      </c>
      <c r="K225" s="64">
        <f>SUM(
    SUMIFS(MRP!$H$2:$H$245, MRP!$B$2:$B$245, $C225, MRP!$G$2:$G$245, K$1),
    SUMIFS(MRP!$I$2:$I$245, MRP!$B$2:$B$245, $C225, MRP!$G$2:$G$245, K$1),
    SUMIFS(MRP!$J$2:$J$245, MRP!$B$2:$B$245, $C225,  MRP!$G$2:$G$245, K$1),
    SUMIFS(MRP!$K$2:$K$245, MRP!$B$2:$B$245, $C225,  MRP!$G$2:$G$245, K$1),
    SUMIFS(MRP!$L$2:$L$245, MRP!$B$2:$B$245, $C225,  MRP!$G$2:$G$245, K$1)
)*F225</f>
        <v/>
      </c>
      <c r="L225" s="55">
        <f>TRIM(Tabla3[[#This Row],[CodInternoArti]])</f>
        <v/>
      </c>
    </row>
    <row r="226">
      <c r="A226" s="41">
        <f>IF(ISNUMBER(_xlfn.XMATCH(Tabla3[[#This Row],[CodInternoArti]],'Tabla Articulos'!B:B)),"OK","NO ESTA")</f>
        <v/>
      </c>
      <c r="B226" s="29">
        <f>IF(ISNUMBER(_xlfn.XMATCH('Calcular necesidad'!E:E,'Necesidad por familia'!A:A)),"OK","NO ESTA")</f>
        <v/>
      </c>
      <c r="C226" s="36" t="inlineStr">
        <is>
          <t>7790042181191</t>
        </is>
      </c>
      <c r="D226" s="36" t="inlineStr">
        <is>
          <t>ROLLO FILM 45X1000M XU RESIMAX</t>
        </is>
      </c>
      <c r="E226" s="36">
        <f>_xlfn.XLOOKUP(C226,'Tabla Articulos'!B:B,'Tabla Articulos'!D:D)</f>
        <v/>
      </c>
      <c r="F226" s="36">
        <f>_xlfn.XLOOKUP(C226,'Tabla Articulos'!B:B,'Tabla Articulos'!E:E)</f>
        <v/>
      </c>
      <c r="G226" s="40">
        <f>SUM(
    SUMIFS(MRP!$H$2:$H$245, MRP!$B$2:$B$245, $C226, MRP!$G$2:$G$245, G$1),
    SUMIFS(MRP!$I$2:$I$245, MRP!$B$2:$B$245, $C226, MRP!$G$2:$G$245, G$1),
    SUMIFS(MRP!$J$2:$J$245, MRP!$B$2:$B$245, $C226,  MRP!$G$2:$G$245, G$1),
    SUMIFS(MRP!$K$2:$K$245, MRP!$B$2:$B$245, $C226,  MRP!$G$2:$G$245, G$1),
    SUMIFS(MRP!$L$2:$L$245, MRP!$B$2:$B$245, $C226,  MRP!$G$2:$G$245, G$1)
)*F226</f>
        <v/>
      </c>
      <c r="H226" s="40">
        <f>SUM(
    SUMIFS(MRP!$H$2:$H$245, MRP!$B$2:$B$245, $C226, MRP!$G$2:$G$245, H$1),
    SUMIFS(MRP!$I$2:$I$245, MRP!$B$2:$B$245, $C226, MRP!$G$2:$G$245, H$1),
    SUMIFS(MRP!$J$2:$J$245, MRP!$B$2:$B$245, $C226,  MRP!$G$2:$G$245, H$1),
    SUMIFS(MRP!$K$2:$K$245, MRP!$B$2:$B$245, $C226,  MRP!$G$2:$G$245, H$1),
    SUMIFS(MRP!$L$2:$L$245, MRP!$B$2:$B$245, $C226,  MRP!$G$2:$G$245, H$1)
)*F226</f>
        <v/>
      </c>
      <c r="I226" s="40">
        <f>SUM(
    SUMIFS(MRP!$H$2:$H$245, MRP!$B$2:$B$245, $C226, MRP!$G$2:$G$245, I$1),
    SUMIFS(MRP!$I$2:$I$245, MRP!$B$2:$B$245, $C226, MRP!$G$2:$G$245, I$1),
    SUMIFS(MRP!$J$2:$J$245, MRP!$B$2:$B$245, $C226,  MRP!$G$2:$G$245, I$1),
    SUMIFS(MRP!$K$2:$K$245, MRP!$B$2:$B$245, $C226,  MRP!$G$2:$G$245, I$1),
    SUMIFS(MRP!$L$2:$L$245, MRP!$B$2:$B$245, $C226,  MRP!$G$2:$G$245, I$1)
)*F226</f>
        <v/>
      </c>
      <c r="J226" s="40">
        <f>SUM(
    SUMIFS(MRP!$H$2:$H$245, MRP!$B$2:$B$245, $C226, MRP!$G$2:$G$245, J$1),
    SUMIFS(MRP!$I$2:$I$245, MRP!$B$2:$B$245, $C226, MRP!$G$2:$G$245, J$1),
    SUMIFS(MRP!$J$2:$J$245, MRP!$B$2:$B$245, $C226,  MRP!$G$2:$G$245, J$1),
    SUMIFS(MRP!$K$2:$K$245, MRP!$B$2:$B$245, $C226,  MRP!$G$2:$G$245, J$1),
    SUMIFS(MRP!$L$2:$L$245, MRP!$B$2:$B$245, $C226,  MRP!$G$2:$G$245, J$1)
)*F226</f>
        <v/>
      </c>
      <c r="K226" s="56">
        <f>SUM(
    SUMIFS(MRP!$H$2:$H$245, MRP!$B$2:$B$245, $C226, MRP!$G$2:$G$245, K$1),
    SUMIFS(MRP!$I$2:$I$245, MRP!$B$2:$B$245, $C226, MRP!$G$2:$G$245, K$1),
    SUMIFS(MRP!$J$2:$J$245, MRP!$B$2:$B$245, $C226,  MRP!$G$2:$G$245, K$1),
    SUMIFS(MRP!$K$2:$K$245, MRP!$B$2:$B$245, $C226,  MRP!$G$2:$G$245, K$1),
    SUMIFS(MRP!$L$2:$L$245, MRP!$B$2:$B$245, $C226,  MRP!$G$2:$G$245, K$1)
)*F226</f>
        <v/>
      </c>
      <c r="L226" s="55">
        <f>TRIM(Tabla3[[#This Row],[CodInternoArti]])</f>
        <v/>
      </c>
    </row>
    <row r="227">
      <c r="A227" s="63">
        <f>IF(ISNUMBER(_xlfn.XMATCH(Tabla3[[#This Row],[CodInternoArti]],'Tabla Articulos'!B:B)),"OK","NO ESTA")</f>
        <v/>
      </c>
      <c r="B227" s="19">
        <f>IF(ISNUMBER(_xlfn.XMATCH('Calcular necesidad'!E:E,'Necesidad por familia'!A:A)),"OK","NO ESTA")</f>
        <v/>
      </c>
      <c r="C227" s="1" t="inlineStr">
        <is>
          <t>7790231050180</t>
        </is>
      </c>
      <c r="D227" s="1" t="inlineStr">
        <is>
          <t>TAPA DEGUSTADOR X 2000U</t>
        </is>
      </c>
      <c r="E227" s="1">
        <f>_xlfn.XLOOKUP(C227,'Tabla Articulos'!B:B,'Tabla Articulos'!D:D)</f>
        <v/>
      </c>
      <c r="F227" s="1">
        <f>_xlfn.XLOOKUP(C227,'Tabla Articulos'!B:B,'Tabla Articulos'!E:E)</f>
        <v/>
      </c>
      <c r="G227" s="15">
        <f>SUM(
    SUMIFS(MRP!$H$2:$H$245, MRP!$B$2:$B$245, $C227, MRP!$G$2:$G$245, G$1),
    SUMIFS(MRP!$I$2:$I$245, MRP!$B$2:$B$245, $C227, MRP!$G$2:$G$245, G$1),
    SUMIFS(MRP!$J$2:$J$245, MRP!$B$2:$B$245, $C227,  MRP!$G$2:$G$245, G$1),
    SUMIFS(MRP!$K$2:$K$245, MRP!$B$2:$B$245, $C227,  MRP!$G$2:$G$245, G$1),
    SUMIFS(MRP!$L$2:$L$245, MRP!$B$2:$B$245, $C227,  MRP!$G$2:$G$245, G$1)
)*F227</f>
        <v/>
      </c>
      <c r="H227" s="15">
        <f>SUM(
    SUMIFS(MRP!$H$2:$H$245, MRP!$B$2:$B$245, $C227, MRP!$G$2:$G$245, H$1),
    SUMIFS(MRP!$I$2:$I$245, MRP!$B$2:$B$245, $C227, MRP!$G$2:$G$245, H$1),
    SUMIFS(MRP!$J$2:$J$245, MRP!$B$2:$B$245, $C227,  MRP!$G$2:$G$245, H$1),
    SUMIFS(MRP!$K$2:$K$245, MRP!$B$2:$B$245, $C227,  MRP!$G$2:$G$245, H$1),
    SUMIFS(MRP!$L$2:$L$245, MRP!$B$2:$B$245, $C227,  MRP!$G$2:$G$245, H$1)
)*F227</f>
        <v/>
      </c>
      <c r="I227" s="15">
        <f>SUM(
    SUMIFS(MRP!$H$2:$H$245, MRP!$B$2:$B$245, $C227, MRP!$G$2:$G$245, I$1),
    SUMIFS(MRP!$I$2:$I$245, MRP!$B$2:$B$245, $C227, MRP!$G$2:$G$245, I$1),
    SUMIFS(MRP!$J$2:$J$245, MRP!$B$2:$B$245, $C227,  MRP!$G$2:$G$245, I$1),
    SUMIFS(MRP!$K$2:$K$245, MRP!$B$2:$B$245, $C227,  MRP!$G$2:$G$245, I$1),
    SUMIFS(MRP!$L$2:$L$245, MRP!$B$2:$B$245, $C227,  MRP!$G$2:$G$245, I$1)
)*F227</f>
        <v/>
      </c>
      <c r="J227" s="15">
        <f>SUM(
    SUMIFS(MRP!$H$2:$H$245, MRP!$B$2:$B$245, $C227, MRP!$G$2:$G$245, J$1),
    SUMIFS(MRP!$I$2:$I$245, MRP!$B$2:$B$245, $C227, MRP!$G$2:$G$245, J$1),
    SUMIFS(MRP!$J$2:$J$245, MRP!$B$2:$B$245, $C227,  MRP!$G$2:$G$245, J$1),
    SUMIFS(MRP!$K$2:$K$245, MRP!$B$2:$B$245, $C227,  MRP!$G$2:$G$245, J$1),
    SUMIFS(MRP!$L$2:$L$245, MRP!$B$2:$B$245, $C227,  MRP!$G$2:$G$245, J$1)
)*F227</f>
        <v/>
      </c>
      <c r="K227" s="64">
        <f>SUM(
    SUMIFS(MRP!$H$2:$H$245, MRP!$B$2:$B$245, $C227, MRP!$G$2:$G$245, K$1),
    SUMIFS(MRP!$I$2:$I$245, MRP!$B$2:$B$245, $C227, MRP!$G$2:$G$245, K$1),
    SUMIFS(MRP!$J$2:$J$245, MRP!$B$2:$B$245, $C227,  MRP!$G$2:$G$245, K$1),
    SUMIFS(MRP!$K$2:$K$245, MRP!$B$2:$B$245, $C227,  MRP!$G$2:$G$245, K$1),
    SUMIFS(MRP!$L$2:$L$245, MRP!$B$2:$B$245, $C227,  MRP!$G$2:$G$245, K$1)
)*F227</f>
        <v/>
      </c>
      <c r="L227" s="55">
        <f>TRIM(Tabla3[[#This Row],[CodInternoArti]])</f>
        <v/>
      </c>
    </row>
    <row r="228">
      <c r="A228" s="63">
        <f>IF(ISNUMBER(_xlfn.XMATCH(Tabla3[[#This Row],[CodInternoArti]],'Tabla Articulos'!B:B)),"OK","NO ESTA")</f>
        <v/>
      </c>
      <c r="B228" s="19">
        <f>IF(ISNUMBER(_xlfn.XMATCH('Calcular necesidad'!E:E,'Necesidad por familia'!A:A)),"OK","NO ESTA")</f>
        <v/>
      </c>
      <c r="C228" s="1" t="inlineStr">
        <is>
          <t>7791388988495</t>
        </is>
      </c>
      <c r="D228" s="1" t="inlineStr">
        <is>
          <t xml:space="preserve">ROLLO ALUMINIO 40CM X1KG        </t>
        </is>
      </c>
      <c r="E228" s="1">
        <f>_xlfn.XLOOKUP(C228,'Tabla Articulos'!B:B,'Tabla Articulos'!D:D)</f>
        <v/>
      </c>
      <c r="F228" s="1">
        <f>_xlfn.XLOOKUP(C228,'Tabla Articulos'!B:B,'Tabla Articulos'!E:E)</f>
        <v/>
      </c>
      <c r="G228" s="15">
        <f>SUM(
    SUMIFS(MRP!$H$2:$H$245, MRP!$B$2:$B$245, $C228, MRP!$G$2:$G$245, G$1),
    SUMIFS(MRP!$I$2:$I$245, MRP!$B$2:$B$245, $C228, MRP!$G$2:$G$245, G$1),
    SUMIFS(MRP!$J$2:$J$245, MRP!$B$2:$B$245, $C228,  MRP!$G$2:$G$245, G$1),
    SUMIFS(MRP!$K$2:$K$245, MRP!$B$2:$B$245, $C228,  MRP!$G$2:$G$245, G$1),
    SUMIFS(MRP!$L$2:$L$245, MRP!$B$2:$B$245, $C228,  MRP!$G$2:$G$245, G$1)
)*F228</f>
        <v/>
      </c>
      <c r="H228" s="15">
        <f>SUM(
    SUMIFS(MRP!$H$2:$H$245, MRP!$B$2:$B$245, $C228, MRP!$G$2:$G$245, H$1),
    SUMIFS(MRP!$I$2:$I$245, MRP!$B$2:$B$245, $C228, MRP!$G$2:$G$245, H$1),
    SUMIFS(MRP!$J$2:$J$245, MRP!$B$2:$B$245, $C228,  MRP!$G$2:$G$245, H$1),
    SUMIFS(MRP!$K$2:$K$245, MRP!$B$2:$B$245, $C228,  MRP!$G$2:$G$245, H$1),
    SUMIFS(MRP!$L$2:$L$245, MRP!$B$2:$B$245, $C228,  MRP!$G$2:$G$245, H$1)
)*F228</f>
        <v/>
      </c>
      <c r="I228" s="15">
        <f>SUM(
    SUMIFS(MRP!$H$2:$H$245, MRP!$B$2:$B$245, $C228, MRP!$G$2:$G$245, I$1),
    SUMIFS(MRP!$I$2:$I$245, MRP!$B$2:$B$245, $C228, MRP!$G$2:$G$245, I$1),
    SUMIFS(MRP!$J$2:$J$245, MRP!$B$2:$B$245, $C228,  MRP!$G$2:$G$245, I$1),
    SUMIFS(MRP!$K$2:$K$245, MRP!$B$2:$B$245, $C228,  MRP!$G$2:$G$245, I$1),
    SUMIFS(MRP!$L$2:$L$245, MRP!$B$2:$B$245, $C228,  MRP!$G$2:$G$245, I$1)
)*F228</f>
        <v/>
      </c>
      <c r="J228" s="15">
        <f>SUM(
    SUMIFS(MRP!$H$2:$H$245, MRP!$B$2:$B$245, $C228, MRP!$G$2:$G$245, J$1),
    SUMIFS(MRP!$I$2:$I$245, MRP!$B$2:$B$245, $C228, MRP!$G$2:$G$245, J$1),
    SUMIFS(MRP!$J$2:$J$245, MRP!$B$2:$B$245, $C228,  MRP!$G$2:$G$245, J$1),
    SUMIFS(MRP!$K$2:$K$245, MRP!$B$2:$B$245, $C228,  MRP!$G$2:$G$245, J$1),
    SUMIFS(MRP!$L$2:$L$245, MRP!$B$2:$B$245, $C228,  MRP!$G$2:$G$245, J$1)
)*F228</f>
        <v/>
      </c>
      <c r="K228" s="64">
        <f>SUM(
    SUMIFS(MRP!$H$2:$H$245, MRP!$B$2:$B$245, $C228, MRP!$G$2:$G$245, K$1),
    SUMIFS(MRP!$I$2:$I$245, MRP!$B$2:$B$245, $C228, MRP!$G$2:$G$245, K$1),
    SUMIFS(MRP!$J$2:$J$245, MRP!$B$2:$B$245, $C228,  MRP!$G$2:$G$245, K$1),
    SUMIFS(MRP!$K$2:$K$245, MRP!$B$2:$B$245, $C228,  MRP!$G$2:$G$245, K$1),
    SUMIFS(MRP!$L$2:$L$245, MRP!$B$2:$B$245, $C228,  MRP!$G$2:$G$245, K$1)
)*F228</f>
        <v/>
      </c>
      <c r="L228" s="55">
        <f>TRIM(Tabla3[[#This Row],[CodInternoArti]])</f>
        <v/>
      </c>
    </row>
    <row r="229">
      <c r="A229" s="63">
        <f>IF(ISNUMBER(_xlfn.XMATCH(Tabla3[[#This Row],[CodInternoArti]],'Tabla Articulos'!B:B)),"OK","NO ESTA")</f>
        <v/>
      </c>
      <c r="B229" s="19">
        <f>IF(ISNUMBER(_xlfn.XMATCH('Calcular necesidad'!E:E,'Necesidad por familia'!A:A)),"OK","NO ESTA")</f>
        <v/>
      </c>
      <c r="C229" s="1" t="inlineStr">
        <is>
          <t>7790321020289</t>
        </is>
      </c>
      <c r="D229" s="1" t="inlineStr">
        <is>
          <t>BANDEJA 101 X200U CELPAK</t>
        </is>
      </c>
      <c r="E229" s="1">
        <f>_xlfn.XLOOKUP(C229,'Tabla Articulos'!B:B,'Tabla Articulos'!D:D)</f>
        <v/>
      </c>
      <c r="F229" s="1">
        <f>_xlfn.XLOOKUP(C229,'Tabla Articulos'!B:B,'Tabla Articulos'!E:E)</f>
        <v/>
      </c>
      <c r="G229" s="15">
        <f>SUM(
    SUMIFS(MRP!$H$2:$H$245, MRP!$B$2:$B$245, $C229, MRP!$G$2:$G$245, G$1),
    SUMIFS(MRP!$I$2:$I$245, MRP!$B$2:$B$245, $C229, MRP!$G$2:$G$245, G$1),
    SUMIFS(MRP!$J$2:$J$245, MRP!$B$2:$B$245, $C229,  MRP!$G$2:$G$245, G$1),
    SUMIFS(MRP!$K$2:$K$245, MRP!$B$2:$B$245, $C229,  MRP!$G$2:$G$245, G$1),
    SUMIFS(MRP!$L$2:$L$245, MRP!$B$2:$B$245, $C229,  MRP!$G$2:$G$245, G$1)
)*F229</f>
        <v/>
      </c>
      <c r="H229" s="15">
        <f>SUM(
    SUMIFS(MRP!$H$2:$H$245, MRP!$B$2:$B$245, $C229, MRP!$G$2:$G$245, H$1),
    SUMIFS(MRP!$I$2:$I$245, MRP!$B$2:$B$245, $C229, MRP!$G$2:$G$245, H$1),
    SUMIFS(MRP!$J$2:$J$245, MRP!$B$2:$B$245, $C229,  MRP!$G$2:$G$245, H$1),
    SUMIFS(MRP!$K$2:$K$245, MRP!$B$2:$B$245, $C229,  MRP!$G$2:$G$245, H$1),
    SUMIFS(MRP!$L$2:$L$245, MRP!$B$2:$B$245, $C229,  MRP!$G$2:$G$245, H$1)
)*F229</f>
        <v/>
      </c>
      <c r="I229" s="15">
        <f>SUM(
    SUMIFS(MRP!$H$2:$H$245, MRP!$B$2:$B$245, $C229, MRP!$G$2:$G$245, I$1),
    SUMIFS(MRP!$I$2:$I$245, MRP!$B$2:$B$245, $C229, MRP!$G$2:$G$245, I$1),
    SUMIFS(MRP!$J$2:$J$245, MRP!$B$2:$B$245, $C229,  MRP!$G$2:$G$245, I$1),
    SUMIFS(MRP!$K$2:$K$245, MRP!$B$2:$B$245, $C229,  MRP!$G$2:$G$245, I$1),
    SUMIFS(MRP!$L$2:$L$245, MRP!$B$2:$B$245, $C229,  MRP!$G$2:$G$245, I$1)
)*F229</f>
        <v/>
      </c>
      <c r="J229" s="15">
        <f>SUM(
    SUMIFS(MRP!$H$2:$H$245, MRP!$B$2:$B$245, $C229, MRP!$G$2:$G$245, J$1),
    SUMIFS(MRP!$I$2:$I$245, MRP!$B$2:$B$245, $C229, MRP!$G$2:$G$245, J$1),
    SUMIFS(MRP!$J$2:$J$245, MRP!$B$2:$B$245, $C229,  MRP!$G$2:$G$245, J$1),
    SUMIFS(MRP!$K$2:$K$245, MRP!$B$2:$B$245, $C229,  MRP!$G$2:$G$245, J$1),
    SUMIFS(MRP!$L$2:$L$245, MRP!$B$2:$B$245, $C229,  MRP!$G$2:$G$245, J$1)
)*F229</f>
        <v/>
      </c>
      <c r="K229" s="64">
        <f>SUM(
    SUMIFS(MRP!$H$2:$H$245, MRP!$B$2:$B$245, $C229, MRP!$G$2:$G$245, K$1),
    SUMIFS(MRP!$I$2:$I$245, MRP!$B$2:$B$245, $C229, MRP!$G$2:$G$245, K$1),
    SUMIFS(MRP!$J$2:$J$245, MRP!$B$2:$B$245, $C229,  MRP!$G$2:$G$245, K$1),
    SUMIFS(MRP!$K$2:$K$245, MRP!$B$2:$B$245, $C229,  MRP!$G$2:$G$245, K$1),
    SUMIFS(MRP!$L$2:$L$245, MRP!$B$2:$B$245, $C229,  MRP!$G$2:$G$245, K$1)
)*F229</f>
        <v/>
      </c>
      <c r="L229" s="55">
        <f>TRIM(Tabla3[[#This Row],[CodInternoArti]])</f>
        <v/>
      </c>
    </row>
    <row r="230">
      <c r="A230" s="63">
        <f>IF(ISNUMBER(_xlfn.XMATCH(Tabla3[[#This Row],[CodInternoArti]],'Tabla Articulos'!B:B)),"OK","NO ESTA")</f>
        <v/>
      </c>
      <c r="B230" s="19">
        <f>IF(ISNUMBER(_xlfn.XMATCH('Calcular necesidad'!E:E,'Necesidad por familia'!A:A)),"OK","NO ESTA")</f>
        <v/>
      </c>
      <c r="C230" s="1" t="inlineStr">
        <is>
          <t>7790321020283</t>
        </is>
      </c>
      <c r="D230" s="1" t="inlineStr">
        <is>
          <t>BANDEJA PLASTICA 101 X100U REC</t>
        </is>
      </c>
      <c r="E230" s="1">
        <f>_xlfn.XLOOKUP(C230,'Tabla Articulos'!B:B,'Tabla Articulos'!D:D)</f>
        <v/>
      </c>
      <c r="F230" s="1">
        <f>_xlfn.XLOOKUP(C230,'Tabla Articulos'!B:B,'Tabla Articulos'!E:E)</f>
        <v/>
      </c>
      <c r="G230" s="15">
        <f>SUM(
    SUMIFS(MRP!$H$2:$H$245, MRP!$B$2:$B$245, $C230, MRP!$G$2:$G$245, G$1),
    SUMIFS(MRP!$I$2:$I$245, MRP!$B$2:$B$245, $C230, MRP!$G$2:$G$245, G$1),
    SUMIFS(MRP!$J$2:$J$245, MRP!$B$2:$B$245, $C230,  MRP!$G$2:$G$245, G$1),
    SUMIFS(MRP!$K$2:$K$245, MRP!$B$2:$B$245, $C230,  MRP!$G$2:$G$245, G$1),
    SUMIFS(MRP!$L$2:$L$245, MRP!$B$2:$B$245, $C230,  MRP!$G$2:$G$245, G$1)
)*F230</f>
        <v/>
      </c>
      <c r="H230" s="15">
        <f>SUM(
    SUMIFS(MRP!$H$2:$H$245, MRP!$B$2:$B$245, $C230, MRP!$G$2:$G$245, H$1),
    SUMIFS(MRP!$I$2:$I$245, MRP!$B$2:$B$245, $C230, MRP!$G$2:$G$245, H$1),
    SUMIFS(MRP!$J$2:$J$245, MRP!$B$2:$B$245, $C230,  MRP!$G$2:$G$245, H$1),
    SUMIFS(MRP!$K$2:$K$245, MRP!$B$2:$B$245, $C230,  MRP!$G$2:$G$245, H$1),
    SUMIFS(MRP!$L$2:$L$245, MRP!$B$2:$B$245, $C230,  MRP!$G$2:$G$245, H$1)
)*F230</f>
        <v/>
      </c>
      <c r="I230" s="15">
        <f>SUM(
    SUMIFS(MRP!$H$2:$H$245, MRP!$B$2:$B$245, $C230, MRP!$G$2:$G$245, I$1),
    SUMIFS(MRP!$I$2:$I$245, MRP!$B$2:$B$245, $C230, MRP!$G$2:$G$245, I$1),
    SUMIFS(MRP!$J$2:$J$245, MRP!$B$2:$B$245, $C230,  MRP!$G$2:$G$245, I$1),
    SUMIFS(MRP!$K$2:$K$245, MRP!$B$2:$B$245, $C230,  MRP!$G$2:$G$245, I$1),
    SUMIFS(MRP!$L$2:$L$245, MRP!$B$2:$B$245, $C230,  MRP!$G$2:$G$245, I$1)
)*F230</f>
        <v/>
      </c>
      <c r="J230" s="15">
        <f>SUM(
    SUMIFS(MRP!$H$2:$H$245, MRP!$B$2:$B$245, $C230, MRP!$G$2:$G$245, J$1),
    SUMIFS(MRP!$I$2:$I$245, MRP!$B$2:$B$245, $C230, MRP!$G$2:$G$245, J$1),
    SUMIFS(MRP!$J$2:$J$245, MRP!$B$2:$B$245, $C230,  MRP!$G$2:$G$245, J$1),
    SUMIFS(MRP!$K$2:$K$245, MRP!$B$2:$B$245, $C230,  MRP!$G$2:$G$245, J$1),
    SUMIFS(MRP!$L$2:$L$245, MRP!$B$2:$B$245, $C230,  MRP!$G$2:$G$245, J$1)
)*F230</f>
        <v/>
      </c>
      <c r="K230" s="64">
        <f>SUM(
    SUMIFS(MRP!$H$2:$H$245, MRP!$B$2:$B$245, $C230, MRP!$G$2:$G$245, K$1),
    SUMIFS(MRP!$I$2:$I$245, MRP!$B$2:$B$245, $C230, MRP!$G$2:$G$245, K$1),
    SUMIFS(MRP!$J$2:$J$245, MRP!$B$2:$B$245, $C230,  MRP!$G$2:$G$245, K$1),
    SUMIFS(MRP!$K$2:$K$245, MRP!$B$2:$B$245, $C230,  MRP!$G$2:$G$245, K$1),
    SUMIFS(MRP!$L$2:$L$245, MRP!$B$2:$B$245, $C230,  MRP!$G$2:$G$245, K$1)
)*F230</f>
        <v/>
      </c>
      <c r="L230" s="55">
        <f>TRIM(Tabla3[[#This Row],[CodInternoArti]])</f>
        <v/>
      </c>
    </row>
    <row r="231">
      <c r="A231" s="63">
        <f>IF(ISNUMBER(_xlfn.XMATCH(Tabla3[[#This Row],[CodInternoArti]],'Tabla Articulos'!B:B)),"OK","NO ESTA")</f>
        <v/>
      </c>
      <c r="B231" s="19">
        <f>IF(ISNUMBER(_xlfn.XMATCH('Calcular necesidad'!E:E,'Necesidad por familia'!A:A)),"OK","NO ESTA")</f>
        <v/>
      </c>
      <c r="C231" s="1" t="inlineStr">
        <is>
          <t>7790321020530</t>
        </is>
      </c>
      <c r="D231" s="1" t="inlineStr">
        <is>
          <t>MANTEL IND 40X30X1000U NUTRIRE</t>
        </is>
      </c>
      <c r="E231" s="1">
        <f>_xlfn.XLOOKUP(C231,'Tabla Articulos'!B:B,'Tabla Articulos'!D:D)</f>
        <v/>
      </c>
      <c r="F231" s="1">
        <f>_xlfn.XLOOKUP(C231,'Tabla Articulos'!B:B,'Tabla Articulos'!E:E)</f>
        <v/>
      </c>
      <c r="G231" s="15">
        <f>SUM(
    SUMIFS(MRP!$H$2:$H$245, MRP!$B$2:$B$245, $C231, MRP!$G$2:$G$245, G$1),
    SUMIFS(MRP!$I$2:$I$245, MRP!$B$2:$B$245, $C231, MRP!$G$2:$G$245, G$1),
    SUMIFS(MRP!$J$2:$J$245, MRP!$B$2:$B$245, $C231,  MRP!$G$2:$G$245, G$1),
    SUMIFS(MRP!$K$2:$K$245, MRP!$B$2:$B$245, $C231,  MRP!$G$2:$G$245, G$1),
    SUMIFS(MRP!$L$2:$L$245, MRP!$B$2:$B$245, $C231,  MRP!$G$2:$G$245, G$1)
)*F231</f>
        <v/>
      </c>
      <c r="H231" s="15">
        <f>SUM(
    SUMIFS(MRP!$H$2:$H$245, MRP!$B$2:$B$245, $C231, MRP!$G$2:$G$245, H$1),
    SUMIFS(MRP!$I$2:$I$245, MRP!$B$2:$B$245, $C231, MRP!$G$2:$G$245, H$1),
    SUMIFS(MRP!$J$2:$J$245, MRP!$B$2:$B$245, $C231,  MRP!$G$2:$G$245, H$1),
    SUMIFS(MRP!$K$2:$K$245, MRP!$B$2:$B$245, $C231,  MRP!$G$2:$G$245, H$1),
    SUMIFS(MRP!$L$2:$L$245, MRP!$B$2:$B$245, $C231,  MRP!$G$2:$G$245, H$1)
)*F231</f>
        <v/>
      </c>
      <c r="I231" s="15">
        <f>SUM(
    SUMIFS(MRP!$H$2:$H$245, MRP!$B$2:$B$245, $C231, MRP!$G$2:$G$245, I$1),
    SUMIFS(MRP!$I$2:$I$245, MRP!$B$2:$B$245, $C231, MRP!$G$2:$G$245, I$1),
    SUMIFS(MRP!$J$2:$J$245, MRP!$B$2:$B$245, $C231,  MRP!$G$2:$G$245, I$1),
    SUMIFS(MRP!$K$2:$K$245, MRP!$B$2:$B$245, $C231,  MRP!$G$2:$G$245, I$1),
    SUMIFS(MRP!$L$2:$L$245, MRP!$B$2:$B$245, $C231,  MRP!$G$2:$G$245, I$1)
)*F231</f>
        <v/>
      </c>
      <c r="J231" s="15">
        <f>SUM(
    SUMIFS(MRP!$H$2:$H$245, MRP!$B$2:$B$245, $C231, MRP!$G$2:$G$245, J$1),
    SUMIFS(MRP!$I$2:$I$245, MRP!$B$2:$B$245, $C231, MRP!$G$2:$G$245, J$1),
    SUMIFS(MRP!$J$2:$J$245, MRP!$B$2:$B$245, $C231,  MRP!$G$2:$G$245, J$1),
    SUMIFS(MRP!$K$2:$K$245, MRP!$B$2:$B$245, $C231,  MRP!$G$2:$G$245, J$1),
    SUMIFS(MRP!$L$2:$L$245, MRP!$B$2:$B$245, $C231,  MRP!$G$2:$G$245, J$1)
)*F231</f>
        <v/>
      </c>
      <c r="K231" s="64">
        <f>SUM(
    SUMIFS(MRP!$H$2:$H$245, MRP!$B$2:$B$245, $C231, MRP!$G$2:$G$245, K$1),
    SUMIFS(MRP!$I$2:$I$245, MRP!$B$2:$B$245, $C231, MRP!$G$2:$G$245, K$1),
    SUMIFS(MRP!$J$2:$J$245, MRP!$B$2:$B$245, $C231,  MRP!$G$2:$G$245, K$1),
    SUMIFS(MRP!$K$2:$K$245, MRP!$B$2:$B$245, $C231,  MRP!$G$2:$G$245, K$1),
    SUMIFS(MRP!$L$2:$L$245, MRP!$B$2:$B$245, $C231,  MRP!$G$2:$G$245, K$1)
)*F231</f>
        <v/>
      </c>
      <c r="L231" s="55">
        <f>TRIM(Tabla3[[#This Row],[CodInternoArti]])</f>
        <v/>
      </c>
    </row>
    <row r="232">
      <c r="A232" s="63">
        <f>IF(ISNUMBER(_xlfn.XMATCH(Tabla3[[#This Row],[CodInternoArti]],'Tabla Articulos'!B:B)),"OK","NO ESTA")</f>
        <v/>
      </c>
      <c r="B232" s="19">
        <f>IF(ISNUMBER(_xlfn.XMATCH('Calcular necesidad'!E:E,'Necesidad por familia'!A:A)),"OK","NO ESTA")</f>
        <v/>
      </c>
      <c r="C232" s="1" t="inlineStr">
        <is>
          <t>7790321020288</t>
        </is>
      </c>
      <c r="D232" s="1" t="inlineStr">
        <is>
          <t xml:space="preserve">TAPA 102 X 100U </t>
        </is>
      </c>
      <c r="E232" s="1">
        <f>_xlfn.XLOOKUP(C232,'Tabla Articulos'!B:B,'Tabla Articulos'!D:D)</f>
        <v/>
      </c>
      <c r="F232" s="1">
        <f>_xlfn.XLOOKUP(C232,'Tabla Articulos'!B:B,'Tabla Articulos'!E:E)</f>
        <v/>
      </c>
      <c r="G232" s="15">
        <f>SUM(
    SUMIFS(MRP!$H$2:$H$245, MRP!$B$2:$B$245, $C232, MRP!$G$2:$G$245, G$1),
    SUMIFS(MRP!$I$2:$I$245, MRP!$B$2:$B$245, $C232, MRP!$G$2:$G$245, G$1),
    SUMIFS(MRP!$J$2:$J$245, MRP!$B$2:$B$245, $C232,  MRP!$G$2:$G$245, G$1),
    SUMIFS(MRP!$K$2:$K$245, MRP!$B$2:$B$245, $C232,  MRP!$G$2:$G$245, G$1),
    SUMIFS(MRP!$L$2:$L$245, MRP!$B$2:$B$245, $C232,  MRP!$G$2:$G$245, G$1)
)*F232</f>
        <v/>
      </c>
      <c r="H232" s="15">
        <f>SUM(
    SUMIFS(MRP!$H$2:$H$245, MRP!$B$2:$B$245, $C232, MRP!$G$2:$G$245, H$1),
    SUMIFS(MRP!$I$2:$I$245, MRP!$B$2:$B$245, $C232, MRP!$G$2:$G$245, H$1),
    SUMIFS(MRP!$J$2:$J$245, MRP!$B$2:$B$245, $C232,  MRP!$G$2:$G$245, H$1),
    SUMIFS(MRP!$K$2:$K$245, MRP!$B$2:$B$245, $C232,  MRP!$G$2:$G$245, H$1),
    SUMIFS(MRP!$L$2:$L$245, MRP!$B$2:$B$245, $C232,  MRP!$G$2:$G$245, H$1)
)*F232</f>
        <v/>
      </c>
      <c r="I232" s="15">
        <f>SUM(
    SUMIFS(MRP!$H$2:$H$245, MRP!$B$2:$B$245, $C232, MRP!$G$2:$G$245, I$1),
    SUMIFS(MRP!$I$2:$I$245, MRP!$B$2:$B$245, $C232, MRP!$G$2:$G$245, I$1),
    SUMIFS(MRP!$J$2:$J$245, MRP!$B$2:$B$245, $C232,  MRP!$G$2:$G$245, I$1),
    SUMIFS(MRP!$K$2:$K$245, MRP!$B$2:$B$245, $C232,  MRP!$G$2:$G$245, I$1),
    SUMIFS(MRP!$L$2:$L$245, MRP!$B$2:$B$245, $C232,  MRP!$G$2:$G$245, I$1)
)*F232</f>
        <v/>
      </c>
      <c r="J232" s="15">
        <f>SUM(
    SUMIFS(MRP!$H$2:$H$245, MRP!$B$2:$B$245, $C232, MRP!$G$2:$G$245, J$1),
    SUMIFS(MRP!$I$2:$I$245, MRP!$B$2:$B$245, $C232, MRP!$G$2:$G$245, J$1),
    SUMIFS(MRP!$J$2:$J$245, MRP!$B$2:$B$245, $C232,  MRP!$G$2:$G$245, J$1),
    SUMIFS(MRP!$K$2:$K$245, MRP!$B$2:$B$245, $C232,  MRP!$G$2:$G$245, J$1),
    SUMIFS(MRP!$L$2:$L$245, MRP!$B$2:$B$245, $C232,  MRP!$G$2:$G$245, J$1)
)*F232</f>
        <v/>
      </c>
      <c r="K232" s="64">
        <f>SUM(
    SUMIFS(MRP!$H$2:$H$245, MRP!$B$2:$B$245, $C232, MRP!$G$2:$G$245, K$1),
    SUMIFS(MRP!$I$2:$I$245, MRP!$B$2:$B$245, $C232, MRP!$G$2:$G$245, K$1),
    SUMIFS(MRP!$J$2:$J$245, MRP!$B$2:$B$245, $C232,  MRP!$G$2:$G$245, K$1),
    SUMIFS(MRP!$K$2:$K$245, MRP!$B$2:$B$245, $C232,  MRP!$G$2:$G$245, K$1),
    SUMIFS(MRP!$L$2:$L$245, MRP!$B$2:$B$245, $C232,  MRP!$G$2:$G$245, K$1)
)*F232</f>
        <v/>
      </c>
      <c r="L232" s="55">
        <f>TRIM(Tabla3[[#This Row],[CodInternoArti]])</f>
        <v/>
      </c>
    </row>
    <row r="233">
      <c r="A233" s="63">
        <f>IF(ISNUMBER(_xlfn.XMATCH(Tabla3[[#This Row],[CodInternoArti]],'Tabla Articulos'!B:B)),"OK","NO ESTA")</f>
        <v/>
      </c>
      <c r="B233" s="19">
        <f>IF(ISNUMBER(_xlfn.XMATCH('Calcular necesidad'!E:E,'Necesidad por familia'!A:A)),"OK","NO ESTA")</f>
        <v/>
      </c>
      <c r="C233" s="1" t="inlineStr">
        <is>
          <t>7790321284502</t>
        </is>
      </c>
      <c r="D233" s="1" t="inlineStr">
        <is>
          <t>SERVILLETA BCA 18X18X2000U BLUE</t>
        </is>
      </c>
      <c r="E233" s="1">
        <f>_xlfn.XLOOKUP(C233,'Tabla Articulos'!B:B,'Tabla Articulos'!D:D)</f>
        <v/>
      </c>
      <c r="F233" s="1">
        <f>_xlfn.XLOOKUP(C233,'Tabla Articulos'!B:B,'Tabla Articulos'!E:E)</f>
        <v/>
      </c>
      <c r="G233" s="15">
        <f>SUM(
    SUMIFS(MRP!$H$2:$H$245, MRP!$B$2:$B$245, $C233, MRP!$G$2:$G$245, G$1),
    SUMIFS(MRP!$I$2:$I$245, MRP!$B$2:$B$245, $C233, MRP!$G$2:$G$245, G$1),
    SUMIFS(MRP!$J$2:$J$245, MRP!$B$2:$B$245, $C233,  MRP!$G$2:$G$245, G$1),
    SUMIFS(MRP!$K$2:$K$245, MRP!$B$2:$B$245, $C233,  MRP!$G$2:$G$245, G$1),
    SUMIFS(MRP!$L$2:$L$245, MRP!$B$2:$B$245, $C233,  MRP!$G$2:$G$245, G$1)
)*F233</f>
        <v/>
      </c>
      <c r="H233" s="15">
        <f>SUM(
    SUMIFS(MRP!$H$2:$H$245, MRP!$B$2:$B$245, $C233, MRP!$G$2:$G$245, H$1),
    SUMIFS(MRP!$I$2:$I$245, MRP!$B$2:$B$245, $C233, MRP!$G$2:$G$245, H$1),
    SUMIFS(MRP!$J$2:$J$245, MRP!$B$2:$B$245, $C233,  MRP!$G$2:$G$245, H$1),
    SUMIFS(MRP!$K$2:$K$245, MRP!$B$2:$B$245, $C233,  MRP!$G$2:$G$245, H$1),
    SUMIFS(MRP!$L$2:$L$245, MRP!$B$2:$B$245, $C233,  MRP!$G$2:$G$245, H$1)
)*F233</f>
        <v/>
      </c>
      <c r="I233" s="15">
        <f>SUM(
    SUMIFS(MRP!$H$2:$H$245, MRP!$B$2:$B$245, $C233, MRP!$G$2:$G$245, I$1),
    SUMIFS(MRP!$I$2:$I$245, MRP!$B$2:$B$245, $C233, MRP!$G$2:$G$245, I$1),
    SUMIFS(MRP!$J$2:$J$245, MRP!$B$2:$B$245, $C233,  MRP!$G$2:$G$245, I$1),
    SUMIFS(MRP!$K$2:$K$245, MRP!$B$2:$B$245, $C233,  MRP!$G$2:$G$245, I$1),
    SUMIFS(MRP!$L$2:$L$245, MRP!$B$2:$B$245, $C233,  MRP!$G$2:$G$245, I$1)
)*F233</f>
        <v/>
      </c>
      <c r="J233" s="15">
        <f>SUM(
    SUMIFS(MRP!$H$2:$H$245, MRP!$B$2:$B$245, $C233, MRP!$G$2:$G$245, J$1),
    SUMIFS(MRP!$I$2:$I$245, MRP!$B$2:$B$245, $C233, MRP!$G$2:$G$245, J$1),
    SUMIFS(MRP!$J$2:$J$245, MRP!$B$2:$B$245, $C233,  MRP!$G$2:$G$245, J$1),
    SUMIFS(MRP!$K$2:$K$245, MRP!$B$2:$B$245, $C233,  MRP!$G$2:$G$245, J$1),
    SUMIFS(MRP!$L$2:$L$245, MRP!$B$2:$B$245, $C233,  MRP!$G$2:$G$245, J$1)
)*F233</f>
        <v/>
      </c>
      <c r="K233" s="64">
        <f>SUM(
    SUMIFS(MRP!$H$2:$H$245, MRP!$B$2:$B$245, $C233, MRP!$G$2:$G$245, K$1),
    SUMIFS(MRP!$I$2:$I$245, MRP!$B$2:$B$245, $C233, MRP!$G$2:$G$245, K$1),
    SUMIFS(MRP!$J$2:$J$245, MRP!$B$2:$B$245, $C233,  MRP!$G$2:$G$245, K$1),
    SUMIFS(MRP!$K$2:$K$245, MRP!$B$2:$B$245, $C233,  MRP!$G$2:$G$245, K$1),
    SUMIFS(MRP!$L$2:$L$245, MRP!$B$2:$B$245, $C233,  MRP!$G$2:$G$245, K$1)
)*F233</f>
        <v/>
      </c>
      <c r="L233" s="55">
        <f>TRIM(Tabla3[[#This Row],[CodInternoArti]])</f>
        <v/>
      </c>
    </row>
    <row r="234">
      <c r="A234" s="63">
        <f>IF(ISNUMBER(_xlfn.XMATCH(Tabla3[[#This Row],[CodInternoArti]],'Tabla Articulos'!B:B)),"OK","NO ESTA")</f>
        <v/>
      </c>
      <c r="B234" s="19">
        <f>IF(ISNUMBER(_xlfn.XMATCH('Calcular necesidad'!E:E,'Necesidad por familia'!A:A)),"OK","NO ESTA")</f>
        <v/>
      </c>
      <c r="C234" s="1" t="inlineStr">
        <is>
          <t>7790321020302</t>
        </is>
      </c>
      <c r="D234" s="1" t="inlineStr">
        <is>
          <t>TAPA 105 X100U CELPAK</t>
        </is>
      </c>
      <c r="E234" s="1">
        <f>_xlfn.XLOOKUP(C234,'Tabla Articulos'!B:B,'Tabla Articulos'!D:D)</f>
        <v/>
      </c>
      <c r="F234" s="1">
        <f>_xlfn.XLOOKUP(C234,'Tabla Articulos'!B:B,'Tabla Articulos'!E:E)</f>
        <v/>
      </c>
      <c r="G234" s="15">
        <f>SUM(
    SUMIFS(MRP!$H$2:$H$245, MRP!$B$2:$B$245, $C234, MRP!$G$2:$G$245, G$1),
    SUMIFS(MRP!$I$2:$I$245, MRP!$B$2:$B$245, $C234, MRP!$G$2:$G$245, G$1),
    SUMIFS(MRP!$J$2:$J$245, MRP!$B$2:$B$245, $C234,  MRP!$G$2:$G$245, G$1),
    SUMIFS(MRP!$K$2:$K$245, MRP!$B$2:$B$245, $C234,  MRP!$G$2:$G$245, G$1),
    SUMIFS(MRP!$L$2:$L$245, MRP!$B$2:$B$245, $C234,  MRP!$G$2:$G$245, G$1)
)*F234</f>
        <v/>
      </c>
      <c r="H234" s="15">
        <f>SUM(
    SUMIFS(MRP!$H$2:$H$245, MRP!$B$2:$B$245, $C234, MRP!$G$2:$G$245, H$1),
    SUMIFS(MRP!$I$2:$I$245, MRP!$B$2:$B$245, $C234, MRP!$G$2:$G$245, H$1),
    SUMIFS(MRP!$J$2:$J$245, MRP!$B$2:$B$245, $C234,  MRP!$G$2:$G$245, H$1),
    SUMIFS(MRP!$K$2:$K$245, MRP!$B$2:$B$245, $C234,  MRP!$G$2:$G$245, H$1),
    SUMIFS(MRP!$L$2:$L$245, MRP!$B$2:$B$245, $C234,  MRP!$G$2:$G$245, H$1)
)*F234</f>
        <v/>
      </c>
      <c r="I234" s="15">
        <f>SUM(
    SUMIFS(MRP!$H$2:$H$245, MRP!$B$2:$B$245, $C234, MRP!$G$2:$G$245, I$1),
    SUMIFS(MRP!$I$2:$I$245, MRP!$B$2:$B$245, $C234, MRP!$G$2:$G$245, I$1),
    SUMIFS(MRP!$J$2:$J$245, MRP!$B$2:$B$245, $C234,  MRP!$G$2:$G$245, I$1),
    SUMIFS(MRP!$K$2:$K$245, MRP!$B$2:$B$245, $C234,  MRP!$G$2:$G$245, I$1),
    SUMIFS(MRP!$L$2:$L$245, MRP!$B$2:$B$245, $C234,  MRP!$G$2:$G$245, I$1)
)*F234</f>
        <v/>
      </c>
      <c r="J234" s="15">
        <f>SUM(
    SUMIFS(MRP!$H$2:$H$245, MRP!$B$2:$B$245, $C234, MRP!$G$2:$G$245, J$1),
    SUMIFS(MRP!$I$2:$I$245, MRP!$B$2:$B$245, $C234, MRP!$G$2:$G$245, J$1),
    SUMIFS(MRP!$J$2:$J$245, MRP!$B$2:$B$245, $C234,  MRP!$G$2:$G$245, J$1),
    SUMIFS(MRP!$K$2:$K$245, MRP!$B$2:$B$245, $C234,  MRP!$G$2:$G$245, J$1),
    SUMIFS(MRP!$L$2:$L$245, MRP!$B$2:$B$245, $C234,  MRP!$G$2:$G$245, J$1)
)*F234</f>
        <v/>
      </c>
      <c r="K234" s="64">
        <f>SUM(
    SUMIFS(MRP!$H$2:$H$245, MRP!$B$2:$B$245, $C234, MRP!$G$2:$G$245, K$1),
    SUMIFS(MRP!$I$2:$I$245, MRP!$B$2:$B$245, $C234, MRP!$G$2:$G$245, K$1),
    SUMIFS(MRP!$J$2:$J$245, MRP!$B$2:$B$245, $C234,  MRP!$G$2:$G$245, K$1),
    SUMIFS(MRP!$K$2:$K$245, MRP!$B$2:$B$245, $C234,  MRP!$G$2:$G$245, K$1),
    SUMIFS(MRP!$L$2:$L$245, MRP!$B$2:$B$245, $C234,  MRP!$G$2:$G$245, K$1)
)*F234</f>
        <v/>
      </c>
      <c r="L234" s="55">
        <f>TRIM(Tabla3[[#This Row],[CodInternoArti]])</f>
        <v/>
      </c>
    </row>
    <row r="235">
      <c r="A235" s="63">
        <f>IF(ISNUMBER(_xlfn.XMATCH(Tabla3[[#This Row],[CodInternoArti]],'Tabla Articulos'!B:B)),"OK","NO ESTA")</f>
        <v/>
      </c>
      <c r="B235" s="19">
        <f>IF(ISNUMBER(_xlfn.XMATCH('Calcular necesidad'!E:E,'Necesidad por familia'!A:A)),"OK","NO ESTA")</f>
        <v/>
      </c>
      <c r="C235" s="1" t="inlineStr">
        <is>
          <t>4968420500356</t>
        </is>
      </c>
      <c r="D235" s="1" t="inlineStr">
        <is>
          <t>GUANTES LATEX TAMAÑO L X100U</t>
        </is>
      </c>
      <c r="E235" s="1">
        <f>_xlfn.XLOOKUP(C235,'Tabla Articulos'!B:B,'Tabla Articulos'!D:D)</f>
        <v/>
      </c>
      <c r="F235" s="1">
        <f>_xlfn.XLOOKUP(C235,'Tabla Articulos'!B:B,'Tabla Articulos'!E:E)</f>
        <v/>
      </c>
      <c r="G235" s="15">
        <f>SUM(
    SUMIFS(MRP!$H$2:$H$245, MRP!$B$2:$B$245, $C235, MRP!$G$2:$G$245, G$1),
    SUMIFS(MRP!$I$2:$I$245, MRP!$B$2:$B$245, $C235, MRP!$G$2:$G$245, G$1),
    SUMIFS(MRP!$J$2:$J$245, MRP!$B$2:$B$245, $C235,  MRP!$G$2:$G$245, G$1),
    SUMIFS(MRP!$K$2:$K$245, MRP!$B$2:$B$245, $C235,  MRP!$G$2:$G$245, G$1),
    SUMIFS(MRP!$L$2:$L$245, MRP!$B$2:$B$245, $C235,  MRP!$G$2:$G$245, G$1)
)*F235</f>
        <v/>
      </c>
      <c r="H235" s="15">
        <f>SUM(
    SUMIFS(MRP!$H$2:$H$245, MRP!$B$2:$B$245, $C235, MRP!$G$2:$G$245, H$1),
    SUMIFS(MRP!$I$2:$I$245, MRP!$B$2:$B$245, $C235, MRP!$G$2:$G$245, H$1),
    SUMIFS(MRP!$J$2:$J$245, MRP!$B$2:$B$245, $C235,  MRP!$G$2:$G$245, H$1),
    SUMIFS(MRP!$K$2:$K$245, MRP!$B$2:$B$245, $C235,  MRP!$G$2:$G$245, H$1),
    SUMIFS(MRP!$L$2:$L$245, MRP!$B$2:$B$245, $C235,  MRP!$G$2:$G$245, H$1)
)*F235</f>
        <v/>
      </c>
      <c r="I235" s="15">
        <f>SUM(
    SUMIFS(MRP!$H$2:$H$245, MRP!$B$2:$B$245, $C235, MRP!$G$2:$G$245, I$1),
    SUMIFS(MRP!$I$2:$I$245, MRP!$B$2:$B$245, $C235, MRP!$G$2:$G$245, I$1),
    SUMIFS(MRP!$J$2:$J$245, MRP!$B$2:$B$245, $C235,  MRP!$G$2:$G$245, I$1),
    SUMIFS(MRP!$K$2:$K$245, MRP!$B$2:$B$245, $C235,  MRP!$G$2:$G$245, I$1),
    SUMIFS(MRP!$L$2:$L$245, MRP!$B$2:$B$245, $C235,  MRP!$G$2:$G$245, I$1)
)*F235</f>
        <v/>
      </c>
      <c r="J235" s="15">
        <f>SUM(
    SUMIFS(MRP!$H$2:$H$245, MRP!$B$2:$B$245, $C235, MRP!$G$2:$G$245, J$1),
    SUMIFS(MRP!$I$2:$I$245, MRP!$B$2:$B$245, $C235, MRP!$G$2:$G$245, J$1),
    SUMIFS(MRP!$J$2:$J$245, MRP!$B$2:$B$245, $C235,  MRP!$G$2:$G$245, J$1),
    SUMIFS(MRP!$K$2:$K$245, MRP!$B$2:$B$245, $C235,  MRP!$G$2:$G$245, J$1),
    SUMIFS(MRP!$L$2:$L$245, MRP!$B$2:$B$245, $C235,  MRP!$G$2:$G$245, J$1)
)*F235</f>
        <v/>
      </c>
      <c r="K235" s="64">
        <f>SUM(
    SUMIFS(MRP!$H$2:$H$245, MRP!$B$2:$B$245, $C235, MRP!$G$2:$G$245, K$1),
    SUMIFS(MRP!$I$2:$I$245, MRP!$B$2:$B$245, $C235, MRP!$G$2:$G$245, K$1),
    SUMIFS(MRP!$J$2:$J$245, MRP!$B$2:$B$245, $C235,  MRP!$G$2:$G$245, K$1),
    SUMIFS(MRP!$K$2:$K$245, MRP!$B$2:$B$245, $C235,  MRP!$G$2:$G$245, K$1),
    SUMIFS(MRP!$L$2:$L$245, MRP!$B$2:$B$245, $C235,  MRP!$G$2:$G$245, K$1)
)*F235</f>
        <v/>
      </c>
      <c r="L235" s="55">
        <f>TRIM(Tabla3[[#This Row],[CodInternoArti]])</f>
        <v/>
      </c>
    </row>
    <row r="236">
      <c r="A236" s="63">
        <f>IF(ISNUMBER(_xlfn.XMATCH(Tabla3[[#This Row],[CodInternoArti]],'Tabla Articulos'!B:B)),"OK","NO ESTA")</f>
        <v/>
      </c>
      <c r="B236" s="19">
        <f>IF(ISNUMBER(_xlfn.XMATCH('Calcular necesidad'!E:E,'Necesidad por familia'!A:A)),"OK","NO ESTA")</f>
        <v/>
      </c>
      <c r="C236" s="1" t="inlineStr">
        <is>
          <t>7798068951862</t>
        </is>
      </c>
      <c r="D236" s="1" t="inlineStr">
        <is>
          <t>BANDEJA 105 MICRO X100UN COTNYL</t>
        </is>
      </c>
      <c r="E236" s="1">
        <f>_xlfn.XLOOKUP(C236,'Tabla Articulos'!B:B,'Tabla Articulos'!D:D)</f>
        <v/>
      </c>
      <c r="F236" s="1">
        <f>_xlfn.XLOOKUP(C236,'Tabla Articulos'!B:B,'Tabla Articulos'!E:E)</f>
        <v/>
      </c>
      <c r="G236" s="15">
        <f>SUM(
    SUMIFS(MRP!$H$2:$H$245, MRP!$B$2:$B$245, $C236, MRP!$G$2:$G$245, G$1),
    SUMIFS(MRP!$I$2:$I$245, MRP!$B$2:$B$245, $C236, MRP!$G$2:$G$245, G$1),
    SUMIFS(MRP!$J$2:$J$245, MRP!$B$2:$B$245, $C236,  MRP!$G$2:$G$245, G$1),
    SUMIFS(MRP!$K$2:$K$245, MRP!$B$2:$B$245, $C236,  MRP!$G$2:$G$245, G$1),
    SUMIFS(MRP!$L$2:$L$245, MRP!$B$2:$B$245, $C236,  MRP!$G$2:$G$245, G$1)
)*F236</f>
        <v/>
      </c>
      <c r="H236" s="15">
        <f>SUM(
    SUMIFS(MRP!$H$2:$H$245, MRP!$B$2:$B$245, $C236, MRP!$G$2:$G$245, H$1),
    SUMIFS(MRP!$I$2:$I$245, MRP!$B$2:$B$245, $C236, MRP!$G$2:$G$245, H$1),
    SUMIFS(MRP!$J$2:$J$245, MRP!$B$2:$B$245, $C236,  MRP!$G$2:$G$245, H$1),
    SUMIFS(MRP!$K$2:$K$245, MRP!$B$2:$B$245, $C236,  MRP!$G$2:$G$245, H$1),
    SUMIFS(MRP!$L$2:$L$245, MRP!$B$2:$B$245, $C236,  MRP!$G$2:$G$245, H$1)
)*F236</f>
        <v/>
      </c>
      <c r="I236" s="15">
        <f>SUM(
    SUMIFS(MRP!$H$2:$H$245, MRP!$B$2:$B$245, $C236, MRP!$G$2:$G$245, I$1),
    SUMIFS(MRP!$I$2:$I$245, MRP!$B$2:$B$245, $C236, MRP!$G$2:$G$245, I$1),
    SUMIFS(MRP!$J$2:$J$245, MRP!$B$2:$B$245, $C236,  MRP!$G$2:$G$245, I$1),
    SUMIFS(MRP!$K$2:$K$245, MRP!$B$2:$B$245, $C236,  MRP!$G$2:$G$245, I$1),
    SUMIFS(MRP!$L$2:$L$245, MRP!$B$2:$B$245, $C236,  MRP!$G$2:$G$245, I$1)
)*F236</f>
        <v/>
      </c>
      <c r="J236" s="15">
        <f>SUM(
    SUMIFS(MRP!$H$2:$H$245, MRP!$B$2:$B$245, $C236, MRP!$G$2:$G$245, J$1),
    SUMIFS(MRP!$I$2:$I$245, MRP!$B$2:$B$245, $C236, MRP!$G$2:$G$245, J$1),
    SUMIFS(MRP!$J$2:$J$245, MRP!$B$2:$B$245, $C236,  MRP!$G$2:$G$245, J$1),
    SUMIFS(MRP!$K$2:$K$245, MRP!$B$2:$B$245, $C236,  MRP!$G$2:$G$245, J$1),
    SUMIFS(MRP!$L$2:$L$245, MRP!$B$2:$B$245, $C236,  MRP!$G$2:$G$245, J$1)
)*F236</f>
        <v/>
      </c>
      <c r="K236" s="64">
        <f>SUM(
    SUMIFS(MRP!$H$2:$H$245, MRP!$B$2:$B$245, $C236, MRP!$G$2:$G$245, K$1),
    SUMIFS(MRP!$I$2:$I$245, MRP!$B$2:$B$245, $C236, MRP!$G$2:$G$245, K$1),
    SUMIFS(MRP!$J$2:$J$245, MRP!$B$2:$B$245, $C236,  MRP!$G$2:$G$245, K$1),
    SUMIFS(MRP!$K$2:$K$245, MRP!$B$2:$B$245, $C236,  MRP!$G$2:$G$245, K$1),
    SUMIFS(MRP!$L$2:$L$245, MRP!$B$2:$B$245, $C236,  MRP!$G$2:$G$245, K$1)
)*F236</f>
        <v/>
      </c>
      <c r="L236" s="55">
        <f>TRIM(Tabla3[[#This Row],[CodInternoArti]])</f>
        <v/>
      </c>
    </row>
    <row r="237">
      <c r="A237" s="63">
        <f>IF(ISNUMBER(_xlfn.XMATCH(Tabla3[[#This Row],[CodInternoArti]],'Tabla Articulos'!B:B)),"OK","NO ESTA")</f>
        <v/>
      </c>
      <c r="B237" s="19">
        <f>IF(ISNUMBER(_xlfn.XMATCH('Calcular necesidad'!E:E,'Necesidad por familia'!A:A)),"OK","NO ESTA")</f>
        <v/>
      </c>
      <c r="C237" s="1" t="inlineStr">
        <is>
          <t>17798047390047</t>
        </is>
      </c>
      <c r="D237" s="1" t="inlineStr">
        <is>
          <t>BANDEJA TELGOPOR 618 x 600U</t>
        </is>
      </c>
      <c r="E237" s="1">
        <f>_xlfn.XLOOKUP(C237,'Tabla Articulos'!B:B,'Tabla Articulos'!D:D)</f>
        <v/>
      </c>
      <c r="F237" s="1">
        <f>_xlfn.XLOOKUP(C237,'Tabla Articulos'!B:B,'Tabla Articulos'!E:E)</f>
        <v/>
      </c>
      <c r="G237" s="15">
        <f>SUM(
    SUMIFS(MRP!$H$2:$H$245, MRP!$B$2:$B$245, $C237, MRP!$G$2:$G$245, G$1),
    SUMIFS(MRP!$I$2:$I$245, MRP!$B$2:$B$245, $C237, MRP!$G$2:$G$245, G$1),
    SUMIFS(MRP!$J$2:$J$245, MRP!$B$2:$B$245, $C237,  MRP!$G$2:$G$245, G$1),
    SUMIFS(MRP!$K$2:$K$245, MRP!$B$2:$B$245, $C237,  MRP!$G$2:$G$245, G$1),
    SUMIFS(MRP!$L$2:$L$245, MRP!$B$2:$B$245, $C237,  MRP!$G$2:$G$245, G$1)
)*F237</f>
        <v/>
      </c>
      <c r="H237" s="15">
        <f>SUM(
    SUMIFS(MRP!$H$2:$H$245, MRP!$B$2:$B$245, $C237, MRP!$G$2:$G$245, H$1),
    SUMIFS(MRP!$I$2:$I$245, MRP!$B$2:$B$245, $C237, MRP!$G$2:$G$245, H$1),
    SUMIFS(MRP!$J$2:$J$245, MRP!$B$2:$B$245, $C237,  MRP!$G$2:$G$245, H$1),
    SUMIFS(MRP!$K$2:$K$245, MRP!$B$2:$B$245, $C237,  MRP!$G$2:$G$245, H$1),
    SUMIFS(MRP!$L$2:$L$245, MRP!$B$2:$B$245, $C237,  MRP!$G$2:$G$245, H$1)
)*F237</f>
        <v/>
      </c>
      <c r="I237" s="15">
        <f>SUM(
    SUMIFS(MRP!$H$2:$H$245, MRP!$B$2:$B$245, $C237, MRP!$G$2:$G$245, I$1),
    SUMIFS(MRP!$I$2:$I$245, MRP!$B$2:$B$245, $C237, MRP!$G$2:$G$245, I$1),
    SUMIFS(MRP!$J$2:$J$245, MRP!$B$2:$B$245, $C237,  MRP!$G$2:$G$245, I$1),
    SUMIFS(MRP!$K$2:$K$245, MRP!$B$2:$B$245, $C237,  MRP!$G$2:$G$245, I$1),
    SUMIFS(MRP!$L$2:$L$245, MRP!$B$2:$B$245, $C237,  MRP!$G$2:$G$245, I$1)
)*F237</f>
        <v/>
      </c>
      <c r="J237" s="15">
        <f>SUM(
    SUMIFS(MRP!$H$2:$H$245, MRP!$B$2:$B$245, $C237, MRP!$G$2:$G$245, J$1),
    SUMIFS(MRP!$I$2:$I$245, MRP!$B$2:$B$245, $C237, MRP!$G$2:$G$245, J$1),
    SUMIFS(MRP!$J$2:$J$245, MRP!$B$2:$B$245, $C237,  MRP!$G$2:$G$245, J$1),
    SUMIFS(MRP!$K$2:$K$245, MRP!$B$2:$B$245, $C237,  MRP!$G$2:$G$245, J$1),
    SUMIFS(MRP!$L$2:$L$245, MRP!$B$2:$B$245, $C237,  MRP!$G$2:$G$245, J$1)
)*F237</f>
        <v/>
      </c>
      <c r="K237" s="64">
        <f>SUM(
    SUMIFS(MRP!$H$2:$H$245, MRP!$B$2:$B$245, $C237, MRP!$G$2:$G$245, K$1),
    SUMIFS(MRP!$I$2:$I$245, MRP!$B$2:$B$245, $C237, MRP!$G$2:$G$245, K$1),
    SUMIFS(MRP!$J$2:$J$245, MRP!$B$2:$B$245, $C237,  MRP!$G$2:$G$245, K$1),
    SUMIFS(MRP!$K$2:$K$245, MRP!$B$2:$B$245, $C237,  MRP!$G$2:$G$245, K$1),
    SUMIFS(MRP!$L$2:$L$245, MRP!$B$2:$B$245, $C237,  MRP!$G$2:$G$245, K$1)
)*F237</f>
        <v/>
      </c>
      <c r="L237" s="55">
        <f>TRIM(Tabla3[[#This Row],[CodInternoArti]])</f>
        <v/>
      </c>
    </row>
    <row r="238">
      <c r="A238" s="63">
        <f>IF(ISNUMBER(_xlfn.XMATCH(Tabla3[[#This Row],[CodInternoArti]],'Tabla Articulos'!B:B)),"OK","NO ESTA")</f>
        <v/>
      </c>
      <c r="B238" s="19">
        <f>IF(ISNUMBER(_xlfn.XMATCH('Calcular necesidad'!E:E,'Necesidad por familia'!A:A)),"OK","NO ESTA")</f>
        <v/>
      </c>
      <c r="C238" s="1" t="inlineStr">
        <is>
          <t>7790000000272</t>
        </is>
      </c>
      <c r="D238" s="1" t="inlineStr">
        <is>
          <t>BANDEJA 101 PIM MICRO.COTYL X 100 U</t>
        </is>
      </c>
      <c r="E238" s="1">
        <f>_xlfn.XLOOKUP(C238,'Tabla Articulos'!B:B,'Tabla Articulos'!D:D)</f>
        <v/>
      </c>
      <c r="F238" s="1">
        <f>_xlfn.XLOOKUP(C238,'Tabla Articulos'!B:B,'Tabla Articulos'!E:E)</f>
        <v/>
      </c>
      <c r="G238" s="15">
        <f>SUM(
    SUMIFS(MRP!$H$2:$H$245, MRP!$B$2:$B$245, $C238, MRP!$G$2:$G$245, G$1),
    SUMIFS(MRP!$I$2:$I$245, MRP!$B$2:$B$245, $C238, MRP!$G$2:$G$245, G$1),
    SUMIFS(MRP!$J$2:$J$245, MRP!$B$2:$B$245, $C238,  MRP!$G$2:$G$245, G$1),
    SUMIFS(MRP!$K$2:$K$245, MRP!$B$2:$B$245, $C238,  MRP!$G$2:$G$245, G$1),
    SUMIFS(MRP!$L$2:$L$245, MRP!$B$2:$B$245, $C238,  MRP!$G$2:$G$245, G$1)
)*F238</f>
        <v/>
      </c>
      <c r="H238" s="15">
        <f>SUM(
    SUMIFS(MRP!$H$2:$H$245, MRP!$B$2:$B$245, $C238, MRP!$G$2:$G$245, H$1),
    SUMIFS(MRP!$I$2:$I$245, MRP!$B$2:$B$245, $C238, MRP!$G$2:$G$245, H$1),
    SUMIFS(MRP!$J$2:$J$245, MRP!$B$2:$B$245, $C238,  MRP!$G$2:$G$245, H$1),
    SUMIFS(MRP!$K$2:$K$245, MRP!$B$2:$B$245, $C238,  MRP!$G$2:$G$245, H$1),
    SUMIFS(MRP!$L$2:$L$245, MRP!$B$2:$B$245, $C238,  MRP!$G$2:$G$245, H$1)
)*F238</f>
        <v/>
      </c>
      <c r="I238" s="15">
        <f>SUM(
    SUMIFS(MRP!$H$2:$H$245, MRP!$B$2:$B$245, $C238, MRP!$G$2:$G$245, I$1),
    SUMIFS(MRP!$I$2:$I$245, MRP!$B$2:$B$245, $C238, MRP!$G$2:$G$245, I$1),
    SUMIFS(MRP!$J$2:$J$245, MRP!$B$2:$B$245, $C238,  MRP!$G$2:$G$245, I$1),
    SUMIFS(MRP!$K$2:$K$245, MRP!$B$2:$B$245, $C238,  MRP!$G$2:$G$245, I$1),
    SUMIFS(MRP!$L$2:$L$245, MRP!$B$2:$B$245, $C238,  MRP!$G$2:$G$245, I$1)
)*F238</f>
        <v/>
      </c>
      <c r="J238" s="15">
        <f>SUM(
    SUMIFS(MRP!$H$2:$H$245, MRP!$B$2:$B$245, $C238, MRP!$G$2:$G$245, J$1),
    SUMIFS(MRP!$I$2:$I$245, MRP!$B$2:$B$245, $C238, MRP!$G$2:$G$245, J$1),
    SUMIFS(MRP!$J$2:$J$245, MRP!$B$2:$B$245, $C238,  MRP!$G$2:$G$245, J$1),
    SUMIFS(MRP!$K$2:$K$245, MRP!$B$2:$B$245, $C238,  MRP!$G$2:$G$245, J$1),
    SUMIFS(MRP!$L$2:$L$245, MRP!$B$2:$B$245, $C238,  MRP!$G$2:$G$245, J$1)
)*F238</f>
        <v/>
      </c>
      <c r="K238" s="64">
        <f>SUM(
    SUMIFS(MRP!$H$2:$H$245, MRP!$B$2:$B$245, $C238, MRP!$G$2:$G$245, K$1),
    SUMIFS(MRP!$I$2:$I$245, MRP!$B$2:$B$245, $C238, MRP!$G$2:$G$245, K$1),
    SUMIFS(MRP!$J$2:$J$245, MRP!$B$2:$B$245, $C238,  MRP!$G$2:$G$245, K$1),
    SUMIFS(MRP!$K$2:$K$245, MRP!$B$2:$B$245, $C238,  MRP!$G$2:$G$245, K$1),
    SUMIFS(MRP!$L$2:$L$245, MRP!$B$2:$B$245, $C238,  MRP!$G$2:$G$245, K$1)
)*F238</f>
        <v/>
      </c>
      <c r="L238" s="55">
        <f>TRIM(Tabla3[[#This Row],[CodInternoArti]])</f>
        <v/>
      </c>
    </row>
    <row r="239">
      <c r="A239" s="63">
        <f>IF(ISNUMBER(_xlfn.XMATCH(Tabla3[[#This Row],[CodInternoArti]],'Tabla Articulos'!B:B)),"OK","NO ESTA")</f>
        <v/>
      </c>
      <c r="B239" s="19">
        <f>IF(ISNUMBER(_xlfn.XMATCH('Calcular necesidad'!E:E,'Necesidad por familia'!A:A)),"OK","NO ESTA")</f>
        <v/>
      </c>
      <c r="C239" s="1" t="inlineStr">
        <is>
          <t>7790430132765</t>
        </is>
      </c>
      <c r="D239" s="1" t="inlineStr">
        <is>
          <t>VASO PLASTICO BCO X220CC X50U</t>
        </is>
      </c>
      <c r="E239" s="1">
        <f>_xlfn.XLOOKUP(C239,'Tabla Articulos'!B:B,'Tabla Articulos'!D:D)</f>
        <v/>
      </c>
      <c r="F239" s="1">
        <f>_xlfn.XLOOKUP(C239,'Tabla Articulos'!B:B,'Tabla Articulos'!E:E)</f>
        <v/>
      </c>
      <c r="G239" s="15">
        <f>SUM(
    SUMIFS(MRP!$H$2:$H$245, MRP!$B$2:$B$245, $C239, MRP!$G$2:$G$245, G$1),
    SUMIFS(MRP!$I$2:$I$245, MRP!$B$2:$B$245, $C239, MRP!$G$2:$G$245, G$1),
    SUMIFS(MRP!$J$2:$J$245, MRP!$B$2:$B$245, $C239,  MRP!$G$2:$G$245, G$1),
    SUMIFS(MRP!$K$2:$K$245, MRP!$B$2:$B$245, $C239,  MRP!$G$2:$G$245, G$1),
    SUMIFS(MRP!$L$2:$L$245, MRP!$B$2:$B$245, $C239,  MRP!$G$2:$G$245, G$1)
)*F239</f>
        <v/>
      </c>
      <c r="H239" s="15">
        <f>SUM(
    SUMIFS(MRP!$H$2:$H$245, MRP!$B$2:$B$245, $C239, MRP!$G$2:$G$245, H$1),
    SUMIFS(MRP!$I$2:$I$245, MRP!$B$2:$B$245, $C239, MRP!$G$2:$G$245, H$1),
    SUMIFS(MRP!$J$2:$J$245, MRP!$B$2:$B$245, $C239,  MRP!$G$2:$G$245, H$1),
    SUMIFS(MRP!$K$2:$K$245, MRP!$B$2:$B$245, $C239,  MRP!$G$2:$G$245, H$1),
    SUMIFS(MRP!$L$2:$L$245, MRP!$B$2:$B$245, $C239,  MRP!$G$2:$G$245, H$1)
)*F239</f>
        <v/>
      </c>
      <c r="I239" s="15">
        <f>SUM(
    SUMIFS(MRP!$H$2:$H$245, MRP!$B$2:$B$245, $C239, MRP!$G$2:$G$245, I$1),
    SUMIFS(MRP!$I$2:$I$245, MRP!$B$2:$B$245, $C239, MRP!$G$2:$G$245, I$1),
    SUMIFS(MRP!$J$2:$J$245, MRP!$B$2:$B$245, $C239,  MRP!$G$2:$G$245, I$1),
    SUMIFS(MRP!$K$2:$K$245, MRP!$B$2:$B$245, $C239,  MRP!$G$2:$G$245, I$1),
    SUMIFS(MRP!$L$2:$L$245, MRP!$B$2:$B$245, $C239,  MRP!$G$2:$G$245, I$1)
)*F239</f>
        <v/>
      </c>
      <c r="J239" s="15">
        <f>SUM(
    SUMIFS(MRP!$H$2:$H$245, MRP!$B$2:$B$245, $C239, MRP!$G$2:$G$245, J$1),
    SUMIFS(MRP!$I$2:$I$245, MRP!$B$2:$B$245, $C239, MRP!$G$2:$G$245, J$1),
    SUMIFS(MRP!$J$2:$J$245, MRP!$B$2:$B$245, $C239,  MRP!$G$2:$G$245, J$1),
    SUMIFS(MRP!$K$2:$K$245, MRP!$B$2:$B$245, $C239,  MRP!$G$2:$G$245, J$1),
    SUMIFS(MRP!$L$2:$L$245, MRP!$B$2:$B$245, $C239,  MRP!$G$2:$G$245, J$1)
)*F239</f>
        <v/>
      </c>
      <c r="K239" s="64">
        <f>SUM(
    SUMIFS(MRP!$H$2:$H$245, MRP!$B$2:$B$245, $C239, MRP!$G$2:$G$245, K$1),
    SUMIFS(MRP!$I$2:$I$245, MRP!$B$2:$B$245, $C239, MRP!$G$2:$G$245, K$1),
    SUMIFS(MRP!$J$2:$J$245, MRP!$B$2:$B$245, $C239,  MRP!$G$2:$G$245, K$1),
    SUMIFS(MRP!$K$2:$K$245, MRP!$B$2:$B$245, $C239,  MRP!$G$2:$G$245, K$1),
    SUMIFS(MRP!$L$2:$L$245, MRP!$B$2:$B$245, $C239,  MRP!$G$2:$G$245, K$1)
)*F239</f>
        <v/>
      </c>
      <c r="L239" s="55">
        <f>TRIM(Tabla3[[#This Row],[CodInternoArti]])</f>
        <v/>
      </c>
    </row>
    <row r="240">
      <c r="A240" s="63">
        <f>IF(ISNUMBER(_xlfn.XMATCH(Tabla3[[#This Row],[CodInternoArti]],'Tabla Articulos'!B:B)),"OK","NO ESTA")</f>
        <v/>
      </c>
      <c r="B240" s="19">
        <f>IF(ISNUMBER(_xlfn.XMATCH('Calcular necesidad'!E:E,'Necesidad por familia'!A:A)),"OK","NO ESTA")</f>
        <v/>
      </c>
      <c r="C240" s="1" t="inlineStr">
        <is>
          <t>7790000000235</t>
        </is>
      </c>
      <c r="D240" s="1" t="inlineStr">
        <is>
          <t>INDIVID. CHEF GOURMET HEALTH X1000U</t>
        </is>
      </c>
      <c r="E240" s="1">
        <f>_xlfn.XLOOKUP(C240,'Tabla Articulos'!B:B,'Tabla Articulos'!D:D)</f>
        <v/>
      </c>
      <c r="F240" s="1">
        <f>_xlfn.XLOOKUP(C240,'Tabla Articulos'!B:B,'Tabla Articulos'!E:E)</f>
        <v/>
      </c>
      <c r="G240" s="15">
        <f>SUM(
    SUMIFS(MRP!$H$2:$H$245, MRP!$B$2:$B$245, $C240, MRP!$G$2:$G$245, G$1),
    SUMIFS(MRP!$I$2:$I$245, MRP!$B$2:$B$245, $C240, MRP!$G$2:$G$245, G$1),
    SUMIFS(MRP!$J$2:$J$245, MRP!$B$2:$B$245, $C240,  MRP!$G$2:$G$245, G$1),
    SUMIFS(MRP!$K$2:$K$245, MRP!$B$2:$B$245, $C240,  MRP!$G$2:$G$245, G$1),
    SUMIFS(MRP!$L$2:$L$245, MRP!$B$2:$B$245, $C240,  MRP!$G$2:$G$245, G$1)
)*F240</f>
        <v/>
      </c>
      <c r="H240" s="15">
        <f>SUM(
    SUMIFS(MRP!$H$2:$H$245, MRP!$B$2:$B$245, $C240, MRP!$G$2:$G$245, H$1),
    SUMIFS(MRP!$I$2:$I$245, MRP!$B$2:$B$245, $C240, MRP!$G$2:$G$245, H$1),
    SUMIFS(MRP!$J$2:$J$245, MRP!$B$2:$B$245, $C240,  MRP!$G$2:$G$245, H$1),
    SUMIFS(MRP!$K$2:$K$245, MRP!$B$2:$B$245, $C240,  MRP!$G$2:$G$245, H$1),
    SUMIFS(MRP!$L$2:$L$245, MRP!$B$2:$B$245, $C240,  MRP!$G$2:$G$245, H$1)
)*F240</f>
        <v/>
      </c>
      <c r="I240" s="15">
        <f>SUM(
    SUMIFS(MRP!$H$2:$H$245, MRP!$B$2:$B$245, $C240, MRP!$G$2:$G$245, I$1),
    SUMIFS(MRP!$I$2:$I$245, MRP!$B$2:$B$245, $C240, MRP!$G$2:$G$245, I$1),
    SUMIFS(MRP!$J$2:$J$245, MRP!$B$2:$B$245, $C240,  MRP!$G$2:$G$245, I$1),
    SUMIFS(MRP!$K$2:$K$245, MRP!$B$2:$B$245, $C240,  MRP!$G$2:$G$245, I$1),
    SUMIFS(MRP!$L$2:$L$245, MRP!$B$2:$B$245, $C240,  MRP!$G$2:$G$245, I$1)
)*F240</f>
        <v/>
      </c>
      <c r="J240" s="15">
        <f>SUM(
    SUMIFS(MRP!$H$2:$H$245, MRP!$B$2:$B$245, $C240, MRP!$G$2:$G$245, J$1),
    SUMIFS(MRP!$I$2:$I$245, MRP!$B$2:$B$245, $C240, MRP!$G$2:$G$245, J$1),
    SUMIFS(MRP!$J$2:$J$245, MRP!$B$2:$B$245, $C240,  MRP!$G$2:$G$245, J$1),
    SUMIFS(MRP!$K$2:$K$245, MRP!$B$2:$B$245, $C240,  MRP!$G$2:$G$245, J$1),
    SUMIFS(MRP!$L$2:$L$245, MRP!$B$2:$B$245, $C240,  MRP!$G$2:$G$245, J$1)
)*F240</f>
        <v/>
      </c>
      <c r="K240" s="64">
        <f>SUM(
    SUMIFS(MRP!$H$2:$H$245, MRP!$B$2:$B$245, $C240, MRP!$G$2:$G$245, K$1),
    SUMIFS(MRP!$I$2:$I$245, MRP!$B$2:$B$245, $C240, MRP!$G$2:$G$245, K$1),
    SUMIFS(MRP!$J$2:$J$245, MRP!$B$2:$B$245, $C240,  MRP!$G$2:$G$245, K$1),
    SUMIFS(MRP!$K$2:$K$245, MRP!$B$2:$B$245, $C240,  MRP!$G$2:$G$245, K$1),
    SUMIFS(MRP!$L$2:$L$245, MRP!$B$2:$B$245, $C240,  MRP!$G$2:$G$245, K$1)
)*F240</f>
        <v/>
      </c>
      <c r="L240" s="55">
        <f>TRIM(Tabla3[[#This Row],[CodInternoArti]])</f>
        <v/>
      </c>
    </row>
    <row r="241">
      <c r="A241" s="41">
        <f>IF(ISNUMBER(_xlfn.XMATCH(Tabla3[[#This Row],[CodInternoArti]],'Tabla Articulos'!B:B)),"OK","NO ESTA")</f>
        <v/>
      </c>
      <c r="B241" s="29">
        <f>IF(ISNUMBER(_xlfn.XMATCH('Calcular necesidad'!E:E,'Necesidad por familia'!A:A)),"OK","NO ESTA")</f>
        <v/>
      </c>
      <c r="C241" s="36" t="inlineStr">
        <is>
          <t>7790000000713</t>
        </is>
      </c>
      <c r="D241" s="36" t="inlineStr">
        <is>
          <t>SERVI SIMIL TELA S/LOGO X2000U</t>
        </is>
      </c>
      <c r="E241" s="36">
        <f>_xlfn.XLOOKUP(C241,'Tabla Articulos'!B:B,'Tabla Articulos'!D:D)</f>
        <v/>
      </c>
      <c r="F241" s="36">
        <f>_xlfn.XLOOKUP(C241,'Tabla Articulos'!B:B,'Tabla Articulos'!E:E)</f>
        <v/>
      </c>
      <c r="G241" s="40">
        <f>SUM(
    SUMIFS(MRP!$H$2:$H$245, MRP!$B$2:$B$245, $C241, MRP!$G$2:$G$245, G$1),
    SUMIFS(MRP!$I$2:$I$245, MRP!$B$2:$B$245, $C241, MRP!$G$2:$G$245, G$1),
    SUMIFS(MRP!$J$2:$J$245, MRP!$B$2:$B$245, $C241,  MRP!$G$2:$G$245, G$1),
    SUMIFS(MRP!$K$2:$K$245, MRP!$B$2:$B$245, $C241,  MRP!$G$2:$G$245, G$1),
    SUMIFS(MRP!$L$2:$L$245, MRP!$B$2:$B$245, $C241,  MRP!$G$2:$G$245, G$1)
)*F241</f>
        <v/>
      </c>
      <c r="H241" s="40">
        <f>SUM(
    SUMIFS(MRP!$H$2:$H$245, MRP!$B$2:$B$245, $C241, MRP!$G$2:$G$245, H$1),
    SUMIFS(MRP!$I$2:$I$245, MRP!$B$2:$B$245, $C241, MRP!$G$2:$G$245, H$1),
    SUMIFS(MRP!$J$2:$J$245, MRP!$B$2:$B$245, $C241,  MRP!$G$2:$G$245, H$1),
    SUMIFS(MRP!$K$2:$K$245, MRP!$B$2:$B$245, $C241,  MRP!$G$2:$G$245, H$1),
    SUMIFS(MRP!$L$2:$L$245, MRP!$B$2:$B$245, $C241,  MRP!$G$2:$G$245, H$1)
)*F241</f>
        <v/>
      </c>
      <c r="I241" s="40">
        <f>SUM(
    SUMIFS(MRP!$H$2:$H$245, MRP!$B$2:$B$245, $C241, MRP!$G$2:$G$245, I$1),
    SUMIFS(MRP!$I$2:$I$245, MRP!$B$2:$B$245, $C241, MRP!$G$2:$G$245, I$1),
    SUMIFS(MRP!$J$2:$J$245, MRP!$B$2:$B$245, $C241,  MRP!$G$2:$G$245, I$1),
    SUMIFS(MRP!$K$2:$K$245, MRP!$B$2:$B$245, $C241,  MRP!$G$2:$G$245, I$1),
    SUMIFS(MRP!$L$2:$L$245, MRP!$B$2:$B$245, $C241,  MRP!$G$2:$G$245, I$1)
)*F241</f>
        <v/>
      </c>
      <c r="J241" s="40">
        <f>SUM(
    SUMIFS(MRP!$H$2:$H$245, MRP!$B$2:$B$245, $C241, MRP!$G$2:$G$245, J$1),
    SUMIFS(MRP!$I$2:$I$245, MRP!$B$2:$B$245, $C241, MRP!$G$2:$G$245, J$1),
    SUMIFS(MRP!$J$2:$J$245, MRP!$B$2:$B$245, $C241,  MRP!$G$2:$G$245, J$1),
    SUMIFS(MRP!$K$2:$K$245, MRP!$B$2:$B$245, $C241,  MRP!$G$2:$G$245, J$1),
    SUMIFS(MRP!$L$2:$L$245, MRP!$B$2:$B$245, $C241,  MRP!$G$2:$G$245, J$1)
)*F241</f>
        <v/>
      </c>
      <c r="K241" s="56">
        <f>SUM(
    SUMIFS(MRP!$H$2:$H$245, MRP!$B$2:$B$245, $C241, MRP!$G$2:$G$245, K$1),
    SUMIFS(MRP!$I$2:$I$245, MRP!$B$2:$B$245, $C241, MRP!$G$2:$G$245, K$1),
    SUMIFS(MRP!$J$2:$J$245, MRP!$B$2:$B$245, $C241,  MRP!$G$2:$G$245, K$1),
    SUMIFS(MRP!$K$2:$K$245, MRP!$B$2:$B$245, $C241,  MRP!$G$2:$G$245, K$1),
    SUMIFS(MRP!$L$2:$L$245, MRP!$B$2:$B$245, $C241,  MRP!$G$2:$G$245, K$1)
)*F241</f>
        <v/>
      </c>
      <c r="L241" s="55">
        <f>TRIM(Tabla3[[#This Row],[CodInternoArti]])</f>
        <v/>
      </c>
    </row>
    <row r="242">
      <c r="A242" s="41">
        <f>IF(ISNUMBER(_xlfn.XMATCH(Tabla3[[#This Row],[CodInternoArti]],'Tabla Articulos'!B:B)),"OK","NO ESTA")</f>
        <v/>
      </c>
      <c r="B242" s="29">
        <f>IF(ISNUMBER(_xlfn.XMATCH('Calcular necesidad'!E:E,'Necesidad por familia'!A:A)),"OK","NO ESTA")</f>
        <v/>
      </c>
      <c r="C242" s="36" t="inlineStr">
        <is>
          <t>7790000000675</t>
        </is>
      </c>
      <c r="D242" s="36" t="inlineStr">
        <is>
          <t>VASO 12 OZ POLIP BLUE X100U ETISO</t>
        </is>
      </c>
      <c r="E242" s="36">
        <f>_xlfn.XLOOKUP(C242,'Tabla Articulos'!B:B,'Tabla Articulos'!D:D)</f>
        <v/>
      </c>
      <c r="F242" s="36">
        <f>_xlfn.XLOOKUP(C242,'Tabla Articulos'!B:B,'Tabla Articulos'!E:E)</f>
        <v/>
      </c>
      <c r="G242" s="40">
        <f>SUM(
    SUMIFS(MRP!$H$2:$H$245, MRP!$B$2:$B$245, $C242, MRP!$G$2:$G$245, G$1),
    SUMIFS(MRP!$I$2:$I$245, MRP!$B$2:$B$245, $C242, MRP!$G$2:$G$245, G$1),
    SUMIFS(MRP!$J$2:$J$245, MRP!$B$2:$B$245, $C242,  MRP!$G$2:$G$245, G$1),
    SUMIFS(MRP!$K$2:$K$245, MRP!$B$2:$B$245, $C242,  MRP!$G$2:$G$245, G$1),
    SUMIFS(MRP!$L$2:$L$245, MRP!$B$2:$B$245, $C242,  MRP!$G$2:$G$245, G$1)
)*F242</f>
        <v/>
      </c>
      <c r="H242" s="40">
        <f>SUM(
    SUMIFS(MRP!$H$2:$H$245, MRP!$B$2:$B$245, $C242, MRP!$G$2:$G$245, H$1),
    SUMIFS(MRP!$I$2:$I$245, MRP!$B$2:$B$245, $C242, MRP!$G$2:$G$245, H$1),
    SUMIFS(MRP!$J$2:$J$245, MRP!$B$2:$B$245, $C242,  MRP!$G$2:$G$245, H$1),
    SUMIFS(MRP!$K$2:$K$245, MRP!$B$2:$B$245, $C242,  MRP!$G$2:$G$245, H$1),
    SUMIFS(MRP!$L$2:$L$245, MRP!$B$2:$B$245, $C242,  MRP!$G$2:$G$245, H$1)
)*F242</f>
        <v/>
      </c>
      <c r="I242" s="40">
        <f>SUM(
    SUMIFS(MRP!$H$2:$H$245, MRP!$B$2:$B$245, $C242, MRP!$G$2:$G$245, I$1),
    SUMIFS(MRP!$I$2:$I$245, MRP!$B$2:$B$245, $C242, MRP!$G$2:$G$245, I$1),
    SUMIFS(MRP!$J$2:$J$245, MRP!$B$2:$B$245, $C242,  MRP!$G$2:$G$245, I$1),
    SUMIFS(MRP!$K$2:$K$245, MRP!$B$2:$B$245, $C242,  MRP!$G$2:$G$245, I$1),
    SUMIFS(MRP!$L$2:$L$245, MRP!$B$2:$B$245, $C242,  MRP!$G$2:$G$245, I$1)
)*F242</f>
        <v/>
      </c>
      <c r="J242" s="40">
        <f>SUM(
    SUMIFS(MRP!$H$2:$H$245, MRP!$B$2:$B$245, $C242, MRP!$G$2:$G$245, J$1),
    SUMIFS(MRP!$I$2:$I$245, MRP!$B$2:$B$245, $C242, MRP!$G$2:$G$245, J$1),
    SUMIFS(MRP!$J$2:$J$245, MRP!$B$2:$B$245, $C242,  MRP!$G$2:$G$245, J$1),
    SUMIFS(MRP!$K$2:$K$245, MRP!$B$2:$B$245, $C242,  MRP!$G$2:$G$245, J$1),
    SUMIFS(MRP!$L$2:$L$245, MRP!$B$2:$B$245, $C242,  MRP!$G$2:$G$245, J$1)
)*F242</f>
        <v/>
      </c>
      <c r="K242" s="56">
        <f>SUM(
    SUMIFS(MRP!$H$2:$H$245, MRP!$B$2:$B$245, $C242, MRP!$G$2:$G$245, K$1),
    SUMIFS(MRP!$I$2:$I$245, MRP!$B$2:$B$245, $C242, MRP!$G$2:$G$245, K$1),
    SUMIFS(MRP!$J$2:$J$245, MRP!$B$2:$B$245, $C242,  MRP!$G$2:$G$245, K$1),
    SUMIFS(MRP!$K$2:$K$245, MRP!$B$2:$B$245, $C242,  MRP!$G$2:$G$245, K$1),
    SUMIFS(MRP!$L$2:$L$245, MRP!$B$2:$B$245, $C242,  MRP!$G$2:$G$245, K$1)
)*F242</f>
        <v/>
      </c>
      <c r="L242" s="55">
        <f>TRIM(Tabla3[[#This Row],[CodInternoArti]])</f>
        <v/>
      </c>
    </row>
    <row r="243">
      <c r="A243" s="41">
        <f>IF(ISNUMBER(_xlfn.XMATCH(Tabla3[[#This Row],[CodInternoArti]],'Tabla Articulos'!B:B)),"OK","NO ESTA")</f>
        <v/>
      </c>
      <c r="B243" s="29">
        <f>IF(ISNUMBER(_xlfn.XMATCH('Calcular necesidad'!E:E,'Necesidad por familia'!A:A)),"OK","NO ESTA")</f>
        <v/>
      </c>
      <c r="C243" s="36" t="inlineStr">
        <is>
          <t>7790000000227</t>
        </is>
      </c>
      <c r="D243" s="36" t="inlineStr">
        <is>
          <t>FILM PVC 30CM</t>
        </is>
      </c>
      <c r="E243" s="36">
        <f>_xlfn.XLOOKUP(C243,'Tabla Articulos'!B:B,'Tabla Articulos'!D:D)</f>
        <v/>
      </c>
      <c r="F243" s="36">
        <f>_xlfn.XLOOKUP(C243,'Tabla Articulos'!B:B,'Tabla Articulos'!E:E)</f>
        <v/>
      </c>
      <c r="G243" s="40">
        <f>SUM(
    SUMIFS(MRP!$H$2:$H$245, MRP!$B$2:$B$245, $C243, MRP!$G$2:$G$245, G$1),
    SUMIFS(MRP!$I$2:$I$245, MRP!$B$2:$B$245, $C243, MRP!$G$2:$G$245, G$1),
    SUMIFS(MRP!$J$2:$J$245, MRP!$B$2:$B$245, $C243,  MRP!$G$2:$G$245, G$1),
    SUMIFS(MRP!$K$2:$K$245, MRP!$B$2:$B$245, $C243,  MRP!$G$2:$G$245, G$1),
    SUMIFS(MRP!$L$2:$L$245, MRP!$B$2:$B$245, $C243,  MRP!$G$2:$G$245, G$1)
)*F243</f>
        <v/>
      </c>
      <c r="H243" s="40">
        <f>SUM(
    SUMIFS(MRP!$H$2:$H$245, MRP!$B$2:$B$245, $C243, MRP!$G$2:$G$245, H$1),
    SUMIFS(MRP!$I$2:$I$245, MRP!$B$2:$B$245, $C243, MRP!$G$2:$G$245, H$1),
    SUMIFS(MRP!$J$2:$J$245, MRP!$B$2:$B$245, $C243,  MRP!$G$2:$G$245, H$1),
    SUMIFS(MRP!$K$2:$K$245, MRP!$B$2:$B$245, $C243,  MRP!$G$2:$G$245, H$1),
    SUMIFS(MRP!$L$2:$L$245, MRP!$B$2:$B$245, $C243,  MRP!$G$2:$G$245, H$1)
)*F243</f>
        <v/>
      </c>
      <c r="I243" s="40">
        <f>SUM(
    SUMIFS(MRP!$H$2:$H$245, MRP!$B$2:$B$245, $C243, MRP!$G$2:$G$245, I$1),
    SUMIFS(MRP!$I$2:$I$245, MRP!$B$2:$B$245, $C243, MRP!$G$2:$G$245, I$1),
    SUMIFS(MRP!$J$2:$J$245, MRP!$B$2:$B$245, $C243,  MRP!$G$2:$G$245, I$1),
    SUMIFS(MRP!$K$2:$K$245, MRP!$B$2:$B$245, $C243,  MRP!$G$2:$G$245, I$1),
    SUMIFS(MRP!$L$2:$L$245, MRP!$B$2:$B$245, $C243,  MRP!$G$2:$G$245, I$1)
)*F243</f>
        <v/>
      </c>
      <c r="J243" s="40">
        <f>SUM(
    SUMIFS(MRP!$H$2:$H$245, MRP!$B$2:$B$245, $C243, MRP!$G$2:$G$245, J$1),
    SUMIFS(MRP!$I$2:$I$245, MRP!$B$2:$B$245, $C243, MRP!$G$2:$G$245, J$1),
    SUMIFS(MRP!$J$2:$J$245, MRP!$B$2:$B$245, $C243,  MRP!$G$2:$G$245, J$1),
    SUMIFS(MRP!$K$2:$K$245, MRP!$B$2:$B$245, $C243,  MRP!$G$2:$G$245, J$1),
    SUMIFS(MRP!$L$2:$L$245, MRP!$B$2:$B$245, $C243,  MRP!$G$2:$G$245, J$1)
)*F243</f>
        <v/>
      </c>
      <c r="K243" s="56">
        <f>SUM(
    SUMIFS(MRP!$H$2:$H$245, MRP!$B$2:$B$245, $C243, MRP!$G$2:$G$245, K$1),
    SUMIFS(MRP!$I$2:$I$245, MRP!$B$2:$B$245, $C243, MRP!$G$2:$G$245, K$1),
    SUMIFS(MRP!$J$2:$J$245, MRP!$B$2:$B$245, $C243,  MRP!$G$2:$G$245, K$1),
    SUMIFS(MRP!$K$2:$K$245, MRP!$B$2:$B$245, $C243,  MRP!$G$2:$G$245, K$1),
    SUMIFS(MRP!$L$2:$L$245, MRP!$B$2:$B$245, $C243,  MRP!$G$2:$G$245, K$1)
)*F243</f>
        <v/>
      </c>
      <c r="L243" s="55">
        <f>TRIM(Tabla3[[#This Row],[CodInternoArti]])</f>
        <v/>
      </c>
    </row>
    <row r="244">
      <c r="A244" s="41">
        <f>IF(ISNUMBER(_xlfn.XMATCH(Tabla3[[#This Row],[CodInternoArti]],'Tabla Articulos'!B:B)),"OK","NO ESTA")</f>
        <v/>
      </c>
      <c r="B244" s="29">
        <f>IF(ISNUMBER(_xlfn.XMATCH('Calcular necesidad'!E:E,'Necesidad por familia'!A:A)),"OK","NO ESTA")</f>
        <v/>
      </c>
      <c r="C244" s="36" t="inlineStr">
        <is>
          <t>7790000000833</t>
        </is>
      </c>
      <c r="D244" s="36" t="inlineStr">
        <is>
          <t>BOWL COMPOSTABLE 960CC X800U</t>
        </is>
      </c>
      <c r="E244" s="36">
        <f>_xlfn.XLOOKUP(C244,'Tabla Articulos'!B:B,'Tabla Articulos'!D:D)</f>
        <v/>
      </c>
      <c r="F244" s="36">
        <f>_xlfn.XLOOKUP(C244,'Tabla Articulos'!B:B,'Tabla Articulos'!E:E)</f>
        <v/>
      </c>
      <c r="G244" s="40">
        <f>SUM(
    SUMIFS(MRP!$H$2:$H$245, MRP!$B$2:$B$245, $C244, MRP!$G$2:$G$245, G$1),
    SUMIFS(MRP!$I$2:$I$245, MRP!$B$2:$B$245, $C244, MRP!$G$2:$G$245, G$1),
    SUMIFS(MRP!$J$2:$J$245, MRP!$B$2:$B$245, $C244,  MRP!$G$2:$G$245, G$1),
    SUMIFS(MRP!$K$2:$K$245, MRP!$B$2:$B$245, $C244,  MRP!$G$2:$G$245, G$1),
    SUMIFS(MRP!$L$2:$L$245, MRP!$B$2:$B$245, $C244,  MRP!$G$2:$G$245, G$1)
)*F244</f>
        <v/>
      </c>
      <c r="H244" s="40">
        <f>SUM(
    SUMIFS(MRP!$H$2:$H$245, MRP!$B$2:$B$245, $C244, MRP!$G$2:$G$245, H$1),
    SUMIFS(MRP!$I$2:$I$245, MRP!$B$2:$B$245, $C244, MRP!$G$2:$G$245, H$1),
    SUMIFS(MRP!$J$2:$J$245, MRP!$B$2:$B$245, $C244,  MRP!$G$2:$G$245, H$1),
    SUMIFS(MRP!$K$2:$K$245, MRP!$B$2:$B$245, $C244,  MRP!$G$2:$G$245, H$1),
    SUMIFS(MRP!$L$2:$L$245, MRP!$B$2:$B$245, $C244,  MRP!$G$2:$G$245, H$1)
)*F244</f>
        <v/>
      </c>
      <c r="I244" s="40">
        <f>SUM(
    SUMIFS(MRP!$H$2:$H$245, MRP!$B$2:$B$245, $C244, MRP!$G$2:$G$245, I$1),
    SUMIFS(MRP!$I$2:$I$245, MRP!$B$2:$B$245, $C244, MRP!$G$2:$G$245, I$1),
    SUMIFS(MRP!$J$2:$J$245, MRP!$B$2:$B$245, $C244,  MRP!$G$2:$G$245, I$1),
    SUMIFS(MRP!$K$2:$K$245, MRP!$B$2:$B$245, $C244,  MRP!$G$2:$G$245, I$1),
    SUMIFS(MRP!$L$2:$L$245, MRP!$B$2:$B$245, $C244,  MRP!$G$2:$G$245, I$1)
)*F244</f>
        <v/>
      </c>
      <c r="J244" s="40">
        <f>SUM(
    SUMIFS(MRP!$H$2:$H$245, MRP!$B$2:$B$245, $C244, MRP!$G$2:$G$245, J$1),
    SUMIFS(MRP!$I$2:$I$245, MRP!$B$2:$B$245, $C244, MRP!$G$2:$G$245, J$1),
    SUMIFS(MRP!$J$2:$J$245, MRP!$B$2:$B$245, $C244,  MRP!$G$2:$G$245, J$1),
    SUMIFS(MRP!$K$2:$K$245, MRP!$B$2:$B$245, $C244,  MRP!$G$2:$G$245, J$1),
    SUMIFS(MRP!$L$2:$L$245, MRP!$B$2:$B$245, $C244,  MRP!$G$2:$G$245, J$1)
)*F244</f>
        <v/>
      </c>
      <c r="K244" s="56">
        <f>SUM(
    SUMIFS(MRP!$H$2:$H$245, MRP!$B$2:$B$245, $C244, MRP!$G$2:$G$245, K$1),
    SUMIFS(MRP!$I$2:$I$245, MRP!$B$2:$B$245, $C244, MRP!$G$2:$G$245, K$1),
    SUMIFS(MRP!$J$2:$J$245, MRP!$B$2:$B$245, $C244,  MRP!$G$2:$G$245, K$1),
    SUMIFS(MRP!$K$2:$K$245, MRP!$B$2:$B$245, $C244,  MRP!$G$2:$G$245, K$1),
    SUMIFS(MRP!$L$2:$L$245, MRP!$B$2:$B$245, $C244,  MRP!$G$2:$G$245, K$1)
)*F244</f>
        <v/>
      </c>
      <c r="L244" s="55">
        <f>TRIM(Tabla3[[#This Row],[CodInternoArti]])</f>
        <v/>
      </c>
    </row>
    <row r="245">
      <c r="A245" s="41">
        <f>IF(ISNUMBER(_xlfn.XMATCH(Tabla3[[#This Row],[CodInternoArti]],'Tabla Articulos'!B:B)),"OK","NO ESTA")</f>
        <v/>
      </c>
      <c r="B245" s="29">
        <f>IF(ISNUMBER(_xlfn.XMATCH('Calcular necesidad'!E:E,'Necesidad por familia'!A:A)),"OK","NO ESTA")</f>
        <v/>
      </c>
      <c r="C245" s="36" t="n">
        <v>7790000000676</v>
      </c>
      <c r="D245" s="36" t="inlineStr">
        <is>
          <t>VASO 8 OZ POLIP BLUE X100U ETISO</t>
        </is>
      </c>
      <c r="E245" s="36">
        <f>_xlfn.XLOOKUP(C245,'Tabla Articulos'!B:B,'Tabla Articulos'!D:D)</f>
        <v/>
      </c>
      <c r="F245" s="36">
        <f>_xlfn.XLOOKUP(C245,'Tabla Articulos'!B:B,'Tabla Articulos'!E:E)</f>
        <v/>
      </c>
      <c r="G245" s="40">
        <f>SUM(
    SUMIFS(MRP!$H$2:$H$245, MRP!$B$2:$B$245, $C245, MRP!$G$2:$G$245, G$1),
    SUMIFS(MRP!$I$2:$I$245, MRP!$B$2:$B$245, $C245, MRP!$G$2:$G$245, G$1),
    SUMIFS(MRP!$J$2:$J$245, MRP!$B$2:$B$245, $C245,  MRP!$G$2:$G$245, G$1),
    SUMIFS(MRP!$K$2:$K$245, MRP!$B$2:$B$245, $C245,  MRP!$G$2:$G$245, G$1),
    SUMIFS(MRP!$L$2:$L$245, MRP!$B$2:$B$245, $C245,  MRP!$G$2:$G$245, G$1)
)*F245</f>
        <v/>
      </c>
      <c r="H245" s="40">
        <f>SUM(
    SUMIFS(MRP!$H$2:$H$245, MRP!$B$2:$B$245, $C245, MRP!$G$2:$G$245, H$1),
    SUMIFS(MRP!$I$2:$I$245, MRP!$B$2:$B$245, $C245, MRP!$G$2:$G$245, H$1),
    SUMIFS(MRP!$J$2:$J$245, MRP!$B$2:$B$245, $C245,  MRP!$G$2:$G$245, H$1),
    SUMIFS(MRP!$K$2:$K$245, MRP!$B$2:$B$245, $C245,  MRP!$G$2:$G$245, H$1),
    SUMIFS(MRP!$L$2:$L$245, MRP!$B$2:$B$245, $C245,  MRP!$G$2:$G$245, H$1)
)*F245</f>
        <v/>
      </c>
      <c r="I245" s="40">
        <f>SUM(
    SUMIFS(MRP!$H$2:$H$245, MRP!$B$2:$B$245, $C245, MRP!$G$2:$G$245, I$1),
    SUMIFS(MRP!$I$2:$I$245, MRP!$B$2:$B$245, $C245, MRP!$G$2:$G$245, I$1),
    SUMIFS(MRP!$J$2:$J$245, MRP!$B$2:$B$245, $C245,  MRP!$G$2:$G$245, I$1),
    SUMIFS(MRP!$K$2:$K$245, MRP!$B$2:$B$245, $C245,  MRP!$G$2:$G$245, I$1),
    SUMIFS(MRP!$L$2:$L$245, MRP!$B$2:$B$245, $C245,  MRP!$G$2:$G$245, I$1)
)*F245</f>
        <v/>
      </c>
      <c r="J245" s="40">
        <f>SUM(
    SUMIFS(MRP!$H$2:$H$245, MRP!$B$2:$B$245, $C245, MRP!$G$2:$G$245, J$1),
    SUMIFS(MRP!$I$2:$I$245, MRP!$B$2:$B$245, $C245, MRP!$G$2:$G$245, J$1),
    SUMIFS(MRP!$J$2:$J$245, MRP!$B$2:$B$245, $C245,  MRP!$G$2:$G$245, J$1),
    SUMIFS(MRP!$K$2:$K$245, MRP!$B$2:$B$245, $C245,  MRP!$G$2:$G$245, J$1),
    SUMIFS(MRP!$L$2:$L$245, MRP!$B$2:$B$245, $C245,  MRP!$G$2:$G$245, J$1)
)*F245</f>
        <v/>
      </c>
      <c r="K245" s="56">
        <f>SUM(
    SUMIFS(MRP!$H$2:$H$245, MRP!$B$2:$B$245, $C245, MRP!$G$2:$G$245, K$1),
    SUMIFS(MRP!$I$2:$I$245, MRP!$B$2:$B$245, $C245, MRP!$G$2:$G$245, K$1),
    SUMIFS(MRP!$J$2:$J$245, MRP!$B$2:$B$245, $C245,  MRP!$G$2:$G$245, K$1),
    SUMIFS(MRP!$K$2:$K$245, MRP!$B$2:$B$245, $C245,  MRP!$G$2:$G$245, K$1),
    SUMIFS(MRP!$L$2:$L$245, MRP!$B$2:$B$245, $C245,  MRP!$G$2:$G$245, K$1)
)*F245</f>
        <v/>
      </c>
      <c r="L245" s="55">
        <f>TRIM(Tabla3[[#This Row],[CodInternoArti]])</f>
        <v/>
      </c>
    </row>
    <row r="246">
      <c r="A246" s="63">
        <f>IF(ISNUMBER(_xlfn.XMATCH(Tabla3[[#This Row],[CodInternoArti]],'Tabla Articulos'!B:B)),"OK","NO ESTA")</f>
        <v/>
      </c>
      <c r="B246" s="19">
        <f>IF(ISNUMBER(_xlfn.XMATCH('Calcular necesidad'!E:E,'Necesidad por familia'!A:A)),"OK","NO ESTA")</f>
        <v/>
      </c>
      <c r="C246" s="1" t="n">
        <v>7790000000711</v>
      </c>
      <c r="D246" s="1" t="inlineStr">
        <is>
          <t>INDIV BLUE ESPECIALIDAD X1000UN</t>
        </is>
      </c>
      <c r="E246" s="1">
        <f>_xlfn.XLOOKUP(C246,'Tabla Articulos'!B:B,'Tabla Articulos'!D:D)</f>
        <v/>
      </c>
      <c r="F246" s="1">
        <f>_xlfn.XLOOKUP(C246,'Tabla Articulos'!B:B,'Tabla Articulos'!E:E)</f>
        <v/>
      </c>
      <c r="G246" s="15">
        <f>SUM(
    SUMIFS(MRP!$H$2:$H$245, MRP!$B$2:$B$245, $C246, MRP!$G$2:$G$245, G$1),
    SUMIFS(MRP!$I$2:$I$245, MRP!$B$2:$B$245, $C246, MRP!$G$2:$G$245, G$1),
    SUMIFS(MRP!$J$2:$J$245, MRP!$B$2:$B$245, $C246,  MRP!$G$2:$G$245, G$1),
    SUMIFS(MRP!$K$2:$K$245, MRP!$B$2:$B$245, $C246,  MRP!$G$2:$G$245, G$1),
    SUMIFS(MRP!$L$2:$L$245, MRP!$B$2:$B$245, $C246,  MRP!$G$2:$G$245, G$1)
)*F246</f>
        <v/>
      </c>
      <c r="H246" s="15">
        <f>SUM(
    SUMIFS(MRP!$H$2:$H$245, MRP!$B$2:$B$245, $C246, MRP!$G$2:$G$245, H$1),
    SUMIFS(MRP!$I$2:$I$245, MRP!$B$2:$B$245, $C246, MRP!$G$2:$G$245, H$1),
    SUMIFS(MRP!$J$2:$J$245, MRP!$B$2:$B$245, $C246,  MRP!$G$2:$G$245, H$1),
    SUMIFS(MRP!$K$2:$K$245, MRP!$B$2:$B$245, $C246,  MRP!$G$2:$G$245, H$1),
    SUMIFS(MRP!$L$2:$L$245, MRP!$B$2:$B$245, $C246,  MRP!$G$2:$G$245, H$1)
)*F246</f>
        <v/>
      </c>
      <c r="I246" s="15">
        <f>SUM(
    SUMIFS(MRP!$H$2:$H$245, MRP!$B$2:$B$245, $C246, MRP!$G$2:$G$245, I$1),
    SUMIFS(MRP!$I$2:$I$245, MRP!$B$2:$B$245, $C246, MRP!$G$2:$G$245, I$1),
    SUMIFS(MRP!$J$2:$J$245, MRP!$B$2:$B$245, $C246,  MRP!$G$2:$G$245, I$1),
    SUMIFS(MRP!$K$2:$K$245, MRP!$B$2:$B$245, $C246,  MRP!$G$2:$G$245, I$1),
    SUMIFS(MRP!$L$2:$L$245, MRP!$B$2:$B$245, $C246,  MRP!$G$2:$G$245, I$1)
)*F246</f>
        <v/>
      </c>
      <c r="J246" s="15">
        <f>SUM(
    SUMIFS(MRP!$H$2:$H$245, MRP!$B$2:$B$245, $C246, MRP!$G$2:$G$245, J$1),
    SUMIFS(MRP!$I$2:$I$245, MRP!$B$2:$B$245, $C246, MRP!$G$2:$G$245, J$1),
    SUMIFS(MRP!$J$2:$J$245, MRP!$B$2:$B$245, $C246,  MRP!$G$2:$G$245, J$1),
    SUMIFS(MRP!$K$2:$K$245, MRP!$B$2:$B$245, $C246,  MRP!$G$2:$G$245, J$1),
    SUMIFS(MRP!$L$2:$L$245, MRP!$B$2:$B$245, $C246,  MRP!$G$2:$G$245, J$1)
)*F246</f>
        <v/>
      </c>
      <c r="K246" s="64">
        <f>SUM(
    SUMIFS(MRP!$H$2:$H$245, MRP!$B$2:$B$245, $C246, MRP!$G$2:$G$245, K$1),
    SUMIFS(MRP!$I$2:$I$245, MRP!$B$2:$B$245, $C246, MRP!$G$2:$G$245, K$1),
    SUMIFS(MRP!$J$2:$J$245, MRP!$B$2:$B$245, $C246,  MRP!$G$2:$G$245, K$1),
    SUMIFS(MRP!$K$2:$K$245, MRP!$B$2:$B$245, $C246,  MRP!$G$2:$G$245, K$1),
    SUMIFS(MRP!$L$2:$L$245, MRP!$B$2:$B$245, $C246,  MRP!$G$2:$G$245, K$1)
)*F246</f>
        <v/>
      </c>
      <c r="L246" s="55">
        <f>TRIM(Tabla3[[#This Row],[CodInternoArti]])</f>
        <v/>
      </c>
    </row>
    <row r="247">
      <c r="A247" s="41">
        <f>IF(ISNUMBER(_xlfn.XMATCH(Tabla3[[#This Row],[CodInternoArti]],'Tabla Articulos'!B:B)),"OK","NO ESTA")</f>
        <v/>
      </c>
      <c r="B247" s="29">
        <f>IF(ISNUMBER(_xlfn.XMATCH('Calcular necesidad'!E:E,'Necesidad por familia'!A:A)),"OK","NO ESTA")</f>
        <v/>
      </c>
      <c r="C247" s="36" t="n">
        <v>714604111788</v>
      </c>
      <c r="D247" s="1" t="inlineStr">
        <is>
          <t>GL CUCHILLOS DESCARTABLES X1000</t>
        </is>
      </c>
      <c r="E247" s="36">
        <f>_xlfn.XLOOKUP(C247,'Tabla Articulos'!B:B,'Tabla Articulos'!D:D)</f>
        <v/>
      </c>
      <c r="F247" s="36">
        <f>_xlfn.XLOOKUP(C247,'Tabla Articulos'!B:B,'Tabla Articulos'!E:E)</f>
        <v/>
      </c>
      <c r="G247" s="40">
        <f>SUM(
    SUMIFS(MRP!$H$2:$H$245, MRP!$B$2:$B$245, $C247, MRP!$G$2:$G$245, G$1),
    SUMIFS(MRP!$I$2:$I$245, MRP!$B$2:$B$245, $C247, MRP!$G$2:$G$245, G$1),
    SUMIFS(MRP!$J$2:$J$245, MRP!$B$2:$B$245, $C247,  MRP!$G$2:$G$245, G$1),
    SUMIFS(MRP!$K$2:$K$245, MRP!$B$2:$B$245, $C247,  MRP!$G$2:$G$245, G$1),
    SUMIFS(MRP!$L$2:$L$245, MRP!$B$2:$B$245, $C247,  MRP!$G$2:$G$245, G$1)
)*F247</f>
        <v/>
      </c>
      <c r="H247" s="40">
        <f>SUM(
    SUMIFS(MRP!$H$2:$H$245, MRP!$B$2:$B$245, $C247, MRP!$G$2:$G$245, H$1),
    SUMIFS(MRP!$I$2:$I$245, MRP!$B$2:$B$245, $C247, MRP!$G$2:$G$245, H$1),
    SUMIFS(MRP!$J$2:$J$245, MRP!$B$2:$B$245, $C247,  MRP!$G$2:$G$245, H$1),
    SUMIFS(MRP!$K$2:$K$245, MRP!$B$2:$B$245, $C247,  MRP!$G$2:$G$245, H$1),
    SUMIFS(MRP!$L$2:$L$245, MRP!$B$2:$B$245, $C247,  MRP!$G$2:$G$245, H$1)
)*F247</f>
        <v/>
      </c>
      <c r="I247" s="40">
        <f>SUM(
    SUMIFS(MRP!$H$2:$H$245, MRP!$B$2:$B$245, $C247, MRP!$G$2:$G$245, I$1),
    SUMIFS(MRP!$I$2:$I$245, MRP!$B$2:$B$245, $C247, MRP!$G$2:$G$245, I$1),
    SUMIFS(MRP!$J$2:$J$245, MRP!$B$2:$B$245, $C247,  MRP!$G$2:$G$245, I$1),
    SUMIFS(MRP!$K$2:$K$245, MRP!$B$2:$B$245, $C247,  MRP!$G$2:$G$245, I$1),
    SUMIFS(MRP!$L$2:$L$245, MRP!$B$2:$B$245, $C247,  MRP!$G$2:$G$245, I$1)
)*F247</f>
        <v/>
      </c>
      <c r="J247" s="40">
        <f>SUM(
    SUMIFS(MRP!$H$2:$H$245, MRP!$B$2:$B$245, $C247, MRP!$G$2:$G$245, J$1),
    SUMIFS(MRP!$I$2:$I$245, MRP!$B$2:$B$245, $C247, MRP!$G$2:$G$245, J$1),
    SUMIFS(MRP!$J$2:$J$245, MRP!$B$2:$B$245, $C247,  MRP!$G$2:$G$245, J$1),
    SUMIFS(MRP!$K$2:$K$245, MRP!$B$2:$B$245, $C247,  MRP!$G$2:$G$245, J$1),
    SUMIFS(MRP!$L$2:$L$245, MRP!$B$2:$B$245, $C247,  MRP!$G$2:$G$245, J$1)
)*F247</f>
        <v/>
      </c>
      <c r="K247" s="56">
        <f>SUM(
    SUMIFS(MRP!$H$2:$H$245, MRP!$B$2:$B$245, $C247, MRP!$G$2:$G$245, K$1),
    SUMIFS(MRP!$I$2:$I$245, MRP!$B$2:$B$245, $C247, MRP!$G$2:$G$245, K$1),
    SUMIFS(MRP!$J$2:$J$245, MRP!$B$2:$B$245, $C247,  MRP!$G$2:$G$245, K$1),
    SUMIFS(MRP!$K$2:$K$245, MRP!$B$2:$B$245, $C247,  MRP!$G$2:$G$245, K$1),
    SUMIFS(MRP!$L$2:$L$245, MRP!$B$2:$B$245, $C247,  MRP!$G$2:$G$245, K$1)
)*F247</f>
        <v/>
      </c>
      <c r="L247" s="55">
        <f>TRIM(Tabla3[[#This Row],[CodInternoArti]])</f>
        <v/>
      </c>
    </row>
    <row r="248">
      <c r="A248" s="41">
        <f>IF(ISNUMBER(_xlfn.XMATCH(Tabla3[[#This Row],[CodInternoArti]],'Tabla Articulos'!B:B)),"OK","NO ESTA")</f>
        <v/>
      </c>
      <c r="B248" s="29">
        <f>IF(ISNUMBER(_xlfn.XMATCH('Calcular necesidad'!E:E,'Necesidad por familia'!A:A)),"OK","NO ESTA")</f>
        <v/>
      </c>
      <c r="C248" s="36" t="n">
        <v>714604111849</v>
      </c>
      <c r="D248" s="1" t="inlineStr">
        <is>
          <t>CUCHARA SUNDAE BCA X1000U OASIS</t>
        </is>
      </c>
      <c r="E248" s="36">
        <f>_xlfn.XLOOKUP(C248,'Tabla Articulos'!B:B,'Tabla Articulos'!D:D)</f>
        <v/>
      </c>
      <c r="F248" s="36">
        <f>_xlfn.XLOOKUP(C248,'Tabla Articulos'!B:B,'Tabla Articulos'!E:E)</f>
        <v/>
      </c>
      <c r="G248" s="40">
        <f>SUM(
    SUMIFS(MRP!$H$2:$H$245, MRP!$B$2:$B$245, $C248, MRP!$G$2:$G$245, G$1),
    SUMIFS(MRP!$I$2:$I$245, MRP!$B$2:$B$245, $C248, MRP!$G$2:$G$245, G$1),
    SUMIFS(MRP!$J$2:$J$245, MRP!$B$2:$B$245, $C248,  MRP!$G$2:$G$245, G$1),
    SUMIFS(MRP!$K$2:$K$245, MRP!$B$2:$B$245, $C248,  MRP!$G$2:$G$245, G$1),
    SUMIFS(MRP!$L$2:$L$245, MRP!$B$2:$B$245, $C248,  MRP!$G$2:$G$245, G$1)
)*F248</f>
        <v/>
      </c>
      <c r="H248" s="40">
        <f>SUM(
    SUMIFS(MRP!$H$2:$H$245, MRP!$B$2:$B$245, $C248, MRP!$G$2:$G$245, H$1),
    SUMIFS(MRP!$I$2:$I$245, MRP!$B$2:$B$245, $C248, MRP!$G$2:$G$245, H$1),
    SUMIFS(MRP!$J$2:$J$245, MRP!$B$2:$B$245, $C248,  MRP!$G$2:$G$245, H$1),
    SUMIFS(MRP!$K$2:$K$245, MRP!$B$2:$B$245, $C248,  MRP!$G$2:$G$245, H$1),
    SUMIFS(MRP!$L$2:$L$245, MRP!$B$2:$B$245, $C248,  MRP!$G$2:$G$245, H$1)
)*F248</f>
        <v/>
      </c>
      <c r="I248" s="40">
        <f>SUM(
    SUMIFS(MRP!$H$2:$H$245, MRP!$B$2:$B$245, $C248, MRP!$G$2:$G$245, I$1),
    SUMIFS(MRP!$I$2:$I$245, MRP!$B$2:$B$245, $C248, MRP!$G$2:$G$245, I$1),
    SUMIFS(MRP!$J$2:$J$245, MRP!$B$2:$B$245, $C248,  MRP!$G$2:$G$245, I$1),
    SUMIFS(MRP!$K$2:$K$245, MRP!$B$2:$B$245, $C248,  MRP!$G$2:$G$245, I$1),
    SUMIFS(MRP!$L$2:$L$245, MRP!$B$2:$B$245, $C248,  MRP!$G$2:$G$245, I$1)
)*F248</f>
        <v/>
      </c>
      <c r="J248" s="40">
        <f>SUM(
    SUMIFS(MRP!$H$2:$H$245, MRP!$B$2:$B$245, $C248, MRP!$G$2:$G$245, J$1),
    SUMIFS(MRP!$I$2:$I$245, MRP!$B$2:$B$245, $C248, MRP!$G$2:$G$245, J$1),
    SUMIFS(MRP!$J$2:$J$245, MRP!$B$2:$B$245, $C248,  MRP!$G$2:$G$245, J$1),
    SUMIFS(MRP!$K$2:$K$245, MRP!$B$2:$B$245, $C248,  MRP!$G$2:$G$245, J$1),
    SUMIFS(MRP!$L$2:$L$245, MRP!$B$2:$B$245, $C248,  MRP!$G$2:$G$245, J$1)
)*F248</f>
        <v/>
      </c>
      <c r="K248" s="56">
        <f>SUM(
    SUMIFS(MRP!$H$2:$H$245, MRP!$B$2:$B$245, $C248, MRP!$G$2:$G$245, K$1),
    SUMIFS(MRP!$I$2:$I$245, MRP!$B$2:$B$245, $C248, MRP!$G$2:$G$245, K$1),
    SUMIFS(MRP!$J$2:$J$245, MRP!$B$2:$B$245, $C248,  MRP!$G$2:$G$245, K$1),
    SUMIFS(MRP!$K$2:$K$245, MRP!$B$2:$B$245, $C248,  MRP!$G$2:$G$245, K$1),
    SUMIFS(MRP!$L$2:$L$245, MRP!$B$2:$B$245, $C248,  MRP!$G$2:$G$245, K$1)
)*F248</f>
        <v/>
      </c>
      <c r="L248" s="55">
        <f>TRIM(Tabla3[[#This Row],[CodInternoArti]])</f>
        <v/>
      </c>
    </row>
    <row r="249">
      <c r="A249" s="63">
        <f>IF(ISNUMBER(_xlfn.XMATCH(Tabla3[[#This Row],[CodInternoArti]],'Tabla Articulos'!B:B)),"OK","NO ESTA")</f>
        <v/>
      </c>
      <c r="B249" s="19">
        <f>IF(ISNUMBER(_xlfn.XMATCH('Calcular necesidad'!E:E,'Necesidad por familia'!A:A)),"OK","NO ESTA")</f>
        <v/>
      </c>
      <c r="C249" s="1" t="n">
        <v>7790000000904</v>
      </c>
      <c r="D249" s="1" t="inlineStr">
        <is>
          <t>MANGA TERMICA 12 OZ BLUE XUN</t>
        </is>
      </c>
      <c r="E249" s="1">
        <f>_xlfn.XLOOKUP(C249,'Tabla Articulos'!B:B,'Tabla Articulos'!D:D)</f>
        <v/>
      </c>
      <c r="F249" s="1">
        <f>_xlfn.XLOOKUP(C249,'Tabla Articulos'!B:B,'Tabla Articulos'!E:E)</f>
        <v/>
      </c>
      <c r="G249" s="15">
        <f>SUM(
    SUMIFS(MRP!$H$2:$H$245, MRP!$B$2:$B$245, $C249, MRP!$G$2:$G$245, G$1),
    SUMIFS(MRP!$I$2:$I$245, MRP!$B$2:$B$245, $C249, MRP!$G$2:$G$245, G$1),
    SUMIFS(MRP!$J$2:$J$245, MRP!$B$2:$B$245, $C249,  MRP!$G$2:$G$245, G$1),
    SUMIFS(MRP!$K$2:$K$245, MRP!$B$2:$B$245, $C249,  MRP!$G$2:$G$245, G$1),
    SUMIFS(MRP!$L$2:$L$245, MRP!$B$2:$B$245, $C249,  MRP!$G$2:$G$245, G$1)
)*F249</f>
        <v/>
      </c>
      <c r="H249" s="15">
        <f>SUM(
    SUMIFS(MRP!$H$2:$H$245, MRP!$B$2:$B$245, $C249, MRP!$G$2:$G$245, H$1),
    SUMIFS(MRP!$I$2:$I$245, MRP!$B$2:$B$245, $C249, MRP!$G$2:$G$245, H$1),
    SUMIFS(MRP!$J$2:$J$245, MRP!$B$2:$B$245, $C249,  MRP!$G$2:$G$245, H$1),
    SUMIFS(MRP!$K$2:$K$245, MRP!$B$2:$B$245, $C249,  MRP!$G$2:$G$245, H$1),
    SUMIFS(MRP!$L$2:$L$245, MRP!$B$2:$B$245, $C249,  MRP!$G$2:$G$245, H$1)
)*F249</f>
        <v/>
      </c>
      <c r="I249" s="15">
        <f>SUM(
    SUMIFS(MRP!$H$2:$H$245, MRP!$B$2:$B$245, $C249, MRP!$G$2:$G$245, I$1),
    SUMIFS(MRP!$I$2:$I$245, MRP!$B$2:$B$245, $C249, MRP!$G$2:$G$245, I$1),
    SUMIFS(MRP!$J$2:$J$245, MRP!$B$2:$B$245, $C249,  MRP!$G$2:$G$245, I$1),
    SUMIFS(MRP!$K$2:$K$245, MRP!$B$2:$B$245, $C249,  MRP!$G$2:$G$245, I$1),
    SUMIFS(MRP!$L$2:$L$245, MRP!$B$2:$B$245, $C249,  MRP!$G$2:$G$245, I$1)
)*F249</f>
        <v/>
      </c>
      <c r="J249" s="15">
        <f>SUM(
    SUMIFS(MRP!$H$2:$H$245, MRP!$B$2:$B$245, $C249, MRP!$G$2:$G$245, J$1),
    SUMIFS(MRP!$I$2:$I$245, MRP!$B$2:$B$245, $C249, MRP!$G$2:$G$245, J$1),
    SUMIFS(MRP!$J$2:$J$245, MRP!$B$2:$B$245, $C249,  MRP!$G$2:$G$245, J$1),
    SUMIFS(MRP!$K$2:$K$245, MRP!$B$2:$B$245, $C249,  MRP!$G$2:$G$245, J$1),
    SUMIFS(MRP!$L$2:$L$245, MRP!$B$2:$B$245, $C249,  MRP!$G$2:$G$245, J$1)
)*F249</f>
        <v/>
      </c>
      <c r="K249" s="64">
        <f>SUM(
    SUMIFS(MRP!$H$2:$H$245, MRP!$B$2:$B$245, $C249, MRP!$G$2:$G$245, K$1),
    SUMIFS(MRP!$I$2:$I$245, MRP!$B$2:$B$245, $C249, MRP!$G$2:$G$245, K$1),
    SUMIFS(MRP!$J$2:$J$245, MRP!$B$2:$B$245, $C249,  MRP!$G$2:$G$245, K$1),
    SUMIFS(MRP!$K$2:$K$245, MRP!$B$2:$B$245, $C249,  MRP!$G$2:$G$245, K$1),
    SUMIFS(MRP!$L$2:$L$245, MRP!$B$2:$B$245, $C249,  MRP!$G$2:$G$245, K$1)
)*F249</f>
        <v/>
      </c>
      <c r="L249" s="55">
        <f>TRIM(Tabla3[[#This Row],[CodInternoArti]])</f>
        <v/>
      </c>
    </row>
    <row r="250">
      <c r="A250" s="41">
        <f>IF(ISNUMBER(_xlfn.XMATCH(Tabla3[[#This Row],[CodInternoArti]],'Tabla Articulos'!B:B)),"OK","NO ESTA")</f>
        <v/>
      </c>
      <c r="B250" s="29">
        <f>IF(ISNUMBER(_xlfn.XMATCH('Calcular necesidad'!E:E,'Necesidad por familia'!A:A)),"OK","NO ESTA")</f>
        <v/>
      </c>
      <c r="C250" s="36" t="n">
        <v>7790000000897</v>
      </c>
      <c r="D250" s="1" t="inlineStr">
        <is>
          <t>PORTA VASOSC/MANIJABLUEX100U</t>
        </is>
      </c>
      <c r="E250" s="36">
        <f>_xlfn.XLOOKUP(C250,'Tabla Articulos'!B:B,'Tabla Articulos'!D:D)</f>
        <v/>
      </c>
      <c r="F250" s="36">
        <f>_xlfn.XLOOKUP(C250,'Tabla Articulos'!B:B,'Tabla Articulos'!E:E)</f>
        <v/>
      </c>
      <c r="G250" s="40">
        <f>SUM(
    SUMIFS(MRP!$H$2:$H$245, MRP!$B$2:$B$245, $C250, MRP!$G$2:$G$245, G$1),
    SUMIFS(MRP!$I$2:$I$245, MRP!$B$2:$B$245, $C250, MRP!$G$2:$G$245, G$1),
    SUMIFS(MRP!$J$2:$J$245, MRP!$B$2:$B$245, $C250,  MRP!$G$2:$G$245, G$1),
    SUMIFS(MRP!$K$2:$K$245, MRP!$B$2:$B$245, $C250,  MRP!$G$2:$G$245, G$1),
    SUMIFS(MRP!$L$2:$L$245, MRP!$B$2:$B$245, $C250,  MRP!$G$2:$G$245, G$1)
)*F250</f>
        <v/>
      </c>
      <c r="H250" s="40">
        <f>SUM(
    SUMIFS(MRP!$H$2:$H$245, MRP!$B$2:$B$245, $C250, MRP!$G$2:$G$245, H$1),
    SUMIFS(MRP!$I$2:$I$245, MRP!$B$2:$B$245, $C250, MRP!$G$2:$G$245, H$1),
    SUMIFS(MRP!$J$2:$J$245, MRP!$B$2:$B$245, $C250,  MRP!$G$2:$G$245, H$1),
    SUMIFS(MRP!$K$2:$K$245, MRP!$B$2:$B$245, $C250,  MRP!$G$2:$G$245, H$1),
    SUMIFS(MRP!$L$2:$L$245, MRP!$B$2:$B$245, $C250,  MRP!$G$2:$G$245, H$1)
)*F250</f>
        <v/>
      </c>
      <c r="I250" s="40">
        <f>SUM(
    SUMIFS(MRP!$H$2:$H$245, MRP!$B$2:$B$245, $C250, MRP!$G$2:$G$245, I$1),
    SUMIFS(MRP!$I$2:$I$245, MRP!$B$2:$B$245, $C250, MRP!$G$2:$G$245, I$1),
    SUMIFS(MRP!$J$2:$J$245, MRP!$B$2:$B$245, $C250,  MRP!$G$2:$G$245, I$1),
    SUMIFS(MRP!$K$2:$K$245, MRP!$B$2:$B$245, $C250,  MRP!$G$2:$G$245, I$1),
    SUMIFS(MRP!$L$2:$L$245, MRP!$B$2:$B$245, $C250,  MRP!$G$2:$G$245, I$1)
)*F250</f>
        <v/>
      </c>
      <c r="J250" s="40">
        <f>SUM(
    SUMIFS(MRP!$H$2:$H$245, MRP!$B$2:$B$245, $C250, MRP!$G$2:$G$245, J$1),
    SUMIFS(MRP!$I$2:$I$245, MRP!$B$2:$B$245, $C250, MRP!$G$2:$G$245, J$1),
    SUMIFS(MRP!$J$2:$J$245, MRP!$B$2:$B$245, $C250,  MRP!$G$2:$G$245, J$1),
    SUMIFS(MRP!$K$2:$K$245, MRP!$B$2:$B$245, $C250,  MRP!$G$2:$G$245, J$1),
    SUMIFS(MRP!$L$2:$L$245, MRP!$B$2:$B$245, $C250,  MRP!$G$2:$G$245, J$1)
)*F250</f>
        <v/>
      </c>
      <c r="K250" s="56">
        <f>SUM(
    SUMIFS(MRP!$H$2:$H$245, MRP!$B$2:$B$245, $C250, MRP!$G$2:$G$245, K$1),
    SUMIFS(MRP!$I$2:$I$245, MRP!$B$2:$B$245, $C250, MRP!$G$2:$G$245, K$1),
    SUMIFS(MRP!$J$2:$J$245, MRP!$B$2:$B$245, $C250,  MRP!$G$2:$G$245, K$1),
    SUMIFS(MRP!$K$2:$K$245, MRP!$B$2:$B$245, $C250,  MRP!$G$2:$G$245, K$1),
    SUMIFS(MRP!$L$2:$L$245, MRP!$B$2:$B$245, $C250,  MRP!$G$2:$G$245, K$1)
)*F250</f>
        <v/>
      </c>
      <c r="L250" s="55">
        <f>TRIM(Tabla3[[#This Row],[CodInternoArti]])</f>
        <v/>
      </c>
    </row>
    <row r="251">
      <c r="A251" s="41">
        <f>IF(ISNUMBER(_xlfn.XMATCH(Tabla3[[#This Row],[CodInternoArti]],'Tabla Articulos'!B:B)),"OK","NO ESTA")</f>
        <v/>
      </c>
      <c r="B251" s="29">
        <f>IF(ISNUMBER(_xlfn.XMATCH('Calcular necesidad'!E:E,'Necesidad por familia'!A:A)),"OK","NO ESTA")</f>
        <v/>
      </c>
      <c r="C251" s="36" t="n">
        <v>7790000000710</v>
      </c>
      <c r="D251" s="1" t="inlineStr">
        <is>
          <t>INDIVIDUAL BLUE PERFECTO X1000UN</t>
        </is>
      </c>
      <c r="E251" s="36">
        <f>_xlfn.XLOOKUP(C251,'Tabla Articulos'!B:B,'Tabla Articulos'!D:D)</f>
        <v/>
      </c>
      <c r="F251" s="36">
        <f>_xlfn.XLOOKUP(C251,'Tabla Articulos'!B:B,'Tabla Articulos'!E:E)</f>
        <v/>
      </c>
      <c r="G251" s="40">
        <f>SUM(
    SUMIFS(MRP!$H$2:$H$245, MRP!$B$2:$B$245, $C251, MRP!$G$2:$G$245, G$1),
    SUMIFS(MRP!$I$2:$I$245, MRP!$B$2:$B$245, $C251, MRP!$G$2:$G$245, G$1),
    SUMIFS(MRP!$J$2:$J$245, MRP!$B$2:$B$245, $C251,  MRP!$G$2:$G$245, G$1),
    SUMIFS(MRP!$K$2:$K$245, MRP!$B$2:$B$245, $C251,  MRP!$G$2:$G$245, G$1),
    SUMIFS(MRP!$L$2:$L$245, MRP!$B$2:$B$245, $C251,  MRP!$G$2:$G$245, G$1)
)*F251</f>
        <v/>
      </c>
      <c r="H251" s="40">
        <f>SUM(
    SUMIFS(MRP!$H$2:$H$245, MRP!$B$2:$B$245, $C251, MRP!$G$2:$G$245, H$1),
    SUMIFS(MRP!$I$2:$I$245, MRP!$B$2:$B$245, $C251, MRP!$G$2:$G$245, H$1),
    SUMIFS(MRP!$J$2:$J$245, MRP!$B$2:$B$245, $C251,  MRP!$G$2:$G$245, H$1),
    SUMIFS(MRP!$K$2:$K$245, MRP!$B$2:$B$245, $C251,  MRP!$G$2:$G$245, H$1),
    SUMIFS(MRP!$L$2:$L$245, MRP!$B$2:$B$245, $C251,  MRP!$G$2:$G$245, H$1)
)*F251</f>
        <v/>
      </c>
      <c r="I251" s="40">
        <f>SUM(
    SUMIFS(MRP!$H$2:$H$245, MRP!$B$2:$B$245, $C251, MRP!$G$2:$G$245, I$1),
    SUMIFS(MRP!$I$2:$I$245, MRP!$B$2:$B$245, $C251, MRP!$G$2:$G$245, I$1),
    SUMIFS(MRP!$J$2:$J$245, MRP!$B$2:$B$245, $C251,  MRP!$G$2:$G$245, I$1),
    SUMIFS(MRP!$K$2:$K$245, MRP!$B$2:$B$245, $C251,  MRP!$G$2:$G$245, I$1),
    SUMIFS(MRP!$L$2:$L$245, MRP!$B$2:$B$245, $C251,  MRP!$G$2:$G$245, I$1)
)*F251</f>
        <v/>
      </c>
      <c r="J251" s="40">
        <f>SUM(
    SUMIFS(MRP!$H$2:$H$245, MRP!$B$2:$B$245, $C251, MRP!$G$2:$G$245, J$1),
    SUMIFS(MRP!$I$2:$I$245, MRP!$B$2:$B$245, $C251, MRP!$G$2:$G$245, J$1),
    SUMIFS(MRP!$J$2:$J$245, MRP!$B$2:$B$245, $C251,  MRP!$G$2:$G$245, J$1),
    SUMIFS(MRP!$K$2:$K$245, MRP!$B$2:$B$245, $C251,  MRP!$G$2:$G$245, J$1),
    SUMIFS(MRP!$L$2:$L$245, MRP!$B$2:$B$245, $C251,  MRP!$G$2:$G$245, J$1)
)*F251</f>
        <v/>
      </c>
      <c r="K251" s="56">
        <f>SUM(
    SUMIFS(MRP!$H$2:$H$245, MRP!$B$2:$B$245, $C251, MRP!$G$2:$G$245, K$1),
    SUMIFS(MRP!$I$2:$I$245, MRP!$B$2:$B$245, $C251, MRP!$G$2:$G$245, K$1),
    SUMIFS(MRP!$J$2:$J$245, MRP!$B$2:$B$245, $C251,  MRP!$G$2:$G$245, K$1),
    SUMIFS(MRP!$K$2:$K$245, MRP!$B$2:$B$245, $C251,  MRP!$G$2:$G$245, K$1),
    SUMIFS(MRP!$L$2:$L$245, MRP!$B$2:$B$245, $C251,  MRP!$G$2:$G$245, K$1)
)*F251</f>
        <v/>
      </c>
      <c r="L251" s="55">
        <f>TRIM(Tabla3[[#This Row],[CodInternoArti]])</f>
        <v/>
      </c>
    </row>
    <row r="252">
      <c r="A252" s="41">
        <f>IF(ISNUMBER(_xlfn.XMATCH(Tabla3[[#This Row],[CodInternoArti]],'Tabla Articulos'!B:B)),"OK","NO ESTA")</f>
        <v/>
      </c>
      <c r="B252" s="29">
        <f>IF(ISNUMBER(_xlfn.XMATCH('Calcular necesidad'!E:E,'Necesidad por familia'!A:A)),"OK","NO ESTA")</f>
        <v/>
      </c>
      <c r="C252" s="36" t="n">
        <v>7790000000902</v>
      </c>
      <c r="D252" s="1" t="inlineStr">
        <is>
          <t>BOLSA KRAFT FM8 BLUE X100U</t>
        </is>
      </c>
      <c r="E252" s="36">
        <f>_xlfn.XLOOKUP(C252,'Tabla Articulos'!B:B,'Tabla Articulos'!D:D)</f>
        <v/>
      </c>
      <c r="F252" s="36">
        <f>_xlfn.XLOOKUP(C252,'Tabla Articulos'!B:B,'Tabla Articulos'!E:E)</f>
        <v/>
      </c>
      <c r="G252" s="40">
        <f>SUM(
    SUMIFS(MRP!$H$2:$H$245, MRP!$B$2:$B$245, $C252, MRP!$G$2:$G$245, G$1),
    SUMIFS(MRP!$I$2:$I$245, MRP!$B$2:$B$245, $C252, MRP!$G$2:$G$245, G$1),
    SUMIFS(MRP!$J$2:$J$245, MRP!$B$2:$B$245, $C252,  MRP!$G$2:$G$245, G$1),
    SUMIFS(MRP!$K$2:$K$245, MRP!$B$2:$B$245, $C252,  MRP!$G$2:$G$245, G$1),
    SUMIFS(MRP!$L$2:$L$245, MRP!$B$2:$B$245, $C252,  MRP!$G$2:$G$245, G$1)
)*F252</f>
        <v/>
      </c>
      <c r="H252" s="40">
        <f>SUM(
    SUMIFS(MRP!$H$2:$H$245, MRP!$B$2:$B$245, $C252, MRP!$G$2:$G$245, H$1),
    SUMIFS(MRP!$I$2:$I$245, MRP!$B$2:$B$245, $C252, MRP!$G$2:$G$245, H$1),
    SUMIFS(MRP!$J$2:$J$245, MRP!$B$2:$B$245, $C252,  MRP!$G$2:$G$245, H$1),
    SUMIFS(MRP!$K$2:$K$245, MRP!$B$2:$B$245, $C252,  MRP!$G$2:$G$245, H$1),
    SUMIFS(MRP!$L$2:$L$245, MRP!$B$2:$B$245, $C252,  MRP!$G$2:$G$245, H$1)
)*F252</f>
        <v/>
      </c>
      <c r="I252" s="40">
        <f>SUM(
    SUMIFS(MRP!$H$2:$H$245, MRP!$B$2:$B$245, $C252, MRP!$G$2:$G$245, I$1),
    SUMIFS(MRP!$I$2:$I$245, MRP!$B$2:$B$245, $C252, MRP!$G$2:$G$245, I$1),
    SUMIFS(MRP!$J$2:$J$245, MRP!$B$2:$B$245, $C252,  MRP!$G$2:$G$245, I$1),
    SUMIFS(MRP!$K$2:$K$245, MRP!$B$2:$B$245, $C252,  MRP!$G$2:$G$245, I$1),
    SUMIFS(MRP!$L$2:$L$245, MRP!$B$2:$B$245, $C252,  MRP!$G$2:$G$245, I$1)
)*F252</f>
        <v/>
      </c>
      <c r="J252" s="40">
        <f>SUM(
    SUMIFS(MRP!$H$2:$H$245, MRP!$B$2:$B$245, $C252, MRP!$G$2:$G$245, J$1),
    SUMIFS(MRP!$I$2:$I$245, MRP!$B$2:$B$245, $C252, MRP!$G$2:$G$245, J$1),
    SUMIFS(MRP!$J$2:$J$245, MRP!$B$2:$B$245, $C252,  MRP!$G$2:$G$245, J$1),
    SUMIFS(MRP!$K$2:$K$245, MRP!$B$2:$B$245, $C252,  MRP!$G$2:$G$245, J$1),
    SUMIFS(MRP!$L$2:$L$245, MRP!$B$2:$B$245, $C252,  MRP!$G$2:$G$245, J$1)
)*F252</f>
        <v/>
      </c>
      <c r="K252" s="56">
        <f>SUM(
    SUMIFS(MRP!$H$2:$H$245, MRP!$B$2:$B$245, $C252, MRP!$G$2:$G$245, K$1),
    SUMIFS(MRP!$I$2:$I$245, MRP!$B$2:$B$245, $C252, MRP!$G$2:$G$245, K$1),
    SUMIFS(MRP!$J$2:$J$245, MRP!$B$2:$B$245, $C252,  MRP!$G$2:$G$245, K$1),
    SUMIFS(MRP!$K$2:$K$245, MRP!$B$2:$B$245, $C252,  MRP!$G$2:$G$245, K$1),
    SUMIFS(MRP!$L$2:$L$245, MRP!$B$2:$B$245, $C252,  MRP!$G$2:$G$245, K$1)
)*F252</f>
        <v/>
      </c>
      <c r="L252" s="55">
        <f>TRIM(Tabla3[[#This Row],[CodInternoArti]])</f>
        <v/>
      </c>
    </row>
    <row r="253">
      <c r="A253" s="63">
        <f>IF(ISNUMBER(_xlfn.XMATCH(Tabla3[[#This Row],[CodInternoArti]],'Tabla Articulos'!B:B)),"OK","NO ESTA")</f>
        <v/>
      </c>
      <c r="B253" s="19">
        <f>IF(ISNUMBER(_xlfn.XMATCH('Calcular necesidad'!E:E,'Necesidad por familia'!A:A)),"OK","NO ESTA")</f>
        <v/>
      </c>
      <c r="C253" s="1" t="n">
        <v>7790000000899</v>
      </c>
      <c r="D253" s="1" t="inlineStr">
        <is>
          <t>TAPA 12 0Z BLUE X UN</t>
        </is>
      </c>
      <c r="E253" s="1">
        <f>_xlfn.XLOOKUP(C253,'Tabla Articulos'!B:B,'Tabla Articulos'!D:D)</f>
        <v/>
      </c>
      <c r="F253" s="1">
        <f>_xlfn.XLOOKUP(C253,'Tabla Articulos'!B:B,'Tabla Articulos'!E:E)</f>
        <v/>
      </c>
      <c r="G253" s="15">
        <f>SUM(
    SUMIFS(MRP!$H$2:$H$245, MRP!$B$2:$B$245, $C253, MRP!$G$2:$G$245, G$1),
    SUMIFS(MRP!$I$2:$I$245, MRP!$B$2:$B$245, $C253, MRP!$G$2:$G$245, G$1),
    SUMIFS(MRP!$J$2:$J$245, MRP!$B$2:$B$245, $C253,  MRP!$G$2:$G$245, G$1),
    SUMIFS(MRP!$K$2:$K$245, MRP!$B$2:$B$245, $C253,  MRP!$G$2:$G$245, G$1),
    SUMIFS(MRP!$L$2:$L$245, MRP!$B$2:$B$245, $C253,  MRP!$G$2:$G$245, G$1)
)*F253</f>
        <v/>
      </c>
      <c r="H253" s="15">
        <f>SUM(
    SUMIFS(MRP!$H$2:$H$245, MRP!$B$2:$B$245, $C253, MRP!$G$2:$G$245, H$1),
    SUMIFS(MRP!$I$2:$I$245, MRP!$B$2:$B$245, $C253, MRP!$G$2:$G$245, H$1),
    SUMIFS(MRP!$J$2:$J$245, MRP!$B$2:$B$245, $C253,  MRP!$G$2:$G$245, H$1),
    SUMIFS(MRP!$K$2:$K$245, MRP!$B$2:$B$245, $C253,  MRP!$G$2:$G$245, H$1),
    SUMIFS(MRP!$L$2:$L$245, MRP!$B$2:$B$245, $C253,  MRP!$G$2:$G$245, H$1)
)*F253</f>
        <v/>
      </c>
      <c r="I253" s="15">
        <f>SUM(
    SUMIFS(MRP!$H$2:$H$245, MRP!$B$2:$B$245, $C253, MRP!$G$2:$G$245, I$1),
    SUMIFS(MRP!$I$2:$I$245, MRP!$B$2:$B$245, $C253, MRP!$G$2:$G$245, I$1),
    SUMIFS(MRP!$J$2:$J$245, MRP!$B$2:$B$245, $C253,  MRP!$G$2:$G$245, I$1),
    SUMIFS(MRP!$K$2:$K$245, MRP!$B$2:$B$245, $C253,  MRP!$G$2:$G$245, I$1),
    SUMIFS(MRP!$L$2:$L$245, MRP!$B$2:$B$245, $C253,  MRP!$G$2:$G$245, I$1)
)*F253</f>
        <v/>
      </c>
      <c r="J253" s="15">
        <f>SUM(
    SUMIFS(MRP!$H$2:$H$245, MRP!$B$2:$B$245, $C253, MRP!$G$2:$G$245, J$1),
    SUMIFS(MRP!$I$2:$I$245, MRP!$B$2:$B$245, $C253, MRP!$G$2:$G$245, J$1),
    SUMIFS(MRP!$J$2:$J$245, MRP!$B$2:$B$245, $C253,  MRP!$G$2:$G$245, J$1),
    SUMIFS(MRP!$K$2:$K$245, MRP!$B$2:$B$245, $C253,  MRP!$G$2:$G$245, J$1),
    SUMIFS(MRP!$L$2:$L$245, MRP!$B$2:$B$245, $C253,  MRP!$G$2:$G$245, J$1)
)*F253</f>
        <v/>
      </c>
      <c r="K253" s="64">
        <f>SUM(
    SUMIFS(MRP!$H$2:$H$245, MRP!$B$2:$B$245, $C253, MRP!$G$2:$G$245, K$1),
    SUMIFS(MRP!$I$2:$I$245, MRP!$B$2:$B$245, $C253, MRP!$G$2:$G$245, K$1),
    SUMIFS(MRP!$J$2:$J$245, MRP!$B$2:$B$245, $C253,  MRP!$G$2:$G$245, K$1),
    SUMIFS(MRP!$K$2:$K$245, MRP!$B$2:$B$245, $C253,  MRP!$G$2:$G$245, K$1),
    SUMIFS(MRP!$L$2:$L$245, MRP!$B$2:$B$245, $C253,  MRP!$G$2:$G$245, K$1)
)*F253</f>
        <v/>
      </c>
      <c r="L253" s="55">
        <f>TRIM(Tabla3[[#This Row],[CodInternoArti]])</f>
        <v/>
      </c>
    </row>
    <row r="254">
      <c r="A254" s="41">
        <f>IF(ISNUMBER(_xlfn.XMATCH(Tabla3[[#This Row],[CodInternoArti]],'Tabla Articulos'!B:B)),"OK","NO ESTA")</f>
        <v/>
      </c>
      <c r="B254" s="29">
        <f>IF(ISNUMBER(_xlfn.XMATCH('Calcular necesidad'!E:E,'Necesidad por familia'!A:A)),"OK","NO ESTA")</f>
        <v/>
      </c>
      <c r="C254" s="36" t="n">
        <v>7790000000905</v>
      </c>
      <c r="D254" s="1" t="inlineStr">
        <is>
          <t>FILM PVC 2.3KG XUN</t>
        </is>
      </c>
      <c r="E254" s="36">
        <f>_xlfn.XLOOKUP(C254,'Tabla Articulos'!B:B,'Tabla Articulos'!D:D)</f>
        <v/>
      </c>
      <c r="F254" s="36">
        <f>_xlfn.XLOOKUP(C254,'Tabla Articulos'!B:B,'Tabla Articulos'!E:E)</f>
        <v/>
      </c>
      <c r="G254" s="40">
        <f>SUM(
    SUMIFS(MRP!$H$2:$H$245, MRP!$B$2:$B$245, $C254, MRP!$G$2:$G$245, G$1),
    SUMIFS(MRP!$I$2:$I$245, MRP!$B$2:$B$245, $C254, MRP!$G$2:$G$245, G$1),
    SUMIFS(MRP!$J$2:$J$245, MRP!$B$2:$B$245, $C254,  MRP!$G$2:$G$245, G$1),
    SUMIFS(MRP!$K$2:$K$245, MRP!$B$2:$B$245, $C254,  MRP!$G$2:$G$245, G$1),
    SUMIFS(MRP!$L$2:$L$245, MRP!$B$2:$B$245, $C254,  MRP!$G$2:$G$245, G$1)
)*F254</f>
        <v/>
      </c>
      <c r="H254" s="40">
        <f>SUM(
    SUMIFS(MRP!$H$2:$H$245, MRP!$B$2:$B$245, $C254, MRP!$G$2:$G$245, H$1),
    SUMIFS(MRP!$I$2:$I$245, MRP!$B$2:$B$245, $C254, MRP!$G$2:$G$245, H$1),
    SUMIFS(MRP!$J$2:$J$245, MRP!$B$2:$B$245, $C254,  MRP!$G$2:$G$245, H$1),
    SUMIFS(MRP!$K$2:$K$245, MRP!$B$2:$B$245, $C254,  MRP!$G$2:$G$245, H$1),
    SUMIFS(MRP!$L$2:$L$245, MRP!$B$2:$B$245, $C254,  MRP!$G$2:$G$245, H$1)
)*F254</f>
        <v/>
      </c>
      <c r="I254" s="40">
        <f>SUM(
    SUMIFS(MRP!$H$2:$H$245, MRP!$B$2:$B$245, $C254, MRP!$G$2:$G$245, I$1),
    SUMIFS(MRP!$I$2:$I$245, MRP!$B$2:$B$245, $C254, MRP!$G$2:$G$245, I$1),
    SUMIFS(MRP!$J$2:$J$245, MRP!$B$2:$B$245, $C254,  MRP!$G$2:$G$245, I$1),
    SUMIFS(MRP!$K$2:$K$245, MRP!$B$2:$B$245, $C254,  MRP!$G$2:$G$245, I$1),
    SUMIFS(MRP!$L$2:$L$245, MRP!$B$2:$B$245, $C254,  MRP!$G$2:$G$245, I$1)
)*F254</f>
        <v/>
      </c>
      <c r="J254" s="40">
        <f>SUM(
    SUMIFS(MRP!$H$2:$H$245, MRP!$B$2:$B$245, $C254, MRP!$G$2:$G$245, J$1),
    SUMIFS(MRP!$I$2:$I$245, MRP!$B$2:$B$245, $C254, MRP!$G$2:$G$245, J$1),
    SUMIFS(MRP!$J$2:$J$245, MRP!$B$2:$B$245, $C254,  MRP!$G$2:$G$245, J$1),
    SUMIFS(MRP!$K$2:$K$245, MRP!$B$2:$B$245, $C254,  MRP!$G$2:$G$245, J$1),
    SUMIFS(MRP!$L$2:$L$245, MRP!$B$2:$B$245, $C254,  MRP!$G$2:$G$245, J$1)
)*F254</f>
        <v/>
      </c>
      <c r="K254" s="56">
        <f>SUM(
    SUMIFS(MRP!$H$2:$H$245, MRP!$B$2:$B$245, $C254, MRP!$G$2:$G$245, K$1),
    SUMIFS(MRP!$I$2:$I$245, MRP!$B$2:$B$245, $C254, MRP!$G$2:$G$245, K$1),
    SUMIFS(MRP!$J$2:$J$245, MRP!$B$2:$B$245, $C254,  MRP!$G$2:$G$245, K$1),
    SUMIFS(MRP!$K$2:$K$245, MRP!$B$2:$B$245, $C254,  MRP!$G$2:$G$245, K$1),
    SUMIFS(MRP!$L$2:$L$245, MRP!$B$2:$B$245, $C254,  MRP!$G$2:$G$245, K$1)
)*F254</f>
        <v/>
      </c>
      <c r="L254" s="55">
        <f>TRIM(Tabla3[[#This Row],[CodInternoArti]])</f>
        <v/>
      </c>
    </row>
    <row r="255">
      <c r="A255" s="63">
        <f>IF(ISNUMBER(_xlfn.XMATCH(Tabla3[[#This Row],[CodInternoArti]],'Tabla Articulos'!B:B)),"OK","NO ESTA")</f>
        <v/>
      </c>
      <c r="B255" s="19">
        <f>IF(ISNUMBER(_xlfn.XMATCH('Calcular necesidad'!E:E,'Necesidad por familia'!A:A)),"OK","NO ESTA")</f>
        <v/>
      </c>
      <c r="C255" s="1" t="n">
        <v>3245424854182</v>
      </c>
      <c r="D255" s="1" t="inlineStr">
        <is>
          <t>GUANTE ULTRA NITRILO T8 MAPA</t>
        </is>
      </c>
      <c r="E255" s="1">
        <f>_xlfn.XLOOKUP(C255,'Tabla Articulos'!B:B,'Tabla Articulos'!D:D)</f>
        <v/>
      </c>
      <c r="F255" s="1">
        <f>_xlfn.XLOOKUP(C255,'Tabla Articulos'!B:B,'Tabla Articulos'!E:E)</f>
        <v/>
      </c>
      <c r="G255" s="15">
        <f>SUM(
    SUMIFS(MRP!$H$2:$H$245, MRP!$B$2:$B$245, $C255, MRP!$G$2:$G$245, G$1),
    SUMIFS(MRP!$I$2:$I$245, MRP!$B$2:$B$245, $C255, MRP!$G$2:$G$245, G$1),
    SUMIFS(MRP!$J$2:$J$245, MRP!$B$2:$B$245, $C255,  MRP!$G$2:$G$245, G$1),
    SUMIFS(MRP!$K$2:$K$245, MRP!$B$2:$B$245, $C255,  MRP!$G$2:$G$245, G$1),
    SUMIFS(MRP!$L$2:$L$245, MRP!$B$2:$B$245, $C255,  MRP!$G$2:$G$245, G$1)
)*F255</f>
        <v/>
      </c>
      <c r="H255" s="15">
        <f>SUM(
    SUMIFS(MRP!$H$2:$H$245, MRP!$B$2:$B$245, $C255, MRP!$G$2:$G$245, H$1),
    SUMIFS(MRP!$I$2:$I$245, MRP!$B$2:$B$245, $C255, MRP!$G$2:$G$245, H$1),
    SUMIFS(MRP!$J$2:$J$245, MRP!$B$2:$B$245, $C255,  MRP!$G$2:$G$245, H$1),
    SUMIFS(MRP!$K$2:$K$245, MRP!$B$2:$B$245, $C255,  MRP!$G$2:$G$245, H$1),
    SUMIFS(MRP!$L$2:$L$245, MRP!$B$2:$B$245, $C255,  MRP!$G$2:$G$245, H$1)
)*F255</f>
        <v/>
      </c>
      <c r="I255" s="15">
        <f>SUM(
    SUMIFS(MRP!$H$2:$H$245, MRP!$B$2:$B$245, $C255, MRP!$G$2:$G$245, I$1),
    SUMIFS(MRP!$I$2:$I$245, MRP!$B$2:$B$245, $C255, MRP!$G$2:$G$245, I$1),
    SUMIFS(MRP!$J$2:$J$245, MRP!$B$2:$B$245, $C255,  MRP!$G$2:$G$245, I$1),
    SUMIFS(MRP!$K$2:$K$245, MRP!$B$2:$B$245, $C255,  MRP!$G$2:$G$245, I$1),
    SUMIFS(MRP!$L$2:$L$245, MRP!$B$2:$B$245, $C255,  MRP!$G$2:$G$245, I$1)
)*F255</f>
        <v/>
      </c>
      <c r="J255" s="15">
        <f>SUM(
    SUMIFS(MRP!$H$2:$H$245, MRP!$B$2:$B$245, $C255, MRP!$G$2:$G$245, J$1),
    SUMIFS(MRP!$I$2:$I$245, MRP!$B$2:$B$245, $C255, MRP!$G$2:$G$245, J$1),
    SUMIFS(MRP!$J$2:$J$245, MRP!$B$2:$B$245, $C255,  MRP!$G$2:$G$245, J$1),
    SUMIFS(MRP!$K$2:$K$245, MRP!$B$2:$B$245, $C255,  MRP!$G$2:$G$245, J$1),
    SUMIFS(MRP!$L$2:$L$245, MRP!$B$2:$B$245, $C255,  MRP!$G$2:$G$245, J$1)
)*F255</f>
        <v/>
      </c>
      <c r="K255" s="64">
        <f>SUM(
    SUMIFS(MRP!$H$2:$H$245, MRP!$B$2:$B$245, $C255, MRP!$G$2:$G$245, K$1),
    SUMIFS(MRP!$I$2:$I$245, MRP!$B$2:$B$245, $C255, MRP!$G$2:$G$245, K$1),
    SUMIFS(MRP!$J$2:$J$245, MRP!$B$2:$B$245, $C255,  MRP!$G$2:$G$245, K$1),
    SUMIFS(MRP!$K$2:$K$245, MRP!$B$2:$B$245, $C255,  MRP!$G$2:$G$245, K$1),
    SUMIFS(MRP!$L$2:$L$245, MRP!$B$2:$B$245, $C255,  MRP!$G$2:$G$245, K$1)
)*F255</f>
        <v/>
      </c>
      <c r="L255" s="55">
        <f>TRIM(Tabla3[[#This Row],[CodInternoArti]])</f>
        <v/>
      </c>
    </row>
    <row r="256">
      <c r="A256" s="41">
        <f>IF(ISNUMBER(_xlfn.XMATCH(Tabla3[[#This Row],[CodInternoArti]],'Tabla Articulos'!B:B)),"OK","NO ESTA")</f>
        <v/>
      </c>
      <c r="B256" s="29">
        <f>IF(ISNUMBER(_xlfn.XMATCH('Calcular necesidad'!E:E,'Necesidad por familia'!A:A)),"OK","NO ESTA")</f>
        <v/>
      </c>
      <c r="C256" s="92" t="n">
        <v>7790000000901</v>
      </c>
      <c r="D256" s="1" t="inlineStr">
        <is>
          <t>BOLSA KRAFT FM5 BLUE X 100 U</t>
        </is>
      </c>
      <c r="E256" s="36">
        <f>_xlfn.XLOOKUP(C256,'Tabla Articulos'!B:B,'Tabla Articulos'!D:D)</f>
        <v/>
      </c>
      <c r="F256" s="36">
        <f>_xlfn.XLOOKUP(C256,'Tabla Articulos'!B:B,'Tabla Articulos'!E:E)</f>
        <v/>
      </c>
      <c r="G256" s="40">
        <f>SUM(
    SUMIFS(MRP!$H$2:$H$245, MRP!$B$2:$B$245, $C256, MRP!$G$2:$G$245, G$1),
    SUMIFS(MRP!$I$2:$I$245, MRP!$B$2:$B$245, $C256, MRP!$G$2:$G$245, G$1),
    SUMIFS(MRP!$J$2:$J$245, MRP!$B$2:$B$245, $C256,  MRP!$G$2:$G$245, G$1),
    SUMIFS(MRP!$K$2:$K$245, MRP!$B$2:$B$245, $C256,  MRP!$G$2:$G$245, G$1),
    SUMIFS(MRP!$L$2:$L$245, MRP!$B$2:$B$245, $C256,  MRP!$G$2:$G$245, G$1)
)*F256</f>
        <v/>
      </c>
      <c r="H256" s="40">
        <f>SUM(
    SUMIFS(MRP!$H$2:$H$245, MRP!$B$2:$B$245, $C256, MRP!$G$2:$G$245, H$1),
    SUMIFS(MRP!$I$2:$I$245, MRP!$B$2:$B$245, $C256, MRP!$G$2:$G$245, H$1),
    SUMIFS(MRP!$J$2:$J$245, MRP!$B$2:$B$245, $C256,  MRP!$G$2:$G$245, H$1),
    SUMIFS(MRP!$K$2:$K$245, MRP!$B$2:$B$245, $C256,  MRP!$G$2:$G$245, H$1),
    SUMIFS(MRP!$L$2:$L$245, MRP!$B$2:$B$245, $C256,  MRP!$G$2:$G$245, H$1)
)*F256</f>
        <v/>
      </c>
      <c r="I256" s="40">
        <f>SUM(
    SUMIFS(MRP!$H$2:$H$245, MRP!$B$2:$B$245, $C256, MRP!$G$2:$G$245, I$1),
    SUMIFS(MRP!$I$2:$I$245, MRP!$B$2:$B$245, $C256, MRP!$G$2:$G$245, I$1),
    SUMIFS(MRP!$J$2:$J$245, MRP!$B$2:$B$245, $C256,  MRP!$G$2:$G$245, I$1),
    SUMIFS(MRP!$K$2:$K$245, MRP!$B$2:$B$245, $C256,  MRP!$G$2:$G$245, I$1),
    SUMIFS(MRP!$L$2:$L$245, MRP!$B$2:$B$245, $C256,  MRP!$G$2:$G$245, I$1)
)*F256</f>
        <v/>
      </c>
      <c r="J256" s="40">
        <f>SUM(
    SUMIFS(MRP!$H$2:$H$245, MRP!$B$2:$B$245, $C256, MRP!$G$2:$G$245, J$1),
    SUMIFS(MRP!$I$2:$I$245, MRP!$B$2:$B$245, $C256, MRP!$G$2:$G$245, J$1),
    SUMIFS(MRP!$J$2:$J$245, MRP!$B$2:$B$245, $C256,  MRP!$G$2:$G$245, J$1),
    SUMIFS(MRP!$K$2:$K$245, MRP!$B$2:$B$245, $C256,  MRP!$G$2:$G$245, J$1),
    SUMIFS(MRP!$L$2:$L$245, MRP!$B$2:$B$245, $C256,  MRP!$G$2:$G$245, J$1)
)*F256</f>
        <v/>
      </c>
      <c r="K256" s="56">
        <f>SUM(
    SUMIFS(MRP!$H$2:$H$245, MRP!$B$2:$B$245, $C256, MRP!$G$2:$G$245, K$1),
    SUMIFS(MRP!$I$2:$I$245, MRP!$B$2:$B$245, $C256, MRP!$G$2:$G$245, K$1),
    SUMIFS(MRP!$J$2:$J$245, MRP!$B$2:$B$245, $C256,  MRP!$G$2:$G$245, K$1),
    SUMIFS(MRP!$K$2:$K$245, MRP!$B$2:$B$245, $C256,  MRP!$G$2:$G$245, K$1),
    SUMIFS(MRP!$L$2:$L$245, MRP!$B$2:$B$245, $C256,  MRP!$G$2:$G$245, K$1)
)*F256</f>
        <v/>
      </c>
      <c r="L256" s="55">
        <f>TRIM(Tabla3[[#This Row],[CodInternoArti]])</f>
        <v/>
      </c>
    </row>
    <row r="257">
      <c r="A257" s="41">
        <f>IF(ISNUMBER(_xlfn.XMATCH(Tabla3[[#This Row],[CodInternoArti]],'Tabla Articulos'!B:B)),"OK","NO ESTA")</f>
        <v/>
      </c>
      <c r="B257" s="29">
        <f>IF(ISNUMBER(_xlfn.XMATCH('Calcular necesidad'!E:E,'Necesidad por familia'!A:A)),"OK","NO ESTA")</f>
        <v/>
      </c>
      <c r="C257" s="36" t="n">
        <v>7790000000900</v>
      </c>
      <c r="D257" s="1" t="inlineStr">
        <is>
          <t>TAPA 80Z BLUE XUN</t>
        </is>
      </c>
      <c r="E257" s="36">
        <f>_xlfn.XLOOKUP(C257,'Tabla Articulos'!B:B,'Tabla Articulos'!D:D)</f>
        <v/>
      </c>
      <c r="F257" s="36">
        <f>_xlfn.XLOOKUP(C257,'Tabla Articulos'!B:B,'Tabla Articulos'!E:E)</f>
        <v/>
      </c>
      <c r="G257" s="40">
        <f>SUM(
    SUMIFS(MRP!$H$2:$H$245, MRP!$B$2:$B$245, $C257, MRP!$G$2:$G$245, G$1),
    SUMIFS(MRP!$I$2:$I$245, MRP!$B$2:$B$245, $C257, MRP!$G$2:$G$245, G$1),
    SUMIFS(MRP!$J$2:$J$245, MRP!$B$2:$B$245, $C257,  MRP!$G$2:$G$245, G$1),
    SUMIFS(MRP!$K$2:$K$245, MRP!$B$2:$B$245, $C257,  MRP!$G$2:$G$245, G$1),
    SUMIFS(MRP!$L$2:$L$245, MRP!$B$2:$B$245, $C257,  MRP!$G$2:$G$245, G$1)
)*F257</f>
        <v/>
      </c>
      <c r="H257" s="40">
        <f>SUM(
    SUMIFS(MRP!$H$2:$H$245, MRP!$B$2:$B$245, $C257, MRP!$G$2:$G$245, H$1),
    SUMIFS(MRP!$I$2:$I$245, MRP!$B$2:$B$245, $C257, MRP!$G$2:$G$245, H$1),
    SUMIFS(MRP!$J$2:$J$245, MRP!$B$2:$B$245, $C257,  MRP!$G$2:$G$245, H$1),
    SUMIFS(MRP!$K$2:$K$245, MRP!$B$2:$B$245, $C257,  MRP!$G$2:$G$245, H$1),
    SUMIFS(MRP!$L$2:$L$245, MRP!$B$2:$B$245, $C257,  MRP!$G$2:$G$245, H$1)
)*F257</f>
        <v/>
      </c>
      <c r="I257" s="40">
        <f>SUM(
    SUMIFS(MRP!$H$2:$H$245, MRP!$B$2:$B$245, $C257, MRP!$G$2:$G$245, I$1),
    SUMIFS(MRP!$I$2:$I$245, MRP!$B$2:$B$245, $C257, MRP!$G$2:$G$245, I$1),
    SUMIFS(MRP!$J$2:$J$245, MRP!$B$2:$B$245, $C257,  MRP!$G$2:$G$245, I$1),
    SUMIFS(MRP!$K$2:$K$245, MRP!$B$2:$B$245, $C257,  MRP!$G$2:$G$245, I$1),
    SUMIFS(MRP!$L$2:$L$245, MRP!$B$2:$B$245, $C257,  MRP!$G$2:$G$245, I$1)
)*F257</f>
        <v/>
      </c>
      <c r="J257" s="40">
        <f>SUM(
    SUMIFS(MRP!$H$2:$H$245, MRP!$B$2:$B$245, $C257, MRP!$G$2:$G$245, J$1),
    SUMIFS(MRP!$I$2:$I$245, MRP!$B$2:$B$245, $C257, MRP!$G$2:$G$245, J$1),
    SUMIFS(MRP!$J$2:$J$245, MRP!$B$2:$B$245, $C257,  MRP!$G$2:$G$245, J$1),
    SUMIFS(MRP!$K$2:$K$245, MRP!$B$2:$B$245, $C257,  MRP!$G$2:$G$245, J$1),
    SUMIFS(MRP!$L$2:$L$245, MRP!$B$2:$B$245, $C257,  MRP!$G$2:$G$245, J$1)
)*F257</f>
        <v/>
      </c>
      <c r="K257" s="56">
        <f>SUM(
    SUMIFS(MRP!$H$2:$H$245, MRP!$B$2:$B$245, $C257, MRP!$G$2:$G$245, K$1),
    SUMIFS(MRP!$I$2:$I$245, MRP!$B$2:$B$245, $C257, MRP!$G$2:$G$245, K$1),
    SUMIFS(MRP!$J$2:$J$245, MRP!$B$2:$B$245, $C257,  MRP!$G$2:$G$245, K$1),
    SUMIFS(MRP!$K$2:$K$245, MRP!$B$2:$B$245, $C257,  MRP!$G$2:$G$245, K$1),
    SUMIFS(MRP!$L$2:$L$245, MRP!$B$2:$B$245, $C257,  MRP!$G$2:$G$245, K$1)
)*F257</f>
        <v/>
      </c>
      <c r="L257" s="55">
        <f>TRIM(Tabla3[[#This Row],[CodInternoArti]])</f>
        <v/>
      </c>
    </row>
    <row r="258">
      <c r="A258" s="41">
        <f>IF(ISNUMBER(_xlfn.XMATCH(Tabla3[[#This Row],[CodInternoArti]],'Tabla Articulos'!B:B)),"OK","NO ESTA")</f>
        <v/>
      </c>
      <c r="B258" s="29">
        <f>IF(ISNUMBER(_xlfn.XMATCH('Calcular necesidad'!E:E,'Necesidad por familia'!A:A)),"OK","NO ESTA")</f>
        <v/>
      </c>
      <c r="C258" s="36" t="n">
        <v>7790000000898</v>
      </c>
      <c r="D258" s="1" t="inlineStr">
        <is>
          <t>PAPEL PARAFINADO LOGO BLUE X KG</t>
        </is>
      </c>
      <c r="E258" s="36">
        <f>_xlfn.XLOOKUP(C258,'Tabla Articulos'!B:B,'Tabla Articulos'!D:D)</f>
        <v/>
      </c>
      <c r="F258" s="36">
        <f>_xlfn.XLOOKUP(C258,'Tabla Articulos'!B:B,'Tabla Articulos'!E:E)</f>
        <v/>
      </c>
      <c r="G258" s="40">
        <f>SUM(
    SUMIFS(MRP!$H$2:$H$245, MRP!$B$2:$B$245, $C258, MRP!$G$2:$G$245, G$1),
    SUMIFS(MRP!$I$2:$I$245, MRP!$B$2:$B$245, $C258, MRP!$G$2:$G$245, G$1),
    SUMIFS(MRP!$J$2:$J$245, MRP!$B$2:$B$245, $C258,  MRP!$G$2:$G$245, G$1),
    SUMIFS(MRP!$K$2:$K$245, MRP!$B$2:$B$245, $C258,  MRP!$G$2:$G$245, G$1),
    SUMIFS(MRP!$L$2:$L$245, MRP!$B$2:$B$245, $C258,  MRP!$G$2:$G$245, G$1)
)*F258</f>
        <v/>
      </c>
      <c r="H258" s="40">
        <f>SUM(
    SUMIFS(MRP!$H$2:$H$245, MRP!$B$2:$B$245, $C258, MRP!$G$2:$G$245, H$1),
    SUMIFS(MRP!$I$2:$I$245, MRP!$B$2:$B$245, $C258, MRP!$G$2:$G$245, H$1),
    SUMIFS(MRP!$J$2:$J$245, MRP!$B$2:$B$245, $C258,  MRP!$G$2:$G$245, H$1),
    SUMIFS(MRP!$K$2:$K$245, MRP!$B$2:$B$245, $C258,  MRP!$G$2:$G$245, H$1),
    SUMIFS(MRP!$L$2:$L$245, MRP!$B$2:$B$245, $C258,  MRP!$G$2:$G$245, H$1)
)*F258</f>
        <v/>
      </c>
      <c r="I258" s="40">
        <f>SUM(
    SUMIFS(MRP!$H$2:$H$245, MRP!$B$2:$B$245, $C258, MRP!$G$2:$G$245, I$1),
    SUMIFS(MRP!$I$2:$I$245, MRP!$B$2:$B$245, $C258, MRP!$G$2:$G$245, I$1),
    SUMIFS(MRP!$J$2:$J$245, MRP!$B$2:$B$245, $C258,  MRP!$G$2:$G$245, I$1),
    SUMIFS(MRP!$K$2:$K$245, MRP!$B$2:$B$245, $C258,  MRP!$G$2:$G$245, I$1),
    SUMIFS(MRP!$L$2:$L$245, MRP!$B$2:$B$245, $C258,  MRP!$G$2:$G$245, I$1)
)*F258</f>
        <v/>
      </c>
      <c r="J258" s="40">
        <f>SUM(
    SUMIFS(MRP!$H$2:$H$245, MRP!$B$2:$B$245, $C258, MRP!$G$2:$G$245, J$1),
    SUMIFS(MRP!$I$2:$I$245, MRP!$B$2:$B$245, $C258, MRP!$G$2:$G$245, J$1),
    SUMIFS(MRP!$J$2:$J$245, MRP!$B$2:$B$245, $C258,  MRP!$G$2:$G$245, J$1),
    SUMIFS(MRP!$K$2:$K$245, MRP!$B$2:$B$245, $C258,  MRP!$G$2:$G$245, J$1),
    SUMIFS(MRP!$L$2:$L$245, MRP!$B$2:$B$245, $C258,  MRP!$G$2:$G$245, J$1)
)*F258</f>
        <v/>
      </c>
      <c r="K258" s="56">
        <f>SUM(
    SUMIFS(MRP!$H$2:$H$245, MRP!$B$2:$B$245, $C258, MRP!$G$2:$G$245, K$1),
    SUMIFS(MRP!$I$2:$I$245, MRP!$B$2:$B$245, $C258, MRP!$G$2:$G$245, K$1),
    SUMIFS(MRP!$J$2:$J$245, MRP!$B$2:$B$245, $C258,  MRP!$G$2:$G$245, K$1),
    SUMIFS(MRP!$K$2:$K$245, MRP!$B$2:$B$245, $C258,  MRP!$G$2:$G$245, K$1),
    SUMIFS(MRP!$L$2:$L$245, MRP!$B$2:$B$245, $C258,  MRP!$G$2:$G$245, K$1)
)*F258</f>
        <v/>
      </c>
      <c r="L258" s="55">
        <f>TRIM(Tabla3[[#This Row],[CodInternoArti]])</f>
        <v/>
      </c>
    </row>
    <row r="259">
      <c r="A259" s="41">
        <f>IF(ISNUMBER(_xlfn.XMATCH(Tabla3[[#This Row],[CodInternoArti]],'Tabla Articulos'!B:B)),"OK","NO ESTA")</f>
        <v/>
      </c>
      <c r="B259" s="29">
        <f>IF(ISNUMBER(_xlfn.XMATCH('Calcular necesidad'!E:E,'Necesidad por familia'!A:A)),"OK","NO ESTA")</f>
        <v/>
      </c>
      <c r="C259" s="36" t="inlineStr">
        <is>
          <t>7798188651182</t>
        </is>
      </c>
      <c r="D259" s="1" t="inlineStr">
        <is>
          <t>PAPEL HAMBURGUESA BLANCO X5KG</t>
        </is>
      </c>
      <c r="E259" s="36">
        <f>_xlfn.XLOOKUP(C259,'Tabla Articulos'!B:B,'Tabla Articulos'!D:D)</f>
        <v/>
      </c>
      <c r="F259" s="36">
        <f>_xlfn.XLOOKUP(C259,'Tabla Articulos'!B:B,'Tabla Articulos'!E:E)</f>
        <v/>
      </c>
      <c r="G259" s="40">
        <f>SUM(
    SUMIFS(MRP!$H$2:$H$245, MRP!$B$2:$B$245, $C259, MRP!$G$2:$G$245, G$1),
    SUMIFS(MRP!$I$2:$I$245, MRP!$B$2:$B$245, $C259, MRP!$G$2:$G$245, G$1),
    SUMIFS(MRP!$J$2:$J$245, MRP!$B$2:$B$245, $C259,  MRP!$G$2:$G$245, G$1),
    SUMIFS(MRP!$K$2:$K$245, MRP!$B$2:$B$245, $C259,  MRP!$G$2:$G$245, G$1),
    SUMIFS(MRP!$L$2:$L$245, MRP!$B$2:$B$245, $C259,  MRP!$G$2:$G$245, G$1)
)*F259</f>
        <v/>
      </c>
      <c r="H259" s="40">
        <f>SUM(
    SUMIFS(MRP!$H$2:$H$245, MRP!$B$2:$B$245, $C259, MRP!$G$2:$G$245, H$1),
    SUMIFS(MRP!$I$2:$I$245, MRP!$B$2:$B$245, $C259, MRP!$G$2:$G$245, H$1),
    SUMIFS(MRP!$J$2:$J$245, MRP!$B$2:$B$245, $C259,  MRP!$G$2:$G$245, H$1),
    SUMIFS(MRP!$K$2:$K$245, MRP!$B$2:$B$245, $C259,  MRP!$G$2:$G$245, H$1),
    SUMIFS(MRP!$L$2:$L$245, MRP!$B$2:$B$245, $C259,  MRP!$G$2:$G$245, H$1)
)*F259</f>
        <v/>
      </c>
      <c r="I259" s="40">
        <f>SUM(
    SUMIFS(MRP!$H$2:$H$245, MRP!$B$2:$B$245, $C259, MRP!$G$2:$G$245, I$1),
    SUMIFS(MRP!$I$2:$I$245, MRP!$B$2:$B$245, $C259, MRP!$G$2:$G$245, I$1),
    SUMIFS(MRP!$J$2:$J$245, MRP!$B$2:$B$245, $C259,  MRP!$G$2:$G$245, I$1),
    SUMIFS(MRP!$K$2:$K$245, MRP!$B$2:$B$245, $C259,  MRP!$G$2:$G$245, I$1),
    SUMIFS(MRP!$L$2:$L$245, MRP!$B$2:$B$245, $C259,  MRP!$G$2:$G$245, I$1)
)*F259</f>
        <v/>
      </c>
      <c r="J259" s="40">
        <f>SUM(
    SUMIFS(MRP!$H$2:$H$245, MRP!$B$2:$B$245, $C259, MRP!$G$2:$G$245, J$1),
    SUMIFS(MRP!$I$2:$I$245, MRP!$B$2:$B$245, $C259, MRP!$G$2:$G$245, J$1),
    SUMIFS(MRP!$J$2:$J$245, MRP!$B$2:$B$245, $C259,  MRP!$G$2:$G$245, J$1),
    SUMIFS(MRP!$K$2:$K$245, MRP!$B$2:$B$245, $C259,  MRP!$G$2:$G$245, J$1),
    SUMIFS(MRP!$L$2:$L$245, MRP!$B$2:$B$245, $C259,  MRP!$G$2:$G$245, J$1)
)*F259</f>
        <v/>
      </c>
      <c r="K259" s="56">
        <f>SUM(
    SUMIFS(MRP!$H$2:$H$245, MRP!$B$2:$B$245, $C259, MRP!$G$2:$G$245, K$1),
    SUMIFS(MRP!$I$2:$I$245, MRP!$B$2:$B$245, $C259, MRP!$G$2:$G$245, K$1),
    SUMIFS(MRP!$J$2:$J$245, MRP!$B$2:$B$245, $C259,  MRP!$G$2:$G$245, K$1),
    SUMIFS(MRP!$K$2:$K$245, MRP!$B$2:$B$245, $C259,  MRP!$G$2:$G$245, K$1),
    SUMIFS(MRP!$L$2:$L$245, MRP!$B$2:$B$245, $C259,  MRP!$G$2:$G$245, K$1)
)*F259</f>
        <v/>
      </c>
      <c r="L259" s="55">
        <f>TRIM(Tabla3[[#This Row],[CodInternoArti]])</f>
        <v/>
      </c>
    </row>
  </sheetData>
  <conditionalFormatting sqref="C1:C1048576">
    <cfRule type="duplicateValues" priority="1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Hoja3">
    <tabColor theme="7" tint="0.3999755851924192"/>
    <outlinePr summaryBelow="1" summaryRight="1"/>
    <pageSetUpPr/>
  </sheetPr>
  <dimension ref="A1:S3687"/>
  <sheetViews>
    <sheetView tabSelected="1" topLeftCell="C1" zoomScaleNormal="100" workbookViewId="0">
      <selection activeCell="G524" sqref="G524"/>
    </sheetView>
  </sheetViews>
  <sheetFormatPr baseColWidth="10" defaultColWidth="0" defaultRowHeight="14.5"/>
  <cols>
    <col width="5.453125" customWidth="1" style="11" min="1" max="1"/>
    <col width="12" customWidth="1" style="11" min="2" max="2"/>
    <col width="11.6328125" customWidth="1" style="11" min="3" max="4"/>
    <col width="19.26953125" customWidth="1" style="11" min="5" max="6"/>
    <col width="39" customWidth="1" style="11" min="7" max="7"/>
    <col width="12.54296875" customWidth="1" style="11" min="8" max="8"/>
    <col width="8.81640625" customWidth="1" style="11" min="9" max="9"/>
    <col width="13.81640625" customWidth="1" style="11" min="10" max="10"/>
    <col width="8.81640625" customWidth="1" style="11" min="11" max="11"/>
    <col width="11.1796875" customWidth="1" style="11" min="12" max="12"/>
    <col width="14.1796875" customWidth="1" style="11" min="13" max="13"/>
    <col width="17.26953125" customWidth="1" style="11" min="14" max="14"/>
    <col width="11.54296875" customWidth="1" style="11" min="15" max="15"/>
    <col width="29" customWidth="1" style="16" min="16" max="16"/>
    <col width="10.81640625" customWidth="1" style="16" min="17" max="18"/>
    <col width="16.81640625" customWidth="1" style="16" min="19" max="19"/>
    <col width="10.81640625" customWidth="1" min="20" max="21"/>
    <col hidden="1" width="13" customWidth="1" min="22" max="22"/>
    <col hidden="1" width="10.81640625" customWidth="1" min="23" max="57"/>
    <col hidden="1" width="10.81640625" customWidth="1" min="58" max="16384"/>
  </cols>
  <sheetData>
    <row r="1">
      <c r="A1" s="22" t="inlineStr">
        <is>
          <t>CD</t>
        </is>
      </c>
      <c r="B1" s="11" t="inlineStr">
        <is>
          <t>CtroDistrib</t>
        </is>
      </c>
      <c r="C1" s="11" t="inlineStr">
        <is>
          <t>Empresa</t>
        </is>
      </c>
      <c r="D1" s="11" t="inlineStr">
        <is>
          <t>DescrNivelInt5</t>
        </is>
      </c>
      <c r="E1" s="11" t="inlineStr">
        <is>
          <t>Articulo</t>
        </is>
      </c>
      <c r="F1" s="11" t="inlineStr">
        <is>
          <t>Cod Sap</t>
        </is>
      </c>
      <c r="G1" s="11" t="inlineStr">
        <is>
          <t>GrpAbr</t>
        </is>
      </c>
      <c r="H1" s="11" t="inlineStr">
        <is>
          <t>UM</t>
        </is>
      </c>
      <c r="I1" s="11" t="inlineStr">
        <is>
          <t>Fisico</t>
        </is>
      </c>
      <c r="J1" s="11" t="inlineStr">
        <is>
          <t>PendGuardar</t>
        </is>
      </c>
      <c r="K1" s="11" t="inlineStr">
        <is>
          <t>NoApto</t>
        </is>
      </c>
      <c r="L1" s="11" t="inlineStr">
        <is>
          <t>PedSinOP</t>
        </is>
      </c>
      <c r="M1" s="11" t="inlineStr">
        <is>
          <t>PendPreparar</t>
        </is>
      </c>
      <c r="N1" s="11" t="inlineStr">
        <is>
          <t>PendImportacion</t>
        </is>
      </c>
      <c r="O1" s="11" t="inlineStr">
        <is>
          <t>Stock disp</t>
        </is>
      </c>
      <c r="P1" s="43" t="inlineStr">
        <is>
          <t>FAMILIA</t>
        </is>
      </c>
      <c r="Q1" s="43" t="inlineStr">
        <is>
          <t>UM2</t>
        </is>
      </c>
      <c r="R1" s="43" t="inlineStr">
        <is>
          <t>TOTAL</t>
        </is>
      </c>
      <c r="S1" s="43" t="inlineStr">
        <is>
          <t>EAN CORREGIDO</t>
        </is>
      </c>
    </row>
    <row r="2" hidden="1">
      <c r="A2" s="22" t="n">
        <v>6</v>
      </c>
      <c r="B2" t="inlineStr">
        <is>
          <t xml:space="preserve">CDM03 - MORENO 3              </t>
        </is>
      </c>
      <c r="C2" t="inlineStr">
        <is>
          <t xml:space="preserve">GRUPO L.                      </t>
        </is>
      </c>
      <c r="E2" t="inlineStr">
        <is>
          <t xml:space="preserve">7790000000467       </t>
        </is>
      </c>
      <c r="F2" t="n">
        <v>2007493</v>
      </c>
      <c r="G2" t="inlineStr">
        <is>
          <t xml:space="preserve">ARMAZON PARA MOPA X100CM           </t>
        </is>
      </c>
      <c r="H2" t="inlineStr">
        <is>
          <t xml:space="preserve">UNIDAD              </t>
        </is>
      </c>
      <c r="I2" t="n">
        <v>64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64</v>
      </c>
      <c r="P2" s="96">
        <f>_xlfn.XLOOKUP(Tabla5[[#This Row],[EAN CORREGIDO]],'Tabla Articulos'!B:B,'Tabla Articulos'!D:D)</f>
        <v/>
      </c>
      <c r="Q2" s="96">
        <f>_xlfn.XLOOKUP(S2,'Tabla Articulos'!B:B,'Tabla Articulos'!E:E)</f>
        <v/>
      </c>
      <c r="R2" s="96">
        <f>O2*Q2</f>
        <v/>
      </c>
      <c r="S2" s="97">
        <f>TRIM(E2)</f>
        <v/>
      </c>
    </row>
    <row r="3" hidden="1">
      <c r="A3" s="22" t="n">
        <v>6</v>
      </c>
      <c r="B3" t="inlineStr">
        <is>
          <t xml:space="preserve">CDM03 - MORENO 3              </t>
        </is>
      </c>
      <c r="C3" t="inlineStr">
        <is>
          <t xml:space="preserve">GRUPO L.                      </t>
        </is>
      </c>
      <c r="D3" s="11" t="n"/>
      <c r="E3" t="inlineStr">
        <is>
          <t xml:space="preserve">UNIF000328          </t>
        </is>
      </c>
      <c r="F3" t="n">
        <v>9003202</v>
      </c>
      <c r="G3" t="inlineStr">
        <is>
          <t xml:space="preserve">REMERA-BLANCO C/REDONDO 3XL        </t>
        </is>
      </c>
      <c r="H3" t="inlineStr">
        <is>
          <t xml:space="preserve">UNIDAD              </t>
        </is>
      </c>
      <c r="I3" t="n">
        <v>60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60</v>
      </c>
      <c r="P3" s="96">
        <f>_xlfn.XLOOKUP(Tabla5[[#This Row],[EAN CORREGIDO]],'Tabla Articulos'!B:B,'Tabla Articulos'!D:D)</f>
        <v/>
      </c>
      <c r="Q3" s="96">
        <f>_xlfn.XLOOKUP(S3,'Tabla Articulos'!B:B,'Tabla Articulos'!E:E)</f>
        <v/>
      </c>
      <c r="R3" s="96">
        <f>O3*Q3</f>
        <v/>
      </c>
      <c r="S3" s="97">
        <f>TRIM(E3)</f>
        <v/>
      </c>
    </row>
    <row r="4" hidden="1">
      <c r="A4" s="22" t="n">
        <v>1</v>
      </c>
      <c r="B4" t="inlineStr">
        <is>
          <t xml:space="preserve">CD MORENO                     </t>
        </is>
      </c>
      <c r="C4" t="inlineStr">
        <is>
          <t xml:space="preserve">GRUPO L.                      </t>
        </is>
      </c>
      <c r="D4" s="11" t="inlineStr">
        <is>
          <t>LECHE LV ENTERA</t>
        </is>
      </c>
      <c r="E4" t="inlineStr">
        <is>
          <t xml:space="preserve">7790742363008       </t>
        </is>
      </c>
      <c r="F4" t="n">
        <v>4018315</v>
      </c>
      <c r="G4" t="inlineStr">
        <is>
          <t xml:space="preserve">LECHE LV ENTERA 3% X1L SERENISIMA  </t>
        </is>
      </c>
      <c r="H4" t="inlineStr">
        <is>
          <t xml:space="preserve">UNIDAD              </t>
        </is>
      </c>
      <c r="I4" t="n">
        <v>408</v>
      </c>
      <c r="J4" t="n">
        <v>900</v>
      </c>
      <c r="K4" t="n">
        <v>0</v>
      </c>
      <c r="L4" t="n">
        <v>396</v>
      </c>
      <c r="M4" t="n">
        <v>396</v>
      </c>
      <c r="N4" t="n">
        <v>0</v>
      </c>
      <c r="O4" t="n">
        <v>516</v>
      </c>
      <c r="P4" s="96">
        <f>_xlfn.XLOOKUP(Tabla5[[#This Row],[EAN CORREGIDO]],'Tabla Articulos'!B:B,'Tabla Articulos'!D:D)</f>
        <v/>
      </c>
      <c r="Q4" s="96">
        <f>_xlfn.XLOOKUP(S4,'Tabla Articulos'!B:B,'Tabla Articulos'!E:E)</f>
        <v/>
      </c>
      <c r="R4" s="96">
        <f>O4*Q4</f>
        <v/>
      </c>
      <c r="S4" s="97">
        <f>TRIM(E4)</f>
        <v/>
      </c>
    </row>
    <row r="5" hidden="1">
      <c r="A5" s="22" t="n">
        <v>5</v>
      </c>
      <c r="B5" t="inlineStr">
        <is>
          <t xml:space="preserve">CDM02 - MORENO 2              </t>
        </is>
      </c>
      <c r="C5" t="inlineStr">
        <is>
          <t xml:space="preserve">GRUPO L.                      </t>
        </is>
      </c>
      <c r="D5" t="inlineStr">
        <is>
          <t>LECHE LV ENTERA</t>
        </is>
      </c>
      <c r="E5" t="inlineStr">
        <is>
          <t xml:space="preserve">7790742363008       </t>
        </is>
      </c>
      <c r="F5" t="n">
        <v>4018315</v>
      </c>
      <c r="G5" t="inlineStr">
        <is>
          <t xml:space="preserve">LECHE LV ENTERA 3% X1L SERENISIMA  </t>
        </is>
      </c>
      <c r="H5" t="inlineStr">
        <is>
          <t xml:space="preserve">UNIDAD              </t>
        </is>
      </c>
      <c r="I5" t="n">
        <v>45106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45106</v>
      </c>
      <c r="P5" s="96">
        <f>_xlfn.XLOOKUP(Tabla5[[#This Row],[EAN CORREGIDO]],'Tabla Articulos'!B:B,'Tabla Articulos'!D:D)</f>
        <v/>
      </c>
      <c r="Q5" s="96">
        <f>_xlfn.XLOOKUP(S5,'Tabla Articulos'!B:B,'Tabla Articulos'!E:E)</f>
        <v/>
      </c>
      <c r="R5" s="96">
        <f>O5*Q5</f>
        <v/>
      </c>
      <c r="S5" s="97">
        <f>TRIM(E5)</f>
        <v/>
      </c>
    </row>
    <row r="6" hidden="1">
      <c r="A6" s="22" t="n">
        <v>6</v>
      </c>
      <c r="B6" t="inlineStr">
        <is>
          <t xml:space="preserve">CDM03 - MORENO 3              </t>
        </is>
      </c>
      <c r="C6" t="inlineStr">
        <is>
          <t xml:space="preserve">GRUPO L.                      </t>
        </is>
      </c>
      <c r="D6" s="11" t="n"/>
      <c r="E6" t="inlineStr">
        <is>
          <t xml:space="preserve">UNIF000466          </t>
        </is>
      </c>
      <c r="F6" t="n">
        <v>9003238</v>
      </c>
      <c r="G6" t="inlineStr">
        <is>
          <t xml:space="preserve">PANTALON GRAF S. LOGO VERD 48      </t>
        </is>
      </c>
      <c r="H6" t="inlineStr">
        <is>
          <t xml:space="preserve">UNIDAD              </t>
        </is>
      </c>
      <c r="I6" t="n">
        <v>28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28</v>
      </c>
      <c r="P6" s="96">
        <f>_xlfn.XLOOKUP(Tabla5[[#This Row],[EAN CORREGIDO]],'Tabla Articulos'!B:B,'Tabla Articulos'!D:D)</f>
        <v/>
      </c>
      <c r="Q6" s="96">
        <f>_xlfn.XLOOKUP(S6,'Tabla Articulos'!B:B,'Tabla Articulos'!E:E)</f>
        <v/>
      </c>
      <c r="R6" s="96">
        <f>O6*Q6</f>
        <v/>
      </c>
      <c r="S6" s="97">
        <f>TRIM(E6)</f>
        <v/>
      </c>
    </row>
    <row r="7" hidden="1">
      <c r="A7" s="22" t="n">
        <v>6</v>
      </c>
      <c r="B7" t="inlineStr">
        <is>
          <t xml:space="preserve">CDM03 - MORENO 3              </t>
        </is>
      </c>
      <c r="C7" t="inlineStr">
        <is>
          <t xml:space="preserve">GRUPO L.                      </t>
        </is>
      </c>
      <c r="D7" t="inlineStr">
        <is>
          <t>CHOMBA MUJER PIQUE</t>
        </is>
      </c>
      <c r="E7" t="inlineStr">
        <is>
          <t xml:space="preserve">7790000000799       </t>
        </is>
      </c>
      <c r="F7" t="n">
        <v>9004295</v>
      </c>
      <c r="G7" t="inlineStr">
        <is>
          <t xml:space="preserve">CHOMBA MJ PIQ GRIS S GL SUP.       </t>
        </is>
      </c>
      <c r="H7" t="inlineStr">
        <is>
          <t xml:space="preserve">UNIDAD              </t>
        </is>
      </c>
      <c r="I7" t="n">
        <v>0</v>
      </c>
      <c r="J7" t="n">
        <v>60</v>
      </c>
      <c r="K7" t="n">
        <v>0</v>
      </c>
      <c r="L7" t="n">
        <v>0</v>
      </c>
      <c r="M7" t="n">
        <v>0</v>
      </c>
      <c r="N7" t="n">
        <v>0</v>
      </c>
      <c r="O7" t="n">
        <v>60</v>
      </c>
      <c r="P7" s="96">
        <f>_xlfn.XLOOKUP(Tabla5[[#This Row],[EAN CORREGIDO]],'Tabla Articulos'!B:B,'Tabla Articulos'!D:D)</f>
        <v/>
      </c>
      <c r="Q7" s="96">
        <f>_xlfn.XLOOKUP(S7,'Tabla Articulos'!B:B,'Tabla Articulos'!E:E)</f>
        <v/>
      </c>
      <c r="R7" s="96">
        <f>O7*Q7</f>
        <v/>
      </c>
      <c r="S7" s="97">
        <f>TRIM(E7)</f>
        <v/>
      </c>
    </row>
    <row r="8" hidden="1">
      <c r="A8" s="22" t="n">
        <v>5</v>
      </c>
      <c r="B8" t="inlineStr">
        <is>
          <t xml:space="preserve">CDM02 - MORENO 2              </t>
        </is>
      </c>
      <c r="C8" t="inlineStr">
        <is>
          <t xml:space="preserve">GRUPO L.                      </t>
        </is>
      </c>
      <c r="D8" s="11" t="inlineStr">
        <is>
          <t>GELATINA CEREZA</t>
        </is>
      </c>
      <c r="E8" t="inlineStr">
        <is>
          <t xml:space="preserve">7790530370409       </t>
        </is>
      </c>
      <c r="F8" t="n">
        <v>4019840</v>
      </c>
      <c r="G8" t="inlineStr">
        <is>
          <t xml:space="preserve">GELATINA CEREZA X 5KG BEDIAL       </t>
        </is>
      </c>
      <c r="H8" t="inlineStr">
        <is>
          <t xml:space="preserve">UNIDAD              </t>
        </is>
      </c>
      <c r="I8" t="n">
        <v>49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49</v>
      </c>
      <c r="P8" s="96">
        <f>_xlfn.XLOOKUP(Tabla5[[#This Row],[EAN CORREGIDO]],'Tabla Articulos'!B:B,'Tabla Articulos'!D:D)</f>
        <v/>
      </c>
      <c r="Q8" s="96">
        <f>_xlfn.XLOOKUP(S8,'Tabla Articulos'!B:B,'Tabla Articulos'!E:E)</f>
        <v/>
      </c>
      <c r="R8" s="96">
        <f>O8*Q8</f>
        <v/>
      </c>
      <c r="S8" s="97">
        <f>TRIM(E8)</f>
        <v/>
      </c>
    </row>
    <row r="9" hidden="1">
      <c r="A9" s="22" t="n">
        <v>6</v>
      </c>
      <c r="B9" t="inlineStr">
        <is>
          <t xml:space="preserve">CDM03 - MORENO 3              </t>
        </is>
      </c>
      <c r="C9" t="inlineStr">
        <is>
          <t xml:space="preserve">GRUPO L.                      </t>
        </is>
      </c>
      <c r="E9" t="inlineStr">
        <is>
          <t xml:space="preserve">UNIF000710          </t>
        </is>
      </c>
      <c r="F9" t="n">
        <v>9004069</v>
      </c>
      <c r="G9" t="inlineStr">
        <is>
          <t xml:space="preserve">CAMP. NARAN TRUCKER ELEVARE S      </t>
        </is>
      </c>
      <c r="H9" t="inlineStr">
        <is>
          <t xml:space="preserve">UNIDAD              </t>
        </is>
      </c>
      <c r="I9" t="n">
        <v>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s="96">
        <f>_xlfn.XLOOKUP(Tabla5[[#This Row],[EAN CORREGIDO]],'Tabla Articulos'!B:B,'Tabla Articulos'!D:D)</f>
        <v/>
      </c>
      <c r="Q9" s="96">
        <f>_xlfn.XLOOKUP(S9,'Tabla Articulos'!B:B,'Tabla Articulos'!E:E)</f>
        <v/>
      </c>
      <c r="R9" s="96">
        <f>O9*Q9</f>
        <v/>
      </c>
      <c r="S9" s="97">
        <f>TRIM(E9)</f>
        <v/>
      </c>
    </row>
    <row r="10" hidden="1">
      <c r="A10" s="22" t="n">
        <v>6</v>
      </c>
      <c r="B10" t="inlineStr">
        <is>
          <t xml:space="preserve">CDM03 - MORENO 3              </t>
        </is>
      </c>
      <c r="C10" t="inlineStr">
        <is>
          <t xml:space="preserve">GRUPO L.                      </t>
        </is>
      </c>
      <c r="D10" s="11" t="n"/>
      <c r="E10" t="inlineStr">
        <is>
          <t xml:space="preserve">UNIF000554          </t>
        </is>
      </c>
      <c r="F10" t="n">
        <v>9003092</v>
      </c>
      <c r="G10" t="inlineStr">
        <is>
          <t xml:space="preserve">PANTALON JEAN 44 GL SUP            </t>
        </is>
      </c>
      <c r="H10" t="inlineStr">
        <is>
          <t xml:space="preserve">UNIDAD              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s="96">
        <f>_xlfn.XLOOKUP(Tabla5[[#This Row],[EAN CORREGIDO]],'Tabla Articulos'!B:B,'Tabla Articulos'!D:D)</f>
        <v/>
      </c>
      <c r="Q10" s="96">
        <f>_xlfn.XLOOKUP(S10,'Tabla Articulos'!B:B,'Tabla Articulos'!E:E)</f>
        <v/>
      </c>
      <c r="R10" s="96">
        <f>O10*Q10</f>
        <v/>
      </c>
      <c r="S10" s="97">
        <f>TRIM(E10)</f>
        <v/>
      </c>
    </row>
    <row r="11" hidden="1">
      <c r="A11" s="22" t="n">
        <v>1</v>
      </c>
      <c r="B11" t="inlineStr">
        <is>
          <t xml:space="preserve">CD MORENO                     </t>
        </is>
      </c>
      <c r="C11" t="inlineStr">
        <is>
          <t xml:space="preserve">GRUPO L.                      </t>
        </is>
      </c>
      <c r="D11" t="inlineStr">
        <is>
          <t>POLLO GOURMET CONGE T10</t>
        </is>
      </c>
      <c r="E11" t="inlineStr">
        <is>
          <t xml:space="preserve">7790000000914       </t>
        </is>
      </c>
      <c r="F11" t="n">
        <v>4077526</v>
      </c>
      <c r="G11" t="inlineStr">
        <is>
          <t xml:space="preserve">POLLO GOURMET T10 CONG XUN         </t>
        </is>
      </c>
      <c r="H11" t="inlineStr">
        <is>
          <t xml:space="preserve">UNIDAD              </t>
        </is>
      </c>
      <c r="I11" t="n">
        <v>300</v>
      </c>
      <c r="J11" t="n">
        <v>0</v>
      </c>
      <c r="K11" t="n">
        <v>0</v>
      </c>
      <c r="L11" t="n">
        <v>65</v>
      </c>
      <c r="M11" t="n">
        <v>65</v>
      </c>
      <c r="N11" t="n">
        <v>0</v>
      </c>
      <c r="O11" t="n">
        <v>170</v>
      </c>
      <c r="P11" s="96">
        <f>_xlfn.XLOOKUP(Tabla5[[#This Row],[EAN CORREGIDO]],'Tabla Articulos'!B:B,'Tabla Articulos'!D:D)</f>
        <v/>
      </c>
      <c r="Q11" s="96">
        <f>_xlfn.XLOOKUP(S11,'Tabla Articulos'!B:B,'Tabla Articulos'!E:E)</f>
        <v/>
      </c>
      <c r="R11" s="96">
        <f>O11*Q11</f>
        <v/>
      </c>
      <c r="S11" s="97">
        <f>TRIM(E11)</f>
        <v/>
      </c>
    </row>
    <row r="12" hidden="1">
      <c r="A12" s="22" t="n">
        <v>1</v>
      </c>
      <c r="B12" t="inlineStr">
        <is>
          <t xml:space="preserve">CD MORENO                     </t>
        </is>
      </c>
      <c r="C12" t="inlineStr">
        <is>
          <t xml:space="preserve">GRUPO L.                      </t>
        </is>
      </c>
      <c r="D12" t="inlineStr">
        <is>
          <t>FLAN CHOCOLATE</t>
        </is>
      </c>
      <c r="E12" t="inlineStr">
        <is>
          <t xml:space="preserve">790757899650        </t>
        </is>
      </c>
      <c r="F12" t="n">
        <v>4022532</v>
      </c>
      <c r="G12" t="inlineStr">
        <is>
          <t xml:space="preserve">FLAN CHOCOLATE 1KG POREC           </t>
        </is>
      </c>
      <c r="H12" t="inlineStr">
        <is>
          <t xml:space="preserve">UNIDAD              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s="96">
        <f>_xlfn.XLOOKUP(Tabla5[[#This Row],[EAN CORREGIDO]],'Tabla Articulos'!B:B,'Tabla Articulos'!D:D)</f>
        <v/>
      </c>
      <c r="Q12" s="96">
        <f>_xlfn.XLOOKUP(S12,'Tabla Articulos'!B:B,'Tabla Articulos'!E:E)</f>
        <v/>
      </c>
      <c r="R12" s="96">
        <f>O12*Q12</f>
        <v/>
      </c>
      <c r="S12" s="97">
        <f>TRIM(E12)</f>
        <v/>
      </c>
    </row>
    <row r="13" hidden="1">
      <c r="A13" s="22" t="n">
        <v>1</v>
      </c>
      <c r="B13" t="inlineStr">
        <is>
          <t xml:space="preserve">CD MORENO                     </t>
        </is>
      </c>
      <c r="C13" t="inlineStr">
        <is>
          <t xml:space="preserve">GRUPO L.                      </t>
        </is>
      </c>
      <c r="D13" s="11" t="inlineStr">
        <is>
          <t>BROCOLI</t>
        </is>
      </c>
      <c r="E13" t="inlineStr">
        <is>
          <t xml:space="preserve">7790216012616       </t>
        </is>
      </c>
      <c r="F13" t="n">
        <v>4017989</v>
      </c>
      <c r="G13" t="inlineStr">
        <is>
          <t xml:space="preserve">BROCOLI X KG                       </t>
        </is>
      </c>
      <c r="H13" t="inlineStr">
        <is>
          <t xml:space="preserve">Kgs                 </t>
        </is>
      </c>
      <c r="I13" t="n">
        <v>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s="96">
        <f>_xlfn.XLOOKUP(Tabla5[[#This Row],[EAN CORREGIDO]],'Tabla Articulos'!B:B,'Tabla Articulos'!D:D)</f>
        <v/>
      </c>
      <c r="Q13" s="96">
        <f>_xlfn.XLOOKUP(S13,'Tabla Articulos'!B:B,'Tabla Articulos'!E:E)</f>
        <v/>
      </c>
      <c r="R13" s="96">
        <f>O13*Q13</f>
        <v/>
      </c>
      <c r="S13" s="97">
        <f>TRIM(E13)</f>
        <v/>
      </c>
    </row>
    <row r="14" hidden="1">
      <c r="A14" s="22" t="n">
        <v>6</v>
      </c>
      <c r="B14" t="inlineStr">
        <is>
          <t xml:space="preserve">CDM03 - MORENO 3              </t>
        </is>
      </c>
      <c r="C14" t="inlineStr">
        <is>
          <t xml:space="preserve">GRUPO L.                      </t>
        </is>
      </c>
      <c r="E14" t="inlineStr">
        <is>
          <t xml:space="preserve">UNIF000411          </t>
        </is>
      </c>
      <c r="F14" t="n">
        <v>9003271</v>
      </c>
      <c r="G14" t="inlineStr">
        <is>
          <t xml:space="preserve">BUZO BLANCO NUTRIRE FRISA S        </t>
        </is>
      </c>
      <c r="H14" t="inlineStr">
        <is>
          <t xml:space="preserve">UNIDAD              </t>
        </is>
      </c>
      <c r="I14" t="n">
        <v>46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46</v>
      </c>
      <c r="P14" s="96">
        <f>_xlfn.XLOOKUP(Tabla5[[#This Row],[EAN CORREGIDO]],'Tabla Articulos'!B:B,'Tabla Articulos'!D:D)</f>
        <v/>
      </c>
      <c r="Q14" s="96">
        <f>_xlfn.XLOOKUP(S14,'Tabla Articulos'!B:B,'Tabla Articulos'!E:E)</f>
        <v/>
      </c>
      <c r="R14" s="96">
        <f>O14*Q14</f>
        <v/>
      </c>
      <c r="S14" s="97">
        <f>TRIM(E14)</f>
        <v/>
      </c>
    </row>
    <row r="15" hidden="1">
      <c r="A15" s="22" t="n">
        <v>6</v>
      </c>
      <c r="B15" t="inlineStr">
        <is>
          <t xml:space="preserve">CDM03 - MORENO 3              </t>
        </is>
      </c>
      <c r="C15" t="inlineStr">
        <is>
          <t xml:space="preserve">GRUPO L.                      </t>
        </is>
      </c>
      <c r="E15" t="inlineStr">
        <is>
          <t xml:space="preserve">UNIF000116          </t>
        </is>
      </c>
      <c r="F15" t="n">
        <v>9003216</v>
      </c>
      <c r="G15" t="inlineStr">
        <is>
          <t xml:space="preserve">PANTALON NAUTICO GRIS 6            </t>
        </is>
      </c>
      <c r="H15" t="inlineStr">
        <is>
          <t xml:space="preserve">UNIDAD              </t>
        </is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s="96">
        <f>_xlfn.XLOOKUP(Tabla5[[#This Row],[EAN CORREGIDO]],'Tabla Articulos'!B:B,'Tabla Articulos'!D:D)</f>
        <v/>
      </c>
      <c r="Q15" s="96">
        <f>_xlfn.XLOOKUP(S15,'Tabla Articulos'!B:B,'Tabla Articulos'!E:E)</f>
        <v/>
      </c>
      <c r="R15" s="96">
        <f>O15*Q15</f>
        <v/>
      </c>
      <c r="S15" s="97">
        <f>TRIM(E15)</f>
        <v/>
      </c>
    </row>
    <row r="16" hidden="1">
      <c r="A16" s="22" t="n">
        <v>1</v>
      </c>
      <c r="B16" t="inlineStr">
        <is>
          <t xml:space="preserve">CD MORENO                     </t>
        </is>
      </c>
      <c r="C16" t="inlineStr">
        <is>
          <t xml:space="preserve">GRUPO L.                      </t>
        </is>
      </c>
      <c r="D16" s="11" t="inlineStr">
        <is>
          <t>SALAME</t>
        </is>
      </c>
      <c r="E16" t="inlineStr">
        <is>
          <t xml:space="preserve">7790212050103       </t>
        </is>
      </c>
      <c r="F16" t="n">
        <v>4017725</v>
      </c>
      <c r="G16" t="inlineStr">
        <is>
          <t xml:space="preserve">SALAME MILAN XKG                   </t>
        </is>
      </c>
      <c r="H16" t="inlineStr">
        <is>
          <t xml:space="preserve">Kgs                 </t>
        </is>
      </c>
      <c r="I16" t="n">
        <v>28.4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28.4</v>
      </c>
      <c r="P16" s="96">
        <f>_xlfn.XLOOKUP(Tabla5[[#This Row],[EAN CORREGIDO]],'Tabla Articulos'!B:B,'Tabla Articulos'!D:D)</f>
        <v/>
      </c>
      <c r="Q16" s="96">
        <f>_xlfn.XLOOKUP(S16,'Tabla Articulos'!B:B,'Tabla Articulos'!E:E)</f>
        <v/>
      </c>
      <c r="R16" s="96">
        <f>O16*Q16</f>
        <v/>
      </c>
      <c r="S16" s="97">
        <f>TRIM(E16)</f>
        <v/>
      </c>
    </row>
    <row r="17" hidden="1">
      <c r="A17" s="22" t="n">
        <v>6</v>
      </c>
      <c r="B17" t="inlineStr">
        <is>
          <t xml:space="preserve">CDM03 - MORENO 3              </t>
        </is>
      </c>
      <c r="C17" t="inlineStr">
        <is>
          <t xml:space="preserve">GRUPO L.                      </t>
        </is>
      </c>
      <c r="E17" t="inlineStr">
        <is>
          <t xml:space="preserve">UNIF000458          </t>
        </is>
      </c>
      <c r="F17" t="n">
        <v>9003619</v>
      </c>
      <c r="G17" t="inlineStr">
        <is>
          <t xml:space="preserve">CAMPE. BLANCO TRUCKER NUTRIRE L    </t>
        </is>
      </c>
      <c r="H17" t="inlineStr">
        <is>
          <t xml:space="preserve">UNIDAD              </t>
        </is>
      </c>
      <c r="I17" t="n">
        <v>144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144</v>
      </c>
      <c r="P17" s="96">
        <f>_xlfn.XLOOKUP(Tabla5[[#This Row],[EAN CORREGIDO]],'Tabla Articulos'!B:B,'Tabla Articulos'!D:D)</f>
        <v/>
      </c>
      <c r="Q17" s="96">
        <f>_xlfn.XLOOKUP(S17,'Tabla Articulos'!B:B,'Tabla Articulos'!E:E)</f>
        <v/>
      </c>
      <c r="R17" s="96">
        <f>O17*Q17</f>
        <v/>
      </c>
      <c r="S17" s="97">
        <f>TRIM(E17)</f>
        <v/>
      </c>
    </row>
    <row r="18" hidden="1">
      <c r="A18" s="22" t="n">
        <v>6</v>
      </c>
      <c r="B18" t="inlineStr">
        <is>
          <t xml:space="preserve">CDM03 - MORENO 3              </t>
        </is>
      </c>
      <c r="C18" t="inlineStr">
        <is>
          <t xml:space="preserve">GRUPO L.                      </t>
        </is>
      </c>
      <c r="D18" s="11" t="n"/>
      <c r="E18" t="inlineStr">
        <is>
          <t xml:space="preserve">UNIF000457          </t>
        </is>
      </c>
      <c r="F18" t="n">
        <v>9003618</v>
      </c>
      <c r="G18" t="inlineStr">
        <is>
          <t xml:space="preserve">CAMPE. BLANCO TRUCKER NUTRIRE M    </t>
        </is>
      </c>
      <c r="H18" t="inlineStr">
        <is>
          <t xml:space="preserve">UNIDAD              </t>
        </is>
      </c>
      <c r="I18" t="n">
        <v>87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87</v>
      </c>
      <c r="P18" s="96">
        <f>_xlfn.XLOOKUP(Tabla5[[#This Row],[EAN CORREGIDO]],'Tabla Articulos'!B:B,'Tabla Articulos'!D:D)</f>
        <v/>
      </c>
      <c r="Q18" s="96">
        <f>_xlfn.XLOOKUP(S18,'Tabla Articulos'!B:B,'Tabla Articulos'!E:E)</f>
        <v/>
      </c>
      <c r="R18" s="96">
        <f>O18*Q18</f>
        <v/>
      </c>
      <c r="S18" s="97">
        <f>TRIM(E18)</f>
        <v/>
      </c>
    </row>
    <row r="19" hidden="1">
      <c r="A19" s="22" t="n">
        <v>6</v>
      </c>
      <c r="B19" t="inlineStr">
        <is>
          <t xml:space="preserve">CDM03 - MORENO 3              </t>
        </is>
      </c>
      <c r="C19" t="inlineStr">
        <is>
          <t xml:space="preserve">GRUPO L.                      </t>
        </is>
      </c>
      <c r="D19" t="inlineStr">
        <is>
          <t>GUANTE GOMA</t>
        </is>
      </c>
      <c r="E19" t="inlineStr">
        <is>
          <t xml:space="preserve">7798188570592       </t>
        </is>
      </c>
      <c r="F19" t="n">
        <v>2016674</v>
      </c>
      <c r="G19" t="inlineStr">
        <is>
          <t xml:space="preserve">GUANTES AFELPADO ROJO T S          </t>
        </is>
      </c>
      <c r="H19" t="inlineStr">
        <is>
          <t xml:space="preserve">UNIDAD              </t>
        </is>
      </c>
      <c r="I19" t="n">
        <v>18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18</v>
      </c>
      <c r="P19" s="96">
        <f>_xlfn.XLOOKUP(Tabla5[[#This Row],[EAN CORREGIDO]],'Tabla Articulos'!B:B,'Tabla Articulos'!D:D)</f>
        <v/>
      </c>
      <c r="Q19" s="96">
        <f>_xlfn.XLOOKUP(S19,'Tabla Articulos'!B:B,'Tabla Articulos'!E:E)</f>
        <v/>
      </c>
      <c r="R19" s="96">
        <f>O19*Q19</f>
        <v/>
      </c>
      <c r="S19" s="97">
        <f>TRIM(E19)</f>
        <v/>
      </c>
    </row>
    <row r="20" hidden="1">
      <c r="A20" s="22" t="n">
        <v>1</v>
      </c>
      <c r="B20" t="inlineStr">
        <is>
          <t xml:space="preserve">CD MORENO                     </t>
        </is>
      </c>
      <c r="C20" t="inlineStr">
        <is>
          <t xml:space="preserve">GRUPO L.                      </t>
        </is>
      </c>
      <c r="D20" t="inlineStr">
        <is>
          <t>AGUA SAB MANZANA IND</t>
        </is>
      </c>
      <c r="E20" t="inlineStr">
        <is>
          <t xml:space="preserve">7790895009211       </t>
        </is>
      </c>
      <c r="F20" t="n">
        <v>4024816</v>
      </c>
      <c r="G20" t="inlineStr">
        <is>
          <t xml:space="preserve">AGUA SAB X 600 CC MANZANA AQUARIUS </t>
        </is>
      </c>
      <c r="H20" t="inlineStr">
        <is>
          <t xml:space="preserve">UNIDAD              </t>
        </is>
      </c>
      <c r="I20" t="n">
        <v>227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227</v>
      </c>
      <c r="P20" s="96">
        <f>_xlfn.XLOOKUP(Tabla5[[#This Row],[EAN CORREGIDO]],'Tabla Articulos'!B:B,'Tabla Articulos'!D:D)</f>
        <v/>
      </c>
      <c r="Q20" s="96">
        <f>_xlfn.XLOOKUP(S20,'Tabla Articulos'!B:B,'Tabla Articulos'!E:E)</f>
        <v/>
      </c>
      <c r="R20" s="96">
        <f>O20*Q20</f>
        <v/>
      </c>
      <c r="S20" s="97">
        <f>TRIM(E20)</f>
        <v/>
      </c>
    </row>
    <row r="21" hidden="1">
      <c r="A21" s="22" t="n">
        <v>1</v>
      </c>
      <c r="B21" t="inlineStr">
        <is>
          <t xml:space="preserve">CD MORENO                     </t>
        </is>
      </c>
      <c r="C21" t="inlineStr">
        <is>
          <t xml:space="preserve">GRUPO L.                      </t>
        </is>
      </c>
      <c r="D21" t="inlineStr">
        <is>
          <t>PANADERIA CONGELADA</t>
        </is>
      </c>
      <c r="E21" t="inlineStr">
        <is>
          <t xml:space="preserve">7790000000559       </t>
        </is>
      </c>
      <c r="F21" t="n">
        <v>4024628</v>
      </c>
      <c r="G21" t="inlineStr">
        <is>
          <t xml:space="preserve">CUADRADO COCO/DDL XUN SELYGEL      </t>
        </is>
      </c>
      <c r="H21" t="inlineStr">
        <is>
          <t xml:space="preserve">UNIDAD              </t>
        </is>
      </c>
      <c r="I21" t="n">
        <v>18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18</v>
      </c>
      <c r="P21" s="96">
        <f>_xlfn.XLOOKUP(Tabla5[[#This Row],[EAN CORREGIDO]],'Tabla Articulos'!B:B,'Tabla Articulos'!D:D)</f>
        <v/>
      </c>
      <c r="Q21" s="96">
        <f>_xlfn.XLOOKUP(S21,'Tabla Articulos'!B:B,'Tabla Articulos'!E:E)</f>
        <v/>
      </c>
      <c r="R21" s="96">
        <f>O21*Q21</f>
        <v/>
      </c>
      <c r="S21" s="97">
        <f>TRIM(E21)</f>
        <v/>
      </c>
    </row>
    <row r="22" hidden="1">
      <c r="A22" s="22" t="n">
        <v>5</v>
      </c>
      <c r="B22" t="inlineStr">
        <is>
          <t xml:space="preserve">CDM02 - MORENO 2              </t>
        </is>
      </c>
      <c r="C22" t="inlineStr">
        <is>
          <t xml:space="preserve">GRUPO L.                      </t>
        </is>
      </c>
      <c r="D22" t="inlineStr">
        <is>
          <t>CAJAS CARTON</t>
        </is>
      </c>
      <c r="E22" t="inlineStr">
        <is>
          <t xml:space="preserve">7790316030028       </t>
        </is>
      </c>
      <c r="F22" t="n">
        <v>2006804</v>
      </c>
      <c r="G22" t="inlineStr">
        <is>
          <t xml:space="preserve">CAJA DOBLE BASE 40X30X27 HUR       </t>
        </is>
      </c>
      <c r="H22" t="inlineStr">
        <is>
          <t xml:space="preserve">UNIDAD              </t>
        </is>
      </c>
      <c r="I22" t="n">
        <v>11608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11608</v>
      </c>
      <c r="P22" s="96">
        <f>_xlfn.XLOOKUP(Tabla5[[#This Row],[EAN CORREGIDO]],'Tabla Articulos'!B:B,'Tabla Articulos'!D:D)</f>
        <v/>
      </c>
      <c r="Q22" s="96">
        <f>_xlfn.XLOOKUP(S22,'Tabla Articulos'!B:B,'Tabla Articulos'!E:E)</f>
        <v/>
      </c>
      <c r="R22" s="96">
        <f>O22*Q22</f>
        <v/>
      </c>
      <c r="S22" s="97">
        <f>TRIM(E22)</f>
        <v/>
      </c>
    </row>
    <row r="23" hidden="1">
      <c r="A23" s="22" t="n">
        <v>6</v>
      </c>
      <c r="B23" t="inlineStr">
        <is>
          <t xml:space="preserve">CDM03 - MORENO 3              </t>
        </is>
      </c>
      <c r="C23" t="inlineStr">
        <is>
          <t xml:space="preserve">GRUPO L.                      </t>
        </is>
      </c>
      <c r="D23" s="11" t="inlineStr">
        <is>
          <t>GUANTE GOMA</t>
        </is>
      </c>
      <c r="E23" t="inlineStr">
        <is>
          <t xml:space="preserve">7798092968720       </t>
        </is>
      </c>
      <c r="F23" t="n">
        <v>2016689</v>
      </c>
      <c r="G23" t="inlineStr">
        <is>
          <t xml:space="preserve">GUANTES SOFT M                     </t>
        </is>
      </c>
      <c r="H23" t="inlineStr">
        <is>
          <t xml:space="preserve">UNIDAD              </t>
        </is>
      </c>
      <c r="I23" t="n">
        <v>998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998</v>
      </c>
      <c r="P23" s="96">
        <f>_xlfn.XLOOKUP(Tabla5[[#This Row],[EAN CORREGIDO]],'Tabla Articulos'!B:B,'Tabla Articulos'!D:D)</f>
        <v/>
      </c>
      <c r="Q23" s="96">
        <f>_xlfn.XLOOKUP(S23,'Tabla Articulos'!B:B,'Tabla Articulos'!E:E)</f>
        <v/>
      </c>
      <c r="R23" s="96">
        <f>O23*Q23</f>
        <v/>
      </c>
      <c r="S23" s="97">
        <f>TRIM(E23)</f>
        <v/>
      </c>
    </row>
    <row r="24" hidden="1">
      <c r="A24" s="22" t="n">
        <v>1</v>
      </c>
      <c r="B24" t="inlineStr">
        <is>
          <t xml:space="preserve">CD MORENO                     </t>
        </is>
      </c>
      <c r="C24" t="inlineStr">
        <is>
          <t xml:space="preserve">GRUPO L.                      </t>
        </is>
      </c>
      <c r="D24" t="inlineStr">
        <is>
          <t>JUGO POLVO MANZANA</t>
        </is>
      </c>
      <c r="E24" t="inlineStr">
        <is>
          <t xml:space="preserve">7790580144142       </t>
        </is>
      </c>
      <c r="F24" t="n">
        <v>4021533</v>
      </c>
      <c r="G24" t="inlineStr">
        <is>
          <t xml:space="preserve">JUGO POLVO MANZ ROJA X15GR ARCOR   </t>
        </is>
      </c>
      <c r="H24" t="inlineStr">
        <is>
          <t xml:space="preserve">UNIDAD              </t>
        </is>
      </c>
      <c r="I24" t="n">
        <v>140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140</v>
      </c>
      <c r="P24" s="96">
        <f>_xlfn.XLOOKUP(Tabla5[[#This Row],[EAN CORREGIDO]],'Tabla Articulos'!B:B,'Tabla Articulos'!D:D)</f>
        <v/>
      </c>
      <c r="Q24" s="96">
        <f>_xlfn.XLOOKUP(S24,'Tabla Articulos'!B:B,'Tabla Articulos'!E:E)</f>
        <v/>
      </c>
      <c r="R24" s="96">
        <f>O24*Q24</f>
        <v/>
      </c>
      <c r="S24" s="97">
        <f>TRIM(E24)</f>
        <v/>
      </c>
    </row>
    <row r="25" hidden="1">
      <c r="A25" s="22" t="n">
        <v>6</v>
      </c>
      <c r="B25" t="inlineStr">
        <is>
          <t xml:space="preserve">CDM03 - MORENO 3              </t>
        </is>
      </c>
      <c r="C25" t="inlineStr">
        <is>
          <t xml:space="preserve">GRUPO L.                      </t>
        </is>
      </c>
      <c r="D25" t="inlineStr">
        <is>
          <t>VASO PLASTICO</t>
        </is>
      </c>
      <c r="E25" t="inlineStr">
        <is>
          <t xml:space="preserve">7790321020346       </t>
        </is>
      </c>
      <c r="F25" t="n">
        <v>2006475</v>
      </c>
      <c r="G25" t="inlineStr">
        <is>
          <t xml:space="preserve">VASO PLASTICO X 180 X 100 U        </t>
        </is>
      </c>
      <c r="H25" t="inlineStr">
        <is>
          <t xml:space="preserve">UNIDAD              </t>
        </is>
      </c>
      <c r="I25" t="n">
        <v>110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110</v>
      </c>
      <c r="P25" s="96">
        <f>_xlfn.XLOOKUP(Tabla5[[#This Row],[EAN CORREGIDO]],'Tabla Articulos'!B:B,'Tabla Articulos'!D:D)</f>
        <v/>
      </c>
      <c r="Q25" s="96">
        <f>_xlfn.XLOOKUP(S25,'Tabla Articulos'!B:B,'Tabla Articulos'!E:E)</f>
        <v/>
      </c>
      <c r="R25" s="96">
        <f>O25*Q25</f>
        <v/>
      </c>
      <c r="S25" s="97">
        <f>TRIM(E25)</f>
        <v/>
      </c>
    </row>
    <row r="26" hidden="1">
      <c r="A26" s="22" t="n">
        <v>6</v>
      </c>
      <c r="B26" t="inlineStr">
        <is>
          <t xml:space="preserve">CDM03 - MORENO 3              </t>
        </is>
      </c>
      <c r="C26" t="inlineStr">
        <is>
          <t xml:space="preserve">GRUPO L.                      </t>
        </is>
      </c>
      <c r="E26" t="inlineStr">
        <is>
          <t xml:space="preserve">UNIF000153          </t>
        </is>
      </c>
      <c r="F26" t="n">
        <v>9003570</v>
      </c>
      <c r="G26" t="inlineStr">
        <is>
          <t xml:space="preserve">CAMI. BLAN.M. LARG 46 C. GOURMET   </t>
        </is>
      </c>
      <c r="H26" t="inlineStr">
        <is>
          <t xml:space="preserve">UNIDAD              </t>
        </is>
      </c>
      <c r="I26" t="n">
        <v>48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48</v>
      </c>
      <c r="P26" s="96">
        <f>_xlfn.XLOOKUP(Tabla5[[#This Row],[EAN CORREGIDO]],'Tabla Articulos'!B:B,'Tabla Articulos'!D:D)</f>
        <v/>
      </c>
      <c r="Q26" s="96">
        <f>_xlfn.XLOOKUP(S26,'Tabla Articulos'!B:B,'Tabla Articulos'!E:E)</f>
        <v/>
      </c>
      <c r="R26" s="96">
        <f>O26*Q26</f>
        <v/>
      </c>
      <c r="S26" s="97">
        <f>TRIM(E26)</f>
        <v/>
      </c>
    </row>
    <row r="27" hidden="1">
      <c r="A27" s="22" t="n">
        <v>6</v>
      </c>
      <c r="B27" t="inlineStr">
        <is>
          <t xml:space="preserve">CDM03 - MORENO 3              </t>
        </is>
      </c>
      <c r="C27" t="inlineStr">
        <is>
          <t xml:space="preserve">GRUPO L.                      </t>
        </is>
      </c>
      <c r="D27" t="inlineStr">
        <is>
          <t>MANTEL LOGO GL</t>
        </is>
      </c>
      <c r="E27" t="inlineStr">
        <is>
          <t xml:space="preserve">7790000000710       </t>
        </is>
      </c>
      <c r="F27" t="n">
        <v>2016510</v>
      </c>
      <c r="G27" t="inlineStr">
        <is>
          <t xml:space="preserve"> MANTEL INDIV BLUE PERFECTO X1000UN</t>
        </is>
      </c>
      <c r="H27" t="inlineStr">
        <is>
          <t xml:space="preserve">UNIDAD              </t>
        </is>
      </c>
      <c r="I27" t="n">
        <v>20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20</v>
      </c>
      <c r="P27" s="96">
        <f>_xlfn.XLOOKUP(Tabla5[[#This Row],[EAN CORREGIDO]],'Tabla Articulos'!B:B,'Tabla Articulos'!D:D)</f>
        <v/>
      </c>
      <c r="Q27" s="96">
        <f>_xlfn.XLOOKUP(S27,'Tabla Articulos'!B:B,'Tabla Articulos'!E:E)</f>
        <v/>
      </c>
      <c r="R27" s="96">
        <f>O27*Q27</f>
        <v/>
      </c>
      <c r="S27" s="97">
        <f>TRIM(E27)</f>
        <v/>
      </c>
    </row>
    <row r="28" hidden="1">
      <c r="A28" s="22" t="n">
        <v>5</v>
      </c>
      <c r="B28" t="inlineStr">
        <is>
          <t xml:space="preserve">CDM02 - MORENO 2              </t>
        </is>
      </c>
      <c r="C28" t="inlineStr">
        <is>
          <t xml:space="preserve">GRUPO L.                      </t>
        </is>
      </c>
      <c r="D28" s="11" t="inlineStr">
        <is>
          <t>PIMENTON</t>
        </is>
      </c>
      <c r="E28" t="inlineStr">
        <is>
          <t xml:space="preserve">7793875360272       </t>
        </is>
      </c>
      <c r="F28" t="n">
        <v>4020416</v>
      </c>
      <c r="G28" t="inlineStr">
        <is>
          <t xml:space="preserve">PIMENTON EXTRA X 1 KG AROMAS       </t>
        </is>
      </c>
      <c r="H28" t="inlineStr">
        <is>
          <t xml:space="preserve">UNIDAD              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s="96">
        <f>_xlfn.XLOOKUP(Tabla5[[#This Row],[EAN CORREGIDO]],'Tabla Articulos'!B:B,'Tabla Articulos'!D:D)</f>
        <v/>
      </c>
      <c r="Q28" s="96">
        <f>_xlfn.XLOOKUP(S28,'Tabla Articulos'!B:B,'Tabla Articulos'!E:E)</f>
        <v/>
      </c>
      <c r="R28" s="96">
        <f>O28*Q28</f>
        <v/>
      </c>
      <c r="S28" s="97">
        <f>TRIM(E28)</f>
        <v/>
      </c>
    </row>
    <row r="29" hidden="1">
      <c r="A29" s="22" t="n">
        <v>1</v>
      </c>
      <c r="B29" t="inlineStr">
        <is>
          <t xml:space="preserve">CD MORENO                     </t>
        </is>
      </c>
      <c r="C29" t="inlineStr">
        <is>
          <t xml:space="preserve">GRUPO L.                      </t>
        </is>
      </c>
      <c r="D29" t="inlineStr">
        <is>
          <t>PIMENTON</t>
        </is>
      </c>
      <c r="E29" t="inlineStr">
        <is>
          <t xml:space="preserve">7793875360272       </t>
        </is>
      </c>
      <c r="F29" t="n">
        <v>4020416</v>
      </c>
      <c r="G29" t="inlineStr">
        <is>
          <t xml:space="preserve">PIMENTON EXTRA X 1 KG AROMAS       </t>
        </is>
      </c>
      <c r="H29" t="inlineStr">
        <is>
          <t xml:space="preserve">UNIDAD              </t>
        </is>
      </c>
      <c r="I29" t="n">
        <v>895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895</v>
      </c>
      <c r="P29" s="96">
        <f>_xlfn.XLOOKUP(Tabla5[[#This Row],[EAN CORREGIDO]],'Tabla Articulos'!B:B,'Tabla Articulos'!D:D)</f>
        <v/>
      </c>
      <c r="Q29" s="96">
        <f>_xlfn.XLOOKUP(S29,'Tabla Articulos'!B:B,'Tabla Articulos'!E:E)</f>
        <v/>
      </c>
      <c r="R29" s="96">
        <f>O29*Q29</f>
        <v/>
      </c>
      <c r="S29" s="97">
        <f>TRIM(E29)</f>
        <v/>
      </c>
    </row>
    <row r="30" hidden="1">
      <c r="A30" s="22" t="n">
        <v>6</v>
      </c>
      <c r="B30" t="inlineStr">
        <is>
          <t xml:space="preserve">CDM03 - MORENO 3              </t>
        </is>
      </c>
      <c r="C30" t="inlineStr">
        <is>
          <t xml:space="preserve">GRUPO L.                      </t>
        </is>
      </c>
      <c r="D30" t="inlineStr">
        <is>
          <t>CABOS ALUMINIO</t>
        </is>
      </c>
      <c r="E30" t="inlineStr">
        <is>
          <t xml:space="preserve">7792205105224       </t>
        </is>
      </c>
      <c r="F30" t="n">
        <v>2007427</v>
      </c>
      <c r="G30" t="inlineStr">
        <is>
          <t xml:space="preserve">CABO ALUM 1.50MTXUN VERDE MPROP    </t>
        </is>
      </c>
      <c r="H30" t="inlineStr">
        <is>
          <t xml:space="preserve">UNIDAD              </t>
        </is>
      </c>
      <c r="I30" t="n">
        <v>118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118</v>
      </c>
      <c r="P30" s="96">
        <f>_xlfn.XLOOKUP(Tabla5[[#This Row],[EAN CORREGIDO]],'Tabla Articulos'!B:B,'Tabla Articulos'!D:D)</f>
        <v/>
      </c>
      <c r="Q30" s="96">
        <f>_xlfn.XLOOKUP(S30,'Tabla Articulos'!B:B,'Tabla Articulos'!E:E)</f>
        <v/>
      </c>
      <c r="R30" s="96">
        <f>O30*Q30</f>
        <v/>
      </c>
      <c r="S30" s="97">
        <f>TRIM(E30)</f>
        <v/>
      </c>
    </row>
    <row r="31" hidden="1">
      <c r="A31" s="22" t="n">
        <v>6</v>
      </c>
      <c r="B31" t="inlineStr">
        <is>
          <t xml:space="preserve">CDM03 - MORENO 3              </t>
        </is>
      </c>
      <c r="C31" t="inlineStr">
        <is>
          <t xml:space="preserve">GRUPO L.                      </t>
        </is>
      </c>
      <c r="D31" s="11" t="n"/>
      <c r="E31" t="inlineStr">
        <is>
          <t xml:space="preserve">A1607C25T77         </t>
        </is>
      </c>
      <c r="F31" t="n">
        <v>9003035</v>
      </c>
      <c r="G31" t="inlineStr">
        <is>
          <t xml:space="preserve">ZAPATO SEG. NEG. 47 ATT CHUBUT     </t>
        </is>
      </c>
      <c r="H31" t="inlineStr">
        <is>
          <t xml:space="preserve">UNIDAD              </t>
        </is>
      </c>
      <c r="I31" t="n">
        <v>10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10</v>
      </c>
      <c r="P31" s="96">
        <f>_xlfn.XLOOKUP(Tabla5[[#This Row],[EAN CORREGIDO]],'Tabla Articulos'!B:B,'Tabla Articulos'!D:D)</f>
        <v/>
      </c>
      <c r="Q31" s="96">
        <f>_xlfn.XLOOKUP(S31,'Tabla Articulos'!B:B,'Tabla Articulos'!E:E)</f>
        <v/>
      </c>
      <c r="R31" s="96">
        <f>O31*Q31</f>
        <v/>
      </c>
      <c r="S31" s="97">
        <f>TRIM(E31)</f>
        <v/>
      </c>
    </row>
    <row r="32" hidden="1">
      <c r="A32" s="22" t="n">
        <v>6</v>
      </c>
      <c r="B32" t="inlineStr">
        <is>
          <t xml:space="preserve">CDM03 - MORENO 3              </t>
        </is>
      </c>
      <c r="C32" t="inlineStr">
        <is>
          <t xml:space="preserve">GRUPO L.                      </t>
        </is>
      </c>
      <c r="E32" t="inlineStr">
        <is>
          <t xml:space="preserve">UNIF000520          </t>
        </is>
      </c>
      <c r="F32" t="n">
        <v>9003627</v>
      </c>
      <c r="G32" t="inlineStr">
        <is>
          <t xml:space="preserve">CAMPE.TRUCKER NEGRA XXL C. GOUR    </t>
        </is>
      </c>
      <c r="H32" t="inlineStr">
        <is>
          <t xml:space="preserve">UNIDAD              </t>
        </is>
      </c>
      <c r="I32" t="n">
        <v>29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29</v>
      </c>
      <c r="P32" s="96">
        <f>_xlfn.XLOOKUP(Tabla5[[#This Row],[EAN CORREGIDO]],'Tabla Articulos'!B:B,'Tabla Articulos'!D:D)</f>
        <v/>
      </c>
      <c r="Q32" s="96">
        <f>_xlfn.XLOOKUP(S32,'Tabla Articulos'!B:B,'Tabla Articulos'!E:E)</f>
        <v/>
      </c>
      <c r="R32" s="96">
        <f>O32*Q32</f>
        <v/>
      </c>
      <c r="S32" s="97">
        <f>TRIM(E32)</f>
        <v/>
      </c>
    </row>
    <row r="33" hidden="1">
      <c r="A33" s="22" t="n">
        <v>6</v>
      </c>
      <c r="B33" t="inlineStr">
        <is>
          <t xml:space="preserve">CDM03 - MORENO 3              </t>
        </is>
      </c>
      <c r="C33" t="inlineStr">
        <is>
          <t xml:space="preserve">GRUPO L.                      </t>
        </is>
      </c>
      <c r="D33" s="11" t="inlineStr">
        <is>
          <t>JABON LIQUIDO</t>
        </is>
      </c>
      <c r="E33" t="inlineStr">
        <is>
          <t xml:space="preserve">7798160835145       </t>
        </is>
      </c>
      <c r="F33" t="n">
        <v>2007480</v>
      </c>
      <c r="G33" t="inlineStr">
        <is>
          <t xml:space="preserve">JABON LIQ OCEANO X5L NEW ZEN       </t>
        </is>
      </c>
      <c r="H33" t="inlineStr">
        <is>
          <t xml:space="preserve">UNIDAD              </t>
        </is>
      </c>
      <c r="I33" t="n">
        <v>2586</v>
      </c>
      <c r="J33" t="n">
        <v>0</v>
      </c>
      <c r="K33" t="n">
        <v>0</v>
      </c>
      <c r="L33" t="n">
        <v>294</v>
      </c>
      <c r="M33" t="n">
        <v>294</v>
      </c>
      <c r="N33" t="n">
        <v>0</v>
      </c>
      <c r="O33" t="n">
        <v>1998</v>
      </c>
      <c r="P33" s="96">
        <f>_xlfn.XLOOKUP(Tabla5[[#This Row],[EAN CORREGIDO]],'Tabla Articulos'!B:B,'Tabla Articulos'!D:D)</f>
        <v/>
      </c>
      <c r="Q33" s="96">
        <f>_xlfn.XLOOKUP(S33,'Tabla Articulos'!B:B,'Tabla Articulos'!E:E)</f>
        <v/>
      </c>
      <c r="R33" s="96">
        <f>O33*Q33</f>
        <v/>
      </c>
      <c r="S33" s="97">
        <f>TRIM(E33)</f>
        <v/>
      </c>
    </row>
    <row r="34" hidden="1">
      <c r="A34" s="22" t="n">
        <v>6</v>
      </c>
      <c r="B34" t="inlineStr">
        <is>
          <t xml:space="preserve">CDM03 - MORENO 3              </t>
        </is>
      </c>
      <c r="C34" t="inlineStr">
        <is>
          <t xml:space="preserve">GRUPO L.                      </t>
        </is>
      </c>
      <c r="D34" s="11" t="n"/>
      <c r="E34" t="inlineStr">
        <is>
          <t xml:space="preserve">A1607C25T11         </t>
        </is>
      </c>
      <c r="F34" t="n">
        <v>9003032</v>
      </c>
      <c r="G34" t="inlineStr">
        <is>
          <t xml:space="preserve">ZAPATO SEG. NEG. 44 ATT CHUBUT     </t>
        </is>
      </c>
      <c r="H34" t="inlineStr">
        <is>
          <t xml:space="preserve">UNIDAD              </t>
        </is>
      </c>
      <c r="I34" t="n">
        <v>73</v>
      </c>
      <c r="J34" t="n">
        <v>0</v>
      </c>
      <c r="K34" t="n">
        <v>0</v>
      </c>
      <c r="L34" t="n">
        <v>2</v>
      </c>
      <c r="M34" t="n">
        <v>2</v>
      </c>
      <c r="N34" t="n">
        <v>0</v>
      </c>
      <c r="O34" t="n">
        <v>69</v>
      </c>
      <c r="P34" s="96">
        <f>_xlfn.XLOOKUP(Tabla5[[#This Row],[EAN CORREGIDO]],'Tabla Articulos'!B:B,'Tabla Articulos'!D:D)</f>
        <v/>
      </c>
      <c r="Q34" s="96">
        <f>_xlfn.XLOOKUP(S34,'Tabla Articulos'!B:B,'Tabla Articulos'!E:E)</f>
        <v/>
      </c>
      <c r="R34" s="96">
        <f>O34*Q34</f>
        <v/>
      </c>
      <c r="S34" s="97">
        <f>TRIM(E34)</f>
        <v/>
      </c>
    </row>
    <row r="35" hidden="1">
      <c r="A35" s="22" t="n">
        <v>6</v>
      </c>
      <c r="B35" t="inlineStr">
        <is>
          <t xml:space="preserve">CDM03 - MORENO 3              </t>
        </is>
      </c>
      <c r="C35" t="inlineStr">
        <is>
          <t xml:space="preserve">GRUPO L.                      </t>
        </is>
      </c>
      <c r="D35" s="11" t="n"/>
      <c r="E35" t="inlineStr">
        <is>
          <t xml:space="preserve">UNIF000314          </t>
        </is>
      </c>
      <c r="F35" t="n">
        <v>9003188</v>
      </c>
      <c r="G35" t="inlineStr">
        <is>
          <t xml:space="preserve">REMERA C/RED A. MAR GRUPO L 5XL    </t>
        </is>
      </c>
      <c r="H35" t="inlineStr">
        <is>
          <t xml:space="preserve">UNIDAD              </t>
        </is>
      </c>
      <c r="I35" t="n">
        <v>13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</v>
      </c>
      <c r="P35" s="96">
        <f>_xlfn.XLOOKUP(Tabla5[[#This Row],[EAN CORREGIDO]],'Tabla Articulos'!B:B,'Tabla Articulos'!D:D)</f>
        <v/>
      </c>
      <c r="Q35" s="96">
        <f>_xlfn.XLOOKUP(S35,'Tabla Articulos'!B:B,'Tabla Articulos'!E:E)</f>
        <v/>
      </c>
      <c r="R35" s="96">
        <f>O35*Q35</f>
        <v/>
      </c>
      <c r="S35" s="97">
        <f>TRIM(E35)</f>
        <v/>
      </c>
    </row>
    <row r="36" hidden="1">
      <c r="A36" s="22" t="n">
        <v>6</v>
      </c>
      <c r="B36" t="inlineStr">
        <is>
          <t xml:space="preserve">CDM03 - MORENO 3              </t>
        </is>
      </c>
      <c r="C36" t="inlineStr">
        <is>
          <t xml:space="preserve">GRUPO L.                      </t>
        </is>
      </c>
      <c r="E36" t="inlineStr">
        <is>
          <t xml:space="preserve">LIM000194           </t>
        </is>
      </c>
      <c r="F36" t="n">
        <v>2006982</v>
      </c>
      <c r="G36" t="inlineStr">
        <is>
          <t xml:space="preserve">REPUESTO MOPA DE BARRIDA 80 CM     </t>
        </is>
      </c>
      <c r="H36" t="inlineStr">
        <is>
          <t xml:space="preserve">UNIDAD              </t>
        </is>
      </c>
      <c r="I36" t="n">
        <v>20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20</v>
      </c>
      <c r="P36" s="96">
        <f>_xlfn.XLOOKUP(Tabla5[[#This Row],[EAN CORREGIDO]],'Tabla Articulos'!B:B,'Tabla Articulos'!D:D)</f>
        <v/>
      </c>
      <c r="Q36" s="96">
        <f>_xlfn.XLOOKUP(S36,'Tabla Articulos'!B:B,'Tabla Articulos'!E:E)</f>
        <v/>
      </c>
      <c r="R36" s="96">
        <f>O36*Q36</f>
        <v/>
      </c>
      <c r="S36" s="97">
        <f>TRIM(E36)</f>
        <v/>
      </c>
    </row>
    <row r="37" hidden="1">
      <c r="A37" s="22" t="n">
        <v>5</v>
      </c>
      <c r="B37" t="inlineStr">
        <is>
          <t xml:space="preserve">CDM02 - MORENO 2              </t>
        </is>
      </c>
      <c r="C37" t="inlineStr">
        <is>
          <t xml:space="preserve">GRUPO L.                      </t>
        </is>
      </c>
      <c r="D37" t="inlineStr">
        <is>
          <t>LECHE DE ALMENDRAS</t>
        </is>
      </c>
      <c r="E37" t="inlineStr">
        <is>
          <t xml:space="preserve">7798290581875       </t>
        </is>
      </c>
      <c r="F37" t="n">
        <v>4021304</v>
      </c>
      <c r="G37" t="inlineStr">
        <is>
          <t xml:space="preserve">LECHE ALMENDRAS X1L BIBA.          </t>
        </is>
      </c>
      <c r="H37" t="inlineStr">
        <is>
          <t xml:space="preserve">UNIDAD              </t>
        </is>
      </c>
      <c r="I37" t="n">
        <v>37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37</v>
      </c>
      <c r="P37" s="96">
        <f>_xlfn.XLOOKUP(Tabla5[[#This Row],[EAN CORREGIDO]],'Tabla Articulos'!B:B,'Tabla Articulos'!D:D)</f>
        <v/>
      </c>
      <c r="Q37" s="96">
        <f>_xlfn.XLOOKUP(S37,'Tabla Articulos'!B:B,'Tabla Articulos'!E:E)</f>
        <v/>
      </c>
      <c r="R37" s="96">
        <f>O37*Q37</f>
        <v/>
      </c>
      <c r="S37" s="97">
        <f>TRIM(E37)</f>
        <v/>
      </c>
    </row>
    <row r="38" hidden="1">
      <c r="A38" s="22" t="n">
        <v>1</v>
      </c>
      <c r="B38" t="inlineStr">
        <is>
          <t xml:space="preserve">CD MORENO                     </t>
        </is>
      </c>
      <c r="C38" t="inlineStr">
        <is>
          <t xml:space="preserve">GRUPO L.                      </t>
        </is>
      </c>
      <c r="D38" t="inlineStr">
        <is>
          <t>LECHE DE ALMENDRAS</t>
        </is>
      </c>
      <c r="E38" t="inlineStr">
        <is>
          <t xml:space="preserve">7798290581875       </t>
        </is>
      </c>
      <c r="F38" t="n">
        <v>4021304</v>
      </c>
      <c r="G38" t="inlineStr">
        <is>
          <t xml:space="preserve">LECHE ALMENDRAS X1L BIBA.          </t>
        </is>
      </c>
      <c r="H38" t="inlineStr">
        <is>
          <t xml:space="preserve">UNIDAD              </t>
        </is>
      </c>
      <c r="I38" t="n">
        <v>14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14</v>
      </c>
      <c r="P38" s="96">
        <f>_xlfn.XLOOKUP(Tabla5[[#This Row],[EAN CORREGIDO]],'Tabla Articulos'!B:B,'Tabla Articulos'!D:D)</f>
        <v/>
      </c>
      <c r="Q38" s="96">
        <f>_xlfn.XLOOKUP(S38,'Tabla Articulos'!B:B,'Tabla Articulos'!E:E)</f>
        <v/>
      </c>
      <c r="R38" s="96">
        <f>O38*Q38</f>
        <v/>
      </c>
      <c r="S38" s="97">
        <f>TRIM(E38)</f>
        <v/>
      </c>
    </row>
    <row r="39" hidden="1">
      <c r="A39" s="22" t="n">
        <v>5</v>
      </c>
      <c r="B39" t="inlineStr">
        <is>
          <t xml:space="preserve">CDM02 - MORENO 2              </t>
        </is>
      </c>
      <c r="C39" t="inlineStr">
        <is>
          <t xml:space="preserve">GRUPO L.                      </t>
        </is>
      </c>
      <c r="D39" s="11" t="inlineStr">
        <is>
          <t>SAL FINA</t>
        </is>
      </c>
      <c r="E39" t="inlineStr">
        <is>
          <t xml:space="preserve">7790641000011       </t>
        </is>
      </c>
      <c r="F39" t="n">
        <v>4019591</v>
      </c>
      <c r="G39" t="inlineStr">
        <is>
          <t xml:space="preserve">SAL FINA X 500 G COLOSAL           </t>
        </is>
      </c>
      <c r="H39" t="inlineStr">
        <is>
          <t xml:space="preserve">UNIDAD              </t>
        </is>
      </c>
      <c r="I39" t="n">
        <v>12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12</v>
      </c>
      <c r="P39" s="96">
        <f>_xlfn.XLOOKUP(Tabla5[[#This Row],[EAN CORREGIDO]],'Tabla Articulos'!B:B,'Tabla Articulos'!D:D)</f>
        <v/>
      </c>
      <c r="Q39" s="96">
        <f>_xlfn.XLOOKUP(S39,'Tabla Articulos'!B:B,'Tabla Articulos'!E:E)</f>
        <v/>
      </c>
      <c r="R39" s="96">
        <f>O39*Q39</f>
        <v/>
      </c>
      <c r="S39" s="97">
        <f>TRIM(E39)</f>
        <v/>
      </c>
    </row>
    <row r="40" hidden="1">
      <c r="A40" s="22" t="n">
        <v>1</v>
      </c>
      <c r="B40" t="inlineStr">
        <is>
          <t xml:space="preserve">CD MORENO                     </t>
        </is>
      </c>
      <c r="C40" t="inlineStr">
        <is>
          <t xml:space="preserve">GRUPO L.                      </t>
        </is>
      </c>
      <c r="D40" t="inlineStr">
        <is>
          <t>SAL FINA</t>
        </is>
      </c>
      <c r="E40" t="inlineStr">
        <is>
          <t xml:space="preserve">7790641000011       </t>
        </is>
      </c>
      <c r="F40" t="n">
        <v>4019591</v>
      </c>
      <c r="G40" t="inlineStr">
        <is>
          <t xml:space="preserve">SAL FINA X 500 G COLOSAL           </t>
        </is>
      </c>
      <c r="H40" t="inlineStr">
        <is>
          <t xml:space="preserve">UNIDAD              </t>
        </is>
      </c>
      <c r="I40" t="n">
        <v>7866</v>
      </c>
      <c r="J40" t="n">
        <v>0</v>
      </c>
      <c r="K40" t="n">
        <v>0</v>
      </c>
      <c r="L40" t="n">
        <v>8</v>
      </c>
      <c r="M40" t="n">
        <v>8</v>
      </c>
      <c r="N40" t="n">
        <v>0</v>
      </c>
      <c r="O40" t="n">
        <v>7850</v>
      </c>
      <c r="P40" s="96">
        <f>_xlfn.XLOOKUP(Tabla5[[#This Row],[EAN CORREGIDO]],'Tabla Articulos'!B:B,'Tabla Articulos'!D:D)</f>
        <v/>
      </c>
      <c r="Q40" s="96">
        <f>_xlfn.XLOOKUP(S40,'Tabla Articulos'!B:B,'Tabla Articulos'!E:E)</f>
        <v/>
      </c>
      <c r="R40" s="96">
        <f>O40*Q40</f>
        <v/>
      </c>
      <c r="S40" s="97">
        <f>TRIM(E40)</f>
        <v/>
      </c>
    </row>
    <row r="41" hidden="1">
      <c r="A41" s="22" t="n">
        <v>1</v>
      </c>
      <c r="B41" t="inlineStr">
        <is>
          <t xml:space="preserve">CD MORENO                     </t>
        </is>
      </c>
      <c r="C41" t="inlineStr">
        <is>
          <t xml:space="preserve">GRUPO L.                      </t>
        </is>
      </c>
      <c r="D41" s="11" t="inlineStr">
        <is>
          <t>ARROZ INTEGRAL</t>
        </is>
      </c>
      <c r="E41" t="inlineStr">
        <is>
          <t xml:space="preserve">7798078450041       </t>
        </is>
      </c>
      <c r="F41" t="n">
        <v>4022984</v>
      </c>
      <c r="G41" t="inlineStr">
        <is>
          <t xml:space="preserve">ARROZ INTEGRAL X1KG VANGUARDIA     </t>
        </is>
      </c>
      <c r="H41" t="inlineStr">
        <is>
          <t xml:space="preserve">UNIDAD              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6</v>
      </c>
      <c r="P41" s="96">
        <f>_xlfn.XLOOKUP(Tabla5[[#This Row],[EAN CORREGIDO]],'Tabla Articulos'!B:B,'Tabla Articulos'!D:D)</f>
        <v/>
      </c>
      <c r="Q41" s="96">
        <f>_xlfn.XLOOKUP(S41,'Tabla Articulos'!B:B,'Tabla Articulos'!E:E)</f>
        <v/>
      </c>
      <c r="R41" s="96">
        <f>O41*Q41</f>
        <v/>
      </c>
      <c r="S41" s="97">
        <f>TRIM(E41)</f>
        <v/>
      </c>
    </row>
    <row r="42" hidden="1">
      <c r="A42" s="22" t="n">
        <v>6</v>
      </c>
      <c r="B42" t="inlineStr">
        <is>
          <t xml:space="preserve">CDM03 - MORENO 3              </t>
        </is>
      </c>
      <c r="C42" t="inlineStr">
        <is>
          <t xml:space="preserve">GRUPO L.                      </t>
        </is>
      </c>
      <c r="D42" s="11" t="n"/>
      <c r="E42" t="inlineStr">
        <is>
          <t xml:space="preserve">UNIF000217          </t>
        </is>
      </c>
      <c r="F42" t="n">
        <v>9003485</v>
      </c>
      <c r="G42" t="inlineStr">
        <is>
          <t xml:space="preserve">PANTAL CARG NEGRO NAR. 48 GL SUP   </t>
        </is>
      </c>
      <c r="H42" t="inlineStr">
        <is>
          <t xml:space="preserve">UNIDAD              </t>
        </is>
      </c>
      <c r="I42" t="n">
        <v>22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22</v>
      </c>
      <c r="P42" s="96">
        <f>_xlfn.XLOOKUP(Tabla5[[#This Row],[EAN CORREGIDO]],'Tabla Articulos'!B:B,'Tabla Articulos'!D:D)</f>
        <v/>
      </c>
      <c r="Q42" s="96">
        <f>_xlfn.XLOOKUP(S42,'Tabla Articulos'!B:B,'Tabla Articulos'!E:E)</f>
        <v/>
      </c>
      <c r="R42" s="96">
        <f>O42*Q42</f>
        <v/>
      </c>
      <c r="S42" s="97">
        <f>TRIM(E42)</f>
        <v/>
      </c>
    </row>
    <row r="43" hidden="1">
      <c r="A43" s="22" t="n">
        <v>5</v>
      </c>
      <c r="B43" t="inlineStr">
        <is>
          <t xml:space="preserve">CDM02 - MORENO 2              </t>
        </is>
      </c>
      <c r="C43" t="inlineStr">
        <is>
          <t xml:space="preserve">GRUPO L.                      </t>
        </is>
      </c>
      <c r="D43" s="11" t="inlineStr">
        <is>
          <t>SAL FINAL S/TACC</t>
        </is>
      </c>
      <c r="E43" t="inlineStr">
        <is>
          <t xml:space="preserve">7790072001014       </t>
        </is>
      </c>
      <c r="F43" t="n">
        <v>4019304</v>
      </c>
      <c r="G43" t="inlineStr">
        <is>
          <t xml:space="preserve">SAL FINA X 500 GR CELUSAL.         </t>
        </is>
      </c>
      <c r="H43" t="inlineStr">
        <is>
          <t xml:space="preserve">UNIDAD              </t>
        </is>
      </c>
      <c r="I43" t="n">
        <v>32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32</v>
      </c>
      <c r="P43" s="96">
        <f>_xlfn.XLOOKUP(Tabla5[[#This Row],[EAN CORREGIDO]],'Tabla Articulos'!B:B,'Tabla Articulos'!D:D)</f>
        <v/>
      </c>
      <c r="Q43" s="96">
        <f>_xlfn.XLOOKUP(S43,'Tabla Articulos'!B:B,'Tabla Articulos'!E:E)</f>
        <v/>
      </c>
      <c r="R43" s="96">
        <f>O43*Q43</f>
        <v/>
      </c>
      <c r="S43" s="97">
        <f>TRIM(E43)</f>
        <v/>
      </c>
    </row>
    <row r="44" hidden="1">
      <c r="A44" s="22" t="n">
        <v>1</v>
      </c>
      <c r="B44" t="inlineStr">
        <is>
          <t xml:space="preserve">CD MORENO                     </t>
        </is>
      </c>
      <c r="C44" t="inlineStr">
        <is>
          <t xml:space="preserve">GRUPO L.                      </t>
        </is>
      </c>
      <c r="D44" t="inlineStr">
        <is>
          <t>SAL FINAL S/TACC</t>
        </is>
      </c>
      <c r="E44" t="inlineStr">
        <is>
          <t xml:space="preserve">7790072001014       </t>
        </is>
      </c>
      <c r="F44" t="n">
        <v>4019304</v>
      </c>
      <c r="G44" t="inlineStr">
        <is>
          <t xml:space="preserve">SAL FINA X 500 GR CELUSAL.         </t>
        </is>
      </c>
      <c r="H44" t="inlineStr">
        <is>
          <t xml:space="preserve">UNIDAD              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8</v>
      </c>
      <c r="P44" s="96">
        <f>_xlfn.XLOOKUP(Tabla5[[#This Row],[EAN CORREGIDO]],'Tabla Articulos'!B:B,'Tabla Articulos'!D:D)</f>
        <v/>
      </c>
      <c r="Q44" s="96">
        <f>_xlfn.XLOOKUP(S44,'Tabla Articulos'!B:B,'Tabla Articulos'!E:E)</f>
        <v/>
      </c>
      <c r="R44" s="96">
        <f>O44*Q44</f>
        <v/>
      </c>
      <c r="S44" s="97">
        <f>TRIM(E44)</f>
        <v/>
      </c>
    </row>
    <row r="45" hidden="1">
      <c r="A45" s="22" t="n">
        <v>1</v>
      </c>
      <c r="B45" t="inlineStr">
        <is>
          <t xml:space="preserve">CD MORENO                     </t>
        </is>
      </c>
      <c r="C45" t="inlineStr">
        <is>
          <t xml:space="preserve">GRUPO L.                      </t>
        </is>
      </c>
      <c r="D45" t="inlineStr">
        <is>
          <t>CHOCOLATE TAZA</t>
        </is>
      </c>
      <c r="E45" t="inlineStr">
        <is>
          <t xml:space="preserve">7790580105822       </t>
        </is>
      </c>
      <c r="F45" t="n">
        <v>4019741</v>
      </c>
      <c r="G45" t="inlineStr">
        <is>
          <t xml:space="preserve">CHOCOLATE TAZA X225G AGUILA        </t>
        </is>
      </c>
      <c r="H45" t="inlineStr">
        <is>
          <t xml:space="preserve">UNIDAD              </t>
        </is>
      </c>
      <c r="I45" t="n">
        <v>44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44</v>
      </c>
      <c r="P45" s="96">
        <f>_xlfn.XLOOKUP(Tabla5[[#This Row],[EAN CORREGIDO]],'Tabla Articulos'!B:B,'Tabla Articulos'!D:D)</f>
        <v/>
      </c>
      <c r="Q45" s="96">
        <f>_xlfn.XLOOKUP(S45,'Tabla Articulos'!B:B,'Tabla Articulos'!E:E)</f>
        <v/>
      </c>
      <c r="R45" s="96">
        <f>O45*Q45</f>
        <v/>
      </c>
      <c r="S45" s="97">
        <f>TRIM(E45)</f>
        <v/>
      </c>
    </row>
    <row r="46" hidden="1">
      <c r="A46" s="22" t="n">
        <v>6</v>
      </c>
      <c r="B46" t="inlineStr">
        <is>
          <t xml:space="preserve">CDM03 - MORENO 3              </t>
        </is>
      </c>
      <c r="C46" t="inlineStr">
        <is>
          <t xml:space="preserve">GRUPO L.                      </t>
        </is>
      </c>
      <c r="D46" t="inlineStr">
        <is>
          <t>GUANTE GOMA</t>
        </is>
      </c>
      <c r="E46" t="inlineStr">
        <is>
          <t xml:space="preserve">7797390401267       </t>
        </is>
      </c>
      <c r="F46" t="n">
        <v>2016725</v>
      </c>
      <c r="G46" t="inlineStr">
        <is>
          <t xml:space="preserve">GUANTES NAR S SCHEZ                </t>
        </is>
      </c>
      <c r="H46" t="inlineStr">
        <is>
          <t xml:space="preserve">UNIDAD              </t>
        </is>
      </c>
      <c r="I46" t="n">
        <v>376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376</v>
      </c>
      <c r="P46" s="96">
        <f>_xlfn.XLOOKUP(Tabla5[[#This Row],[EAN CORREGIDO]],'Tabla Articulos'!B:B,'Tabla Articulos'!D:D)</f>
        <v/>
      </c>
      <c r="Q46" s="96">
        <f>_xlfn.XLOOKUP(S46,'Tabla Articulos'!B:B,'Tabla Articulos'!E:E)</f>
        <v/>
      </c>
      <c r="R46" s="96">
        <f>O46*Q46</f>
        <v/>
      </c>
      <c r="S46" s="97">
        <f>TRIM(E46)</f>
        <v/>
      </c>
    </row>
    <row r="47" hidden="1">
      <c r="A47" s="22" t="n">
        <v>6</v>
      </c>
      <c r="B47" t="inlineStr">
        <is>
          <t xml:space="preserve">CDM03 - MORENO 3              </t>
        </is>
      </c>
      <c r="C47" t="inlineStr">
        <is>
          <t xml:space="preserve">GRUPO L.                      </t>
        </is>
      </c>
      <c r="E47" t="inlineStr">
        <is>
          <t xml:space="preserve">UNIF000407          </t>
        </is>
      </c>
      <c r="F47" t="n">
        <v>9003468</v>
      </c>
      <c r="G47" t="inlineStr">
        <is>
          <t xml:space="preserve">PANTAL NEG GU/MOZO/CAJERO/ADM 5    </t>
        </is>
      </c>
      <c r="H47" t="inlineStr">
        <is>
          <t xml:space="preserve">UNIDAD              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s="96">
        <f>_xlfn.XLOOKUP(Tabla5[[#This Row],[EAN CORREGIDO]],'Tabla Articulos'!B:B,'Tabla Articulos'!D:D)</f>
        <v/>
      </c>
      <c r="Q47" s="96">
        <f>_xlfn.XLOOKUP(S47,'Tabla Articulos'!B:B,'Tabla Articulos'!E:E)</f>
        <v/>
      </c>
      <c r="R47" s="96">
        <f>O47*Q47</f>
        <v/>
      </c>
      <c r="S47" s="97">
        <f>TRIM(E47)</f>
        <v/>
      </c>
    </row>
    <row r="48" hidden="1">
      <c r="A48" s="22" t="n">
        <v>6</v>
      </c>
      <c r="B48" t="inlineStr">
        <is>
          <t xml:space="preserve">CDM03 - MORENO 3              </t>
        </is>
      </c>
      <c r="C48" t="inlineStr">
        <is>
          <t xml:space="preserve">GRUPO L.                      </t>
        </is>
      </c>
      <c r="D48" s="11" t="n"/>
      <c r="E48" t="inlineStr">
        <is>
          <t xml:space="preserve">BUM00248            </t>
        </is>
      </c>
      <c r="F48" t="n">
        <v>1000213</v>
      </c>
      <c r="G48" t="inlineStr">
        <is>
          <t xml:space="preserve">CARRO AZUL L ESTADIO               </t>
        </is>
      </c>
      <c r="H48" t="inlineStr">
        <is>
          <t xml:space="preserve">UNIDAD              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s="96">
        <f>_xlfn.XLOOKUP(Tabla5[[#This Row],[EAN CORREGIDO]],'Tabla Articulos'!B:B,'Tabla Articulos'!D:D)</f>
        <v/>
      </c>
      <c r="Q48" s="96">
        <f>_xlfn.XLOOKUP(S48,'Tabla Articulos'!B:B,'Tabla Articulos'!E:E)</f>
        <v/>
      </c>
      <c r="R48" s="96">
        <f>O48*Q48</f>
        <v/>
      </c>
      <c r="S48" s="97">
        <f>TRIM(E48)</f>
        <v/>
      </c>
    </row>
    <row r="49" hidden="1">
      <c r="A49" s="22" t="n">
        <v>1</v>
      </c>
      <c r="B49" t="inlineStr">
        <is>
          <t xml:space="preserve">CD MORENO                     </t>
        </is>
      </c>
      <c r="C49" t="inlineStr">
        <is>
          <t xml:space="preserve">GRUPO L.                      </t>
        </is>
      </c>
      <c r="D49" s="11" t="inlineStr">
        <is>
          <t>QUESO CHEDDAR</t>
        </is>
      </c>
      <c r="E49" t="inlineStr">
        <is>
          <t xml:space="preserve">7794820000489       </t>
        </is>
      </c>
      <c r="F49" t="n">
        <v>4021214</v>
      </c>
      <c r="G49" t="inlineStr">
        <is>
          <t xml:space="preserve">QUESO CHEDAR FETAS X2.37KG MILKAUT </t>
        </is>
      </c>
      <c r="H49" t="inlineStr">
        <is>
          <t xml:space="preserve">UNIDAD              </t>
        </is>
      </c>
      <c r="I49" t="n">
        <v>21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21</v>
      </c>
      <c r="P49" s="96">
        <f>_xlfn.XLOOKUP(Tabla5[[#This Row],[EAN CORREGIDO]],'Tabla Articulos'!B:B,'Tabla Articulos'!D:D)</f>
        <v/>
      </c>
      <c r="Q49" s="96">
        <f>_xlfn.XLOOKUP(S49,'Tabla Articulos'!B:B,'Tabla Articulos'!E:E)</f>
        <v/>
      </c>
      <c r="R49" s="96">
        <f>O49*Q49</f>
        <v/>
      </c>
      <c r="S49" s="97">
        <f>TRIM(E49)</f>
        <v/>
      </c>
    </row>
    <row r="50" hidden="1">
      <c r="A50" s="22" t="n">
        <v>1</v>
      </c>
      <c r="B50" t="inlineStr">
        <is>
          <t xml:space="preserve">CD MORENO                     </t>
        </is>
      </c>
      <c r="C50" t="inlineStr">
        <is>
          <t xml:space="preserve">GRUPO L.                      </t>
        </is>
      </c>
      <c r="D50" t="inlineStr">
        <is>
          <t>VAINILLAS PAQUETE</t>
        </is>
      </c>
      <c r="E50" t="inlineStr">
        <is>
          <t xml:space="preserve">7790077000067       </t>
        </is>
      </c>
      <c r="F50" t="n">
        <v>4019422</v>
      </c>
      <c r="G50" t="inlineStr">
        <is>
          <t xml:space="preserve">VAINILLAS X148G POZO               </t>
        </is>
      </c>
      <c r="H50" t="inlineStr">
        <is>
          <t xml:space="preserve">UNIDAD              </t>
        </is>
      </c>
      <c r="I50" t="n">
        <v>8350</v>
      </c>
      <c r="J50" t="n">
        <v>0</v>
      </c>
      <c r="K50" t="n">
        <v>0</v>
      </c>
      <c r="L50" t="n">
        <v>397</v>
      </c>
      <c r="M50" t="n">
        <v>397</v>
      </c>
      <c r="N50" t="n">
        <v>148</v>
      </c>
      <c r="O50" t="n">
        <v>7408</v>
      </c>
      <c r="P50" s="96">
        <f>_xlfn.XLOOKUP(Tabla5[[#This Row],[EAN CORREGIDO]],'Tabla Articulos'!B:B,'Tabla Articulos'!D:D)</f>
        <v/>
      </c>
      <c r="Q50" s="96">
        <f>_xlfn.XLOOKUP(S50,'Tabla Articulos'!B:B,'Tabla Articulos'!E:E)</f>
        <v/>
      </c>
      <c r="R50" s="96">
        <f>O50*Q50</f>
        <v/>
      </c>
      <c r="S50" s="97">
        <f>TRIM(E50)</f>
        <v/>
      </c>
    </row>
    <row r="51" hidden="1">
      <c r="A51" s="22" t="n">
        <v>5</v>
      </c>
      <c r="B51" t="inlineStr">
        <is>
          <t xml:space="preserve">CDM02 - MORENO 2              </t>
        </is>
      </c>
      <c r="C51" t="inlineStr">
        <is>
          <t xml:space="preserve">GRUPO L.                      </t>
        </is>
      </c>
      <c r="D51" t="inlineStr">
        <is>
          <t>VAINILLAS PAQUETE</t>
        </is>
      </c>
      <c r="E51" t="inlineStr">
        <is>
          <t xml:space="preserve">7790077000067       </t>
        </is>
      </c>
      <c r="F51" t="n">
        <v>4019422</v>
      </c>
      <c r="G51" t="inlineStr">
        <is>
          <t xml:space="preserve">VAINILLAS X148G POZO               </t>
        </is>
      </c>
      <c r="H51" t="inlineStr">
        <is>
          <t xml:space="preserve">UNIDAD              </t>
        </is>
      </c>
      <c r="I51" t="n">
        <v>89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89</v>
      </c>
      <c r="P51" s="96">
        <f>_xlfn.XLOOKUP(Tabla5[[#This Row],[EAN CORREGIDO]],'Tabla Articulos'!B:B,'Tabla Articulos'!D:D)</f>
        <v/>
      </c>
      <c r="Q51" s="96">
        <f>_xlfn.XLOOKUP(S51,'Tabla Articulos'!B:B,'Tabla Articulos'!E:E)</f>
        <v/>
      </c>
      <c r="R51" s="96">
        <f>O51*Q51</f>
        <v/>
      </c>
      <c r="S51" s="97">
        <f>TRIM(E51)</f>
        <v/>
      </c>
    </row>
    <row r="52" hidden="1">
      <c r="A52" s="22" t="n">
        <v>5</v>
      </c>
      <c r="B52" t="inlineStr">
        <is>
          <t xml:space="preserve">CDM02 - MORENO 2              </t>
        </is>
      </c>
      <c r="C52" t="inlineStr">
        <is>
          <t xml:space="preserve">GRUPO L.                      </t>
        </is>
      </c>
      <c r="D52" t="inlineStr">
        <is>
          <t>ACEITE GIRASOL GRANEL</t>
        </is>
      </c>
      <c r="E52" t="inlineStr">
        <is>
          <t xml:space="preserve">7798316700839       </t>
        </is>
      </c>
      <c r="F52" t="n">
        <v>4024638</v>
      </c>
      <c r="G52" t="inlineStr">
        <is>
          <t xml:space="preserve">ACEITE GIR STACC X5LT LEGITIMO     </t>
        </is>
      </c>
      <c r="H52" t="inlineStr">
        <is>
          <t xml:space="preserve">UNIDAD              </t>
        </is>
      </c>
      <c r="I52" t="n">
        <v>4091</v>
      </c>
      <c r="J52" t="n">
        <v>0</v>
      </c>
      <c r="K52" t="n">
        <v>0</v>
      </c>
      <c r="L52" t="n">
        <v>0</v>
      </c>
      <c r="M52" t="n">
        <v>880</v>
      </c>
      <c r="N52" t="n">
        <v>0</v>
      </c>
      <c r="O52" t="n">
        <v>3211</v>
      </c>
      <c r="P52" s="96">
        <f>_xlfn.XLOOKUP(Tabla5[[#This Row],[EAN CORREGIDO]],'Tabla Articulos'!B:B,'Tabla Articulos'!D:D)</f>
        <v/>
      </c>
      <c r="Q52" s="96">
        <f>_xlfn.XLOOKUP(S52,'Tabla Articulos'!B:B,'Tabla Articulos'!E:E)</f>
        <v/>
      </c>
      <c r="R52" s="96">
        <f>O52*Q52</f>
        <v/>
      </c>
      <c r="S52" s="97">
        <f>TRIM(E52)</f>
        <v/>
      </c>
    </row>
    <row r="53" hidden="1">
      <c r="A53" s="22" t="n">
        <v>6</v>
      </c>
      <c r="B53" t="inlineStr">
        <is>
          <t xml:space="preserve">CDM03 - MORENO 3              </t>
        </is>
      </c>
      <c r="C53" t="inlineStr">
        <is>
          <t xml:space="preserve">GRUPO L.                      </t>
        </is>
      </c>
      <c r="E53" t="inlineStr">
        <is>
          <t xml:space="preserve">BAZ001195           </t>
        </is>
      </c>
      <c r="F53" t="n">
        <v>9003712</v>
      </c>
      <c r="G53" t="inlineStr">
        <is>
          <t xml:space="preserve">CUCHILL MANG PLAST MICROBAN 8"     </t>
        </is>
      </c>
      <c r="H53" t="inlineStr">
        <is>
          <t xml:space="preserve">UNIDAD              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s="96">
        <f>_xlfn.XLOOKUP(Tabla5[[#This Row],[EAN CORREGIDO]],'Tabla Articulos'!B:B,'Tabla Articulos'!D:D)</f>
        <v/>
      </c>
      <c r="Q53" s="96">
        <f>_xlfn.XLOOKUP(S53,'Tabla Articulos'!B:B,'Tabla Articulos'!E:E)</f>
        <v/>
      </c>
      <c r="R53" s="96">
        <f>O53*Q53</f>
        <v/>
      </c>
      <c r="S53" s="97">
        <f>TRIM(E53)</f>
        <v/>
      </c>
    </row>
    <row r="54" hidden="1">
      <c r="A54" s="22" t="n">
        <v>6</v>
      </c>
      <c r="B54" t="inlineStr">
        <is>
          <t xml:space="preserve">CDM03 - MORENO 3              </t>
        </is>
      </c>
      <c r="C54" t="inlineStr">
        <is>
          <t xml:space="preserve">GRUPO L.                      </t>
        </is>
      </c>
      <c r="E54" t="inlineStr">
        <is>
          <t xml:space="preserve">UNIF000384          </t>
        </is>
      </c>
      <c r="F54" t="n">
        <v>9003648</v>
      </c>
      <c r="G54" t="inlineStr">
        <is>
          <t xml:space="preserve">SWEATER AZUL-LANA 3XL              </t>
        </is>
      </c>
      <c r="H54" t="inlineStr">
        <is>
          <t xml:space="preserve">UNIDAD              </t>
        </is>
      </c>
      <c r="I54" t="n">
        <v>14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14</v>
      </c>
      <c r="P54" s="96">
        <f>_xlfn.XLOOKUP(Tabla5[[#This Row],[EAN CORREGIDO]],'Tabla Articulos'!B:B,'Tabla Articulos'!D:D)</f>
        <v/>
      </c>
      <c r="Q54" s="96">
        <f>_xlfn.XLOOKUP(S54,'Tabla Articulos'!B:B,'Tabla Articulos'!E:E)</f>
        <v/>
      </c>
      <c r="R54" s="96">
        <f>O54*Q54</f>
        <v/>
      </c>
      <c r="S54" s="97">
        <f>TRIM(E54)</f>
        <v/>
      </c>
    </row>
    <row r="55" hidden="1">
      <c r="A55" s="22" t="n">
        <v>1</v>
      </c>
      <c r="B55" t="inlineStr">
        <is>
          <t xml:space="preserve">CD MORENO                     </t>
        </is>
      </c>
      <c r="C55" t="inlineStr">
        <is>
          <t xml:space="preserve">GRUPO L.                      </t>
        </is>
      </c>
      <c r="D55" s="11" t="inlineStr">
        <is>
          <t>CRIOLLITO CONGELADO</t>
        </is>
      </c>
      <c r="E55" t="inlineStr">
        <is>
          <t xml:space="preserve">17792180009279      </t>
        </is>
      </c>
      <c r="F55" t="n">
        <v>4077143</v>
      </c>
      <c r="G55" t="inlineStr">
        <is>
          <t xml:space="preserve">CRIOLLITO CONG 45GX192U CANUELAS   </t>
        </is>
      </c>
      <c r="H55" t="inlineStr">
        <is>
          <t xml:space="preserve">UNIDAD              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s="96">
        <f>_xlfn.XLOOKUP(Tabla5[[#This Row],[EAN CORREGIDO]],'Tabla Articulos'!B:B,'Tabla Articulos'!D:D)</f>
        <v/>
      </c>
      <c r="Q55" s="96">
        <f>_xlfn.XLOOKUP(S55,'Tabla Articulos'!B:B,'Tabla Articulos'!E:E)</f>
        <v/>
      </c>
      <c r="R55" s="96">
        <f>O55*Q55</f>
        <v/>
      </c>
      <c r="S55" s="97">
        <f>TRIM(E55)</f>
        <v/>
      </c>
    </row>
    <row r="56" hidden="1">
      <c r="A56" s="22" t="n">
        <v>6</v>
      </c>
      <c r="B56" t="inlineStr">
        <is>
          <t xml:space="preserve">CDM03 - MORENO 3              </t>
        </is>
      </c>
      <c r="C56" t="inlineStr">
        <is>
          <t xml:space="preserve">GRUPO L.                      </t>
        </is>
      </c>
      <c r="E56" t="inlineStr">
        <is>
          <t xml:space="preserve">UNIF000114          </t>
        </is>
      </c>
      <c r="F56" t="n">
        <v>9003214</v>
      </c>
      <c r="G56" t="inlineStr">
        <is>
          <t xml:space="preserve">PANTALON NAUTICO GRIS 4            </t>
        </is>
      </c>
      <c r="H56" t="inlineStr">
        <is>
          <t xml:space="preserve">UNIDAD              </t>
        </is>
      </c>
      <c r="I56" t="n">
        <v>20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20</v>
      </c>
      <c r="P56" s="96">
        <f>_xlfn.XLOOKUP(Tabla5[[#This Row],[EAN CORREGIDO]],'Tabla Articulos'!B:B,'Tabla Articulos'!D:D)</f>
        <v/>
      </c>
      <c r="Q56" s="96">
        <f>_xlfn.XLOOKUP(S56,'Tabla Articulos'!B:B,'Tabla Articulos'!E:E)</f>
        <v/>
      </c>
      <c r="R56" s="96">
        <f>O56*Q56</f>
        <v/>
      </c>
      <c r="S56" s="97">
        <f>TRIM(E56)</f>
        <v/>
      </c>
    </row>
    <row r="57" hidden="1">
      <c r="A57" s="22" t="n">
        <v>6</v>
      </c>
      <c r="B57" t="inlineStr">
        <is>
          <t xml:space="preserve">CDM03 - MORENO 3              </t>
        </is>
      </c>
      <c r="C57" t="inlineStr">
        <is>
          <t xml:space="preserve">GRUPO L.                      </t>
        </is>
      </c>
      <c r="E57" t="inlineStr">
        <is>
          <t xml:space="preserve">7798287510833       </t>
        </is>
      </c>
      <c r="F57" t="n">
        <v>2016640</v>
      </c>
      <c r="G57" t="inlineStr">
        <is>
          <t xml:space="preserve">ARMAZON P/MOPA 1MT                 </t>
        </is>
      </c>
      <c r="H57" t="inlineStr">
        <is>
          <t xml:space="preserve">UNIDAD              </t>
        </is>
      </c>
      <c r="I57" t="n">
        <v>66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66</v>
      </c>
      <c r="P57" s="96">
        <f>_xlfn.XLOOKUP(Tabla5[[#This Row],[EAN CORREGIDO]],'Tabla Articulos'!B:B,'Tabla Articulos'!D:D)</f>
        <v/>
      </c>
      <c r="Q57" s="96">
        <f>_xlfn.XLOOKUP(S57,'Tabla Articulos'!B:B,'Tabla Articulos'!E:E)</f>
        <v/>
      </c>
      <c r="R57" s="96">
        <f>O57*Q57</f>
        <v/>
      </c>
      <c r="S57" s="97">
        <f>TRIM(E57)</f>
        <v/>
      </c>
    </row>
    <row r="58" hidden="1">
      <c r="A58" s="22" t="n">
        <v>1</v>
      </c>
      <c r="B58" t="inlineStr">
        <is>
          <t xml:space="preserve">CD MORENO                     </t>
        </is>
      </c>
      <c r="C58" t="inlineStr">
        <is>
          <t xml:space="preserve">GRUPO L.                      </t>
        </is>
      </c>
      <c r="D58" t="inlineStr">
        <is>
          <t>GELATINA FRUTILLA</t>
        </is>
      </c>
      <c r="E58" t="inlineStr">
        <is>
          <t xml:space="preserve">7791113001178       </t>
        </is>
      </c>
      <c r="F58" t="n">
        <v>4020654</v>
      </c>
      <c r="G58" t="inlineStr">
        <is>
          <t xml:space="preserve">GELATINA FRUTILLA X 70 G EMETH     </t>
        </is>
      </c>
      <c r="H58" t="inlineStr">
        <is>
          <t xml:space="preserve">UNIDAD              </t>
        </is>
      </c>
      <c r="I58" t="n">
        <v>1505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1505</v>
      </c>
      <c r="P58" s="96">
        <f>_xlfn.XLOOKUP(Tabla5[[#This Row],[EAN CORREGIDO]],'Tabla Articulos'!B:B,'Tabla Articulos'!D:D)</f>
        <v/>
      </c>
      <c r="Q58" s="96">
        <f>_xlfn.XLOOKUP(S58,'Tabla Articulos'!B:B,'Tabla Articulos'!E:E)</f>
        <v/>
      </c>
      <c r="R58" s="96">
        <f>O58*Q58</f>
        <v/>
      </c>
      <c r="S58" s="97">
        <f>TRIM(E58)</f>
        <v/>
      </c>
    </row>
    <row r="59" hidden="1">
      <c r="A59" s="22" t="n">
        <v>5</v>
      </c>
      <c r="B59" t="inlineStr">
        <is>
          <t xml:space="preserve">CDM02 - MORENO 2              </t>
        </is>
      </c>
      <c r="C59" t="inlineStr">
        <is>
          <t xml:space="preserve">GRUPO L.                      </t>
        </is>
      </c>
      <c r="D59" s="11" t="inlineStr">
        <is>
          <t>CONDIM P/PIZZA</t>
        </is>
      </c>
      <c r="E59" t="inlineStr">
        <is>
          <t xml:space="preserve">7793875360319       </t>
        </is>
      </c>
      <c r="F59" t="n">
        <v>4020225</v>
      </c>
      <c r="G59" t="inlineStr">
        <is>
          <t xml:space="preserve">CONDIMENTO P/PIZZA X1KG AYS        </t>
        </is>
      </c>
      <c r="H59" t="inlineStr">
        <is>
          <t xml:space="preserve">UNIDAD              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6</v>
      </c>
      <c r="P59" s="96">
        <f>_xlfn.XLOOKUP(Tabla5[[#This Row],[EAN CORREGIDO]],'Tabla Articulos'!B:B,'Tabla Articulos'!D:D)</f>
        <v/>
      </c>
      <c r="Q59" s="96">
        <f>_xlfn.XLOOKUP(S59,'Tabla Articulos'!B:B,'Tabla Articulos'!E:E)</f>
        <v/>
      </c>
      <c r="R59" s="96">
        <f>O59*Q59</f>
        <v/>
      </c>
      <c r="S59" s="97">
        <f>TRIM(E59)</f>
        <v/>
      </c>
    </row>
    <row r="60" hidden="1">
      <c r="A60" s="22" t="n">
        <v>6</v>
      </c>
      <c r="B60" t="inlineStr">
        <is>
          <t xml:space="preserve">CDM03 - MORENO 3              </t>
        </is>
      </c>
      <c r="C60" t="inlineStr">
        <is>
          <t xml:space="preserve">GRUPO L.                      </t>
        </is>
      </c>
      <c r="D60" s="11" t="n"/>
      <c r="E60" t="inlineStr">
        <is>
          <t xml:space="preserve">5000794             </t>
        </is>
      </c>
      <c r="F60" t="n">
        <v>5000794</v>
      </c>
      <c r="G60" t="inlineStr">
        <is>
          <t xml:space="preserve">BOTAS DE GOMA T:41                 </t>
        </is>
      </c>
      <c r="H60" t="inlineStr">
        <is>
          <t xml:space="preserve">UNIDAD              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s="96">
        <f>_xlfn.XLOOKUP(Tabla5[[#This Row],[EAN CORREGIDO]],'Tabla Articulos'!B:B,'Tabla Articulos'!D:D)</f>
        <v/>
      </c>
      <c r="Q60" s="96">
        <f>_xlfn.XLOOKUP(S60,'Tabla Articulos'!B:B,'Tabla Articulos'!E:E)</f>
        <v/>
      </c>
      <c r="R60" s="96">
        <f>O60*Q60</f>
        <v/>
      </c>
      <c r="S60" s="97">
        <f>TRIM(E60)</f>
        <v/>
      </c>
    </row>
    <row r="61" hidden="1">
      <c r="A61" s="22" t="n">
        <v>5</v>
      </c>
      <c r="B61" t="inlineStr">
        <is>
          <t xml:space="preserve">CDM02 - MORENO 2              </t>
        </is>
      </c>
      <c r="C61" t="inlineStr">
        <is>
          <t xml:space="preserve">GRUPO L.                      </t>
        </is>
      </c>
      <c r="D61" s="11" t="inlineStr">
        <is>
          <t>FIDEOS SOPEROS</t>
        </is>
      </c>
      <c r="E61" t="inlineStr">
        <is>
          <t xml:space="preserve">7790070318374       </t>
        </is>
      </c>
      <c r="F61" t="n">
        <v>4019465</v>
      </c>
      <c r="G61" t="inlineStr">
        <is>
          <t xml:space="preserve">FIDEO SOP AVE MARIA X500G LUCH     </t>
        </is>
      </c>
      <c r="H61" t="inlineStr">
        <is>
          <t xml:space="preserve">UNIDAD              </t>
        </is>
      </c>
      <c r="I61" t="n">
        <v>75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75</v>
      </c>
      <c r="P61" s="96">
        <f>_xlfn.XLOOKUP(Tabla5[[#This Row],[EAN CORREGIDO]],'Tabla Articulos'!B:B,'Tabla Articulos'!D:D)</f>
        <v/>
      </c>
      <c r="Q61" s="96">
        <f>_xlfn.XLOOKUP(S61,'Tabla Articulos'!B:B,'Tabla Articulos'!E:E)</f>
        <v/>
      </c>
      <c r="R61" s="96">
        <f>O61*Q61</f>
        <v/>
      </c>
      <c r="S61" s="97">
        <f>TRIM(E61)</f>
        <v/>
      </c>
    </row>
    <row r="62" hidden="1">
      <c r="A62" s="22" t="n">
        <v>6</v>
      </c>
      <c r="B62" t="inlineStr">
        <is>
          <t xml:space="preserve">CDM03 - MORENO 3              </t>
        </is>
      </c>
      <c r="C62" t="inlineStr">
        <is>
          <t xml:space="preserve">GRUPO L.                      </t>
        </is>
      </c>
      <c r="D62" s="11" t="inlineStr">
        <is>
          <t>BAND 102</t>
        </is>
      </c>
      <c r="E62" t="inlineStr">
        <is>
          <t xml:space="preserve">7798011210039       </t>
        </is>
      </c>
      <c r="F62" t="n">
        <v>2011504</v>
      </c>
      <c r="G62" t="inlineStr">
        <is>
          <t xml:space="preserve">BANDEJA 102 MICRO COTNYL X100U     </t>
        </is>
      </c>
      <c r="H62" t="inlineStr">
        <is>
          <t xml:space="preserve">UNIDAD              </t>
        </is>
      </c>
      <c r="I62" t="n">
        <v>495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495</v>
      </c>
      <c r="P62" s="96">
        <f>_xlfn.XLOOKUP(Tabla5[[#This Row],[EAN CORREGIDO]],'Tabla Articulos'!B:B,'Tabla Articulos'!D:D)</f>
        <v/>
      </c>
      <c r="Q62" s="96">
        <f>_xlfn.XLOOKUP(S62,'Tabla Articulos'!B:B,'Tabla Articulos'!E:E)</f>
        <v/>
      </c>
      <c r="R62" s="96">
        <f>O62*Q62</f>
        <v/>
      </c>
      <c r="S62" s="97">
        <f>TRIM(E62)</f>
        <v/>
      </c>
    </row>
    <row r="63" hidden="1">
      <c r="A63" s="22" t="n">
        <v>5</v>
      </c>
      <c r="B63" t="inlineStr">
        <is>
          <t xml:space="preserve">CDM02 - MORENO 2              </t>
        </is>
      </c>
      <c r="C63" t="inlineStr">
        <is>
          <t xml:space="preserve">GRUPO L.                      </t>
        </is>
      </c>
      <c r="D63" s="11" t="inlineStr">
        <is>
          <t>SESAMO NEGRO</t>
        </is>
      </c>
      <c r="E63" t="inlineStr">
        <is>
          <t xml:space="preserve">7793323003317       </t>
        </is>
      </c>
      <c r="F63" t="n">
        <v>4022808</v>
      </c>
      <c r="G63" t="inlineStr">
        <is>
          <t xml:space="preserve">SEMILLAS SESAMO NGRO 1KG DICOMER   </t>
        </is>
      </c>
      <c r="H63" t="inlineStr">
        <is>
          <t xml:space="preserve">UNIDAD              </t>
        </is>
      </c>
      <c r="I63" t="n">
        <v>19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17</v>
      </c>
      <c r="P63" s="96">
        <f>_xlfn.XLOOKUP(Tabla5[[#This Row],[EAN CORREGIDO]],'Tabla Articulos'!B:B,'Tabla Articulos'!D:D)</f>
        <v/>
      </c>
      <c r="Q63" s="96">
        <f>_xlfn.XLOOKUP(S63,'Tabla Articulos'!B:B,'Tabla Articulos'!E:E)</f>
        <v/>
      </c>
      <c r="R63" s="96">
        <f>O63*Q63</f>
        <v/>
      </c>
      <c r="S63" s="97">
        <f>TRIM(E63)</f>
        <v/>
      </c>
    </row>
    <row r="64" hidden="1">
      <c r="A64" s="22" t="n">
        <v>6</v>
      </c>
      <c r="B64" t="inlineStr">
        <is>
          <t xml:space="preserve">CDM03 - MORENO 3              </t>
        </is>
      </c>
      <c r="C64" t="inlineStr">
        <is>
          <t xml:space="preserve">GRUPO L.                      </t>
        </is>
      </c>
      <c r="D64" t="inlineStr">
        <is>
          <t>BOLSAS RESIDUO 30 MICRO NEGRA</t>
        </is>
      </c>
      <c r="E64" t="inlineStr">
        <is>
          <t xml:space="preserve">LIM000266           </t>
        </is>
      </c>
      <c r="F64" t="n">
        <v>2006146</v>
      </c>
      <c r="G64" t="inlineStr">
        <is>
          <t xml:space="preserve">BOLSA RESIDUO NEGRA 60X90X50U      </t>
        </is>
      </c>
      <c r="H64" t="inlineStr">
        <is>
          <t xml:space="preserve">UNIDAD              </t>
        </is>
      </c>
      <c r="I64" t="n">
        <v>7082</v>
      </c>
      <c r="J64" t="n">
        <v>0</v>
      </c>
      <c r="K64" t="n">
        <v>0</v>
      </c>
      <c r="L64" t="n">
        <v>0</v>
      </c>
      <c r="M64" t="n">
        <v>192</v>
      </c>
      <c r="N64" t="n">
        <v>0</v>
      </c>
      <c r="O64" t="n">
        <v>6890</v>
      </c>
      <c r="P64" s="96">
        <f>_xlfn.XLOOKUP(Tabla5[[#This Row],[EAN CORREGIDO]],'Tabla Articulos'!B:B,'Tabla Articulos'!D:D)</f>
        <v/>
      </c>
      <c r="Q64" s="96">
        <f>_xlfn.XLOOKUP(S64,'Tabla Articulos'!B:B,'Tabla Articulos'!E:E)</f>
        <v/>
      </c>
      <c r="R64" s="96">
        <f>O64*Q64</f>
        <v/>
      </c>
      <c r="S64" s="97">
        <f>TRIM(E64)</f>
        <v/>
      </c>
    </row>
    <row r="65" hidden="1">
      <c r="A65" s="22" t="n">
        <v>6</v>
      </c>
      <c r="B65" t="inlineStr">
        <is>
          <t xml:space="preserve">CDM03 - MORENO 3              </t>
        </is>
      </c>
      <c r="C65" t="inlineStr">
        <is>
          <t xml:space="preserve">GRUPO L.                      </t>
        </is>
      </c>
      <c r="E65" t="inlineStr">
        <is>
          <t xml:space="preserve">UNIF000264          </t>
        </is>
      </c>
      <c r="F65" t="n">
        <v>9003359</v>
      </c>
      <c r="G65" t="inlineStr">
        <is>
          <t xml:space="preserve">PANTALON GABAR. NEG. 58 S. LOGO    </t>
        </is>
      </c>
      <c r="H65" t="inlineStr">
        <is>
          <t xml:space="preserve">UNIDAD              </t>
        </is>
      </c>
      <c r="I65" t="n">
        <v>10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10</v>
      </c>
      <c r="P65" s="96">
        <f>_xlfn.XLOOKUP(Tabla5[[#This Row],[EAN CORREGIDO]],'Tabla Articulos'!B:B,'Tabla Articulos'!D:D)</f>
        <v/>
      </c>
      <c r="Q65" s="96">
        <f>_xlfn.XLOOKUP(S65,'Tabla Articulos'!B:B,'Tabla Articulos'!E:E)</f>
        <v/>
      </c>
      <c r="R65" s="96">
        <f>O65*Q65</f>
        <v/>
      </c>
      <c r="S65" s="97">
        <f>TRIM(E65)</f>
        <v/>
      </c>
    </row>
    <row r="66" hidden="1">
      <c r="A66" s="22" t="n">
        <v>6</v>
      </c>
      <c r="B66" t="inlineStr">
        <is>
          <t xml:space="preserve">CDM03 - MORENO 3              </t>
        </is>
      </c>
      <c r="C66" t="inlineStr">
        <is>
          <t xml:space="preserve">GRUPO L.                      </t>
        </is>
      </c>
      <c r="D66" t="inlineStr">
        <is>
          <t>TAPA VASO</t>
        </is>
      </c>
      <c r="E66" t="inlineStr">
        <is>
          <t xml:space="preserve">7790321020389       </t>
        </is>
      </c>
      <c r="F66" t="n">
        <v>2006473</v>
      </c>
      <c r="G66" t="inlineStr">
        <is>
          <t xml:space="preserve">TAPA DOMO CUCHARA X800U            </t>
        </is>
      </c>
      <c r="H66" t="inlineStr">
        <is>
          <t xml:space="preserve">CAJAS               </t>
        </is>
      </c>
      <c r="I66" t="n">
        <v>32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32</v>
      </c>
      <c r="P66" s="96">
        <f>_xlfn.XLOOKUP(Tabla5[[#This Row],[EAN CORREGIDO]],'Tabla Articulos'!B:B,'Tabla Articulos'!D:D)</f>
        <v/>
      </c>
      <c r="Q66" s="96">
        <f>_xlfn.XLOOKUP(S66,'Tabla Articulos'!B:B,'Tabla Articulos'!E:E)</f>
        <v/>
      </c>
      <c r="R66" s="96">
        <f>O66*Q66</f>
        <v/>
      </c>
      <c r="S66" s="97">
        <f>TRIM(E66)</f>
        <v/>
      </c>
    </row>
    <row r="67" hidden="1">
      <c r="A67" s="22" t="n">
        <v>6</v>
      </c>
      <c r="B67" t="inlineStr">
        <is>
          <t xml:space="preserve">CDM03 - MORENO 3              </t>
        </is>
      </c>
      <c r="C67" t="inlineStr">
        <is>
          <t xml:space="preserve">GRUPO L.                      </t>
        </is>
      </c>
      <c r="D67" s="11" t="n"/>
      <c r="E67" t="inlineStr">
        <is>
          <t xml:space="preserve">UNIF000214          </t>
        </is>
      </c>
      <c r="F67" t="n">
        <v>9003482</v>
      </c>
      <c r="G67" t="inlineStr">
        <is>
          <t xml:space="preserve">PANTAL CARG NEGRO NAR. 42 GL SUP   </t>
        </is>
      </c>
      <c r="H67" t="inlineStr">
        <is>
          <t xml:space="preserve">UNIDAD              </t>
        </is>
      </c>
      <c r="I67" t="n">
        <v>33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33</v>
      </c>
      <c r="P67" s="96">
        <f>_xlfn.XLOOKUP(Tabla5[[#This Row],[EAN CORREGIDO]],'Tabla Articulos'!B:B,'Tabla Articulos'!D:D)</f>
        <v/>
      </c>
      <c r="Q67" s="96">
        <f>_xlfn.XLOOKUP(S67,'Tabla Articulos'!B:B,'Tabla Articulos'!E:E)</f>
        <v/>
      </c>
      <c r="R67" s="96">
        <f>O67*Q67</f>
        <v/>
      </c>
      <c r="S67" s="97">
        <f>TRIM(E67)</f>
        <v/>
      </c>
    </row>
    <row r="68" hidden="1">
      <c r="A68" s="22" t="n">
        <v>6</v>
      </c>
      <c r="B68" t="inlineStr">
        <is>
          <t xml:space="preserve">CDM03 - MORENO 3              </t>
        </is>
      </c>
      <c r="C68" t="inlineStr">
        <is>
          <t xml:space="preserve">GRUPO L.                      </t>
        </is>
      </c>
      <c r="D68" s="11" t="n"/>
      <c r="E68" t="inlineStr">
        <is>
          <t xml:space="preserve">UNIF000104          </t>
        </is>
      </c>
      <c r="F68" t="n">
        <v>9003417</v>
      </c>
      <c r="G68" t="inlineStr">
        <is>
          <t xml:space="preserve">PANTALON CARGO A. MARINO 56        </t>
        </is>
      </c>
      <c r="H68" t="inlineStr">
        <is>
          <t xml:space="preserve">UNIDAD              </t>
        </is>
      </c>
      <c r="I68" t="n">
        <v>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8</v>
      </c>
      <c r="P68" s="96">
        <f>_xlfn.XLOOKUP(Tabla5[[#This Row],[EAN CORREGIDO]],'Tabla Articulos'!B:B,'Tabla Articulos'!D:D)</f>
        <v/>
      </c>
      <c r="Q68" s="96">
        <f>_xlfn.XLOOKUP(S68,'Tabla Articulos'!B:B,'Tabla Articulos'!E:E)</f>
        <v/>
      </c>
      <c r="R68" s="96">
        <f>O68*Q68</f>
        <v/>
      </c>
      <c r="S68" s="97">
        <f>TRIM(E68)</f>
        <v/>
      </c>
    </row>
    <row r="69" hidden="1">
      <c r="A69" s="22" t="n">
        <v>6</v>
      </c>
      <c r="B69" t="inlineStr">
        <is>
          <t xml:space="preserve">CDM03 - MORENO 3              </t>
        </is>
      </c>
      <c r="C69" t="inlineStr">
        <is>
          <t xml:space="preserve">GRUPO L.                      </t>
        </is>
      </c>
      <c r="E69" t="inlineStr">
        <is>
          <t xml:space="preserve">UNIF000423          </t>
        </is>
      </c>
      <c r="F69" t="n">
        <v>9003266</v>
      </c>
      <c r="G69" t="inlineStr">
        <is>
          <t xml:space="preserve">CAMISA GRAFA-AZUL MARINO 50 ELEV   </t>
        </is>
      </c>
      <c r="H69" t="inlineStr">
        <is>
          <t xml:space="preserve">UNIDAD              </t>
        </is>
      </c>
      <c r="I69" t="n">
        <v>125</v>
      </c>
      <c r="J69" t="n">
        <v>0</v>
      </c>
      <c r="K69" t="n">
        <v>0</v>
      </c>
      <c r="L69" t="n">
        <v>8</v>
      </c>
      <c r="M69" t="n">
        <v>8</v>
      </c>
      <c r="N69" t="n">
        <v>0</v>
      </c>
      <c r="O69" t="n">
        <v>109</v>
      </c>
      <c r="P69" s="96">
        <f>_xlfn.XLOOKUP(Tabla5[[#This Row],[EAN CORREGIDO]],'Tabla Articulos'!B:B,'Tabla Articulos'!D:D)</f>
        <v/>
      </c>
      <c r="Q69" s="96">
        <f>_xlfn.XLOOKUP(S69,'Tabla Articulos'!B:B,'Tabla Articulos'!E:E)</f>
        <v/>
      </c>
      <c r="R69" s="96">
        <f>O69*Q69</f>
        <v/>
      </c>
      <c r="S69" s="97">
        <f>TRIM(E69)</f>
        <v/>
      </c>
    </row>
    <row r="70" hidden="1">
      <c r="A70" s="22" t="n">
        <v>6</v>
      </c>
      <c r="B70" t="inlineStr">
        <is>
          <t xml:space="preserve">CDM03 - MORENO 3              </t>
        </is>
      </c>
      <c r="C70" t="inlineStr">
        <is>
          <t xml:space="preserve">GRUPO L.                      </t>
        </is>
      </c>
      <c r="E70" t="inlineStr">
        <is>
          <t xml:space="preserve">UNIF000573          </t>
        </is>
      </c>
      <c r="F70" t="n">
        <v>9003111</v>
      </c>
      <c r="G70" t="inlineStr">
        <is>
          <t xml:space="preserve">CAMISA GRIS T44                    </t>
        </is>
      </c>
      <c r="H70" t="inlineStr">
        <is>
          <t xml:space="preserve">UNIDAD              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14</v>
      </c>
      <c r="P70" s="96">
        <f>_xlfn.XLOOKUP(Tabla5[[#This Row],[EAN CORREGIDO]],'Tabla Articulos'!B:B,'Tabla Articulos'!D:D)</f>
        <v/>
      </c>
      <c r="Q70" s="96">
        <f>_xlfn.XLOOKUP(S70,'Tabla Articulos'!B:B,'Tabla Articulos'!E:E)</f>
        <v/>
      </c>
      <c r="R70" s="96">
        <f>O70*Q70</f>
        <v/>
      </c>
      <c r="S70" s="97">
        <f>TRIM(E70)</f>
        <v/>
      </c>
    </row>
    <row r="71" hidden="1">
      <c r="A71" s="22" t="n">
        <v>6</v>
      </c>
      <c r="B71" t="inlineStr">
        <is>
          <t xml:space="preserve">CDM03 - MORENO 3              </t>
        </is>
      </c>
      <c r="C71" t="inlineStr">
        <is>
          <t xml:space="preserve">GRUPO L.                      </t>
        </is>
      </c>
      <c r="D71" s="11" t="n"/>
      <c r="E71" t="inlineStr">
        <is>
          <t xml:space="preserve">UNIF000017          </t>
        </is>
      </c>
      <c r="F71" t="n">
        <v>9003048</v>
      </c>
      <c r="G71" t="inlineStr">
        <is>
          <t xml:space="preserve">CHAQ AMB PULCRUS ESC VXL           </t>
        </is>
      </c>
      <c r="H71" t="inlineStr">
        <is>
          <t xml:space="preserve">UNIDAD              </t>
        </is>
      </c>
      <c r="I71" t="n">
        <v>68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68</v>
      </c>
      <c r="P71" s="96">
        <f>_xlfn.XLOOKUP(Tabla5[[#This Row],[EAN CORREGIDO]],'Tabla Articulos'!B:B,'Tabla Articulos'!D:D)</f>
        <v/>
      </c>
      <c r="Q71" s="96">
        <f>_xlfn.XLOOKUP(S71,'Tabla Articulos'!B:B,'Tabla Articulos'!E:E)</f>
        <v/>
      </c>
      <c r="R71" s="96">
        <f>O71*Q71</f>
        <v/>
      </c>
      <c r="S71" s="97">
        <f>TRIM(E71)</f>
        <v/>
      </c>
    </row>
    <row r="72" hidden="1">
      <c r="A72" s="22" t="n">
        <v>1</v>
      </c>
      <c r="B72" t="inlineStr">
        <is>
          <t xml:space="preserve">CD MORENO                     </t>
        </is>
      </c>
      <c r="C72" t="inlineStr">
        <is>
          <t xml:space="preserve">GRUPO L.                      </t>
        </is>
      </c>
      <c r="D72" t="inlineStr">
        <is>
          <t>ACEITE MAIZ INDIV</t>
        </is>
      </c>
      <c r="E72" t="inlineStr">
        <is>
          <t xml:space="preserve">7798011976461       </t>
        </is>
      </c>
      <c r="F72" t="n">
        <v>4020300</v>
      </c>
      <c r="G72" t="inlineStr">
        <is>
          <t xml:space="preserve">ACEITE MAIZ 198SOBR X8CC ABEDUL    </t>
        </is>
      </c>
      <c r="H72" t="inlineStr">
        <is>
          <t xml:space="preserve">UNIDAD              </t>
        </is>
      </c>
      <c r="I72" t="n">
        <v>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7</v>
      </c>
      <c r="P72" s="96">
        <f>_xlfn.XLOOKUP(Tabla5[[#This Row],[EAN CORREGIDO]],'Tabla Articulos'!B:B,'Tabla Articulos'!D:D)</f>
        <v/>
      </c>
      <c r="Q72" s="96">
        <f>_xlfn.XLOOKUP(S72,'Tabla Articulos'!B:B,'Tabla Articulos'!E:E)</f>
        <v/>
      </c>
      <c r="R72" s="96">
        <f>O72*Q72</f>
        <v/>
      </c>
      <c r="S72" s="97">
        <f>TRIM(E72)</f>
        <v/>
      </c>
    </row>
    <row r="73" hidden="1">
      <c r="A73" s="22" t="n">
        <v>5</v>
      </c>
      <c r="B73" t="inlineStr">
        <is>
          <t xml:space="preserve">CDM02 - MORENO 2              </t>
        </is>
      </c>
      <c r="C73" t="inlineStr">
        <is>
          <t xml:space="preserve">GRUPO L.                      </t>
        </is>
      </c>
      <c r="D73" t="inlineStr">
        <is>
          <t>ACEITE MAIZ INDIV</t>
        </is>
      </c>
      <c r="E73" t="inlineStr">
        <is>
          <t xml:space="preserve">7798011976461       </t>
        </is>
      </c>
      <c r="F73" t="n">
        <v>4020300</v>
      </c>
      <c r="G73" t="inlineStr">
        <is>
          <t xml:space="preserve">ACEITE MAIZ 198SOBR X8CC ABEDUL    </t>
        </is>
      </c>
      <c r="H73" t="inlineStr">
        <is>
          <t xml:space="preserve">UNIDAD              </t>
        </is>
      </c>
      <c r="I73" t="n">
        <v>179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179</v>
      </c>
      <c r="P73" s="96">
        <f>_xlfn.XLOOKUP(Tabla5[[#This Row],[EAN CORREGIDO]],'Tabla Articulos'!B:B,'Tabla Articulos'!D:D)</f>
        <v/>
      </c>
      <c r="Q73" s="96">
        <f>_xlfn.XLOOKUP(S73,'Tabla Articulos'!B:B,'Tabla Articulos'!E:E)</f>
        <v/>
      </c>
      <c r="R73" s="96">
        <f>O73*Q73</f>
        <v/>
      </c>
      <c r="S73" s="97">
        <f>TRIM(E73)</f>
        <v/>
      </c>
    </row>
    <row r="74" hidden="1">
      <c r="A74" s="22" t="n">
        <v>5</v>
      </c>
      <c r="B74" t="inlineStr">
        <is>
          <t xml:space="preserve">CDM02 - MORENO 2              </t>
        </is>
      </c>
      <c r="C74" t="inlineStr">
        <is>
          <t xml:space="preserve">GRUPO L.                      </t>
        </is>
      </c>
      <c r="D74" s="11" t="inlineStr">
        <is>
          <t>EDULC SOB BLUE CAFE</t>
        </is>
      </c>
      <c r="E74" t="inlineStr">
        <is>
          <t xml:space="preserve">7798011977727       </t>
        </is>
      </c>
      <c r="F74" t="n">
        <v>4076539</v>
      </c>
      <c r="G74" t="inlineStr">
        <is>
          <t>EDULCORANTE IND SOBRE X400U BLUE CA</t>
        </is>
      </c>
      <c r="H74" t="inlineStr">
        <is>
          <t xml:space="preserve">UNIDAD              </t>
        </is>
      </c>
      <c r="I74" t="n">
        <v>20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20</v>
      </c>
      <c r="P74" s="96">
        <f>_xlfn.XLOOKUP(Tabla5[[#This Row],[EAN CORREGIDO]],'Tabla Articulos'!B:B,'Tabla Articulos'!D:D)</f>
        <v/>
      </c>
      <c r="Q74" s="96">
        <f>_xlfn.XLOOKUP(S74,'Tabla Articulos'!B:B,'Tabla Articulos'!E:E)</f>
        <v/>
      </c>
      <c r="R74" s="96">
        <f>O74*Q74</f>
        <v/>
      </c>
      <c r="S74" s="97">
        <f>TRIM(E74)</f>
        <v/>
      </c>
    </row>
    <row r="75" hidden="1">
      <c r="A75" s="22" t="n">
        <v>1</v>
      </c>
      <c r="B75" t="inlineStr">
        <is>
          <t xml:space="preserve">CD MORENO                     </t>
        </is>
      </c>
      <c r="C75" t="inlineStr">
        <is>
          <t xml:space="preserve">GRUPO L.                      </t>
        </is>
      </c>
      <c r="D75" s="11" t="inlineStr">
        <is>
          <t>MEDALLONES DE POLLO</t>
        </is>
      </c>
      <c r="E75" t="inlineStr">
        <is>
          <t xml:space="preserve">7790212040026       </t>
        </is>
      </c>
      <c r="F75" t="n">
        <v>4017469</v>
      </c>
      <c r="G75" t="inlineStr">
        <is>
          <t xml:space="preserve">MED.DE POLLX65 G BOLS 40 U OTE     </t>
        </is>
      </c>
      <c r="H75" t="inlineStr">
        <is>
          <t xml:space="preserve">UNIDAD              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s="96">
        <f>_xlfn.XLOOKUP(Tabla5[[#This Row],[EAN CORREGIDO]],'Tabla Articulos'!B:B,'Tabla Articulos'!D:D)</f>
        <v/>
      </c>
      <c r="Q75" s="96">
        <f>_xlfn.XLOOKUP(S75,'Tabla Articulos'!B:B,'Tabla Articulos'!E:E)</f>
        <v/>
      </c>
      <c r="R75" s="96">
        <f>O75*Q75</f>
        <v/>
      </c>
      <c r="S75" s="97">
        <f>TRIM(E75)</f>
        <v/>
      </c>
    </row>
    <row r="76" hidden="1">
      <c r="A76" s="22" t="n">
        <v>1</v>
      </c>
      <c r="B76" t="inlineStr">
        <is>
          <t xml:space="preserve">CD MORENO                     </t>
        </is>
      </c>
      <c r="C76" t="inlineStr">
        <is>
          <t xml:space="preserve">GRUPO L.                      </t>
        </is>
      </c>
      <c r="D76" t="inlineStr">
        <is>
          <t>COCTAIL COMUN</t>
        </is>
      </c>
      <c r="E76" t="inlineStr">
        <is>
          <t xml:space="preserve">7798132920435       </t>
        </is>
      </c>
      <c r="F76" t="n">
        <v>4020455</v>
      </c>
      <c r="G76" t="inlineStr">
        <is>
          <t xml:space="preserve">COCTEL DE FRUTAS  X820G ALCO       </t>
        </is>
      </c>
      <c r="H76" t="inlineStr">
        <is>
          <t xml:space="preserve">UNIDAD              </t>
        </is>
      </c>
      <c r="I76" t="n">
        <v>424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424</v>
      </c>
      <c r="P76" s="96">
        <f>_xlfn.XLOOKUP(Tabla5[[#This Row],[EAN CORREGIDO]],'Tabla Articulos'!B:B,'Tabla Articulos'!D:D)</f>
        <v/>
      </c>
      <c r="Q76" s="96">
        <f>_xlfn.XLOOKUP(S76,'Tabla Articulos'!B:B,'Tabla Articulos'!E:E)</f>
        <v/>
      </c>
      <c r="R76" s="96">
        <f>O76*Q76</f>
        <v/>
      </c>
      <c r="S76" s="97">
        <f>TRIM(E76)</f>
        <v/>
      </c>
    </row>
    <row r="77" hidden="1">
      <c r="A77" s="22" t="n">
        <v>5</v>
      </c>
      <c r="B77" t="inlineStr">
        <is>
          <t xml:space="preserve">CDM02 - MORENO 2              </t>
        </is>
      </c>
      <c r="C77" t="inlineStr">
        <is>
          <t xml:space="preserve">GRUPO L.                      </t>
        </is>
      </c>
      <c r="D77" s="11" t="inlineStr">
        <is>
          <t>GARBANZOS REMOJADOS</t>
        </is>
      </c>
      <c r="E77" t="inlineStr">
        <is>
          <t xml:space="preserve">7798156760666       </t>
        </is>
      </c>
      <c r="F77" t="n">
        <v>4022479</v>
      </c>
      <c r="G77" t="inlineStr">
        <is>
          <t xml:space="preserve">GARB REMOJ SAB DEL VALLE 340GR     </t>
        </is>
      </c>
      <c r="H77" t="inlineStr">
        <is>
          <t xml:space="preserve">UNIDAD              </t>
        </is>
      </c>
      <c r="I77" t="n">
        <v>68786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68786</v>
      </c>
      <c r="P77" s="96">
        <f>_xlfn.XLOOKUP(Tabla5[[#This Row],[EAN CORREGIDO]],'Tabla Articulos'!B:B,'Tabla Articulos'!D:D)</f>
        <v/>
      </c>
      <c r="Q77" s="96">
        <f>_xlfn.XLOOKUP(S77,'Tabla Articulos'!B:B,'Tabla Articulos'!E:E)</f>
        <v/>
      </c>
      <c r="R77" s="96">
        <f>O77*Q77</f>
        <v/>
      </c>
      <c r="S77" s="97">
        <f>TRIM(E77)</f>
        <v/>
      </c>
    </row>
    <row r="78" hidden="1">
      <c r="A78" s="22" t="n">
        <v>1</v>
      </c>
      <c r="B78" t="inlineStr">
        <is>
          <t xml:space="preserve">CD MORENO                     </t>
        </is>
      </c>
      <c r="C78" t="inlineStr">
        <is>
          <t xml:space="preserve">GRUPO L.                      </t>
        </is>
      </c>
      <c r="D78" t="inlineStr">
        <is>
          <t>VINAGRE MANZANA</t>
        </is>
      </c>
      <c r="E78" t="inlineStr">
        <is>
          <t xml:space="preserve">7792378000852       </t>
        </is>
      </c>
      <c r="F78" t="n">
        <v>4020609</v>
      </c>
      <c r="G78" t="inlineStr">
        <is>
          <t xml:space="preserve">VINAGRE MANZANA X1L COMENSAL       </t>
        </is>
      </c>
      <c r="H78" t="inlineStr">
        <is>
          <t xml:space="preserve">UNIDAD              </t>
        </is>
      </c>
      <c r="I78" t="n">
        <v>1755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1755</v>
      </c>
      <c r="P78" s="96">
        <f>_xlfn.XLOOKUP(Tabla5[[#This Row],[EAN CORREGIDO]],'Tabla Articulos'!B:B,'Tabla Articulos'!D:D)</f>
        <v/>
      </c>
      <c r="Q78" s="96">
        <f>_xlfn.XLOOKUP(S78,'Tabla Articulos'!B:B,'Tabla Articulos'!E:E)</f>
        <v/>
      </c>
      <c r="R78" s="96">
        <f>O78*Q78</f>
        <v/>
      </c>
      <c r="S78" s="97">
        <f>TRIM(E78)</f>
        <v/>
      </c>
    </row>
    <row r="79" hidden="1">
      <c r="A79" s="22" t="n">
        <v>5</v>
      </c>
      <c r="B79" t="inlineStr">
        <is>
          <t xml:space="preserve">CDM02 - MORENO 2              </t>
        </is>
      </c>
      <c r="C79" t="inlineStr">
        <is>
          <t xml:space="preserve">GRUPO L.                      </t>
        </is>
      </c>
      <c r="D79" t="inlineStr">
        <is>
          <t>VINAGRE MANZANA</t>
        </is>
      </c>
      <c r="E79" t="inlineStr">
        <is>
          <t xml:space="preserve">7792378000852       </t>
        </is>
      </c>
      <c r="F79" t="n">
        <v>4020609</v>
      </c>
      <c r="G79" t="inlineStr">
        <is>
          <t xml:space="preserve">VINAGRE MANZANA X1L COMENSAL       </t>
        </is>
      </c>
      <c r="H79" t="inlineStr">
        <is>
          <t xml:space="preserve">UNIDAD              </t>
        </is>
      </c>
      <c r="I79" t="n">
        <v>60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60</v>
      </c>
      <c r="P79" s="96">
        <f>_xlfn.XLOOKUP(Tabla5[[#This Row],[EAN CORREGIDO]],'Tabla Articulos'!B:B,'Tabla Articulos'!D:D)</f>
        <v/>
      </c>
      <c r="Q79" s="96">
        <f>_xlfn.XLOOKUP(S79,'Tabla Articulos'!B:B,'Tabla Articulos'!E:E)</f>
        <v/>
      </c>
      <c r="R79" s="96">
        <f>O79*Q79</f>
        <v/>
      </c>
      <c r="S79" s="97">
        <f>TRIM(E79)</f>
        <v/>
      </c>
    </row>
    <row r="80" hidden="1">
      <c r="A80" s="22" t="n">
        <v>6</v>
      </c>
      <c r="B80" t="inlineStr">
        <is>
          <t xml:space="preserve">CDM03 - MORENO 3              </t>
        </is>
      </c>
      <c r="C80" t="inlineStr">
        <is>
          <t xml:space="preserve">GRUPO L.                      </t>
        </is>
      </c>
      <c r="D80" s="11" t="inlineStr">
        <is>
          <t>BALDE 10 LT</t>
        </is>
      </c>
      <c r="E80" t="inlineStr">
        <is>
          <t xml:space="preserve">7794417001615       </t>
        </is>
      </c>
      <c r="F80" t="n">
        <v>2006591</v>
      </c>
      <c r="G80" t="inlineStr">
        <is>
          <t xml:space="preserve">BALDE 10 LITROS COLOR	             </t>
        </is>
      </c>
      <c r="H80" t="inlineStr">
        <is>
          <t xml:space="preserve">UNIDAD              </t>
        </is>
      </c>
      <c r="I80" t="n">
        <v>80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80</v>
      </c>
      <c r="P80" s="96">
        <f>_xlfn.XLOOKUP(Tabla5[[#This Row],[EAN CORREGIDO]],'Tabla Articulos'!B:B,'Tabla Articulos'!D:D)</f>
        <v/>
      </c>
      <c r="Q80" s="96">
        <f>_xlfn.XLOOKUP(S80,'Tabla Articulos'!B:B,'Tabla Articulos'!E:E)</f>
        <v/>
      </c>
      <c r="R80" s="96">
        <f>O80*Q80</f>
        <v/>
      </c>
      <c r="S80" s="97">
        <f>TRIM(E80)</f>
        <v/>
      </c>
    </row>
    <row r="81" hidden="1">
      <c r="A81" s="22" t="n">
        <v>1</v>
      </c>
      <c r="B81" t="inlineStr">
        <is>
          <t xml:space="preserve">CD MORENO                     </t>
        </is>
      </c>
      <c r="C81" t="inlineStr">
        <is>
          <t xml:space="preserve">GRUPO L.                      </t>
        </is>
      </c>
      <c r="D81" s="11" t="inlineStr">
        <is>
          <t>QUESO SARDO</t>
        </is>
      </c>
      <c r="E81" t="inlineStr">
        <is>
          <t xml:space="preserve">7790212060894       </t>
        </is>
      </c>
      <c r="F81" t="n">
        <v>4018126</v>
      </c>
      <c r="G81" t="inlineStr">
        <is>
          <t xml:space="preserve">QUESO SARDO SEMI ESTAC X KG        </t>
        </is>
      </c>
      <c r="H81" t="inlineStr">
        <is>
          <t xml:space="preserve">Kgs                 </t>
        </is>
      </c>
      <c r="I81" t="n">
        <v>947.912</v>
      </c>
      <c r="J81" t="n">
        <v>0</v>
      </c>
      <c r="K81" t="n">
        <v>0</v>
      </c>
      <c r="L81" t="n">
        <v>82.087</v>
      </c>
      <c r="M81" t="n">
        <v>74.55800000000001</v>
      </c>
      <c r="N81" t="n">
        <v>0</v>
      </c>
      <c r="O81" t="n">
        <v>791.2670000000001</v>
      </c>
      <c r="P81" s="96">
        <f>_xlfn.XLOOKUP(Tabla5[[#This Row],[EAN CORREGIDO]],'Tabla Articulos'!B:B,'Tabla Articulos'!D:D)</f>
        <v/>
      </c>
      <c r="Q81" s="96">
        <f>_xlfn.XLOOKUP(S81,'Tabla Articulos'!B:B,'Tabla Articulos'!E:E)</f>
        <v/>
      </c>
      <c r="R81" s="96">
        <f>O81*Q81</f>
        <v/>
      </c>
      <c r="S81" s="97">
        <f>TRIM(E81)</f>
        <v/>
      </c>
    </row>
    <row r="82" hidden="1">
      <c r="A82" s="22" t="n">
        <v>6</v>
      </c>
      <c r="B82" t="inlineStr">
        <is>
          <t xml:space="preserve">CDM03 - MORENO 3              </t>
        </is>
      </c>
      <c r="C82" t="inlineStr">
        <is>
          <t xml:space="preserve">GRUPO L.                      </t>
        </is>
      </c>
      <c r="D82" s="11" t="n"/>
      <c r="E82" t="inlineStr">
        <is>
          <t xml:space="preserve">UNIF000545          </t>
        </is>
      </c>
      <c r="F82" t="n">
        <v>9003083</v>
      </c>
      <c r="G82" t="inlineStr">
        <is>
          <t xml:space="preserve">CHOMBA GRIS NEG MANG CORTA NAR L   </t>
        </is>
      </c>
      <c r="H82" t="inlineStr">
        <is>
          <t xml:space="preserve">UNIDAD              </t>
        </is>
      </c>
      <c r="I82" t="n">
        <v>23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23</v>
      </c>
      <c r="P82" s="96">
        <f>_xlfn.XLOOKUP(Tabla5[[#This Row],[EAN CORREGIDO]],'Tabla Articulos'!B:B,'Tabla Articulos'!D:D)</f>
        <v/>
      </c>
      <c r="Q82" s="96">
        <f>_xlfn.XLOOKUP(S82,'Tabla Articulos'!B:B,'Tabla Articulos'!E:E)</f>
        <v/>
      </c>
      <c r="R82" s="96">
        <f>O82*Q82</f>
        <v/>
      </c>
      <c r="S82" s="97">
        <f>TRIM(E82)</f>
        <v/>
      </c>
    </row>
    <row r="83" hidden="1">
      <c r="A83" s="22" t="n">
        <v>6</v>
      </c>
      <c r="B83" t="inlineStr">
        <is>
          <t xml:space="preserve">CDM03 - MORENO 3              </t>
        </is>
      </c>
      <c r="C83" t="inlineStr">
        <is>
          <t xml:space="preserve">GRUPO L.                      </t>
        </is>
      </c>
      <c r="E83" t="inlineStr">
        <is>
          <t xml:space="preserve">UNIF000587          </t>
        </is>
      </c>
      <c r="F83" t="n">
        <v>9003125</v>
      </c>
      <c r="G83" t="inlineStr">
        <is>
          <t xml:space="preserve">CHAQUETA CUELLO MAO T2 GL SUP.     </t>
        </is>
      </c>
      <c r="H83" t="inlineStr">
        <is>
          <t xml:space="preserve">UNIDAD              </t>
        </is>
      </c>
      <c r="I83" t="n">
        <v>63</v>
      </c>
      <c r="J83" t="n">
        <v>300</v>
      </c>
      <c r="K83" t="n">
        <v>0</v>
      </c>
      <c r="L83" t="n">
        <v>0</v>
      </c>
      <c r="M83" t="n">
        <v>0</v>
      </c>
      <c r="N83" t="n">
        <v>0</v>
      </c>
      <c r="O83" t="n">
        <v>363</v>
      </c>
      <c r="P83" s="96">
        <f>_xlfn.XLOOKUP(Tabla5[[#This Row],[EAN CORREGIDO]],'Tabla Articulos'!B:B,'Tabla Articulos'!D:D)</f>
        <v/>
      </c>
      <c r="Q83" s="96">
        <f>_xlfn.XLOOKUP(S83,'Tabla Articulos'!B:B,'Tabla Articulos'!E:E)</f>
        <v/>
      </c>
      <c r="R83" s="96">
        <f>O83*Q83</f>
        <v/>
      </c>
      <c r="S83" s="97">
        <f>TRIM(E83)</f>
        <v/>
      </c>
    </row>
    <row r="84" hidden="1">
      <c r="A84" s="22" t="n">
        <v>6</v>
      </c>
      <c r="B84" t="inlineStr">
        <is>
          <t xml:space="preserve">CDM03 - MORENO 3              </t>
        </is>
      </c>
      <c r="C84" t="inlineStr">
        <is>
          <t xml:space="preserve">GRUPO L.                      </t>
        </is>
      </c>
      <c r="E84" t="inlineStr">
        <is>
          <t xml:space="preserve">UNIF000080          </t>
        </is>
      </c>
      <c r="F84" t="n">
        <v>9003541</v>
      </c>
      <c r="G84" t="inlineStr">
        <is>
          <t xml:space="preserve">CAMISA BLANCA LISA 52 S. LOGO      </t>
        </is>
      </c>
      <c r="H84" t="inlineStr">
        <is>
          <t xml:space="preserve">UNIDAD              </t>
        </is>
      </c>
      <c r="I84" t="n">
        <v>15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15</v>
      </c>
      <c r="P84" s="96">
        <f>_xlfn.XLOOKUP(Tabla5[[#This Row],[EAN CORREGIDO]],'Tabla Articulos'!B:B,'Tabla Articulos'!D:D)</f>
        <v/>
      </c>
      <c r="Q84" s="96">
        <f>_xlfn.XLOOKUP(S84,'Tabla Articulos'!B:B,'Tabla Articulos'!E:E)</f>
        <v/>
      </c>
      <c r="R84" s="96">
        <f>O84*Q84</f>
        <v/>
      </c>
      <c r="S84" s="97">
        <f>TRIM(E84)</f>
        <v/>
      </c>
    </row>
    <row r="85" hidden="1">
      <c r="A85" s="22" t="n">
        <v>1</v>
      </c>
      <c r="B85" t="inlineStr">
        <is>
          <t xml:space="preserve">CD MORENO                     </t>
        </is>
      </c>
      <c r="C85" t="inlineStr">
        <is>
          <t xml:space="preserve">GRUPO L.                      </t>
        </is>
      </c>
      <c r="D85" t="inlineStr">
        <is>
          <t>PURE TOMATE</t>
        </is>
      </c>
      <c r="E85" t="inlineStr">
        <is>
          <t xml:space="preserve">7797470199121       </t>
        </is>
      </c>
      <c r="F85" t="n">
        <v>4020378</v>
      </c>
      <c r="G85" t="inlineStr">
        <is>
          <t xml:space="preserve">PURE TOMATE S/TACC X520G MAROLIO   </t>
        </is>
      </c>
      <c r="H85" t="inlineStr">
        <is>
          <t xml:space="preserve">UNIDAD              </t>
        </is>
      </c>
      <c r="I85" t="n">
        <v>144</v>
      </c>
      <c r="J85" t="n">
        <v>0</v>
      </c>
      <c r="K85" t="n">
        <v>0</v>
      </c>
      <c r="L85" t="n">
        <v>34</v>
      </c>
      <c r="M85" t="n">
        <v>34</v>
      </c>
      <c r="N85" t="n">
        <v>0</v>
      </c>
      <c r="O85" t="n">
        <v>76</v>
      </c>
      <c r="P85" s="96">
        <f>_xlfn.XLOOKUP(Tabla5[[#This Row],[EAN CORREGIDO]],'Tabla Articulos'!B:B,'Tabla Articulos'!D:D)</f>
        <v/>
      </c>
      <c r="Q85" s="96">
        <f>_xlfn.XLOOKUP(S85,'Tabla Articulos'!B:B,'Tabla Articulos'!E:E)</f>
        <v/>
      </c>
      <c r="R85" s="96">
        <f>O85*Q85</f>
        <v/>
      </c>
      <c r="S85" s="97">
        <f>TRIM(E85)</f>
        <v/>
      </c>
    </row>
    <row r="86" hidden="1">
      <c r="A86" s="22" t="n">
        <v>5</v>
      </c>
      <c r="B86" t="inlineStr">
        <is>
          <t xml:space="preserve">CDM02 - MORENO 2              </t>
        </is>
      </c>
      <c r="C86" t="inlineStr">
        <is>
          <t xml:space="preserve">GRUPO L.                      </t>
        </is>
      </c>
      <c r="D86" t="inlineStr">
        <is>
          <t>PURE TOMATE</t>
        </is>
      </c>
      <c r="E86" t="inlineStr">
        <is>
          <t xml:space="preserve">7797470199121       </t>
        </is>
      </c>
      <c r="F86" t="n">
        <v>4020378</v>
      </c>
      <c r="G86" t="inlineStr">
        <is>
          <t xml:space="preserve">PURE TOMATE S/TACC X520G MAROLIO   </t>
        </is>
      </c>
      <c r="H86" t="inlineStr">
        <is>
          <t xml:space="preserve">UNIDAD              </t>
        </is>
      </c>
      <c r="I86" t="n">
        <v>884</v>
      </c>
      <c r="J86" t="n">
        <v>0</v>
      </c>
      <c r="K86" t="n">
        <v>0</v>
      </c>
      <c r="L86" t="n">
        <v>225</v>
      </c>
      <c r="M86" t="n">
        <v>225</v>
      </c>
      <c r="N86" t="n">
        <v>0</v>
      </c>
      <c r="O86" t="n">
        <v>434</v>
      </c>
      <c r="P86" s="96">
        <f>_xlfn.XLOOKUP(Tabla5[[#This Row],[EAN CORREGIDO]],'Tabla Articulos'!B:B,'Tabla Articulos'!D:D)</f>
        <v/>
      </c>
      <c r="Q86" s="96">
        <f>_xlfn.XLOOKUP(S86,'Tabla Articulos'!B:B,'Tabla Articulos'!E:E)</f>
        <v/>
      </c>
      <c r="R86" s="96">
        <f>O86*Q86</f>
        <v/>
      </c>
      <c r="S86" s="97">
        <f>TRIM(E86)</f>
        <v/>
      </c>
    </row>
    <row r="87" hidden="1">
      <c r="A87" s="22" t="n">
        <v>5</v>
      </c>
      <c r="B87" t="inlineStr">
        <is>
          <t xml:space="preserve">CDM02 - MORENO 2              </t>
        </is>
      </c>
      <c r="C87" t="inlineStr">
        <is>
          <t xml:space="preserve">GRUPO L.                      </t>
        </is>
      </c>
      <c r="D87" t="inlineStr">
        <is>
          <t>ATUN A/N DESMEN</t>
        </is>
      </c>
      <c r="E87" t="inlineStr">
        <is>
          <t xml:space="preserve">7793360129957       </t>
        </is>
      </c>
      <c r="F87" t="n">
        <v>4022705</v>
      </c>
      <c r="G87" t="inlineStr">
        <is>
          <t xml:space="preserve">ATUN DESM NATURAL LC 170 GR        </t>
        </is>
      </c>
      <c r="H87" t="inlineStr">
        <is>
          <t xml:space="preserve">UNIDAD              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s="96">
        <f>_xlfn.XLOOKUP(Tabla5[[#This Row],[EAN CORREGIDO]],'Tabla Articulos'!B:B,'Tabla Articulos'!D:D)</f>
        <v/>
      </c>
      <c r="Q87" s="96">
        <f>_xlfn.XLOOKUP(S87,'Tabla Articulos'!B:B,'Tabla Articulos'!E:E)</f>
        <v/>
      </c>
      <c r="R87" s="96">
        <f>O87*Q87</f>
        <v/>
      </c>
      <c r="S87" s="97">
        <f>TRIM(E87)</f>
        <v/>
      </c>
    </row>
    <row r="88" hidden="1">
      <c r="A88" s="22" t="n">
        <v>6</v>
      </c>
      <c r="B88" t="inlineStr">
        <is>
          <t xml:space="preserve">CDM03 - MORENO 3              </t>
        </is>
      </c>
      <c r="C88" t="inlineStr">
        <is>
          <t xml:space="preserve">GRUPO L.                      </t>
        </is>
      </c>
      <c r="E88" t="inlineStr">
        <is>
          <t xml:space="preserve">UNIF000577          </t>
        </is>
      </c>
      <c r="F88" t="n">
        <v>9003115</v>
      </c>
      <c r="G88" t="inlineStr">
        <is>
          <t xml:space="preserve">CAMISA GRIS T52                    </t>
        </is>
      </c>
      <c r="H88" t="inlineStr">
        <is>
          <t xml:space="preserve">UNIDAD              </t>
        </is>
      </c>
      <c r="I88" t="n">
        <v>11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11</v>
      </c>
      <c r="P88" s="96">
        <f>_xlfn.XLOOKUP(Tabla5[[#This Row],[EAN CORREGIDO]],'Tabla Articulos'!B:B,'Tabla Articulos'!D:D)</f>
        <v/>
      </c>
      <c r="Q88" s="96">
        <f>_xlfn.XLOOKUP(S88,'Tabla Articulos'!B:B,'Tabla Articulos'!E:E)</f>
        <v/>
      </c>
      <c r="R88" s="96">
        <f>O88*Q88</f>
        <v/>
      </c>
      <c r="S88" s="97">
        <f>TRIM(E88)</f>
        <v/>
      </c>
    </row>
    <row r="89" hidden="1">
      <c r="A89" s="22" t="n">
        <v>1</v>
      </c>
      <c r="B89" t="inlineStr">
        <is>
          <t xml:space="preserve">CD MORENO                     </t>
        </is>
      </c>
      <c r="C89" t="inlineStr">
        <is>
          <t xml:space="preserve">GRUPO L.                      </t>
        </is>
      </c>
      <c r="D89" t="inlineStr">
        <is>
          <t>GARBANZOS REMOJADOS</t>
        </is>
      </c>
      <c r="E89" t="inlineStr">
        <is>
          <t xml:space="preserve">7798096031079       </t>
        </is>
      </c>
      <c r="F89" t="n">
        <v>4021620</v>
      </c>
      <c r="G89" t="inlineStr">
        <is>
          <t xml:space="preserve">GARBANZOS REMOJADOS X 340 GRS DOÑA </t>
        </is>
      </c>
      <c r="H89" t="inlineStr">
        <is>
          <t xml:space="preserve">UNIDAD              </t>
        </is>
      </c>
      <c r="I89" t="n">
        <v>3227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3227</v>
      </c>
      <c r="P89" s="96">
        <f>_xlfn.XLOOKUP(Tabla5[[#This Row],[EAN CORREGIDO]],'Tabla Articulos'!B:B,'Tabla Articulos'!D:D)</f>
        <v/>
      </c>
      <c r="Q89" s="96">
        <f>_xlfn.XLOOKUP(S89,'Tabla Articulos'!B:B,'Tabla Articulos'!E:E)</f>
        <v/>
      </c>
      <c r="R89" s="96">
        <f>O89*Q89</f>
        <v/>
      </c>
      <c r="S89" s="97">
        <f>TRIM(E89)</f>
        <v/>
      </c>
    </row>
    <row r="90" hidden="1">
      <c r="A90" s="22" t="n">
        <v>5</v>
      </c>
      <c r="B90" t="inlineStr">
        <is>
          <t xml:space="preserve">CDM02 - MORENO 2              </t>
        </is>
      </c>
      <c r="C90" t="inlineStr">
        <is>
          <t xml:space="preserve">GRUPO L.                      </t>
        </is>
      </c>
      <c r="D90" t="inlineStr">
        <is>
          <t>GARBANZOS REMOJADOS</t>
        </is>
      </c>
      <c r="E90" t="inlineStr">
        <is>
          <t xml:space="preserve">7798096031079       </t>
        </is>
      </c>
      <c r="F90" t="n">
        <v>4021620</v>
      </c>
      <c r="G90" t="inlineStr">
        <is>
          <t xml:space="preserve">GARBANZOS REMOJADOS X 340 GRS DOÑA </t>
        </is>
      </c>
      <c r="H90" t="inlineStr">
        <is>
          <t xml:space="preserve">UNIDAD              </t>
        </is>
      </c>
      <c r="I90" t="n">
        <v>210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210</v>
      </c>
      <c r="P90" s="96">
        <f>_xlfn.XLOOKUP(Tabla5[[#This Row],[EAN CORREGIDO]],'Tabla Articulos'!B:B,'Tabla Articulos'!D:D)</f>
        <v/>
      </c>
      <c r="Q90" s="96">
        <f>_xlfn.XLOOKUP(S90,'Tabla Articulos'!B:B,'Tabla Articulos'!E:E)</f>
        <v/>
      </c>
      <c r="R90" s="96">
        <f>O90*Q90</f>
        <v/>
      </c>
      <c r="S90" s="97">
        <f>TRIM(E90)</f>
        <v/>
      </c>
    </row>
    <row r="91">
      <c r="A91" s="22" t="n">
        <v>1</v>
      </c>
      <c r="B91" t="inlineStr">
        <is>
          <t xml:space="preserve">CD MORENO                     </t>
        </is>
      </c>
      <c r="C91" t="inlineStr">
        <is>
          <t xml:space="preserve">GRUPO L.                      </t>
        </is>
      </c>
      <c r="D91" t="inlineStr">
        <is>
          <t>JUGO POLVO NARANJA</t>
        </is>
      </c>
      <c r="E91" t="inlineStr">
        <is>
          <t xml:space="preserve">7622201705961       </t>
        </is>
      </c>
      <c r="F91" t="n">
        <v>4019505</v>
      </c>
      <c r="G91" t="inlineStr">
        <is>
          <t xml:space="preserve">JUGO POLVO NARANJA X15GR TANG	     </t>
        </is>
      </c>
      <c r="H91" t="inlineStr">
        <is>
          <t xml:space="preserve">UNIDAD              </t>
        </is>
      </c>
      <c r="I91" t="n">
        <v>20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20</v>
      </c>
      <c r="P91" s="96">
        <f>_xlfn.XLOOKUP(Tabla5[[#This Row],[EAN CORREGIDO]],'Tabla Articulos'!B:B,'Tabla Articulos'!D:D)</f>
        <v/>
      </c>
      <c r="Q91" s="96">
        <f>_xlfn.XLOOKUP(S91,'Tabla Articulos'!B:B,'Tabla Articulos'!E:E)</f>
        <v/>
      </c>
      <c r="R91" s="96">
        <f>O91*Q91</f>
        <v/>
      </c>
      <c r="S91" s="97">
        <f>TRIM(E91)</f>
        <v/>
      </c>
    </row>
    <row r="92">
      <c r="A92" s="22" t="n">
        <v>1</v>
      </c>
      <c r="B92" t="inlineStr">
        <is>
          <t xml:space="preserve">CD MORENO                     </t>
        </is>
      </c>
      <c r="C92" t="inlineStr">
        <is>
          <t xml:space="preserve">GRUPO L.                      </t>
        </is>
      </c>
      <c r="D92" t="inlineStr">
        <is>
          <t>AJI MOLIDO S/TACC</t>
        </is>
      </c>
      <c r="E92" t="inlineStr">
        <is>
          <t xml:space="preserve">7797234000311       </t>
        </is>
      </c>
      <c r="F92" t="n">
        <v>4020292</v>
      </c>
      <c r="G92" t="inlineStr">
        <is>
          <t xml:space="preserve"> AJI MOLIDO X25G LA PERGOLA        </t>
        </is>
      </c>
      <c r="H92" t="inlineStr">
        <is>
          <t xml:space="preserve">UNIDAD              </t>
        </is>
      </c>
      <c r="I92" t="n">
        <v>50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50</v>
      </c>
      <c r="P92" s="96">
        <f>_xlfn.XLOOKUP(Tabla5[[#This Row],[EAN CORREGIDO]],'Tabla Articulos'!B:B,'Tabla Articulos'!D:D)</f>
        <v/>
      </c>
      <c r="Q92" s="96">
        <f>_xlfn.XLOOKUP(S92,'Tabla Articulos'!B:B,'Tabla Articulos'!E:E)</f>
        <v/>
      </c>
      <c r="R92" s="96">
        <f>O92*Q92</f>
        <v/>
      </c>
      <c r="S92" s="97">
        <f>TRIM(E92)</f>
        <v/>
      </c>
    </row>
    <row r="93" hidden="1">
      <c r="A93" s="22" t="n">
        <v>6</v>
      </c>
      <c r="B93" t="inlineStr">
        <is>
          <t xml:space="preserve">CDM03 - MORENO 3              </t>
        </is>
      </c>
      <c r="C93" t="inlineStr">
        <is>
          <t xml:space="preserve">GRUPO L.                      </t>
        </is>
      </c>
      <c r="D93" s="11" t="n"/>
      <c r="E93" t="inlineStr">
        <is>
          <t xml:space="preserve">UNIF000096          </t>
        </is>
      </c>
      <c r="F93" t="n">
        <v>9003332</v>
      </c>
      <c r="G93" t="inlineStr">
        <is>
          <t xml:space="preserve">CHOMBA PIQUE GRIS L GL SUP.        </t>
        </is>
      </c>
      <c r="H93" t="inlineStr">
        <is>
          <t xml:space="preserve">UNIDAD              </t>
        </is>
      </c>
      <c r="I93" t="n">
        <v>11</v>
      </c>
      <c r="J93" t="n">
        <v>476</v>
      </c>
      <c r="K93" t="n">
        <v>0</v>
      </c>
      <c r="L93" t="n">
        <v>8</v>
      </c>
      <c r="M93" t="n">
        <v>8</v>
      </c>
      <c r="N93" t="n">
        <v>0</v>
      </c>
      <c r="O93" t="n">
        <v>471</v>
      </c>
      <c r="P93" s="96">
        <f>_xlfn.XLOOKUP(Tabla5[[#This Row],[EAN CORREGIDO]],'Tabla Articulos'!B:B,'Tabla Articulos'!D:D)</f>
        <v/>
      </c>
      <c r="Q93" s="96">
        <f>_xlfn.XLOOKUP(S93,'Tabla Articulos'!B:B,'Tabla Articulos'!E:E)</f>
        <v/>
      </c>
      <c r="R93" s="96">
        <f>O93*Q93</f>
        <v/>
      </c>
      <c r="S93" s="97">
        <f>TRIM(E93)</f>
        <v/>
      </c>
    </row>
    <row r="94" hidden="1">
      <c r="A94" s="22" t="n">
        <v>6</v>
      </c>
      <c r="B94" t="inlineStr">
        <is>
          <t xml:space="preserve">CDM03 - MORENO 3              </t>
        </is>
      </c>
      <c r="C94" t="inlineStr">
        <is>
          <t xml:space="preserve">GRUPO L.                      </t>
        </is>
      </c>
      <c r="D94" s="11" t="n"/>
      <c r="E94" t="inlineStr">
        <is>
          <t xml:space="preserve">UNIF000534          </t>
        </is>
      </c>
      <c r="F94" t="n">
        <v>9003071</v>
      </c>
      <c r="G94" t="inlineStr">
        <is>
          <t xml:space="preserve">ROMPEVIENTOS-AZUL MARINO L         </t>
        </is>
      </c>
      <c r="H94" t="inlineStr">
        <is>
          <t xml:space="preserve">UNIDAD              </t>
        </is>
      </c>
      <c r="I94" t="n">
        <v>171</v>
      </c>
      <c r="J94" t="n">
        <v>0</v>
      </c>
      <c r="K94" t="n">
        <v>0</v>
      </c>
      <c r="L94" t="n">
        <v>19</v>
      </c>
      <c r="M94" t="n">
        <v>19</v>
      </c>
      <c r="N94" t="n">
        <v>0</v>
      </c>
      <c r="O94" t="n">
        <v>133</v>
      </c>
      <c r="P94" s="96">
        <f>_xlfn.XLOOKUP(Tabla5[[#This Row],[EAN CORREGIDO]],'Tabla Articulos'!B:B,'Tabla Articulos'!D:D)</f>
        <v/>
      </c>
      <c r="Q94" s="96">
        <f>_xlfn.XLOOKUP(S94,'Tabla Articulos'!B:B,'Tabla Articulos'!E:E)</f>
        <v/>
      </c>
      <c r="R94" s="96">
        <f>O94*Q94</f>
        <v/>
      </c>
      <c r="S94" s="97">
        <f>TRIM(E94)</f>
        <v/>
      </c>
    </row>
    <row r="95" hidden="1">
      <c r="A95" s="22" t="n">
        <v>5</v>
      </c>
      <c r="B95" t="inlineStr">
        <is>
          <t xml:space="preserve">CDM02 - MORENO 2              </t>
        </is>
      </c>
      <c r="C95" t="inlineStr">
        <is>
          <t xml:space="preserve">GRUPO L.                      </t>
        </is>
      </c>
      <c r="D95" t="inlineStr">
        <is>
          <t>CARAMELOS MASTICABLES</t>
        </is>
      </c>
      <c r="E95" t="inlineStr">
        <is>
          <t xml:space="preserve">7790580471309       </t>
        </is>
      </c>
      <c r="F95" t="n">
        <v>4024354</v>
      </c>
      <c r="G95" t="inlineStr">
        <is>
          <t xml:space="preserve">CARAMELOS SURTIDOS X810GR ARCOR    </t>
        </is>
      </c>
      <c r="H95" t="inlineStr">
        <is>
          <t xml:space="preserve">UNIDAD              </t>
        </is>
      </c>
      <c r="I95" t="n">
        <v>463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463</v>
      </c>
      <c r="P95" s="96">
        <f>_xlfn.XLOOKUP(Tabla5[[#This Row],[EAN CORREGIDO]],'Tabla Articulos'!B:B,'Tabla Articulos'!D:D)</f>
        <v/>
      </c>
      <c r="Q95" s="96">
        <f>_xlfn.XLOOKUP(S95,'Tabla Articulos'!B:B,'Tabla Articulos'!E:E)</f>
        <v/>
      </c>
      <c r="R95" s="96">
        <f>O95*Q95</f>
        <v/>
      </c>
      <c r="S95" s="97">
        <f>TRIM(E95)</f>
        <v/>
      </c>
    </row>
    <row r="96" hidden="1">
      <c r="A96" s="22" t="n">
        <v>1</v>
      </c>
      <c r="B96" t="inlineStr">
        <is>
          <t xml:space="preserve">CD MORENO                     </t>
        </is>
      </c>
      <c r="C96" t="inlineStr">
        <is>
          <t xml:space="preserve">GRUPO L.                      </t>
        </is>
      </c>
      <c r="D96" s="11" t="inlineStr">
        <is>
          <t>CHOCOLATADA</t>
        </is>
      </c>
      <c r="E96" t="inlineStr">
        <is>
          <t xml:space="preserve">7798290581936       </t>
        </is>
      </c>
      <c r="F96" t="n">
        <v>4018403</v>
      </c>
      <c r="G96" t="inlineStr">
        <is>
          <t xml:space="preserve">LECHE CHOCOLATADA X 200CC CHOCHOCO </t>
        </is>
      </c>
      <c r="H96" t="inlineStr">
        <is>
          <t xml:space="preserve">UNIDAD              </t>
        </is>
      </c>
      <c r="I96" t="n">
        <v>10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10</v>
      </c>
      <c r="P96" s="96">
        <f>_xlfn.XLOOKUP(Tabla5[[#This Row],[EAN CORREGIDO]],'Tabla Articulos'!B:B,'Tabla Articulos'!D:D)</f>
        <v/>
      </c>
      <c r="Q96" s="96">
        <f>_xlfn.XLOOKUP(S96,'Tabla Articulos'!B:B,'Tabla Articulos'!E:E)</f>
        <v/>
      </c>
      <c r="R96" s="96">
        <f>O96*Q96</f>
        <v/>
      </c>
      <c r="S96" s="97">
        <f>TRIM(E96)</f>
        <v/>
      </c>
    </row>
    <row r="97" hidden="1">
      <c r="A97" s="22" t="n">
        <v>5</v>
      </c>
      <c r="B97" t="inlineStr">
        <is>
          <t xml:space="preserve">CDM02 - MORENO 2              </t>
        </is>
      </c>
      <c r="C97" t="inlineStr">
        <is>
          <t xml:space="preserve">GRUPO L.                      </t>
        </is>
      </c>
      <c r="D97" t="inlineStr">
        <is>
          <t>AGUA MIN C/GAS INDIV</t>
        </is>
      </c>
      <c r="E97" t="inlineStr">
        <is>
          <t xml:space="preserve">7790895647758       </t>
        </is>
      </c>
      <c r="F97" t="n">
        <v>4023934</v>
      </c>
      <c r="G97" t="inlineStr">
        <is>
          <t xml:space="preserve">AGUA BENEDICTINO C/GAS 600CC       </t>
        </is>
      </c>
      <c r="H97" t="inlineStr">
        <is>
          <t xml:space="preserve">UNIDAD              </t>
        </is>
      </c>
      <c r="I97" t="n">
        <v>270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270</v>
      </c>
      <c r="P97" s="96">
        <f>_xlfn.XLOOKUP(Tabla5[[#This Row],[EAN CORREGIDO]],'Tabla Articulos'!B:B,'Tabla Articulos'!D:D)</f>
        <v/>
      </c>
      <c r="Q97" s="96">
        <f>_xlfn.XLOOKUP(S97,'Tabla Articulos'!B:B,'Tabla Articulos'!E:E)</f>
        <v/>
      </c>
      <c r="R97" s="96">
        <f>O97*Q97</f>
        <v/>
      </c>
      <c r="S97" s="97">
        <f>TRIM(E97)</f>
        <v/>
      </c>
    </row>
    <row r="98" hidden="1">
      <c r="A98" s="22" t="n">
        <v>6</v>
      </c>
      <c r="B98" t="inlineStr">
        <is>
          <t xml:space="preserve">CDM03 - MORENO 3              </t>
        </is>
      </c>
      <c r="C98" t="inlineStr">
        <is>
          <t xml:space="preserve">GRUPO L.                      </t>
        </is>
      </c>
      <c r="E98" t="inlineStr">
        <is>
          <t xml:space="preserve">UNIF000101          </t>
        </is>
      </c>
      <c r="F98" t="n">
        <v>9003414</v>
      </c>
      <c r="G98" t="inlineStr">
        <is>
          <t xml:space="preserve">PANTALON CARGO A. MARINO 46        </t>
        </is>
      </c>
      <c r="H98" t="inlineStr">
        <is>
          <t xml:space="preserve">UNIDAD              </t>
        </is>
      </c>
      <c r="I98" t="n">
        <v>18</v>
      </c>
      <c r="J98" t="n">
        <v>0</v>
      </c>
      <c r="K98" t="n">
        <v>0</v>
      </c>
      <c r="L98" t="n">
        <v>2</v>
      </c>
      <c r="M98" t="n">
        <v>2</v>
      </c>
      <c r="N98" t="n">
        <v>0</v>
      </c>
      <c r="O98" t="n">
        <v>14</v>
      </c>
      <c r="P98" s="96">
        <f>_xlfn.XLOOKUP(Tabla5[[#This Row],[EAN CORREGIDO]],'Tabla Articulos'!B:B,'Tabla Articulos'!D:D)</f>
        <v/>
      </c>
      <c r="Q98" s="96">
        <f>_xlfn.XLOOKUP(S98,'Tabla Articulos'!B:B,'Tabla Articulos'!E:E)</f>
        <v/>
      </c>
      <c r="R98" s="96">
        <f>O98*Q98</f>
        <v/>
      </c>
      <c r="S98" s="97">
        <f>TRIM(E98)</f>
        <v/>
      </c>
    </row>
    <row r="99" hidden="1">
      <c r="A99" s="22" t="n">
        <v>6</v>
      </c>
      <c r="B99" t="inlineStr">
        <is>
          <t xml:space="preserve">CDM03 - MORENO 3              </t>
        </is>
      </c>
      <c r="C99" t="inlineStr">
        <is>
          <t xml:space="preserve">GRUPO L.                      </t>
        </is>
      </c>
      <c r="E99" t="inlineStr">
        <is>
          <t xml:space="preserve">UNIF000475          </t>
        </is>
      </c>
      <c r="F99" t="n">
        <v>9003247</v>
      </c>
      <c r="G99" t="inlineStr">
        <is>
          <t xml:space="preserve">PANTAL. GRAFA S. LOGO A. MAR 48    </t>
        </is>
      </c>
      <c r="H99" t="inlineStr">
        <is>
          <t xml:space="preserve">UNIDAD              </t>
        </is>
      </c>
      <c r="I99" t="n">
        <v>26</v>
      </c>
      <c r="J99" t="n">
        <v>0</v>
      </c>
      <c r="K99" t="n">
        <v>0</v>
      </c>
      <c r="L99" t="n">
        <v>3</v>
      </c>
      <c r="M99" t="n">
        <v>3</v>
      </c>
      <c r="N99" t="n">
        <v>0</v>
      </c>
      <c r="O99" t="n">
        <v>20</v>
      </c>
      <c r="P99" s="96">
        <f>_xlfn.XLOOKUP(Tabla5[[#This Row],[EAN CORREGIDO]],'Tabla Articulos'!B:B,'Tabla Articulos'!D:D)</f>
        <v/>
      </c>
      <c r="Q99" s="96">
        <f>_xlfn.XLOOKUP(S99,'Tabla Articulos'!B:B,'Tabla Articulos'!E:E)</f>
        <v/>
      </c>
      <c r="R99" s="96">
        <f>O99*Q99</f>
        <v/>
      </c>
      <c r="S99" s="97">
        <f>TRIM(E99)</f>
        <v/>
      </c>
    </row>
    <row r="100" hidden="1">
      <c r="A100" s="22" t="n">
        <v>1</v>
      </c>
      <c r="B100" t="inlineStr">
        <is>
          <t xml:space="preserve">CD MORENO                     </t>
        </is>
      </c>
      <c r="C100" t="inlineStr">
        <is>
          <t xml:space="preserve">GRUPO L.                      </t>
        </is>
      </c>
      <c r="D100" t="inlineStr">
        <is>
          <t>PAN CONGELADO</t>
        </is>
      </c>
      <c r="E100" t="inlineStr">
        <is>
          <t xml:space="preserve">17792180007022      </t>
        </is>
      </c>
      <c r="F100" t="n">
        <v>4077140</v>
      </c>
      <c r="G100" t="inlineStr">
        <is>
          <t xml:space="preserve">PANINI CONG 135GX60U CANUELAS      </t>
        </is>
      </c>
      <c r="H100" t="inlineStr">
        <is>
          <t xml:space="preserve">UNIDAD              </t>
        </is>
      </c>
      <c r="I100" t="n">
        <v>18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18</v>
      </c>
      <c r="P100" s="96">
        <f>_xlfn.XLOOKUP(Tabla5[[#This Row],[EAN CORREGIDO]],'Tabla Articulos'!B:B,'Tabla Articulos'!D:D)</f>
        <v/>
      </c>
      <c r="Q100" s="96">
        <f>_xlfn.XLOOKUP(S100,'Tabla Articulos'!B:B,'Tabla Articulos'!E:E)</f>
        <v/>
      </c>
      <c r="R100" s="96">
        <f>O100*Q100</f>
        <v/>
      </c>
      <c r="S100" s="97">
        <f>TRIM(E100)</f>
        <v/>
      </c>
    </row>
    <row r="101" hidden="1">
      <c r="A101" s="22" t="n">
        <v>1</v>
      </c>
      <c r="B101" t="inlineStr">
        <is>
          <t xml:space="preserve">CD MORENO                     </t>
        </is>
      </c>
      <c r="C101" t="inlineStr">
        <is>
          <t xml:space="preserve">GRUPO L.                      </t>
        </is>
      </c>
      <c r="D101" t="inlineStr">
        <is>
          <t>GALLETITA PIZZA</t>
        </is>
      </c>
      <c r="E101" t="inlineStr">
        <is>
          <t xml:space="preserve">7790580697303       </t>
        </is>
      </c>
      <c r="F101" t="n">
        <v>4019213</v>
      </c>
      <c r="G101" t="inlineStr">
        <is>
          <t xml:space="preserve">GALL SABOR PIZZA X100G SALADIX     </t>
        </is>
      </c>
      <c r="H101" t="inlineStr">
        <is>
          <t xml:space="preserve">UNIDAD              </t>
        </is>
      </c>
      <c r="I101" t="n">
        <v>54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54</v>
      </c>
      <c r="P101" s="96">
        <f>_xlfn.XLOOKUP(Tabla5[[#This Row],[EAN CORREGIDO]],'Tabla Articulos'!B:B,'Tabla Articulos'!D:D)</f>
        <v/>
      </c>
      <c r="Q101" s="96">
        <f>_xlfn.XLOOKUP(S101,'Tabla Articulos'!B:B,'Tabla Articulos'!E:E)</f>
        <v/>
      </c>
      <c r="R101" s="96">
        <f>O101*Q101</f>
        <v/>
      </c>
      <c r="S101" s="97">
        <f>TRIM(E101)</f>
        <v/>
      </c>
    </row>
    <row r="102" hidden="1">
      <c r="A102" s="22" t="n">
        <v>1</v>
      </c>
      <c r="B102" t="inlineStr">
        <is>
          <t xml:space="preserve">CD MORENO                     </t>
        </is>
      </c>
      <c r="C102" t="inlineStr">
        <is>
          <t xml:space="preserve">GRUPO L.                      </t>
        </is>
      </c>
      <c r="D102" t="inlineStr">
        <is>
          <t>ACELGA CONGELADA</t>
        </is>
      </c>
      <c r="E102" t="inlineStr">
        <is>
          <t xml:space="preserve">7797906054482       </t>
        </is>
      </c>
      <c r="F102" t="n">
        <v>4023248</v>
      </c>
      <c r="G102" t="inlineStr">
        <is>
          <t xml:space="preserve">ACELGA CONG X2KG MCCAIN            </t>
        </is>
      </c>
      <c r="H102" t="inlineStr">
        <is>
          <t xml:space="preserve">UNIDAD              </t>
        </is>
      </c>
      <c r="I102" t="n">
        <v>10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10</v>
      </c>
      <c r="P102" s="96">
        <f>_xlfn.XLOOKUP(Tabla5[[#This Row],[EAN CORREGIDO]],'Tabla Articulos'!B:B,'Tabla Articulos'!D:D)</f>
        <v/>
      </c>
      <c r="Q102" s="96">
        <f>_xlfn.XLOOKUP(S102,'Tabla Articulos'!B:B,'Tabla Articulos'!E:E)</f>
        <v/>
      </c>
      <c r="R102" s="96">
        <f>O102*Q102</f>
        <v/>
      </c>
      <c r="S102" s="97">
        <f>TRIM(E102)</f>
        <v/>
      </c>
    </row>
    <row r="103" hidden="1">
      <c r="A103" s="22" t="n">
        <v>6</v>
      </c>
      <c r="B103" t="inlineStr">
        <is>
          <t xml:space="preserve">CDM03 - MORENO 3              </t>
        </is>
      </c>
      <c r="C103" t="inlineStr">
        <is>
          <t xml:space="preserve">GRUPO L.                      </t>
        </is>
      </c>
      <c r="D103" s="11" t="n"/>
      <c r="E103" t="inlineStr">
        <is>
          <t xml:space="preserve">UNIF000056          </t>
        </is>
      </c>
      <c r="F103" t="n">
        <v>9003309</v>
      </c>
      <c r="G103" t="inlineStr">
        <is>
          <t xml:space="preserve">BUZO A. MAR. FRISA GL SUP XL       </t>
        </is>
      </c>
      <c r="H103" t="inlineStr">
        <is>
          <t xml:space="preserve">UNIDAD              </t>
        </is>
      </c>
      <c r="I103" t="n">
        <v>0</v>
      </c>
      <c r="J103" t="n">
        <v>160</v>
      </c>
      <c r="K103" t="n">
        <v>0</v>
      </c>
      <c r="L103" t="n">
        <v>0</v>
      </c>
      <c r="M103" t="n">
        <v>0</v>
      </c>
      <c r="N103" t="n">
        <v>0</v>
      </c>
      <c r="O103" t="n">
        <v>160</v>
      </c>
      <c r="P103" s="96">
        <f>_xlfn.XLOOKUP(Tabla5[[#This Row],[EAN CORREGIDO]],'Tabla Articulos'!B:B,'Tabla Articulos'!D:D)</f>
        <v/>
      </c>
      <c r="Q103" s="96">
        <f>_xlfn.XLOOKUP(S103,'Tabla Articulos'!B:B,'Tabla Articulos'!E:E)</f>
        <v/>
      </c>
      <c r="R103" s="96">
        <f>O103*Q103</f>
        <v/>
      </c>
      <c r="S103" s="97">
        <f>TRIM(E103)</f>
        <v/>
      </c>
    </row>
    <row r="104" hidden="1">
      <c r="A104" s="22" t="n">
        <v>1</v>
      </c>
      <c r="B104" t="inlineStr">
        <is>
          <t xml:space="preserve">CD MORENO                     </t>
        </is>
      </c>
      <c r="C104" t="inlineStr">
        <is>
          <t xml:space="preserve">GRUPO L.                      </t>
        </is>
      </c>
      <c r="D104" t="inlineStr">
        <is>
          <t>JAMON COCIDO</t>
        </is>
      </c>
      <c r="E104" t="inlineStr">
        <is>
          <t xml:space="preserve">7798256423459       </t>
        </is>
      </c>
      <c r="F104" t="n">
        <v>4017756</v>
      </c>
      <c r="G104" t="inlineStr">
        <is>
          <t xml:space="preserve">JAMON COCIDO XKG CAMPO AUSTRAL     </t>
        </is>
      </c>
      <c r="H104" t="inlineStr">
        <is>
          <t xml:space="preserve">Kgs                 </t>
        </is>
      </c>
      <c r="I104" t="n">
        <v>179.96</v>
      </c>
      <c r="J104" t="n">
        <v>0</v>
      </c>
      <c r="K104" t="n">
        <v>0</v>
      </c>
      <c r="L104" t="n">
        <v>3.8</v>
      </c>
      <c r="M104" t="n">
        <v>3.8</v>
      </c>
      <c r="N104" t="n">
        <v>0</v>
      </c>
      <c r="O104" t="n">
        <v>172.36</v>
      </c>
      <c r="P104" s="96">
        <f>_xlfn.XLOOKUP(Tabla5[[#This Row],[EAN CORREGIDO]],'Tabla Articulos'!B:B,'Tabla Articulos'!D:D)</f>
        <v/>
      </c>
      <c r="Q104" s="96">
        <f>_xlfn.XLOOKUP(S104,'Tabla Articulos'!B:B,'Tabla Articulos'!E:E)</f>
        <v/>
      </c>
      <c r="R104" s="96">
        <f>O104*Q104</f>
        <v/>
      </c>
      <c r="S104" s="97">
        <f>TRIM(E104)</f>
        <v/>
      </c>
    </row>
    <row r="105" hidden="1">
      <c r="A105" s="22" t="n">
        <v>1</v>
      </c>
      <c r="B105" t="inlineStr">
        <is>
          <t xml:space="preserve">CD MORENO                     </t>
        </is>
      </c>
      <c r="C105" t="inlineStr">
        <is>
          <t xml:space="preserve">GRUPO L.                      </t>
        </is>
      </c>
      <c r="D105" t="inlineStr">
        <is>
          <t>BUDIN VAINILLA</t>
        </is>
      </c>
      <c r="E105" t="inlineStr">
        <is>
          <t xml:space="preserve">7790077000425       </t>
        </is>
      </c>
      <c r="F105" t="n">
        <v>4049054</v>
      </c>
      <c r="G105" t="inlineStr">
        <is>
          <t xml:space="preserve">GL BUDIN VAINILLA X170GR POZO      </t>
        </is>
      </c>
      <c r="H105" t="inlineStr">
        <is>
          <t xml:space="preserve">UNIDAD              </t>
        </is>
      </c>
      <c r="I105" t="n">
        <v>27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27</v>
      </c>
      <c r="P105" s="96">
        <f>_xlfn.XLOOKUP(Tabla5[[#This Row],[EAN CORREGIDO]],'Tabla Articulos'!B:B,'Tabla Articulos'!D:D)</f>
        <v/>
      </c>
      <c r="Q105" s="96">
        <f>_xlfn.XLOOKUP(S105,'Tabla Articulos'!B:B,'Tabla Articulos'!E:E)</f>
        <v/>
      </c>
      <c r="R105" s="96">
        <f>O105*Q105</f>
        <v/>
      </c>
      <c r="S105" s="97">
        <f>TRIM(E105)</f>
        <v/>
      </c>
    </row>
    <row r="106" hidden="1">
      <c r="A106" s="22" t="n">
        <v>6</v>
      </c>
      <c r="B106" t="inlineStr">
        <is>
          <t xml:space="preserve">CDM03 - MORENO 3              </t>
        </is>
      </c>
      <c r="C106" t="inlineStr">
        <is>
          <t xml:space="preserve">GRUPO L.                      </t>
        </is>
      </c>
      <c r="D106" t="inlineStr">
        <is>
          <t>ESPONJA METAL</t>
        </is>
      </c>
      <c r="E106" t="inlineStr">
        <is>
          <t xml:space="preserve">7798092962247       </t>
        </is>
      </c>
      <c r="F106" t="n">
        <v>2006582</v>
      </c>
      <c r="G106" t="inlineStr">
        <is>
          <t xml:space="preserve">ESPONJA DE ACERO XUN MAKE          </t>
        </is>
      </c>
      <c r="H106" t="inlineStr">
        <is>
          <t xml:space="preserve">UNIDAD              </t>
        </is>
      </c>
      <c r="I106" t="n">
        <v>9519</v>
      </c>
      <c r="J106" t="n">
        <v>0</v>
      </c>
      <c r="K106" t="n">
        <v>0</v>
      </c>
      <c r="L106" t="n">
        <v>294</v>
      </c>
      <c r="M106" t="n">
        <v>294</v>
      </c>
      <c r="N106" t="n">
        <v>0</v>
      </c>
      <c r="O106" t="n">
        <v>8931</v>
      </c>
      <c r="P106" s="96">
        <f>_xlfn.XLOOKUP(Tabla5[[#This Row],[EAN CORREGIDO]],'Tabla Articulos'!B:B,'Tabla Articulos'!D:D)</f>
        <v/>
      </c>
      <c r="Q106" s="96">
        <f>_xlfn.XLOOKUP(S106,'Tabla Articulos'!B:B,'Tabla Articulos'!E:E)</f>
        <v/>
      </c>
      <c r="R106" s="96">
        <f>O106*Q106</f>
        <v/>
      </c>
      <c r="S106" s="97">
        <f>TRIM(E106)</f>
        <v/>
      </c>
    </row>
    <row r="107" hidden="1">
      <c r="A107" s="22" t="n">
        <v>1</v>
      </c>
      <c r="B107" t="inlineStr">
        <is>
          <t xml:space="preserve">CD MORENO                     </t>
        </is>
      </c>
      <c r="C107" t="inlineStr">
        <is>
          <t xml:space="preserve">GRUPO L.                      </t>
        </is>
      </c>
      <c r="D107" s="11" t="inlineStr">
        <is>
          <t>GALLE DULCE VAINILLA</t>
        </is>
      </c>
      <c r="E107" t="inlineStr">
        <is>
          <t xml:space="preserve">7790040137844       </t>
        </is>
      </c>
      <c r="F107" t="n">
        <v>4018776</v>
      </c>
      <c r="G107" t="inlineStr">
        <is>
          <t xml:space="preserve">GALLETITA VAINILLA X408G MANA      </t>
        </is>
      </c>
      <c r="H107" t="inlineStr">
        <is>
          <t xml:space="preserve">UNIDAD              </t>
        </is>
      </c>
      <c r="I107" t="n">
        <v>30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30</v>
      </c>
      <c r="P107" s="96">
        <f>_xlfn.XLOOKUP(Tabla5[[#This Row],[EAN CORREGIDO]],'Tabla Articulos'!B:B,'Tabla Articulos'!D:D)</f>
        <v/>
      </c>
      <c r="Q107" s="96">
        <f>_xlfn.XLOOKUP(S107,'Tabla Articulos'!B:B,'Tabla Articulos'!E:E)</f>
        <v/>
      </c>
      <c r="R107" s="96">
        <f>O107*Q107</f>
        <v/>
      </c>
      <c r="S107" s="97">
        <f>TRIM(E107)</f>
        <v/>
      </c>
    </row>
    <row r="108" hidden="1">
      <c r="A108" s="22" t="n">
        <v>6</v>
      </c>
      <c r="B108" t="inlineStr">
        <is>
          <t xml:space="preserve">CDM03 - MORENO 3              </t>
        </is>
      </c>
      <c r="C108" t="inlineStr">
        <is>
          <t xml:space="preserve">GRUPO L.                      </t>
        </is>
      </c>
      <c r="E108" t="inlineStr">
        <is>
          <t xml:space="preserve">UNIF000571          </t>
        </is>
      </c>
      <c r="F108" t="n">
        <v>9003109</v>
      </c>
      <c r="G108" t="inlineStr">
        <is>
          <t xml:space="preserve">REMERA BLANCA MANGA CORTA XXL      </t>
        </is>
      </c>
      <c r="H108" t="inlineStr">
        <is>
          <t xml:space="preserve">UNIDAD              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s="96">
        <f>_xlfn.XLOOKUP(Tabla5[[#This Row],[EAN CORREGIDO]],'Tabla Articulos'!B:B,'Tabla Articulos'!D:D)</f>
        <v/>
      </c>
      <c r="Q108" s="96">
        <f>_xlfn.XLOOKUP(S108,'Tabla Articulos'!B:B,'Tabla Articulos'!E:E)</f>
        <v/>
      </c>
      <c r="R108" s="96">
        <f>O108*Q108</f>
        <v/>
      </c>
      <c r="S108" s="97">
        <f>TRIM(E108)</f>
        <v/>
      </c>
    </row>
    <row r="109" hidden="1">
      <c r="A109" s="22" t="n">
        <v>1</v>
      </c>
      <c r="B109" t="inlineStr">
        <is>
          <t xml:space="preserve">CD MORENO                     </t>
        </is>
      </c>
      <c r="C109" t="inlineStr">
        <is>
          <t xml:space="preserve">GRUPO L.                      </t>
        </is>
      </c>
      <c r="D109" t="inlineStr">
        <is>
          <t>GELATINA MANZANA</t>
        </is>
      </c>
      <c r="E109" t="inlineStr">
        <is>
          <t xml:space="preserve">7790530000108       </t>
        </is>
      </c>
      <c r="F109" t="n">
        <v>4019766</v>
      </c>
      <c r="G109" t="inlineStr">
        <is>
          <t xml:space="preserve">GELATINA MANZANA X 5KG BEDIAL      </t>
        </is>
      </c>
      <c r="H109" t="inlineStr">
        <is>
          <t xml:space="preserve">UNIDAD              </t>
        </is>
      </c>
      <c r="I109" t="n">
        <v>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9</v>
      </c>
      <c r="P109" s="96">
        <f>_xlfn.XLOOKUP(Tabla5[[#This Row],[EAN CORREGIDO]],'Tabla Articulos'!B:B,'Tabla Articulos'!D:D)</f>
        <v/>
      </c>
      <c r="Q109" s="96">
        <f>_xlfn.XLOOKUP(S109,'Tabla Articulos'!B:B,'Tabla Articulos'!E:E)</f>
        <v/>
      </c>
      <c r="R109" s="96">
        <f>O109*Q109</f>
        <v/>
      </c>
      <c r="S109" s="97">
        <f>TRIM(E109)</f>
        <v/>
      </c>
    </row>
    <row r="110" hidden="1">
      <c r="A110" s="22" t="n">
        <v>1</v>
      </c>
      <c r="B110" t="inlineStr">
        <is>
          <t xml:space="preserve">CD MORENO                     </t>
        </is>
      </c>
      <c r="C110" t="inlineStr">
        <is>
          <t xml:space="preserve">GRUPO L.                      </t>
        </is>
      </c>
      <c r="D110" s="11" t="inlineStr">
        <is>
          <t>AJI MOLIDO</t>
        </is>
      </c>
      <c r="E110" t="inlineStr">
        <is>
          <t xml:space="preserve">7793875360067       </t>
        </is>
      </c>
      <c r="F110" t="n">
        <v>4020224</v>
      </c>
      <c r="G110" t="inlineStr">
        <is>
          <t xml:space="preserve">AJI MOLIDO X25G AROMAS Y SABORES   </t>
        </is>
      </c>
      <c r="H110" t="inlineStr">
        <is>
          <t xml:space="preserve">UNIDAD              </t>
        </is>
      </c>
      <c r="I110" t="n">
        <v>324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324</v>
      </c>
      <c r="P110" s="96">
        <f>_xlfn.XLOOKUP(Tabla5[[#This Row],[EAN CORREGIDO]],'Tabla Articulos'!B:B,'Tabla Articulos'!D:D)</f>
        <v/>
      </c>
      <c r="Q110" s="96">
        <f>_xlfn.XLOOKUP(S110,'Tabla Articulos'!B:B,'Tabla Articulos'!E:E)</f>
        <v/>
      </c>
      <c r="R110" s="96">
        <f>O110*Q110</f>
        <v/>
      </c>
      <c r="S110" s="97">
        <f>TRIM(E110)</f>
        <v/>
      </c>
    </row>
    <row r="111" hidden="1">
      <c r="A111" s="22" t="n">
        <v>1</v>
      </c>
      <c r="B111" t="inlineStr">
        <is>
          <t xml:space="preserve">CD MORENO                     </t>
        </is>
      </c>
      <c r="C111" t="inlineStr">
        <is>
          <t xml:space="preserve">GRUPO L.                      </t>
        </is>
      </c>
      <c r="D111" t="inlineStr">
        <is>
          <t>CHOCLO CREM AMARILLO</t>
        </is>
      </c>
      <c r="E111" t="inlineStr">
        <is>
          <t xml:space="preserve">7790499002489       </t>
        </is>
      </c>
      <c r="F111" t="n">
        <v>4076655</v>
      </c>
      <c r="G111" t="inlineStr">
        <is>
          <t xml:space="preserve">CHO. AMAR.CREMOSO TETRA 340GR LA   </t>
        </is>
      </c>
      <c r="H111" t="inlineStr">
        <is>
          <t xml:space="preserve">UNIDAD              </t>
        </is>
      </c>
      <c r="I111" t="n">
        <v>458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458</v>
      </c>
      <c r="P111" s="96">
        <f>_xlfn.XLOOKUP(Tabla5[[#This Row],[EAN CORREGIDO]],'Tabla Articulos'!B:B,'Tabla Articulos'!D:D)</f>
        <v/>
      </c>
      <c r="Q111" s="96">
        <f>_xlfn.XLOOKUP(S111,'Tabla Articulos'!B:B,'Tabla Articulos'!E:E)</f>
        <v/>
      </c>
      <c r="R111" s="96">
        <f>O111*Q111</f>
        <v/>
      </c>
      <c r="S111" s="97">
        <f>TRIM(E111)</f>
        <v/>
      </c>
    </row>
    <row r="112" hidden="1">
      <c r="A112" s="22" t="n">
        <v>5</v>
      </c>
      <c r="B112" t="inlineStr">
        <is>
          <t xml:space="preserve">CDM02 - MORENO 2              </t>
        </is>
      </c>
      <c r="C112" t="inlineStr">
        <is>
          <t xml:space="preserve">GRUPO L.                      </t>
        </is>
      </c>
      <c r="D112" t="inlineStr">
        <is>
          <t>PURE INST</t>
        </is>
      </c>
      <c r="E112" t="inlineStr">
        <is>
          <t xml:space="preserve">7791254186710       </t>
        </is>
      </c>
      <c r="F112" t="n">
        <v>4019816</v>
      </c>
      <c r="G112" t="inlineStr">
        <is>
          <t xml:space="preserve">PURE DE PAPA INST X125G JUMLA      </t>
        </is>
      </c>
      <c r="H112" t="inlineStr">
        <is>
          <t xml:space="preserve">UNIDAD              </t>
        </is>
      </c>
      <c r="I112" t="n">
        <v>5016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5016</v>
      </c>
      <c r="P112" s="96">
        <f>_xlfn.XLOOKUP(Tabla5[[#This Row],[EAN CORREGIDO]],'Tabla Articulos'!B:B,'Tabla Articulos'!D:D)</f>
        <v/>
      </c>
      <c r="Q112" s="96">
        <f>_xlfn.XLOOKUP(S112,'Tabla Articulos'!B:B,'Tabla Articulos'!E:E)</f>
        <v/>
      </c>
      <c r="R112" s="96">
        <f>O112*Q112</f>
        <v/>
      </c>
      <c r="S112" s="97">
        <f>TRIM(E112)</f>
        <v/>
      </c>
    </row>
    <row r="113" hidden="1">
      <c r="A113" s="22" t="n">
        <v>1</v>
      </c>
      <c r="B113" t="inlineStr">
        <is>
          <t xml:space="preserve">CD MORENO                     </t>
        </is>
      </c>
      <c r="C113" t="inlineStr">
        <is>
          <t xml:space="preserve">GRUPO L.                      </t>
        </is>
      </c>
      <c r="D113" t="inlineStr">
        <is>
          <t>PURE INST</t>
        </is>
      </c>
      <c r="E113" t="inlineStr">
        <is>
          <t xml:space="preserve">7791254186710       </t>
        </is>
      </c>
      <c r="F113" t="n">
        <v>4019816</v>
      </c>
      <c r="G113" t="inlineStr">
        <is>
          <t xml:space="preserve">PURE DE PAPA INST X125G JUMLA      </t>
        </is>
      </c>
      <c r="H113" t="inlineStr">
        <is>
          <t xml:space="preserve">UNIDAD              </t>
        </is>
      </c>
      <c r="I113" t="n">
        <v>370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370</v>
      </c>
      <c r="P113" s="96">
        <f>_xlfn.XLOOKUP(Tabla5[[#This Row],[EAN CORREGIDO]],'Tabla Articulos'!B:B,'Tabla Articulos'!D:D)</f>
        <v/>
      </c>
      <c r="Q113" s="96">
        <f>_xlfn.XLOOKUP(S113,'Tabla Articulos'!B:B,'Tabla Articulos'!E:E)</f>
        <v/>
      </c>
      <c r="R113" s="96">
        <f>O113*Q113</f>
        <v/>
      </c>
      <c r="S113" s="97">
        <f>TRIM(E113)</f>
        <v/>
      </c>
    </row>
    <row r="114" hidden="1">
      <c r="A114" s="22" t="n">
        <v>6</v>
      </c>
      <c r="B114" t="inlineStr">
        <is>
          <t xml:space="preserve">CDM03 - MORENO 3              </t>
        </is>
      </c>
      <c r="C114" t="inlineStr">
        <is>
          <t xml:space="preserve">GRUPO L.                      </t>
        </is>
      </c>
      <c r="D114" t="inlineStr">
        <is>
          <t>TRAPO REJILLA</t>
        </is>
      </c>
      <c r="E114" t="inlineStr">
        <is>
          <t xml:space="preserve">7798035491049       </t>
        </is>
      </c>
      <c r="F114" t="n">
        <v>2007021</v>
      </c>
      <c r="G114" t="inlineStr">
        <is>
          <t xml:space="preserve">TRAPO REJILLA XUN MPROP            </t>
        </is>
      </c>
      <c r="H114" t="inlineStr">
        <is>
          <t xml:space="preserve">UNIDAD              </t>
        </is>
      </c>
      <c r="I114" t="n">
        <v>4332</v>
      </c>
      <c r="J114" t="n">
        <v>0</v>
      </c>
      <c r="K114" t="n">
        <v>0</v>
      </c>
      <c r="L114" t="n">
        <v>441</v>
      </c>
      <c r="M114" t="n">
        <v>441</v>
      </c>
      <c r="N114" t="n">
        <v>0</v>
      </c>
      <c r="O114" t="n">
        <v>3450</v>
      </c>
      <c r="P114" s="96">
        <f>_xlfn.XLOOKUP(Tabla5[[#This Row],[EAN CORREGIDO]],'Tabla Articulos'!B:B,'Tabla Articulos'!D:D)</f>
        <v/>
      </c>
      <c r="Q114" s="96">
        <f>_xlfn.XLOOKUP(S114,'Tabla Articulos'!B:B,'Tabla Articulos'!E:E)</f>
        <v/>
      </c>
      <c r="R114" s="96">
        <f>O114*Q114</f>
        <v/>
      </c>
      <c r="S114" s="97">
        <f>TRIM(E114)</f>
        <v/>
      </c>
    </row>
    <row r="115" hidden="1">
      <c r="A115" s="22" t="n">
        <v>6</v>
      </c>
      <c r="B115" t="inlineStr">
        <is>
          <t xml:space="preserve">CDM03 - MORENO 3              </t>
        </is>
      </c>
      <c r="C115" t="inlineStr">
        <is>
          <t xml:space="preserve">GRUPO L.                      </t>
        </is>
      </c>
      <c r="D115" t="inlineStr">
        <is>
          <t>CHOMBA MUJER PIQUE</t>
        </is>
      </c>
      <c r="E115" t="inlineStr">
        <is>
          <t xml:space="preserve">7790000000798       </t>
        </is>
      </c>
      <c r="F115" t="n">
        <v>9004294</v>
      </c>
      <c r="G115" t="inlineStr">
        <is>
          <t xml:space="preserve">CHOMBA MJ PIQ GRIS M GL SUP.       </t>
        </is>
      </c>
      <c r="H115" t="inlineStr">
        <is>
          <t xml:space="preserve">UNIDAD              </t>
        </is>
      </c>
      <c r="I115" t="n">
        <v>0</v>
      </c>
      <c r="J115" t="n">
        <v>40</v>
      </c>
      <c r="K115" t="n">
        <v>0</v>
      </c>
      <c r="L115" t="n">
        <v>0</v>
      </c>
      <c r="M115" t="n">
        <v>0</v>
      </c>
      <c r="N115" t="n">
        <v>0</v>
      </c>
      <c r="O115" t="n">
        <v>40</v>
      </c>
      <c r="P115" s="96">
        <f>_xlfn.XLOOKUP(Tabla5[[#This Row],[EAN CORREGIDO]],'Tabla Articulos'!B:B,'Tabla Articulos'!D:D)</f>
        <v/>
      </c>
      <c r="Q115" s="96">
        <f>_xlfn.XLOOKUP(S115,'Tabla Articulos'!B:B,'Tabla Articulos'!E:E)</f>
        <v/>
      </c>
      <c r="R115" s="96">
        <f>O115*Q115</f>
        <v/>
      </c>
      <c r="S115" s="97">
        <f>TRIM(E115)</f>
        <v/>
      </c>
    </row>
    <row r="116" hidden="1">
      <c r="A116" s="22" t="n">
        <v>6</v>
      </c>
      <c r="B116" t="inlineStr">
        <is>
          <t xml:space="preserve">CDM03 - MORENO 3              </t>
        </is>
      </c>
      <c r="C116" t="inlineStr">
        <is>
          <t xml:space="preserve">GRUPO L.                      </t>
        </is>
      </c>
      <c r="D116" t="inlineStr">
        <is>
          <t>RESINITE PVC</t>
        </is>
      </c>
      <c r="E116" t="inlineStr">
        <is>
          <t xml:space="preserve">7790000000227       </t>
        </is>
      </c>
      <c r="F116" t="n">
        <v>2007183</v>
      </c>
      <c r="G116" t="inlineStr">
        <is>
          <t xml:space="preserve">FILM PVC 30 CM  2,645 KG X1UN      </t>
        </is>
      </c>
      <c r="H116" t="inlineStr">
        <is>
          <t xml:space="preserve">UNIDAD              </t>
        </is>
      </c>
      <c r="I116" t="n">
        <v>1144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1144</v>
      </c>
      <c r="P116" s="96">
        <f>_xlfn.XLOOKUP(Tabla5[[#This Row],[EAN CORREGIDO]],'Tabla Articulos'!B:B,'Tabla Articulos'!D:D)</f>
        <v/>
      </c>
      <c r="Q116" s="96">
        <f>_xlfn.XLOOKUP(S116,'Tabla Articulos'!B:B,'Tabla Articulos'!E:E)</f>
        <v/>
      </c>
      <c r="R116" s="96">
        <f>O116*Q116</f>
        <v/>
      </c>
      <c r="S116" s="97">
        <f>TRIM(E116)</f>
        <v/>
      </c>
    </row>
    <row r="117" hidden="1">
      <c r="A117" s="22" t="n">
        <v>5</v>
      </c>
      <c r="B117" t="inlineStr">
        <is>
          <t xml:space="preserve">CDM02 - MORENO 2              </t>
        </is>
      </c>
      <c r="C117" t="inlineStr">
        <is>
          <t xml:space="preserve">GRUPO L.                      </t>
        </is>
      </c>
      <c r="D117" s="11" t="inlineStr">
        <is>
          <t>DURAZNO MITAD LATA</t>
        </is>
      </c>
      <c r="E117" t="inlineStr">
        <is>
          <t xml:space="preserve">7790500006512       </t>
        </is>
      </c>
      <c r="F117" t="n">
        <v>4077388</v>
      </c>
      <c r="G117" t="inlineStr">
        <is>
          <t xml:space="preserve">DURAZNO LAT 820G GOLDEN PEACH      </t>
        </is>
      </c>
      <c r="H117" t="inlineStr">
        <is>
          <t xml:space="preserve">UNIDAD              </t>
        </is>
      </c>
      <c r="I117" t="n">
        <v>6502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6502</v>
      </c>
      <c r="P117" s="96">
        <f>_xlfn.XLOOKUP(Tabla5[[#This Row],[EAN CORREGIDO]],'Tabla Articulos'!B:B,'Tabla Articulos'!D:D)</f>
        <v/>
      </c>
      <c r="Q117" s="96">
        <f>_xlfn.XLOOKUP(S117,'Tabla Articulos'!B:B,'Tabla Articulos'!E:E)</f>
        <v/>
      </c>
      <c r="R117" s="96">
        <f>O117*Q117</f>
        <v/>
      </c>
      <c r="S117" s="97">
        <f>TRIM(E117)</f>
        <v/>
      </c>
    </row>
    <row r="118" hidden="1">
      <c r="A118" s="22" t="n">
        <v>1</v>
      </c>
      <c r="B118" t="inlineStr">
        <is>
          <t xml:space="preserve">CD MORENO                     </t>
        </is>
      </c>
      <c r="C118" t="inlineStr">
        <is>
          <t xml:space="preserve">GRUPO L.                      </t>
        </is>
      </c>
      <c r="D118" t="inlineStr">
        <is>
          <t>QUESO FRESCO</t>
        </is>
      </c>
      <c r="E118" t="inlineStr">
        <is>
          <t xml:space="preserve">7798041132476       </t>
        </is>
      </c>
      <c r="F118" t="n">
        <v>4018209</v>
      </c>
      <c r="G118" t="inlineStr">
        <is>
          <t xml:space="preserve">QUESO CREMOSO XKG LA PAULINA       </t>
        </is>
      </c>
      <c r="H118" t="inlineStr">
        <is>
          <t xml:space="preserve">Kgs                 </t>
        </is>
      </c>
      <c r="I118" t="n">
        <v>7184.155</v>
      </c>
      <c r="J118" t="n">
        <v>0</v>
      </c>
      <c r="K118" t="n">
        <v>0</v>
      </c>
      <c r="L118" t="n">
        <v>93.15000000000001</v>
      </c>
      <c r="M118" t="n">
        <v>93.15000000000001</v>
      </c>
      <c r="N118" t="n">
        <v>0</v>
      </c>
      <c r="O118" t="n">
        <v>6997.855</v>
      </c>
      <c r="P118" s="96">
        <f>_xlfn.XLOOKUP(Tabla5[[#This Row],[EAN CORREGIDO]],'Tabla Articulos'!B:B,'Tabla Articulos'!D:D)</f>
        <v/>
      </c>
      <c r="Q118" s="96">
        <f>_xlfn.XLOOKUP(S118,'Tabla Articulos'!B:B,'Tabla Articulos'!E:E)</f>
        <v/>
      </c>
      <c r="R118" s="96">
        <f>O118*Q118</f>
        <v/>
      </c>
      <c r="S118" s="97">
        <f>TRIM(E118)</f>
        <v/>
      </c>
    </row>
    <row r="119" hidden="1">
      <c r="A119" s="22" t="n">
        <v>6</v>
      </c>
      <c r="B119" t="inlineStr">
        <is>
          <t xml:space="preserve">CDM03 - MORENO 3              </t>
        </is>
      </c>
      <c r="C119" t="inlineStr">
        <is>
          <t xml:space="preserve">GRUPO L.                      </t>
        </is>
      </c>
      <c r="E119" t="inlineStr">
        <is>
          <t xml:space="preserve">UNIF000736          </t>
        </is>
      </c>
      <c r="F119" t="n">
        <v>9004190</v>
      </c>
      <c r="G119" t="inlineStr">
        <is>
          <t xml:space="preserve">CHAQUETA CHEF BLUE CAFÉ XS         </t>
        </is>
      </c>
      <c r="H119" t="inlineStr">
        <is>
          <t xml:space="preserve">UNIDAD              </t>
        </is>
      </c>
      <c r="I119" t="n">
        <v>10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10</v>
      </c>
      <c r="P119" s="96">
        <f>_xlfn.XLOOKUP(Tabla5[[#This Row],[EAN CORREGIDO]],'Tabla Articulos'!B:B,'Tabla Articulos'!D:D)</f>
        <v/>
      </c>
      <c r="Q119" s="96">
        <f>_xlfn.XLOOKUP(S119,'Tabla Articulos'!B:B,'Tabla Articulos'!E:E)</f>
        <v/>
      </c>
      <c r="R119" s="96">
        <f>O119*Q119</f>
        <v/>
      </c>
      <c r="S119" s="97">
        <f>TRIM(E119)</f>
        <v/>
      </c>
    </row>
    <row r="120" hidden="1">
      <c r="A120" s="22" t="n">
        <v>6</v>
      </c>
      <c r="B120" t="inlineStr">
        <is>
          <t xml:space="preserve">CDM03 - MORENO 3              </t>
        </is>
      </c>
      <c r="C120" t="inlineStr">
        <is>
          <t xml:space="preserve">GRUPO L.                      </t>
        </is>
      </c>
      <c r="D120" s="11" t="n"/>
      <c r="E120" t="inlineStr">
        <is>
          <t xml:space="preserve">9002128             </t>
        </is>
      </c>
      <c r="F120" t="n">
        <v>9002128</v>
      </c>
      <c r="G120" t="inlineStr">
        <is>
          <t xml:space="preserve">REPUESTO BARREDOR ACRILICO-100 CM  </t>
        </is>
      </c>
      <c r="H120" t="inlineStr">
        <is>
          <t xml:space="preserve">UNIDAD              </t>
        </is>
      </c>
      <c r="I120" t="n">
        <v>22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22</v>
      </c>
      <c r="P120" s="96">
        <f>_xlfn.XLOOKUP(Tabla5[[#This Row],[EAN CORREGIDO]],'Tabla Articulos'!B:B,'Tabla Articulos'!D:D)</f>
        <v/>
      </c>
      <c r="Q120" s="96">
        <f>_xlfn.XLOOKUP(S120,'Tabla Articulos'!B:B,'Tabla Articulos'!E:E)</f>
        <v/>
      </c>
      <c r="R120" s="96">
        <f>O120*Q120</f>
        <v/>
      </c>
      <c r="S120" s="97">
        <f>TRIM(E120)</f>
        <v/>
      </c>
    </row>
    <row r="121" hidden="1">
      <c r="A121" s="22" t="n">
        <v>1</v>
      </c>
      <c r="B121" t="inlineStr">
        <is>
          <t xml:space="preserve">CD MORENO                     </t>
        </is>
      </c>
      <c r="C121" t="inlineStr">
        <is>
          <t xml:space="preserve">GRUPO L.                      </t>
        </is>
      </c>
      <c r="D121" t="inlineStr">
        <is>
          <t>AJI MOLIDO</t>
        </is>
      </c>
      <c r="E121" t="inlineStr">
        <is>
          <t xml:space="preserve">7790150406915       </t>
        </is>
      </c>
      <c r="F121" t="n">
        <v>4019337</v>
      </c>
      <c r="G121" t="inlineStr">
        <is>
          <t xml:space="preserve">AJI MOLIDO X 25 G ALICANTE         </t>
        </is>
      </c>
      <c r="H121" t="inlineStr">
        <is>
          <t xml:space="preserve">UNIDAD              </t>
        </is>
      </c>
      <c r="I121" t="n">
        <v>12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12</v>
      </c>
      <c r="P121" s="96">
        <f>_xlfn.XLOOKUP(Tabla5[[#This Row],[EAN CORREGIDO]],'Tabla Articulos'!B:B,'Tabla Articulos'!D:D)</f>
        <v/>
      </c>
      <c r="Q121" s="96">
        <f>_xlfn.XLOOKUP(S121,'Tabla Articulos'!B:B,'Tabla Articulos'!E:E)</f>
        <v/>
      </c>
      <c r="R121" s="96">
        <f>O121*Q121</f>
        <v/>
      </c>
      <c r="S121" s="97">
        <f>TRIM(E121)</f>
        <v/>
      </c>
    </row>
    <row r="122" hidden="1">
      <c r="A122" s="22" t="n">
        <v>6</v>
      </c>
      <c r="B122" t="inlineStr">
        <is>
          <t xml:space="preserve">CDM03 - MORENO 3              </t>
        </is>
      </c>
      <c r="C122" t="inlineStr">
        <is>
          <t xml:space="preserve">GRUPO L.                      </t>
        </is>
      </c>
      <c r="D122" s="11" t="n"/>
      <c r="E122" t="inlineStr">
        <is>
          <t xml:space="preserve">UNIF000643          </t>
        </is>
      </c>
      <c r="F122" t="n">
        <v>9003973</v>
      </c>
      <c r="G122" t="inlineStr">
        <is>
          <t xml:space="preserve">BUZO CELES FRISA CGOUR XL          </t>
        </is>
      </c>
      <c r="H122" t="inlineStr">
        <is>
          <t xml:space="preserve">UNIDAD              </t>
        </is>
      </c>
      <c r="I122" t="n">
        <v>14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14</v>
      </c>
      <c r="P122" s="96">
        <f>_xlfn.XLOOKUP(Tabla5[[#This Row],[EAN CORREGIDO]],'Tabla Articulos'!B:B,'Tabla Articulos'!D:D)</f>
        <v/>
      </c>
      <c r="Q122" s="96">
        <f>_xlfn.XLOOKUP(S122,'Tabla Articulos'!B:B,'Tabla Articulos'!E:E)</f>
        <v/>
      </c>
      <c r="R122" s="96">
        <f>O122*Q122</f>
        <v/>
      </c>
      <c r="S122" s="97">
        <f>TRIM(E122)</f>
        <v/>
      </c>
    </row>
    <row r="123" hidden="1">
      <c r="A123" s="22" t="n">
        <v>5</v>
      </c>
      <c r="B123" t="inlineStr">
        <is>
          <t xml:space="preserve">CDM02 - MORENO 2              </t>
        </is>
      </c>
      <c r="C123" t="inlineStr">
        <is>
          <t xml:space="preserve">GRUPO L.                      </t>
        </is>
      </c>
      <c r="D123" t="inlineStr">
        <is>
          <t>CHOCLO GRANO AMARILLO</t>
        </is>
      </c>
      <c r="E123" t="inlineStr">
        <is>
          <t xml:space="preserve">7790199605690       </t>
        </is>
      </c>
      <c r="F123" t="n">
        <v>4024533</v>
      </c>
      <c r="G123" t="inlineStr">
        <is>
          <t xml:space="preserve">GL CHOCLO DULCE X300G MORIXE       </t>
        </is>
      </c>
      <c r="H123" t="inlineStr">
        <is>
          <t xml:space="preserve">UNIDAD              </t>
        </is>
      </c>
      <c r="I123" t="n">
        <v>3970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3970</v>
      </c>
      <c r="P123" s="96">
        <f>_xlfn.XLOOKUP(Tabla5[[#This Row],[EAN CORREGIDO]],'Tabla Articulos'!B:B,'Tabla Articulos'!D:D)</f>
        <v/>
      </c>
      <c r="Q123" s="96">
        <f>_xlfn.XLOOKUP(S123,'Tabla Articulos'!B:B,'Tabla Articulos'!E:E)</f>
        <v/>
      </c>
      <c r="R123" s="96">
        <f>O123*Q123</f>
        <v/>
      </c>
      <c r="S123" s="97">
        <f>TRIM(E123)</f>
        <v/>
      </c>
    </row>
    <row r="124" hidden="1">
      <c r="A124" s="22" t="n">
        <v>1</v>
      </c>
      <c r="B124" t="inlineStr">
        <is>
          <t xml:space="preserve">CD MORENO                     </t>
        </is>
      </c>
      <c r="C124" t="inlineStr">
        <is>
          <t xml:space="preserve">GRUPO L.                      </t>
        </is>
      </c>
      <c r="D124" t="inlineStr">
        <is>
          <t>CHOCLO GRANO AMARILLO</t>
        </is>
      </c>
      <c r="E124" t="inlineStr">
        <is>
          <t xml:space="preserve">7790199605690       </t>
        </is>
      </c>
      <c r="F124" t="n">
        <v>4024533</v>
      </c>
      <c r="G124" t="inlineStr">
        <is>
          <t xml:space="preserve">GL CHOCLO DULCE X300G MORIXE       </t>
        </is>
      </c>
      <c r="H124" t="inlineStr">
        <is>
          <t xml:space="preserve">UNIDAD              </t>
        </is>
      </c>
      <c r="I124" t="n">
        <v>82</v>
      </c>
      <c r="J124" t="n">
        <v>0</v>
      </c>
      <c r="K124" t="n">
        <v>0</v>
      </c>
      <c r="L124" t="n">
        <v>10</v>
      </c>
      <c r="M124" t="n">
        <v>10</v>
      </c>
      <c r="N124" t="n">
        <v>0</v>
      </c>
      <c r="O124" t="n">
        <v>62</v>
      </c>
      <c r="P124" s="96">
        <f>_xlfn.XLOOKUP(Tabla5[[#This Row],[EAN CORREGIDO]],'Tabla Articulos'!B:B,'Tabla Articulos'!D:D)</f>
        <v/>
      </c>
      <c r="Q124" s="96">
        <f>_xlfn.XLOOKUP(S124,'Tabla Articulos'!B:B,'Tabla Articulos'!E:E)</f>
        <v/>
      </c>
      <c r="R124" s="96">
        <f>O124*Q124</f>
        <v/>
      </c>
      <c r="S124" s="97">
        <f>TRIM(E124)</f>
        <v/>
      </c>
    </row>
    <row r="125" hidden="1">
      <c r="A125" s="22" t="n">
        <v>1</v>
      </c>
      <c r="B125" t="inlineStr">
        <is>
          <t xml:space="preserve">CD MORENO                     </t>
        </is>
      </c>
      <c r="C125" t="inlineStr">
        <is>
          <t xml:space="preserve">GRUPO L.                      </t>
        </is>
      </c>
      <c r="D125" t="inlineStr">
        <is>
          <t>BERENJENA</t>
        </is>
      </c>
      <c r="E125" t="inlineStr">
        <is>
          <t xml:space="preserve">7790216012615       </t>
        </is>
      </c>
      <c r="F125" t="n">
        <v>4018072</v>
      </c>
      <c r="G125" t="inlineStr">
        <is>
          <t xml:space="preserve">BERENJENA X KG                     </t>
        </is>
      </c>
      <c r="H125" t="inlineStr">
        <is>
          <t xml:space="preserve">Kgs                 </t>
        </is>
      </c>
      <c r="I125" t="n">
        <v>20.63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20.63</v>
      </c>
      <c r="P125" s="96">
        <f>_xlfn.XLOOKUP(Tabla5[[#This Row],[EAN CORREGIDO]],'Tabla Articulos'!B:B,'Tabla Articulos'!D:D)</f>
        <v/>
      </c>
      <c r="Q125" s="96">
        <f>_xlfn.XLOOKUP(S125,'Tabla Articulos'!B:B,'Tabla Articulos'!E:E)</f>
        <v/>
      </c>
      <c r="R125" s="96">
        <f>O125*Q125</f>
        <v/>
      </c>
      <c r="S125" s="97">
        <f>TRIM(E125)</f>
        <v/>
      </c>
    </row>
    <row r="126" hidden="1">
      <c r="A126" s="22" t="n">
        <v>6</v>
      </c>
      <c r="B126" t="inlineStr">
        <is>
          <t xml:space="preserve">CDM03 - MORENO 3              </t>
        </is>
      </c>
      <c r="C126" t="inlineStr">
        <is>
          <t xml:space="preserve">GRUPO L.                      </t>
        </is>
      </c>
      <c r="D126" s="11" t="n"/>
      <c r="E126" t="inlineStr">
        <is>
          <t xml:space="preserve">UNIF000223          </t>
        </is>
      </c>
      <c r="F126" t="n">
        <v>9003491</v>
      </c>
      <c r="G126" t="inlineStr">
        <is>
          <t xml:space="preserve">PANTAL CARG NEGRO VER. 42 GL SUP   </t>
        </is>
      </c>
      <c r="H126" t="inlineStr">
        <is>
          <t xml:space="preserve">UNIDAD              </t>
        </is>
      </c>
      <c r="I126" t="n">
        <v>32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32</v>
      </c>
      <c r="P126" s="96">
        <f>_xlfn.XLOOKUP(Tabla5[[#This Row],[EAN CORREGIDO]],'Tabla Articulos'!B:B,'Tabla Articulos'!D:D)</f>
        <v/>
      </c>
      <c r="Q126" s="96">
        <f>_xlfn.XLOOKUP(S126,'Tabla Articulos'!B:B,'Tabla Articulos'!E:E)</f>
        <v/>
      </c>
      <c r="R126" s="96">
        <f>O126*Q126</f>
        <v/>
      </c>
      <c r="S126" s="97">
        <f>TRIM(E126)</f>
        <v/>
      </c>
    </row>
    <row r="127" hidden="1">
      <c r="A127" s="22" t="n">
        <v>6</v>
      </c>
      <c r="B127" t="inlineStr">
        <is>
          <t xml:space="preserve">CDM03 - MORENO 3              </t>
        </is>
      </c>
      <c r="C127" t="inlineStr">
        <is>
          <t xml:space="preserve">GRUPO L.                      </t>
        </is>
      </c>
      <c r="D127" t="inlineStr">
        <is>
          <t>DESINCRUSTANTE</t>
        </is>
      </c>
      <c r="E127" t="inlineStr">
        <is>
          <t xml:space="preserve">7798188650171       </t>
        </is>
      </c>
      <c r="F127" t="n">
        <v>2006712</v>
      </c>
      <c r="G127" t="inlineStr">
        <is>
          <t xml:space="preserve">DESENGRASANTE HOT PLUS X5L         </t>
        </is>
      </c>
      <c r="H127" t="inlineStr">
        <is>
          <t xml:space="preserve">UNIDAD              </t>
        </is>
      </c>
      <c r="I127" t="n">
        <v>272</v>
      </c>
      <c r="J127" t="n">
        <v>0</v>
      </c>
      <c r="K127" t="n">
        <v>0</v>
      </c>
      <c r="L127" t="n">
        <v>5</v>
      </c>
      <c r="M127" t="n">
        <v>5</v>
      </c>
      <c r="N127" t="n">
        <v>0</v>
      </c>
      <c r="O127" t="n">
        <v>262</v>
      </c>
      <c r="P127" s="96">
        <f>_xlfn.XLOOKUP(Tabla5[[#This Row],[EAN CORREGIDO]],'Tabla Articulos'!B:B,'Tabla Articulos'!D:D)</f>
        <v/>
      </c>
      <c r="Q127" s="96">
        <f>_xlfn.XLOOKUP(S127,'Tabla Articulos'!B:B,'Tabla Articulos'!E:E)</f>
        <v/>
      </c>
      <c r="R127" s="96">
        <f>O127*Q127</f>
        <v/>
      </c>
      <c r="S127" s="97">
        <f>TRIM(E127)</f>
        <v/>
      </c>
    </row>
    <row r="128" hidden="1">
      <c r="A128" s="22" t="n">
        <v>1</v>
      </c>
      <c r="B128" t="inlineStr">
        <is>
          <t xml:space="preserve">CD MORENO                     </t>
        </is>
      </c>
      <c r="C128" t="inlineStr">
        <is>
          <t xml:space="preserve">GRUPO L.                      </t>
        </is>
      </c>
      <c r="D128" s="11" t="inlineStr">
        <is>
          <t>PANADERIA CONGELADA</t>
        </is>
      </c>
      <c r="E128" t="inlineStr">
        <is>
          <t xml:space="preserve">17792180009101      </t>
        </is>
      </c>
      <c r="F128" t="n">
        <v>4077142</v>
      </c>
      <c r="G128" t="inlineStr">
        <is>
          <t xml:space="preserve">CHIPA CONG 20GRX150U CANUELAS      </t>
        </is>
      </c>
      <c r="H128" t="inlineStr">
        <is>
          <t xml:space="preserve">UNIDAD              </t>
        </is>
      </c>
      <c r="I128" t="n">
        <v>12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12</v>
      </c>
      <c r="P128" s="96">
        <f>_xlfn.XLOOKUP(Tabla5[[#This Row],[EAN CORREGIDO]],'Tabla Articulos'!B:B,'Tabla Articulos'!D:D)</f>
        <v/>
      </c>
      <c r="Q128" s="96">
        <f>_xlfn.XLOOKUP(S128,'Tabla Articulos'!B:B,'Tabla Articulos'!E:E)</f>
        <v/>
      </c>
      <c r="R128" s="96">
        <f>O128*Q128</f>
        <v/>
      </c>
      <c r="S128" s="97">
        <f>TRIM(E128)</f>
        <v/>
      </c>
    </row>
    <row r="129" hidden="1">
      <c r="A129" s="22" t="n">
        <v>1</v>
      </c>
      <c r="B129" t="inlineStr">
        <is>
          <t xml:space="preserve">CD MORENO                     </t>
        </is>
      </c>
      <c r="C129" t="inlineStr">
        <is>
          <t xml:space="preserve">GRUPO L.                      </t>
        </is>
      </c>
      <c r="D129" s="11" t="inlineStr">
        <is>
          <t>EDULCORANTE LIQUIDO</t>
        </is>
      </c>
      <c r="E129" t="inlineStr">
        <is>
          <t xml:space="preserve">7790490998309       </t>
        </is>
      </c>
      <c r="F129" t="n">
        <v>4019323</v>
      </c>
      <c r="G129" t="inlineStr">
        <is>
          <t xml:space="preserve">EDULCORANTE LIQ X500CC HILERET     </t>
        </is>
      </c>
      <c r="H129" t="inlineStr">
        <is>
          <t xml:space="preserve">UNIDAD              </t>
        </is>
      </c>
      <c r="I129" t="n">
        <v>41</v>
      </c>
      <c r="J129" t="n">
        <v>0</v>
      </c>
      <c r="K129" t="n">
        <v>0</v>
      </c>
      <c r="L129" t="n">
        <v>14</v>
      </c>
      <c r="M129" t="n">
        <v>14</v>
      </c>
      <c r="N129" t="n">
        <v>0</v>
      </c>
      <c r="O129" t="n">
        <v>13</v>
      </c>
      <c r="P129" s="96">
        <f>_xlfn.XLOOKUP(Tabla5[[#This Row],[EAN CORREGIDO]],'Tabla Articulos'!B:B,'Tabla Articulos'!D:D)</f>
        <v/>
      </c>
      <c r="Q129" s="96">
        <f>_xlfn.XLOOKUP(S129,'Tabla Articulos'!B:B,'Tabla Articulos'!E:E)</f>
        <v/>
      </c>
      <c r="R129" s="96">
        <f>O129*Q129</f>
        <v/>
      </c>
      <c r="S129" s="97">
        <f>TRIM(E129)</f>
        <v/>
      </c>
    </row>
    <row r="130" hidden="1">
      <c r="A130" s="22" t="n">
        <v>6</v>
      </c>
      <c r="B130" t="inlineStr">
        <is>
          <t xml:space="preserve">CDM03 - MORENO 3              </t>
        </is>
      </c>
      <c r="C130" t="inlineStr">
        <is>
          <t xml:space="preserve">GRUPO L.                      </t>
        </is>
      </c>
      <c r="D130" s="11" t="n"/>
      <c r="E130" t="inlineStr">
        <is>
          <t xml:space="preserve">UNIF000019          </t>
        </is>
      </c>
      <c r="F130" t="n">
        <v>9003050</v>
      </c>
      <c r="G130" t="inlineStr">
        <is>
          <t xml:space="preserve">CHA.AMB PULCRUS ESC V3XL           </t>
        </is>
      </c>
      <c r="H130" t="inlineStr">
        <is>
          <t xml:space="preserve">UNIDAD              </t>
        </is>
      </c>
      <c r="I130" t="n">
        <v>30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30</v>
      </c>
      <c r="P130" s="96">
        <f>_xlfn.XLOOKUP(Tabla5[[#This Row],[EAN CORREGIDO]],'Tabla Articulos'!B:B,'Tabla Articulos'!D:D)</f>
        <v/>
      </c>
      <c r="Q130" s="96">
        <f>_xlfn.XLOOKUP(S130,'Tabla Articulos'!B:B,'Tabla Articulos'!E:E)</f>
        <v/>
      </c>
      <c r="R130" s="96">
        <f>O130*Q130</f>
        <v/>
      </c>
      <c r="S130" s="97">
        <f>TRIM(E130)</f>
        <v/>
      </c>
    </row>
    <row r="131" hidden="1">
      <c r="A131" s="22" t="n">
        <v>1</v>
      </c>
      <c r="B131" t="inlineStr">
        <is>
          <t xml:space="preserve">CD MORENO                     </t>
        </is>
      </c>
      <c r="C131" t="inlineStr">
        <is>
          <t xml:space="preserve">GRUPO L.                      </t>
        </is>
      </c>
      <c r="D131" t="inlineStr">
        <is>
          <t>SESAMO BLANCO</t>
        </is>
      </c>
      <c r="E131" t="inlineStr">
        <is>
          <t xml:space="preserve">7791885409332       </t>
        </is>
      </c>
      <c r="F131" t="n">
        <v>4019907</v>
      </c>
      <c r="G131" t="inlineStr">
        <is>
          <t xml:space="preserve">SEMILLA SESAMO BLANCO X1KG         </t>
        </is>
      </c>
      <c r="H131" t="inlineStr">
        <is>
          <t xml:space="preserve">UNIDAD              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s="96">
        <f>_xlfn.XLOOKUP(Tabla5[[#This Row],[EAN CORREGIDO]],'Tabla Articulos'!B:B,'Tabla Articulos'!D:D)</f>
        <v/>
      </c>
      <c r="Q131" s="96">
        <f>_xlfn.XLOOKUP(S131,'Tabla Articulos'!B:B,'Tabla Articulos'!E:E)</f>
        <v/>
      </c>
      <c r="R131" s="96">
        <f>O131*Q131</f>
        <v/>
      </c>
      <c r="S131" s="97">
        <f>TRIM(E131)</f>
        <v/>
      </c>
    </row>
    <row r="132" hidden="1">
      <c r="A132" s="22" t="n">
        <v>5</v>
      </c>
      <c r="B132" t="inlineStr">
        <is>
          <t xml:space="preserve">CDM02 - MORENO 2              </t>
        </is>
      </c>
      <c r="C132" t="inlineStr">
        <is>
          <t xml:space="preserve">GRUPO L.                      </t>
        </is>
      </c>
      <c r="D132" s="11" t="inlineStr">
        <is>
          <t>REBOZADOR CELIACO</t>
        </is>
      </c>
      <c r="E132" t="inlineStr">
        <is>
          <t xml:space="preserve">7798082000294       </t>
        </is>
      </c>
      <c r="F132" t="n">
        <v>4020795</v>
      </c>
      <c r="G132" t="inlineStr">
        <is>
          <t xml:space="preserve">REBOZADOR S/TACC X450G NATUZEN     </t>
        </is>
      </c>
      <c r="H132" t="inlineStr">
        <is>
          <t xml:space="preserve">UNIDAD              </t>
        </is>
      </c>
      <c r="I132" t="n">
        <v>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9</v>
      </c>
      <c r="P132" s="96">
        <f>_xlfn.XLOOKUP(Tabla5[[#This Row],[EAN CORREGIDO]],'Tabla Articulos'!B:B,'Tabla Articulos'!D:D)</f>
        <v/>
      </c>
      <c r="Q132" s="96">
        <f>_xlfn.XLOOKUP(S132,'Tabla Articulos'!B:B,'Tabla Articulos'!E:E)</f>
        <v/>
      </c>
      <c r="R132" s="96">
        <f>O132*Q132</f>
        <v/>
      </c>
      <c r="S132" s="97">
        <f>TRIM(E132)</f>
        <v/>
      </c>
    </row>
    <row r="133" hidden="1">
      <c r="A133" s="22" t="n">
        <v>6</v>
      </c>
      <c r="B133" t="inlineStr">
        <is>
          <t xml:space="preserve">CDM03 - MORENO 3              </t>
        </is>
      </c>
      <c r="C133" t="inlineStr">
        <is>
          <t xml:space="preserve">GRUPO L.                      </t>
        </is>
      </c>
      <c r="D133" s="11" t="n"/>
      <c r="E133" t="inlineStr">
        <is>
          <t xml:space="preserve">UNIF000527          </t>
        </is>
      </c>
      <c r="F133" t="n">
        <v>9003650</v>
      </c>
      <c r="G133" t="inlineStr">
        <is>
          <t xml:space="preserve">SWEETER GRIS LANA GL SUP LIMP L    </t>
        </is>
      </c>
      <c r="H133" t="inlineStr">
        <is>
          <t xml:space="preserve">UNIDAD              </t>
        </is>
      </c>
      <c r="I133" t="n">
        <v>14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14</v>
      </c>
      <c r="P133" s="96">
        <f>_xlfn.XLOOKUP(Tabla5[[#This Row],[EAN CORREGIDO]],'Tabla Articulos'!B:B,'Tabla Articulos'!D:D)</f>
        <v/>
      </c>
      <c r="Q133" s="96">
        <f>_xlfn.XLOOKUP(S133,'Tabla Articulos'!B:B,'Tabla Articulos'!E:E)</f>
        <v/>
      </c>
      <c r="R133" s="96">
        <f>O133*Q133</f>
        <v/>
      </c>
      <c r="S133" s="97">
        <f>TRIM(E133)</f>
        <v/>
      </c>
    </row>
    <row r="134" hidden="1">
      <c r="A134" s="22" t="n">
        <v>1</v>
      </c>
      <c r="B134" t="inlineStr">
        <is>
          <t xml:space="preserve">CD MORENO                     </t>
        </is>
      </c>
      <c r="C134" t="inlineStr">
        <is>
          <t xml:space="preserve">GRUPO L.                      </t>
        </is>
      </c>
      <c r="D134" t="inlineStr">
        <is>
          <t>BARRA  ARROZ CELIACO</t>
        </is>
      </c>
      <c r="E134" t="inlineStr">
        <is>
          <t xml:space="preserve">77965677            </t>
        </is>
      </c>
      <c r="F134" t="n">
        <v>4022698</v>
      </c>
      <c r="G134" t="inlineStr">
        <is>
          <t xml:space="preserve">BARRA ARROZ BAÑ/LIMON 12GR LULEM   </t>
        </is>
      </c>
      <c r="H134" t="inlineStr">
        <is>
          <t xml:space="preserve">UNIDAD              </t>
        </is>
      </c>
      <c r="I134" t="n">
        <v>111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111</v>
      </c>
      <c r="P134" s="96">
        <f>_xlfn.XLOOKUP(Tabla5[[#This Row],[EAN CORREGIDO]],'Tabla Articulos'!B:B,'Tabla Articulos'!D:D)</f>
        <v/>
      </c>
      <c r="Q134" s="96">
        <f>_xlfn.XLOOKUP(S134,'Tabla Articulos'!B:B,'Tabla Articulos'!E:E)</f>
        <v/>
      </c>
      <c r="R134" s="96">
        <f>O134*Q134</f>
        <v/>
      </c>
      <c r="S134" s="97">
        <f>TRIM(E134)</f>
        <v/>
      </c>
    </row>
    <row r="135" hidden="1">
      <c r="A135" s="22" t="n">
        <v>6</v>
      </c>
      <c r="B135" t="inlineStr">
        <is>
          <t xml:space="preserve">CDM03 - MORENO 3              </t>
        </is>
      </c>
      <c r="C135" t="inlineStr">
        <is>
          <t xml:space="preserve">GRUPO L.                      </t>
        </is>
      </c>
      <c r="E135" t="inlineStr">
        <is>
          <t xml:space="preserve">UNIF000093          </t>
        </is>
      </c>
      <c r="F135" t="n">
        <v>9003554</v>
      </c>
      <c r="G135" t="inlineStr">
        <is>
          <t>CAMISA BLANCA LISA 58 BLUE CATERING</t>
        </is>
      </c>
      <c r="H135" t="inlineStr">
        <is>
          <t xml:space="preserve">UNIDAD              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6</v>
      </c>
      <c r="P135" s="96">
        <f>_xlfn.XLOOKUP(Tabla5[[#This Row],[EAN CORREGIDO]],'Tabla Articulos'!B:B,'Tabla Articulos'!D:D)</f>
        <v/>
      </c>
      <c r="Q135" s="96">
        <f>_xlfn.XLOOKUP(S135,'Tabla Articulos'!B:B,'Tabla Articulos'!E:E)</f>
        <v/>
      </c>
      <c r="R135" s="96">
        <f>O135*Q135</f>
        <v/>
      </c>
      <c r="S135" s="97">
        <f>TRIM(E135)</f>
        <v/>
      </c>
    </row>
    <row r="136" hidden="1">
      <c r="A136" s="22" t="n">
        <v>6</v>
      </c>
      <c r="B136" t="inlineStr">
        <is>
          <t xml:space="preserve">CDM03 - MORENO 3              </t>
        </is>
      </c>
      <c r="C136" t="inlineStr">
        <is>
          <t xml:space="preserve">GRUPO L.                      </t>
        </is>
      </c>
      <c r="D136" t="inlineStr">
        <is>
          <t>VASO PLASTICO</t>
        </is>
      </c>
      <c r="E136" t="inlineStr">
        <is>
          <t xml:space="preserve">7790000000676       </t>
        </is>
      </c>
      <c r="F136" t="n">
        <v>2011434</v>
      </c>
      <c r="G136" t="inlineStr">
        <is>
          <t xml:space="preserve"> VASO 8OZ POLIP B.CAFE X50U ESTISOL</t>
        </is>
      </c>
      <c r="H136" t="inlineStr">
        <is>
          <t xml:space="preserve">UNIDAD              </t>
        </is>
      </c>
      <c r="I136" t="n">
        <v>0</v>
      </c>
      <c r="J136" t="n">
        <v>200</v>
      </c>
      <c r="K136" t="n">
        <v>0</v>
      </c>
      <c r="L136" t="n">
        <v>0</v>
      </c>
      <c r="M136" t="n">
        <v>0</v>
      </c>
      <c r="N136" t="n">
        <v>0</v>
      </c>
      <c r="O136" t="n">
        <v>200</v>
      </c>
      <c r="P136" s="96">
        <f>_xlfn.XLOOKUP(Tabla5[[#This Row],[EAN CORREGIDO]],'Tabla Articulos'!B:B,'Tabla Articulos'!D:D)</f>
        <v/>
      </c>
      <c r="Q136" s="96">
        <f>_xlfn.XLOOKUP(S136,'Tabla Articulos'!B:B,'Tabla Articulos'!E:E)</f>
        <v/>
      </c>
      <c r="R136" s="96">
        <f>O136*Q136</f>
        <v/>
      </c>
      <c r="S136" s="97">
        <f>TRIM(E136)</f>
        <v/>
      </c>
    </row>
    <row r="137" hidden="1">
      <c r="A137" s="22" t="n">
        <v>6</v>
      </c>
      <c r="B137" t="inlineStr">
        <is>
          <t xml:space="preserve">CDM03 - MORENO 3              </t>
        </is>
      </c>
      <c r="C137" t="inlineStr">
        <is>
          <t xml:space="preserve">GRUPO L.                      </t>
        </is>
      </c>
      <c r="E137" t="inlineStr">
        <is>
          <t xml:space="preserve">7790520010285       </t>
        </is>
      </c>
      <c r="F137" t="n">
        <v>2011520</v>
      </c>
      <c r="G137" t="inlineStr">
        <is>
          <t xml:space="preserve">CANASTA LIQUIDA BRISA MARINA       </t>
        </is>
      </c>
      <c r="H137" t="inlineStr">
        <is>
          <t xml:space="preserve">UNIDAD              </t>
        </is>
      </c>
      <c r="I137" t="n">
        <v>900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900</v>
      </c>
      <c r="P137" s="96">
        <f>_xlfn.XLOOKUP(Tabla5[[#This Row],[EAN CORREGIDO]],'Tabla Articulos'!B:B,'Tabla Articulos'!D:D)</f>
        <v/>
      </c>
      <c r="Q137" s="96">
        <f>_xlfn.XLOOKUP(S137,'Tabla Articulos'!B:B,'Tabla Articulos'!E:E)</f>
        <v/>
      </c>
      <c r="R137" s="96">
        <f>O137*Q137</f>
        <v/>
      </c>
      <c r="S137" s="97">
        <f>TRIM(E137)</f>
        <v/>
      </c>
    </row>
    <row r="138" hidden="1">
      <c r="A138" s="22" t="n">
        <v>6</v>
      </c>
      <c r="B138" t="inlineStr">
        <is>
          <t xml:space="preserve">CDM03 - MORENO 3              </t>
        </is>
      </c>
      <c r="C138" t="inlineStr">
        <is>
          <t xml:space="preserve">GRUPO L.                      </t>
        </is>
      </c>
      <c r="D138" s="11" t="n"/>
      <c r="E138" t="inlineStr">
        <is>
          <t xml:space="preserve">7796835120060       </t>
        </is>
      </c>
      <c r="F138" t="n">
        <v>2006954</v>
      </c>
      <c r="G138" t="inlineStr">
        <is>
          <t xml:space="preserve">RASTRILLO DE PLÁSTICO BARREHOJA    </t>
        </is>
      </c>
      <c r="H138" t="inlineStr">
        <is>
          <t xml:space="preserve">UNIDAD              </t>
        </is>
      </c>
      <c r="I138" t="n">
        <v>11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11</v>
      </c>
      <c r="P138" s="96">
        <f>_xlfn.XLOOKUP(Tabla5[[#This Row],[EAN CORREGIDO]],'Tabla Articulos'!B:B,'Tabla Articulos'!D:D)</f>
        <v/>
      </c>
      <c r="Q138" s="96">
        <f>_xlfn.XLOOKUP(S138,'Tabla Articulos'!B:B,'Tabla Articulos'!E:E)</f>
        <v/>
      </c>
      <c r="R138" s="96">
        <f>O138*Q138</f>
        <v/>
      </c>
      <c r="S138" s="97">
        <f>TRIM(E138)</f>
        <v/>
      </c>
    </row>
    <row r="139" hidden="1">
      <c r="A139" s="22" t="n">
        <v>1</v>
      </c>
      <c r="B139" t="inlineStr">
        <is>
          <t xml:space="preserve">CD MORENO                     </t>
        </is>
      </c>
      <c r="C139" t="inlineStr">
        <is>
          <t xml:space="preserve">GRUPO L.                      </t>
        </is>
      </c>
      <c r="D139" t="inlineStr">
        <is>
          <t>PAPA BLANCA</t>
        </is>
      </c>
      <c r="E139" t="inlineStr">
        <is>
          <t xml:space="preserve">7790216010042       </t>
        </is>
      </c>
      <c r="F139" t="n">
        <v>4017998</v>
      </c>
      <c r="G139" t="inlineStr">
        <is>
          <t xml:space="preserve">PAPA BLANCA X KG                   </t>
        </is>
      </c>
      <c r="H139" t="inlineStr">
        <is>
          <t xml:space="preserve">Kgs                 </t>
        </is>
      </c>
      <c r="I139" t="n">
        <v>221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221</v>
      </c>
      <c r="P139" s="96">
        <f>_xlfn.XLOOKUP(Tabla5[[#This Row],[EAN CORREGIDO]],'Tabla Articulos'!B:B,'Tabla Articulos'!D:D)</f>
        <v/>
      </c>
      <c r="Q139" s="96">
        <f>_xlfn.XLOOKUP(S139,'Tabla Articulos'!B:B,'Tabla Articulos'!E:E)</f>
        <v/>
      </c>
      <c r="R139" s="96">
        <f>O139*Q139</f>
        <v/>
      </c>
      <c r="S139" s="97">
        <f>TRIM(E139)</f>
        <v/>
      </c>
    </row>
    <row r="140" hidden="1">
      <c r="A140" s="22" t="n">
        <v>6</v>
      </c>
      <c r="B140" t="inlineStr">
        <is>
          <t xml:space="preserve">CDM03 - MORENO 3              </t>
        </is>
      </c>
      <c r="C140" t="inlineStr">
        <is>
          <t xml:space="preserve">GRUPO L.                      </t>
        </is>
      </c>
      <c r="D140" s="11" t="inlineStr">
        <is>
          <t xml:space="preserve">ESCOBILLON  </t>
        </is>
      </c>
      <c r="E140" t="inlineStr">
        <is>
          <t xml:space="preserve">7797390495396       </t>
        </is>
      </c>
      <c r="F140" t="n">
        <v>2006554</v>
      </c>
      <c r="G140" t="inlineStr">
        <is>
          <t xml:space="preserve">ESCOBA SCHEZ X U                   </t>
        </is>
      </c>
      <c r="H140" t="inlineStr">
        <is>
          <t xml:space="preserve">UNIDAD              </t>
        </is>
      </c>
      <c r="I140" t="n">
        <v>3677</v>
      </c>
      <c r="J140" t="n">
        <v>1200</v>
      </c>
      <c r="K140" t="n">
        <v>0</v>
      </c>
      <c r="L140" t="n">
        <v>0</v>
      </c>
      <c r="M140" t="n">
        <v>0</v>
      </c>
      <c r="N140" t="n">
        <v>0</v>
      </c>
      <c r="O140" t="n">
        <v>4877</v>
      </c>
      <c r="P140" s="96">
        <f>_xlfn.XLOOKUP(Tabla5[[#This Row],[EAN CORREGIDO]],'Tabla Articulos'!B:B,'Tabla Articulos'!D:D)</f>
        <v/>
      </c>
      <c r="Q140" s="96">
        <f>_xlfn.XLOOKUP(S140,'Tabla Articulos'!B:B,'Tabla Articulos'!E:E)</f>
        <v/>
      </c>
      <c r="R140" s="96">
        <f>O140*Q140</f>
        <v/>
      </c>
      <c r="S140" s="97">
        <f>TRIM(E140)</f>
        <v/>
      </c>
    </row>
    <row r="141" hidden="1">
      <c r="A141" s="22" t="n">
        <v>6</v>
      </c>
      <c r="B141" t="inlineStr">
        <is>
          <t xml:space="preserve">CDM03 - MORENO 3              </t>
        </is>
      </c>
      <c r="C141" t="inlineStr">
        <is>
          <t xml:space="preserve">GRUPO L.                      </t>
        </is>
      </c>
      <c r="D141" s="11" t="n"/>
      <c r="E141" t="inlineStr">
        <is>
          <t xml:space="preserve">UNIF000159          </t>
        </is>
      </c>
      <c r="F141" t="n">
        <v>9003576</v>
      </c>
      <c r="G141" t="inlineStr">
        <is>
          <t xml:space="preserve">CAMI. BLAN.M. LARG 48 GL SUP       </t>
        </is>
      </c>
      <c r="H141" t="inlineStr">
        <is>
          <t xml:space="preserve">UNIDAD              </t>
        </is>
      </c>
      <c r="I141" t="n">
        <v>23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23</v>
      </c>
      <c r="P141" s="96">
        <f>_xlfn.XLOOKUP(Tabla5[[#This Row],[EAN CORREGIDO]],'Tabla Articulos'!B:B,'Tabla Articulos'!D:D)</f>
        <v/>
      </c>
      <c r="Q141" s="96">
        <f>_xlfn.XLOOKUP(S141,'Tabla Articulos'!B:B,'Tabla Articulos'!E:E)</f>
        <v/>
      </c>
      <c r="R141" s="96">
        <f>O141*Q141</f>
        <v/>
      </c>
      <c r="S141" s="97">
        <f>TRIM(E141)</f>
        <v/>
      </c>
    </row>
    <row r="142" hidden="1">
      <c r="A142" s="22" t="n">
        <v>6</v>
      </c>
      <c r="B142" t="inlineStr">
        <is>
          <t xml:space="preserve">CDM03 - MORENO 3              </t>
        </is>
      </c>
      <c r="C142" t="inlineStr">
        <is>
          <t xml:space="preserve">GRUPO L.                      </t>
        </is>
      </c>
      <c r="D142" s="11" t="n"/>
      <c r="E142" t="inlineStr">
        <is>
          <t xml:space="preserve">UNIF000513          </t>
        </is>
      </c>
      <c r="F142" t="n">
        <v>9003396</v>
      </c>
      <c r="G142" t="inlineStr">
        <is>
          <t xml:space="preserve">CAMPERA POLAR NEGRA XL GL. SUP     </t>
        </is>
      </c>
      <c r="H142" t="inlineStr">
        <is>
          <t xml:space="preserve">UNIDAD              </t>
        </is>
      </c>
      <c r="I142" t="n">
        <v>0</v>
      </c>
      <c r="J142" t="n">
        <v>50</v>
      </c>
      <c r="K142" t="n">
        <v>0</v>
      </c>
      <c r="L142" t="n">
        <v>11</v>
      </c>
      <c r="M142" t="n">
        <v>11</v>
      </c>
      <c r="N142" t="n">
        <v>0</v>
      </c>
      <c r="O142" t="n">
        <v>28</v>
      </c>
      <c r="P142" s="96">
        <f>_xlfn.XLOOKUP(Tabla5[[#This Row],[EAN CORREGIDO]],'Tabla Articulos'!B:B,'Tabla Articulos'!D:D)</f>
        <v/>
      </c>
      <c r="Q142" s="96">
        <f>_xlfn.XLOOKUP(S142,'Tabla Articulos'!B:B,'Tabla Articulos'!E:E)</f>
        <v/>
      </c>
      <c r="R142" s="96">
        <f>O142*Q142</f>
        <v/>
      </c>
      <c r="S142" s="97">
        <f>TRIM(E142)</f>
        <v/>
      </c>
    </row>
    <row r="143" hidden="1">
      <c r="A143" s="22" t="n">
        <v>6</v>
      </c>
      <c r="B143" t="inlineStr">
        <is>
          <t xml:space="preserve">CDM03 - MORENO 3              </t>
        </is>
      </c>
      <c r="C143" t="inlineStr">
        <is>
          <t xml:space="preserve">GRUPO L.                      </t>
        </is>
      </c>
      <c r="E143" t="inlineStr">
        <is>
          <t xml:space="preserve">UNIF000376          </t>
        </is>
      </c>
      <c r="F143" t="n">
        <v>9003640</v>
      </c>
      <c r="G143" t="inlineStr">
        <is>
          <t xml:space="preserve">SWEAT. NEGRO BLUE CATERING XL      </t>
        </is>
      </c>
      <c r="H143" t="inlineStr">
        <is>
          <t xml:space="preserve">UNIDAD              </t>
        </is>
      </c>
      <c r="I143" t="n">
        <v>12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12</v>
      </c>
      <c r="P143" s="96">
        <f>_xlfn.XLOOKUP(Tabla5[[#This Row],[EAN CORREGIDO]],'Tabla Articulos'!B:B,'Tabla Articulos'!D:D)</f>
        <v/>
      </c>
      <c r="Q143" s="96">
        <f>_xlfn.XLOOKUP(S143,'Tabla Articulos'!B:B,'Tabla Articulos'!E:E)</f>
        <v/>
      </c>
      <c r="R143" s="96">
        <f>O143*Q143</f>
        <v/>
      </c>
      <c r="S143" s="97">
        <f>TRIM(E143)</f>
        <v/>
      </c>
    </row>
    <row r="144" hidden="1">
      <c r="A144" s="22" t="n">
        <v>6</v>
      </c>
      <c r="B144" t="inlineStr">
        <is>
          <t xml:space="preserve">CDM03 - MORENO 3              </t>
        </is>
      </c>
      <c r="C144" t="inlineStr">
        <is>
          <t xml:space="preserve">GRUPO L.                      </t>
        </is>
      </c>
      <c r="E144" t="inlineStr">
        <is>
          <t xml:space="preserve">BAZ001379           </t>
        </is>
      </c>
      <c r="F144" t="n">
        <v>9003893</v>
      </c>
      <c r="G144" t="inlineStr">
        <is>
          <t xml:space="preserve">CAMPANA P/TORTA BASE BLANCA 35 C   </t>
        </is>
      </c>
      <c r="H144" t="inlineStr">
        <is>
          <t xml:space="preserve">UNIDAD              </t>
        </is>
      </c>
      <c r="I144" t="n">
        <v>22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22</v>
      </c>
      <c r="P144" s="96">
        <f>_xlfn.XLOOKUP(Tabla5[[#This Row],[EAN CORREGIDO]],'Tabla Articulos'!B:B,'Tabla Articulos'!D:D)</f>
        <v/>
      </c>
      <c r="Q144" s="96">
        <f>_xlfn.XLOOKUP(S144,'Tabla Articulos'!B:B,'Tabla Articulos'!E:E)</f>
        <v/>
      </c>
      <c r="R144" s="96">
        <f>O144*Q144</f>
        <v/>
      </c>
      <c r="S144" s="97">
        <f>TRIM(E144)</f>
        <v/>
      </c>
    </row>
    <row r="145" hidden="1">
      <c r="A145" s="22" t="n">
        <v>5</v>
      </c>
      <c r="B145" t="inlineStr">
        <is>
          <t xml:space="preserve">CDM02 - MORENO 2              </t>
        </is>
      </c>
      <c r="C145" t="inlineStr">
        <is>
          <t xml:space="preserve">GRUPO L.                      </t>
        </is>
      </c>
      <c r="D145" s="11" t="inlineStr">
        <is>
          <t>SEMILLA GIRASOL</t>
        </is>
      </c>
      <c r="E145" t="inlineStr">
        <is>
          <t xml:space="preserve">7793323001894       </t>
        </is>
      </c>
      <c r="F145" t="n">
        <v>4022812</v>
      </c>
      <c r="G145" t="inlineStr">
        <is>
          <t xml:space="preserve">SEMILLAS GIRASOL PEL 1KG DICOMER   </t>
        </is>
      </c>
      <c r="H145" t="inlineStr">
        <is>
          <t xml:space="preserve">UNIDAD              </t>
        </is>
      </c>
      <c r="I145" t="n">
        <v>67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67</v>
      </c>
      <c r="P145" s="96">
        <f>_xlfn.XLOOKUP(Tabla5[[#This Row],[EAN CORREGIDO]],'Tabla Articulos'!B:B,'Tabla Articulos'!D:D)</f>
        <v/>
      </c>
      <c r="Q145" s="96">
        <f>_xlfn.XLOOKUP(S145,'Tabla Articulos'!B:B,'Tabla Articulos'!E:E)</f>
        <v/>
      </c>
      <c r="R145" s="96">
        <f>O145*Q145</f>
        <v/>
      </c>
      <c r="S145" s="97">
        <f>TRIM(E145)</f>
        <v/>
      </c>
    </row>
    <row r="146" hidden="1">
      <c r="A146" s="22" t="n">
        <v>6</v>
      </c>
      <c r="B146" t="inlineStr">
        <is>
          <t xml:space="preserve">CDM03 - MORENO 3              </t>
        </is>
      </c>
      <c r="C146" t="inlineStr">
        <is>
          <t xml:space="preserve">GRUPO L.                      </t>
        </is>
      </c>
      <c r="E146" t="inlineStr">
        <is>
          <t xml:space="preserve">LIM000255           </t>
        </is>
      </c>
      <c r="F146" t="n">
        <v>2006326</v>
      </c>
      <c r="G146" t="inlineStr">
        <is>
          <t xml:space="preserve">ESCOBA DE PAJA 5 HILOS X U         </t>
        </is>
      </c>
      <c r="H146" t="inlineStr">
        <is>
          <t xml:space="preserve">UNIDAD              </t>
        </is>
      </c>
      <c r="I146" t="n">
        <v>21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21</v>
      </c>
      <c r="P146" s="96">
        <f>_xlfn.XLOOKUP(Tabla5[[#This Row],[EAN CORREGIDO]],'Tabla Articulos'!B:B,'Tabla Articulos'!D:D)</f>
        <v/>
      </c>
      <c r="Q146" s="96">
        <f>_xlfn.XLOOKUP(S146,'Tabla Articulos'!B:B,'Tabla Articulos'!E:E)</f>
        <v/>
      </c>
      <c r="R146" s="96">
        <f>O146*Q146</f>
        <v/>
      </c>
      <c r="S146" s="97">
        <f>TRIM(E146)</f>
        <v/>
      </c>
    </row>
    <row r="147" hidden="1">
      <c r="A147" s="22" t="n">
        <v>6</v>
      </c>
      <c r="B147" t="inlineStr">
        <is>
          <t xml:space="preserve">CDM03 - MORENO 3              </t>
        </is>
      </c>
      <c r="C147" t="inlineStr">
        <is>
          <t xml:space="preserve">GRUPO L.                      </t>
        </is>
      </c>
      <c r="E147" t="inlineStr">
        <is>
          <t xml:space="preserve">UNIF000024          </t>
        </is>
      </c>
      <c r="F147" t="n">
        <v>9003055</v>
      </c>
      <c r="G147" t="inlineStr">
        <is>
          <t xml:space="preserve">AMBO CEL. ESCO.V SANTANDER 2XL     </t>
        </is>
      </c>
      <c r="H147" t="inlineStr">
        <is>
          <t xml:space="preserve">UNIDAD              </t>
        </is>
      </c>
      <c r="I147" t="n">
        <v>19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19</v>
      </c>
      <c r="P147" s="96">
        <f>_xlfn.XLOOKUP(Tabla5[[#This Row],[EAN CORREGIDO]],'Tabla Articulos'!B:B,'Tabla Articulos'!D:D)</f>
        <v/>
      </c>
      <c r="Q147" s="96">
        <f>_xlfn.XLOOKUP(S147,'Tabla Articulos'!B:B,'Tabla Articulos'!E:E)</f>
        <v/>
      </c>
      <c r="R147" s="96">
        <f>O147*Q147</f>
        <v/>
      </c>
      <c r="S147" s="97">
        <f>TRIM(E147)</f>
        <v/>
      </c>
    </row>
    <row r="148" hidden="1">
      <c r="A148" s="22" t="n">
        <v>5</v>
      </c>
      <c r="B148" t="inlineStr">
        <is>
          <t xml:space="preserve">CDM02 - MORENO 2              </t>
        </is>
      </c>
      <c r="C148" t="inlineStr">
        <is>
          <t xml:space="preserve">GRUPO L.                      </t>
        </is>
      </c>
      <c r="D148" t="inlineStr">
        <is>
          <t>MOUSSE CHOCOLATE</t>
        </is>
      </c>
      <c r="E148" t="inlineStr">
        <is>
          <t xml:space="preserve">7790971002488       </t>
        </is>
      </c>
      <c r="F148" t="n">
        <v>4019790</v>
      </c>
      <c r="G148" t="inlineStr">
        <is>
          <t xml:space="preserve">MOUSSE CHOC X500GR ORLOC           </t>
        </is>
      </c>
      <c r="H148" t="inlineStr">
        <is>
          <t xml:space="preserve">UNIDAD              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4</v>
      </c>
      <c r="P148" s="96">
        <f>_xlfn.XLOOKUP(Tabla5[[#This Row],[EAN CORREGIDO]],'Tabla Articulos'!B:B,'Tabla Articulos'!D:D)</f>
        <v/>
      </c>
      <c r="Q148" s="96">
        <f>_xlfn.XLOOKUP(S148,'Tabla Articulos'!B:B,'Tabla Articulos'!E:E)</f>
        <v/>
      </c>
      <c r="R148" s="96">
        <f>O148*Q148</f>
        <v/>
      </c>
      <c r="S148" s="97">
        <f>TRIM(E148)</f>
        <v/>
      </c>
    </row>
    <row r="149" hidden="1">
      <c r="A149" s="22" t="n">
        <v>6</v>
      </c>
      <c r="B149" t="inlineStr">
        <is>
          <t xml:space="preserve">CDM03 - MORENO 3              </t>
        </is>
      </c>
      <c r="C149" t="inlineStr">
        <is>
          <t xml:space="preserve">GRUPO L.                      </t>
        </is>
      </c>
      <c r="D149" t="inlineStr">
        <is>
          <t>MANTEL LOGO GL</t>
        </is>
      </c>
      <c r="E149" t="inlineStr">
        <is>
          <t xml:space="preserve">7790000000711       </t>
        </is>
      </c>
      <c r="F149" t="n">
        <v>2016511</v>
      </c>
      <c r="G149" t="inlineStr">
        <is>
          <t xml:space="preserve">MANTEL INDIV BLUE ESPECIAL X1000UN </t>
        </is>
      </c>
      <c r="H149" t="inlineStr">
        <is>
          <t xml:space="preserve">UNIDAD              </t>
        </is>
      </c>
      <c r="I149" t="n">
        <v>20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20</v>
      </c>
      <c r="P149" s="96">
        <f>_xlfn.XLOOKUP(Tabla5[[#This Row],[EAN CORREGIDO]],'Tabla Articulos'!B:B,'Tabla Articulos'!D:D)</f>
        <v/>
      </c>
      <c r="Q149" s="96">
        <f>_xlfn.XLOOKUP(S149,'Tabla Articulos'!B:B,'Tabla Articulos'!E:E)</f>
        <v/>
      </c>
      <c r="R149" s="96">
        <f>O149*Q149</f>
        <v/>
      </c>
      <c r="S149" s="97">
        <f>TRIM(E149)</f>
        <v/>
      </c>
    </row>
    <row r="150" hidden="1">
      <c r="A150" s="22" t="n">
        <v>1</v>
      </c>
      <c r="B150" t="inlineStr">
        <is>
          <t xml:space="preserve">CD MORENO                     </t>
        </is>
      </c>
      <c r="C150" t="inlineStr">
        <is>
          <t xml:space="preserve">GRUPO L.                      </t>
        </is>
      </c>
      <c r="D150" t="inlineStr">
        <is>
          <t>PERA</t>
        </is>
      </c>
      <c r="E150" t="inlineStr">
        <is>
          <t xml:space="preserve">7790216020108       </t>
        </is>
      </c>
      <c r="F150" t="n">
        <v>4017995</v>
      </c>
      <c r="G150" t="inlineStr">
        <is>
          <t xml:space="preserve">FRUTA PERA X KG                    </t>
        </is>
      </c>
      <c r="H150" t="inlineStr">
        <is>
          <t xml:space="preserve">Kgs                 </t>
        </is>
      </c>
      <c r="I150" t="n">
        <v>25653.041</v>
      </c>
      <c r="J150" t="n">
        <v>0</v>
      </c>
      <c r="K150" t="n">
        <v>0</v>
      </c>
      <c r="L150" t="n">
        <v>19.4</v>
      </c>
      <c r="M150" t="n">
        <v>19.4</v>
      </c>
      <c r="N150" t="n">
        <v>0</v>
      </c>
      <c r="O150" t="n">
        <v>25614.241</v>
      </c>
      <c r="P150" s="96">
        <f>_xlfn.XLOOKUP(Tabla5[[#This Row],[EAN CORREGIDO]],'Tabla Articulos'!B:B,'Tabla Articulos'!D:D)</f>
        <v/>
      </c>
      <c r="Q150" s="96">
        <f>_xlfn.XLOOKUP(S150,'Tabla Articulos'!B:B,'Tabla Articulos'!E:E)</f>
        <v/>
      </c>
      <c r="R150" s="96">
        <f>O150*Q150</f>
        <v/>
      </c>
      <c r="S150" s="97">
        <f>TRIM(E150)</f>
        <v/>
      </c>
    </row>
    <row r="151" hidden="1">
      <c r="A151" s="22" t="n">
        <v>6</v>
      </c>
      <c r="B151" t="inlineStr">
        <is>
          <t xml:space="preserve">CDM03 - MORENO 3              </t>
        </is>
      </c>
      <c r="C151" t="inlineStr">
        <is>
          <t xml:space="preserve">GRUPO L.                      </t>
        </is>
      </c>
      <c r="E151" t="inlineStr">
        <is>
          <t xml:space="preserve">UNIF000261          </t>
        </is>
      </c>
      <c r="F151" t="n">
        <v>9003356</v>
      </c>
      <c r="G151" t="inlineStr">
        <is>
          <t xml:space="preserve">PANTALON GABAR. NEG. 52 S. LOGO    </t>
        </is>
      </c>
      <c r="H151" t="inlineStr">
        <is>
          <t xml:space="preserve">UNIDAD              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6</v>
      </c>
      <c r="P151" s="96">
        <f>_xlfn.XLOOKUP(Tabla5[[#This Row],[EAN CORREGIDO]],'Tabla Articulos'!B:B,'Tabla Articulos'!D:D)</f>
        <v/>
      </c>
      <c r="Q151" s="96">
        <f>_xlfn.XLOOKUP(S151,'Tabla Articulos'!B:B,'Tabla Articulos'!E:E)</f>
        <v/>
      </c>
      <c r="R151" s="96">
        <f>O151*Q151</f>
        <v/>
      </c>
      <c r="S151" s="97">
        <f>TRIM(E151)</f>
        <v/>
      </c>
    </row>
    <row r="152" hidden="1">
      <c r="A152" s="22" t="n">
        <v>6</v>
      </c>
      <c r="B152" t="inlineStr">
        <is>
          <t xml:space="preserve">CDM03 - MORENO 3              </t>
        </is>
      </c>
      <c r="C152" t="inlineStr">
        <is>
          <t xml:space="preserve">GRUPO L.                      </t>
        </is>
      </c>
      <c r="D152" t="inlineStr">
        <is>
          <t>GUANTE GOMA</t>
        </is>
      </c>
      <c r="E152" t="inlineStr">
        <is>
          <t xml:space="preserve">7798024079500       </t>
        </is>
      </c>
      <c r="F152" t="n">
        <v>2006352</v>
      </c>
      <c r="G152" t="inlineStr">
        <is>
          <t xml:space="preserve">GUANTES AFELPADOS  L MAKE          </t>
        </is>
      </c>
      <c r="H152" t="inlineStr">
        <is>
          <t xml:space="preserve">UNIDAD              </t>
        </is>
      </c>
      <c r="I152" t="n">
        <v>219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219</v>
      </c>
      <c r="P152" s="96">
        <f>_xlfn.XLOOKUP(Tabla5[[#This Row],[EAN CORREGIDO]],'Tabla Articulos'!B:B,'Tabla Articulos'!D:D)</f>
        <v/>
      </c>
      <c r="Q152" s="96">
        <f>_xlfn.XLOOKUP(S152,'Tabla Articulos'!B:B,'Tabla Articulos'!E:E)</f>
        <v/>
      </c>
      <c r="R152" s="96">
        <f>O152*Q152</f>
        <v/>
      </c>
      <c r="S152" s="97">
        <f>TRIM(E152)</f>
        <v/>
      </c>
    </row>
    <row r="153" hidden="1">
      <c r="A153" s="22" t="n">
        <v>6</v>
      </c>
      <c r="B153" t="inlineStr">
        <is>
          <t xml:space="preserve">CDM03 - MORENO 3              </t>
        </is>
      </c>
      <c r="C153" t="inlineStr">
        <is>
          <t xml:space="preserve">GRUPO L.                      </t>
        </is>
      </c>
      <c r="E153" t="inlineStr">
        <is>
          <t xml:space="preserve">7790000000661       </t>
        </is>
      </c>
      <c r="F153" t="n">
        <v>2011416</v>
      </c>
      <c r="G153" t="inlineStr">
        <is>
          <t xml:space="preserve">ESPATULA ACERO INOX XU CHICA       </t>
        </is>
      </c>
      <c r="H153" t="inlineStr">
        <is>
          <t xml:space="preserve">UNIDAD              </t>
        </is>
      </c>
      <c r="I153" t="n">
        <v>157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157</v>
      </c>
      <c r="P153" s="96">
        <f>_xlfn.XLOOKUP(Tabla5[[#This Row],[EAN CORREGIDO]],'Tabla Articulos'!B:B,'Tabla Articulos'!D:D)</f>
        <v/>
      </c>
      <c r="Q153" s="96">
        <f>_xlfn.XLOOKUP(S153,'Tabla Articulos'!B:B,'Tabla Articulos'!E:E)</f>
        <v/>
      </c>
      <c r="R153" s="96">
        <f>O153*Q153</f>
        <v/>
      </c>
      <c r="S153" s="97">
        <f>TRIM(E153)</f>
        <v/>
      </c>
    </row>
    <row r="154" hidden="1">
      <c r="A154" s="22" t="n">
        <v>5</v>
      </c>
      <c r="B154" t="inlineStr">
        <is>
          <t xml:space="preserve">CDM02 - MORENO 2              </t>
        </is>
      </c>
      <c r="C154" t="inlineStr">
        <is>
          <t xml:space="preserve">GRUPO L.                      </t>
        </is>
      </c>
      <c r="D154" t="inlineStr">
        <is>
          <t>VINO OPORTO</t>
        </is>
      </c>
      <c r="E154" t="inlineStr">
        <is>
          <t xml:space="preserve">7792100000273       </t>
        </is>
      </c>
      <c r="F154" t="n">
        <v>4021310</v>
      </c>
      <c r="G154" t="inlineStr">
        <is>
          <t xml:space="preserve">VINO OPORTO X750CC FLORIO          </t>
        </is>
      </c>
      <c r="H154" t="inlineStr">
        <is>
          <t xml:space="preserve">UNIDAD              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s="96">
        <f>_xlfn.XLOOKUP(Tabla5[[#This Row],[EAN CORREGIDO]],'Tabla Articulos'!B:B,'Tabla Articulos'!D:D)</f>
        <v/>
      </c>
      <c r="Q154" s="96">
        <f>_xlfn.XLOOKUP(S154,'Tabla Articulos'!B:B,'Tabla Articulos'!E:E)</f>
        <v/>
      </c>
      <c r="R154" s="96">
        <f>O154*Q154</f>
        <v/>
      </c>
      <c r="S154" s="97">
        <f>TRIM(E154)</f>
        <v/>
      </c>
    </row>
    <row r="155" hidden="1">
      <c r="A155" s="22" t="n">
        <v>6</v>
      </c>
      <c r="B155" t="inlineStr">
        <is>
          <t xml:space="preserve">CDM03 - MORENO 3              </t>
        </is>
      </c>
      <c r="C155" t="inlineStr">
        <is>
          <t xml:space="preserve">GRUPO L.                      </t>
        </is>
      </c>
      <c r="E155" t="inlineStr">
        <is>
          <t xml:space="preserve">7798057869864       </t>
        </is>
      </c>
      <c r="F155" t="n">
        <v>2007613</v>
      </c>
      <c r="G155" t="inlineStr">
        <is>
          <t xml:space="preserve">OXIVIR FIVE 16 4X5L DIVERSEY       </t>
        </is>
      </c>
      <c r="H155" t="inlineStr">
        <is>
          <t xml:space="preserve">UNIDAD              </t>
        </is>
      </c>
      <c r="I155" t="n">
        <v>0</v>
      </c>
      <c r="J155" t="n">
        <v>12</v>
      </c>
      <c r="K155" t="n">
        <v>0</v>
      </c>
      <c r="L155" t="n">
        <v>0</v>
      </c>
      <c r="M155" t="n">
        <v>0</v>
      </c>
      <c r="N155" t="n">
        <v>0</v>
      </c>
      <c r="O155" t="n">
        <v>12</v>
      </c>
      <c r="P155" s="96">
        <f>_xlfn.XLOOKUP(Tabla5[[#This Row],[EAN CORREGIDO]],'Tabla Articulos'!B:B,'Tabla Articulos'!D:D)</f>
        <v/>
      </c>
      <c r="Q155" s="96">
        <f>_xlfn.XLOOKUP(S155,'Tabla Articulos'!B:B,'Tabla Articulos'!E:E)</f>
        <v/>
      </c>
      <c r="R155" s="96">
        <f>O155*Q155</f>
        <v/>
      </c>
      <c r="S155" s="97">
        <f>TRIM(E155)</f>
        <v/>
      </c>
    </row>
    <row r="156" hidden="1">
      <c r="A156" s="22" t="n">
        <v>5</v>
      </c>
      <c r="B156" t="inlineStr">
        <is>
          <t xml:space="preserve">CDM02 - MORENO 2              </t>
        </is>
      </c>
      <c r="C156" t="inlineStr">
        <is>
          <t xml:space="preserve">GRUPO L.                      </t>
        </is>
      </c>
      <c r="D156" t="inlineStr">
        <is>
          <t>POSTRE CHOCOLATE</t>
        </is>
      </c>
      <c r="E156" t="inlineStr">
        <is>
          <t xml:space="preserve">7790971001221       </t>
        </is>
      </c>
      <c r="F156" t="n">
        <v>4020650</v>
      </c>
      <c r="G156" t="inlineStr">
        <is>
          <t xml:space="preserve">POSTRE CHOCOLATE X 1KG RAVANA      </t>
        </is>
      </c>
      <c r="H156" t="inlineStr">
        <is>
          <t xml:space="preserve">UNIDAD              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s="96">
        <f>_xlfn.XLOOKUP(Tabla5[[#This Row],[EAN CORREGIDO]],'Tabla Articulos'!B:B,'Tabla Articulos'!D:D)</f>
        <v/>
      </c>
      <c r="Q156" s="96">
        <f>_xlfn.XLOOKUP(S156,'Tabla Articulos'!B:B,'Tabla Articulos'!E:E)</f>
        <v/>
      </c>
      <c r="R156" s="96">
        <f>O156*Q156</f>
        <v/>
      </c>
      <c r="S156" s="97">
        <f>TRIM(E156)</f>
        <v/>
      </c>
    </row>
    <row r="157" hidden="1">
      <c r="A157" s="22" t="n">
        <v>5</v>
      </c>
      <c r="B157" t="inlineStr">
        <is>
          <t xml:space="preserve">CDM02 - MORENO 2              </t>
        </is>
      </c>
      <c r="C157" t="inlineStr">
        <is>
          <t xml:space="preserve">GRUPO L.                      </t>
        </is>
      </c>
      <c r="D157" s="11" t="inlineStr">
        <is>
          <t>JUGO POLVO NARANJA LIGHT</t>
        </is>
      </c>
      <c r="E157" t="inlineStr">
        <is>
          <t xml:space="preserve">7790580132774       </t>
        </is>
      </c>
      <c r="F157" t="n">
        <v>4019771</v>
      </c>
      <c r="G157" t="inlineStr">
        <is>
          <t xml:space="preserve">JUGO POLVO NARANJA  X 7GR BC       </t>
        </is>
      </c>
      <c r="H157" t="inlineStr">
        <is>
          <t xml:space="preserve">UNIDAD              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s="96">
        <f>_xlfn.XLOOKUP(Tabla5[[#This Row],[EAN CORREGIDO]],'Tabla Articulos'!B:B,'Tabla Articulos'!D:D)</f>
        <v/>
      </c>
      <c r="Q157" s="96">
        <f>_xlfn.XLOOKUP(S157,'Tabla Articulos'!B:B,'Tabla Articulos'!E:E)</f>
        <v/>
      </c>
      <c r="R157" s="96">
        <f>O157*Q157</f>
        <v/>
      </c>
      <c r="S157" s="97">
        <f>TRIM(E157)</f>
        <v/>
      </c>
    </row>
    <row r="158" hidden="1">
      <c r="A158" s="22" t="n">
        <v>1</v>
      </c>
      <c r="B158" t="inlineStr">
        <is>
          <t xml:space="preserve">CD MORENO                     </t>
        </is>
      </c>
      <c r="C158" t="inlineStr">
        <is>
          <t xml:space="preserve">GRUPO L.                      </t>
        </is>
      </c>
      <c r="D158" s="11" t="inlineStr">
        <is>
          <t>JUGO POLVO NARANJA LIGHT</t>
        </is>
      </c>
      <c r="E158" t="inlineStr">
        <is>
          <t xml:space="preserve">7790580132774       </t>
        </is>
      </c>
      <c r="F158" t="n">
        <v>4019771</v>
      </c>
      <c r="G158" t="inlineStr">
        <is>
          <t xml:space="preserve">JUGO POLVO NARANJA  X 7GR BC       </t>
        </is>
      </c>
      <c r="H158" t="inlineStr">
        <is>
          <t xml:space="preserve">UNIDAD              </t>
        </is>
      </c>
      <c r="I158" t="n">
        <v>583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583</v>
      </c>
      <c r="P158" s="96">
        <f>_xlfn.XLOOKUP(Tabla5[[#This Row],[EAN CORREGIDO]],'Tabla Articulos'!B:B,'Tabla Articulos'!D:D)</f>
        <v/>
      </c>
      <c r="Q158" s="96">
        <f>_xlfn.XLOOKUP(S158,'Tabla Articulos'!B:B,'Tabla Articulos'!E:E)</f>
        <v/>
      </c>
      <c r="R158" s="96">
        <f>O158*Q158</f>
        <v/>
      </c>
      <c r="S158" s="97">
        <f>TRIM(E158)</f>
        <v/>
      </c>
    </row>
    <row r="159" hidden="1">
      <c r="A159" s="22" t="n">
        <v>5</v>
      </c>
      <c r="B159" t="inlineStr">
        <is>
          <t xml:space="preserve">CDM02 - MORENO 2              </t>
        </is>
      </c>
      <c r="C159" t="inlineStr">
        <is>
          <t xml:space="preserve">GRUPO L.                      </t>
        </is>
      </c>
      <c r="D159" t="inlineStr">
        <is>
          <t>LOCRO</t>
        </is>
      </c>
      <c r="E159" t="inlineStr">
        <is>
          <t xml:space="preserve">7792900950013       </t>
        </is>
      </c>
      <c r="F159" t="n">
        <v>4019986</v>
      </c>
      <c r="G159" t="inlineStr">
        <is>
          <t>LOCRO CRIOLLO LISTO X390G DOS ANCLA</t>
        </is>
      </c>
      <c r="H159" t="inlineStr">
        <is>
          <t xml:space="preserve">UNIDAD              </t>
        </is>
      </c>
      <c r="I159" t="n">
        <v>586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586</v>
      </c>
      <c r="P159" s="96">
        <f>_xlfn.XLOOKUP(Tabla5[[#This Row],[EAN CORREGIDO]],'Tabla Articulos'!B:B,'Tabla Articulos'!D:D)</f>
        <v/>
      </c>
      <c r="Q159" s="96">
        <f>_xlfn.XLOOKUP(S159,'Tabla Articulos'!B:B,'Tabla Articulos'!E:E)</f>
        <v/>
      </c>
      <c r="R159" s="96">
        <f>O159*Q159</f>
        <v/>
      </c>
      <c r="S159" s="97">
        <f>TRIM(E159)</f>
        <v/>
      </c>
    </row>
    <row r="160" hidden="1">
      <c r="A160" s="22" t="n">
        <v>6</v>
      </c>
      <c r="B160" t="inlineStr">
        <is>
          <t xml:space="preserve">CDM03 - MORENO 3              </t>
        </is>
      </c>
      <c r="C160" t="inlineStr">
        <is>
          <t xml:space="preserve">GRUPO L.                      </t>
        </is>
      </c>
      <c r="D160" s="11" t="n"/>
      <c r="E160" t="inlineStr">
        <is>
          <t xml:space="preserve">UNIF000476          </t>
        </is>
      </c>
      <c r="F160" t="n">
        <v>9003248</v>
      </c>
      <c r="G160" t="inlineStr">
        <is>
          <t xml:space="preserve">PANTAL. GRAFA S. LOGO A. MAR 50    </t>
        </is>
      </c>
      <c r="H160" t="inlineStr">
        <is>
          <t xml:space="preserve">UNIDAD              </t>
        </is>
      </c>
      <c r="I160" t="n">
        <v>43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43</v>
      </c>
      <c r="P160" s="96">
        <f>_xlfn.XLOOKUP(Tabla5[[#This Row],[EAN CORREGIDO]],'Tabla Articulos'!B:B,'Tabla Articulos'!D:D)</f>
        <v/>
      </c>
      <c r="Q160" s="96">
        <f>_xlfn.XLOOKUP(S160,'Tabla Articulos'!B:B,'Tabla Articulos'!E:E)</f>
        <v/>
      </c>
      <c r="R160" s="96">
        <f>O160*Q160</f>
        <v/>
      </c>
      <c r="S160" s="97">
        <f>TRIM(E160)</f>
        <v/>
      </c>
    </row>
    <row r="161" hidden="1">
      <c r="A161" s="22" t="n">
        <v>1</v>
      </c>
      <c r="B161" t="inlineStr">
        <is>
          <t xml:space="preserve">CD MORENO                     </t>
        </is>
      </c>
      <c r="C161" t="inlineStr">
        <is>
          <t xml:space="preserve">GRUPO L.                      </t>
        </is>
      </c>
      <c r="D161" t="inlineStr">
        <is>
          <t>MATE COCIDO SOB S/TACC</t>
        </is>
      </c>
      <c r="E161" t="inlineStr">
        <is>
          <t xml:space="preserve">7792198005341       </t>
        </is>
      </c>
      <c r="F161" t="n">
        <v>4019717</v>
      </c>
      <c r="G161" t="inlineStr">
        <is>
          <t xml:space="preserve">MATE COC EN SOB X50U NATURA        </t>
        </is>
      </c>
      <c r="H161" t="inlineStr">
        <is>
          <t xml:space="preserve">UNIDAD              </t>
        </is>
      </c>
      <c r="I161" t="n">
        <v>66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66</v>
      </c>
      <c r="P161" s="96">
        <f>_xlfn.XLOOKUP(Tabla5[[#This Row],[EAN CORREGIDO]],'Tabla Articulos'!B:B,'Tabla Articulos'!D:D)</f>
        <v/>
      </c>
      <c r="Q161" s="96">
        <f>_xlfn.XLOOKUP(S161,'Tabla Articulos'!B:B,'Tabla Articulos'!E:E)</f>
        <v/>
      </c>
      <c r="R161" s="96">
        <f>O161*Q161</f>
        <v/>
      </c>
      <c r="S161" s="97">
        <f>TRIM(E161)</f>
        <v/>
      </c>
    </row>
    <row r="162" hidden="1">
      <c r="A162" s="22" t="n">
        <v>1</v>
      </c>
      <c r="B162" t="inlineStr">
        <is>
          <t xml:space="preserve">CD MORENO                     </t>
        </is>
      </c>
      <c r="C162" t="inlineStr">
        <is>
          <t xml:space="preserve">GRUPO L.                      </t>
        </is>
      </c>
      <c r="D162" t="inlineStr">
        <is>
          <t>ACETO</t>
        </is>
      </c>
      <c r="E162" t="inlineStr">
        <is>
          <t xml:space="preserve">7797470004708       </t>
        </is>
      </c>
      <c r="F162" t="n">
        <v>4020208</v>
      </c>
      <c r="G162" t="inlineStr">
        <is>
          <t xml:space="preserve">ACETO BALSAMICO X500CC MAROLIO     </t>
        </is>
      </c>
      <c r="H162" t="inlineStr">
        <is>
          <t xml:space="preserve">UNIDAD              </t>
        </is>
      </c>
      <c r="I162" t="n">
        <v>60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60</v>
      </c>
      <c r="P162" s="96">
        <f>_xlfn.XLOOKUP(Tabla5[[#This Row],[EAN CORREGIDO]],'Tabla Articulos'!B:B,'Tabla Articulos'!D:D)</f>
        <v/>
      </c>
      <c r="Q162" s="96">
        <f>_xlfn.XLOOKUP(S162,'Tabla Articulos'!B:B,'Tabla Articulos'!E:E)</f>
        <v/>
      </c>
      <c r="R162" s="96">
        <f>O162*Q162</f>
        <v/>
      </c>
      <c r="S162" s="97">
        <f>TRIM(E162)</f>
        <v/>
      </c>
    </row>
    <row r="163" hidden="1">
      <c r="A163" s="22" t="n">
        <v>1</v>
      </c>
      <c r="B163" t="inlineStr">
        <is>
          <t xml:space="preserve">CD MORENO                     </t>
        </is>
      </c>
      <c r="C163" t="inlineStr">
        <is>
          <t xml:space="preserve">GRUPO L.                      </t>
        </is>
      </c>
      <c r="D163" t="inlineStr">
        <is>
          <t>PANADERIA CONGELADA</t>
        </is>
      </c>
      <c r="E163" t="inlineStr">
        <is>
          <t xml:space="preserve">7799132966513       </t>
        </is>
      </c>
      <c r="F163" t="n">
        <v>4018478</v>
      </c>
      <c r="G163" t="inlineStr">
        <is>
          <t xml:space="preserve">ALFAJOR MAICENA X30U SELYGEL       </t>
        </is>
      </c>
      <c r="H163" t="inlineStr">
        <is>
          <t xml:space="preserve">UNIDAD              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s="96">
        <f>_xlfn.XLOOKUP(Tabla5[[#This Row],[EAN CORREGIDO]],'Tabla Articulos'!B:B,'Tabla Articulos'!D:D)</f>
        <v/>
      </c>
      <c r="Q163" s="96">
        <f>_xlfn.XLOOKUP(S163,'Tabla Articulos'!B:B,'Tabla Articulos'!E:E)</f>
        <v/>
      </c>
      <c r="R163" s="96">
        <f>O163*Q163</f>
        <v/>
      </c>
      <c r="S163" s="97">
        <f>TRIM(E163)</f>
        <v/>
      </c>
    </row>
    <row r="164" hidden="1">
      <c r="A164" s="22" t="n">
        <v>1</v>
      </c>
      <c r="B164" t="inlineStr">
        <is>
          <t xml:space="preserve">CD MORENO                     </t>
        </is>
      </c>
      <c r="C164" t="inlineStr">
        <is>
          <t xml:space="preserve">GRUPO L.                      </t>
        </is>
      </c>
      <c r="D164" t="inlineStr">
        <is>
          <t xml:space="preserve">LECHE MATERNIZADA </t>
        </is>
      </c>
      <c r="E164" t="inlineStr">
        <is>
          <t xml:space="preserve">7798181641435       </t>
        </is>
      </c>
      <c r="F164" t="n">
        <v>4018402</v>
      </c>
      <c r="G164" t="inlineStr">
        <is>
          <t xml:space="preserve">LECHE BB2 ADVANCEDX200CC SANC	     </t>
        </is>
      </c>
      <c r="H164" t="inlineStr">
        <is>
          <t xml:space="preserve">UNIDAD              </t>
        </is>
      </c>
      <c r="I164" t="n">
        <v>15263</v>
      </c>
      <c r="J164" t="n">
        <v>0</v>
      </c>
      <c r="K164" t="n">
        <v>0</v>
      </c>
      <c r="L164" t="n">
        <v>1005</v>
      </c>
      <c r="M164" t="n">
        <v>1005</v>
      </c>
      <c r="N164" t="n">
        <v>0</v>
      </c>
      <c r="O164" t="n">
        <v>13253</v>
      </c>
      <c r="P164" s="96">
        <f>_xlfn.XLOOKUP(Tabla5[[#This Row],[EAN CORREGIDO]],'Tabla Articulos'!B:B,'Tabla Articulos'!D:D)</f>
        <v/>
      </c>
      <c r="Q164" s="96">
        <f>_xlfn.XLOOKUP(S164,'Tabla Articulos'!B:B,'Tabla Articulos'!E:E)</f>
        <v/>
      </c>
      <c r="R164" s="96">
        <f>O164*Q164</f>
        <v/>
      </c>
      <c r="S164" s="97">
        <f>TRIM(E164)</f>
        <v/>
      </c>
    </row>
    <row r="165" hidden="1">
      <c r="A165" s="22" t="n">
        <v>6</v>
      </c>
      <c r="B165" t="inlineStr">
        <is>
          <t xml:space="preserve">CDM03 - MORENO 3              </t>
        </is>
      </c>
      <c r="C165" t="inlineStr">
        <is>
          <t xml:space="preserve">GRUPO L.                      </t>
        </is>
      </c>
      <c r="D165" t="inlineStr">
        <is>
          <t>BOLSAS CUBIERTOS</t>
        </is>
      </c>
      <c r="E165" t="inlineStr">
        <is>
          <t xml:space="preserve">7790321020992       </t>
        </is>
      </c>
      <c r="F165" t="n">
        <v>2006692</v>
      </c>
      <c r="G165" t="inlineStr">
        <is>
          <t xml:space="preserve">BOLSA CUBIERTOS 10X 25 X100 U      </t>
        </is>
      </c>
      <c r="H165" t="inlineStr">
        <is>
          <t xml:space="preserve">UNIDAD              </t>
        </is>
      </c>
      <c r="I165" t="n">
        <v>500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500</v>
      </c>
      <c r="P165" s="96">
        <f>_xlfn.XLOOKUP(Tabla5[[#This Row],[EAN CORREGIDO]],'Tabla Articulos'!B:B,'Tabla Articulos'!D:D)</f>
        <v/>
      </c>
      <c r="Q165" s="96">
        <f>_xlfn.XLOOKUP(S165,'Tabla Articulos'!B:B,'Tabla Articulos'!E:E)</f>
        <v/>
      </c>
      <c r="R165" s="96">
        <f>O165*Q165</f>
        <v/>
      </c>
      <c r="S165" s="97">
        <f>TRIM(E165)</f>
        <v/>
      </c>
    </row>
    <row r="166" hidden="1">
      <c r="A166" s="22" t="n">
        <v>6</v>
      </c>
      <c r="B166" t="inlineStr">
        <is>
          <t xml:space="preserve">CDM03 - MORENO 3              </t>
        </is>
      </c>
      <c r="C166" t="inlineStr">
        <is>
          <t xml:space="preserve">GRUPO L.                      </t>
        </is>
      </c>
      <c r="E166" t="inlineStr">
        <is>
          <t xml:space="preserve">UNIF000543          </t>
        </is>
      </c>
      <c r="F166" t="n">
        <v>9003081</v>
      </c>
      <c r="G166" t="inlineStr">
        <is>
          <t xml:space="preserve">CHOMBA GRIS NEG MANG CORTA NAR S   </t>
        </is>
      </c>
      <c r="H166" t="inlineStr">
        <is>
          <t xml:space="preserve">UNIDAD              </t>
        </is>
      </c>
      <c r="I166" t="n">
        <v>11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11</v>
      </c>
      <c r="P166" s="96">
        <f>_xlfn.XLOOKUP(Tabla5[[#This Row],[EAN CORREGIDO]],'Tabla Articulos'!B:B,'Tabla Articulos'!D:D)</f>
        <v/>
      </c>
      <c r="Q166" s="96">
        <f>_xlfn.XLOOKUP(S166,'Tabla Articulos'!B:B,'Tabla Articulos'!E:E)</f>
        <v/>
      </c>
      <c r="R166" s="96">
        <f>O166*Q166</f>
        <v/>
      </c>
      <c r="S166" s="97">
        <f>TRIM(E166)</f>
        <v/>
      </c>
    </row>
    <row r="167" hidden="1">
      <c r="A167" s="22" t="n">
        <v>5</v>
      </c>
      <c r="B167" t="inlineStr">
        <is>
          <t xml:space="preserve">CDM02 - MORENO 2              </t>
        </is>
      </c>
      <c r="C167" t="inlineStr">
        <is>
          <t xml:space="preserve">GRUPO L.                      </t>
        </is>
      </c>
      <c r="D167" t="inlineStr">
        <is>
          <t>AVENA INSTANTANEA</t>
        </is>
      </c>
      <c r="E167" t="inlineStr">
        <is>
          <t xml:space="preserve">7790045823575       </t>
        </is>
      </c>
      <c r="F167" t="n">
        <v>4019416</v>
      </c>
      <c r="G167" t="inlineStr">
        <is>
          <t xml:space="preserve">AVENA INSTX400GR GRANIX            </t>
        </is>
      </c>
      <c r="H167" t="inlineStr">
        <is>
          <t xml:space="preserve">UNIDAD              </t>
        </is>
      </c>
      <c r="I167" t="n">
        <v>261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261</v>
      </c>
      <c r="P167" s="96">
        <f>_xlfn.XLOOKUP(Tabla5[[#This Row],[EAN CORREGIDO]],'Tabla Articulos'!B:B,'Tabla Articulos'!D:D)</f>
        <v/>
      </c>
      <c r="Q167" s="96">
        <f>_xlfn.XLOOKUP(S167,'Tabla Articulos'!B:B,'Tabla Articulos'!E:E)</f>
        <v/>
      </c>
      <c r="R167" s="96">
        <f>O167*Q167</f>
        <v/>
      </c>
      <c r="S167" s="97">
        <f>TRIM(E167)</f>
        <v/>
      </c>
    </row>
    <row r="168" hidden="1">
      <c r="A168" s="22" t="n">
        <v>6</v>
      </c>
      <c r="B168" t="inlineStr">
        <is>
          <t xml:space="preserve">CDM03 - MORENO 3              </t>
        </is>
      </c>
      <c r="C168" t="inlineStr">
        <is>
          <t xml:space="preserve">GRUPO L.                      </t>
        </is>
      </c>
      <c r="E168" t="inlineStr">
        <is>
          <t xml:space="preserve">7790520028839       </t>
        </is>
      </c>
      <c r="F168" t="n">
        <v>2007384</v>
      </c>
      <c r="G168" t="inlineStr">
        <is>
          <t>DESODORANTE AEROSOL JOHNSON HARMONY</t>
        </is>
      </c>
      <c r="H168" t="inlineStr">
        <is>
          <t xml:space="preserve">UNIDAD              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4</v>
      </c>
      <c r="P168" s="96">
        <f>_xlfn.XLOOKUP(Tabla5[[#This Row],[EAN CORREGIDO]],'Tabla Articulos'!B:B,'Tabla Articulos'!D:D)</f>
        <v/>
      </c>
      <c r="Q168" s="96">
        <f>_xlfn.XLOOKUP(S168,'Tabla Articulos'!B:B,'Tabla Articulos'!E:E)</f>
        <v/>
      </c>
      <c r="R168" s="96">
        <f>O168*Q168</f>
        <v/>
      </c>
      <c r="S168" s="97">
        <f>TRIM(E168)</f>
        <v/>
      </c>
    </row>
    <row r="169" hidden="1">
      <c r="A169" s="22" t="n">
        <v>6</v>
      </c>
      <c r="B169" t="inlineStr">
        <is>
          <t xml:space="preserve">CDM03 - MORENO 3              </t>
        </is>
      </c>
      <c r="C169" t="inlineStr">
        <is>
          <t xml:space="preserve">GRUPO L.                      </t>
        </is>
      </c>
      <c r="D169" t="inlineStr">
        <is>
          <t>DESODORANTE DE PISO</t>
        </is>
      </c>
      <c r="E169" t="inlineStr">
        <is>
          <t xml:space="preserve">7798188650478       </t>
        </is>
      </c>
      <c r="F169" t="n">
        <v>2006765</v>
      </c>
      <c r="G169" t="inlineStr">
        <is>
          <t>DESODORANTE FLOWER LAVANDA 5LT THAM</t>
        </is>
      </c>
      <c r="H169" t="inlineStr">
        <is>
          <t xml:space="preserve">UNIDAD              </t>
        </is>
      </c>
      <c r="I169" t="n">
        <v>10</v>
      </c>
      <c r="J169" t="n">
        <v>0</v>
      </c>
      <c r="K169" t="n">
        <v>0</v>
      </c>
      <c r="L169" t="n">
        <v>0</v>
      </c>
      <c r="M169" t="n">
        <v>4</v>
      </c>
      <c r="N169" t="n">
        <v>0</v>
      </c>
      <c r="O169" t="n">
        <v>6</v>
      </c>
      <c r="P169" s="96">
        <f>_xlfn.XLOOKUP(Tabla5[[#This Row],[EAN CORREGIDO]],'Tabla Articulos'!B:B,'Tabla Articulos'!D:D)</f>
        <v/>
      </c>
      <c r="Q169" s="96">
        <f>_xlfn.XLOOKUP(S169,'Tabla Articulos'!B:B,'Tabla Articulos'!E:E)</f>
        <v/>
      </c>
      <c r="R169" s="96">
        <f>O169*Q169</f>
        <v/>
      </c>
      <c r="S169" s="97">
        <f>TRIM(E169)</f>
        <v/>
      </c>
    </row>
    <row r="170" hidden="1">
      <c r="A170" s="22" t="n">
        <v>6</v>
      </c>
      <c r="B170" t="inlineStr">
        <is>
          <t xml:space="preserve">CDM03 - MORENO 3              </t>
        </is>
      </c>
      <c r="C170" t="inlineStr">
        <is>
          <t xml:space="preserve">GRUPO L.                      </t>
        </is>
      </c>
      <c r="D170" s="11" t="inlineStr">
        <is>
          <t>BOLSAS RESIDUO 30 MICRO ROJAS</t>
        </is>
      </c>
      <c r="E170" t="inlineStr">
        <is>
          <t xml:space="preserve">LIM00267            </t>
        </is>
      </c>
      <c r="F170" t="n">
        <v>2006968</v>
      </c>
      <c r="G170" t="inlineStr">
        <is>
          <t xml:space="preserve">BOLSA RESID VDE 60X90X30MICXUN     </t>
        </is>
      </c>
      <c r="H170" t="inlineStr">
        <is>
          <t xml:space="preserve">UNIDAD              </t>
        </is>
      </c>
      <c r="I170" t="n">
        <v>21681</v>
      </c>
      <c r="J170" t="n">
        <v>0</v>
      </c>
      <c r="K170" t="n">
        <v>21681</v>
      </c>
      <c r="L170" t="n">
        <v>0</v>
      </c>
      <c r="M170" t="n">
        <v>0</v>
      </c>
      <c r="N170" t="n">
        <v>0</v>
      </c>
      <c r="O170" t="n">
        <v>0</v>
      </c>
      <c r="P170" s="96">
        <f>_xlfn.XLOOKUP(Tabla5[[#This Row],[EAN CORREGIDO]],'Tabla Articulos'!B:B,'Tabla Articulos'!D:D)</f>
        <v/>
      </c>
      <c r="Q170" s="96">
        <f>_xlfn.XLOOKUP(S170,'Tabla Articulos'!B:B,'Tabla Articulos'!E:E)</f>
        <v/>
      </c>
      <c r="R170" s="96">
        <f>O170*Q170</f>
        <v/>
      </c>
      <c r="S170" s="97">
        <f>TRIM(E170)</f>
        <v/>
      </c>
    </row>
    <row r="171" hidden="1">
      <c r="A171" s="22" t="n">
        <v>6</v>
      </c>
      <c r="B171" t="inlineStr">
        <is>
          <t xml:space="preserve">CDM03 - MORENO 3              </t>
        </is>
      </c>
      <c r="C171" t="inlineStr">
        <is>
          <t xml:space="preserve">GRUPO L.                      </t>
        </is>
      </c>
      <c r="E171" t="inlineStr">
        <is>
          <t xml:space="preserve">A1607C25T12         </t>
        </is>
      </c>
      <c r="F171" t="n">
        <v>9003033</v>
      </c>
      <c r="G171" t="inlineStr">
        <is>
          <t xml:space="preserve">ZAPATO SEG. NEG. 45 ATT CHUBUT     </t>
        </is>
      </c>
      <c r="H171" t="inlineStr">
        <is>
          <t xml:space="preserve">UNIDAD              </t>
        </is>
      </c>
      <c r="I171" t="n">
        <v>164</v>
      </c>
      <c r="J171" t="n">
        <v>0</v>
      </c>
      <c r="K171" t="n">
        <v>0</v>
      </c>
      <c r="L171" t="n">
        <v>1</v>
      </c>
      <c r="M171" t="n">
        <v>1</v>
      </c>
      <c r="N171" t="n">
        <v>0</v>
      </c>
      <c r="O171" t="n">
        <v>162</v>
      </c>
      <c r="P171" s="96">
        <f>_xlfn.XLOOKUP(Tabla5[[#This Row],[EAN CORREGIDO]],'Tabla Articulos'!B:B,'Tabla Articulos'!D:D)</f>
        <v/>
      </c>
      <c r="Q171" s="96">
        <f>_xlfn.XLOOKUP(S171,'Tabla Articulos'!B:B,'Tabla Articulos'!E:E)</f>
        <v/>
      </c>
      <c r="R171" s="96">
        <f>O171*Q171</f>
        <v/>
      </c>
      <c r="S171" s="97">
        <f>TRIM(E171)</f>
        <v/>
      </c>
    </row>
    <row r="172" hidden="1">
      <c r="A172" s="22" t="n">
        <v>5</v>
      </c>
      <c r="B172" t="inlineStr">
        <is>
          <t xml:space="preserve">CDM02 - MORENO 2              </t>
        </is>
      </c>
      <c r="C172" t="inlineStr">
        <is>
          <t xml:space="preserve">GRUPO L.                      </t>
        </is>
      </c>
      <c r="D172" t="inlineStr">
        <is>
          <t>JUGO POLVO NARANJA</t>
        </is>
      </c>
      <c r="E172" t="inlineStr">
        <is>
          <t xml:space="preserve">7790580143237       </t>
        </is>
      </c>
      <c r="F172" t="n">
        <v>4021273</v>
      </c>
      <c r="G172" t="inlineStr">
        <is>
          <t xml:space="preserve">JUGO POLVO NARAN X15GR ARCOR       </t>
        </is>
      </c>
      <c r="H172" t="inlineStr">
        <is>
          <t xml:space="preserve">UNIDAD              </t>
        </is>
      </c>
      <c r="I172" t="n">
        <v>100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100</v>
      </c>
      <c r="P172" s="96">
        <f>_xlfn.XLOOKUP(Tabla5[[#This Row],[EAN CORREGIDO]],'Tabla Articulos'!B:B,'Tabla Articulos'!D:D)</f>
        <v/>
      </c>
      <c r="Q172" s="96">
        <f>_xlfn.XLOOKUP(S172,'Tabla Articulos'!B:B,'Tabla Articulos'!E:E)</f>
        <v/>
      </c>
      <c r="R172" s="96">
        <f>O172*Q172</f>
        <v/>
      </c>
      <c r="S172" s="97">
        <f>TRIM(E172)</f>
        <v/>
      </c>
    </row>
    <row r="173" hidden="1">
      <c r="A173" s="22" t="n">
        <v>1</v>
      </c>
      <c r="B173" t="inlineStr">
        <is>
          <t xml:space="preserve">CD MORENO                     </t>
        </is>
      </c>
      <c r="C173" t="inlineStr">
        <is>
          <t xml:space="preserve">GRUPO L.                      </t>
        </is>
      </c>
      <c r="D173" t="inlineStr">
        <is>
          <t>JUGO POLVO NARANJA</t>
        </is>
      </c>
      <c r="E173" t="inlineStr">
        <is>
          <t xml:space="preserve">7790580143237       </t>
        </is>
      </c>
      <c r="F173" t="n">
        <v>4021273</v>
      </c>
      <c r="G173" t="inlineStr">
        <is>
          <t xml:space="preserve">JUGO POLVO NARAN X15GR ARCOR       </t>
        </is>
      </c>
      <c r="H173" t="inlineStr">
        <is>
          <t xml:space="preserve">UNIDAD              </t>
        </is>
      </c>
      <c r="I173" t="n">
        <v>132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132</v>
      </c>
      <c r="P173" s="96">
        <f>_xlfn.XLOOKUP(Tabla5[[#This Row],[EAN CORREGIDO]],'Tabla Articulos'!B:B,'Tabla Articulos'!D:D)</f>
        <v/>
      </c>
      <c r="Q173" s="96">
        <f>_xlfn.XLOOKUP(S173,'Tabla Articulos'!B:B,'Tabla Articulos'!E:E)</f>
        <v/>
      </c>
      <c r="R173" s="96">
        <f>O173*Q173</f>
        <v/>
      </c>
      <c r="S173" s="97">
        <f>TRIM(E173)</f>
        <v/>
      </c>
    </row>
    <row r="174" hidden="1">
      <c r="A174" s="22" t="n">
        <v>6</v>
      </c>
      <c r="B174" t="inlineStr">
        <is>
          <t xml:space="preserve">CDM03 - MORENO 3              </t>
        </is>
      </c>
      <c r="C174" t="inlineStr">
        <is>
          <t xml:space="preserve">GRUPO L.                      </t>
        </is>
      </c>
      <c r="E174" t="inlineStr">
        <is>
          <t xml:space="preserve">UNIF000181          </t>
        </is>
      </c>
      <c r="F174" t="n">
        <v>9003461</v>
      </c>
      <c r="G174" t="inlineStr">
        <is>
          <t xml:space="preserve">PANTALON CARGO GRIS 50 GL SUPP.    </t>
        </is>
      </c>
      <c r="H174" t="inlineStr">
        <is>
          <t xml:space="preserve">UNIDAD              </t>
        </is>
      </c>
      <c r="I174" t="n">
        <v>14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14</v>
      </c>
      <c r="P174" s="96">
        <f>_xlfn.XLOOKUP(Tabla5[[#This Row],[EAN CORREGIDO]],'Tabla Articulos'!B:B,'Tabla Articulos'!D:D)</f>
        <v/>
      </c>
      <c r="Q174" s="96">
        <f>_xlfn.XLOOKUP(S174,'Tabla Articulos'!B:B,'Tabla Articulos'!E:E)</f>
        <v/>
      </c>
      <c r="R174" s="96">
        <f>O174*Q174</f>
        <v/>
      </c>
      <c r="S174" s="97">
        <f>TRIM(E174)</f>
        <v/>
      </c>
    </row>
    <row r="175" hidden="1">
      <c r="A175" s="22" t="n">
        <v>5</v>
      </c>
      <c r="B175" t="inlineStr">
        <is>
          <t xml:space="preserve">CDM02 - MORENO 2              </t>
        </is>
      </c>
      <c r="C175" t="inlineStr">
        <is>
          <t xml:space="preserve">GRUPO L.                      </t>
        </is>
      </c>
      <c r="D175" t="inlineStr">
        <is>
          <t>ATUN A/N DESMEN</t>
        </is>
      </c>
      <c r="E175" t="inlineStr">
        <is>
          <t xml:space="preserve">7797470004821       </t>
        </is>
      </c>
      <c r="F175" t="n">
        <v>4020372</v>
      </c>
      <c r="G175" t="inlineStr">
        <is>
          <t>ATUN DES AL NATURAL X170GR EL DIQUE</t>
        </is>
      </c>
      <c r="H175" t="inlineStr">
        <is>
          <t xml:space="preserve">UNIDAD              </t>
        </is>
      </c>
      <c r="I175" t="n">
        <v>4670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4670</v>
      </c>
      <c r="P175" s="96">
        <f>_xlfn.XLOOKUP(Tabla5[[#This Row],[EAN CORREGIDO]],'Tabla Articulos'!B:B,'Tabla Articulos'!D:D)</f>
        <v/>
      </c>
      <c r="Q175" s="96">
        <f>_xlfn.XLOOKUP(S175,'Tabla Articulos'!B:B,'Tabla Articulos'!E:E)</f>
        <v/>
      </c>
      <c r="R175" s="96">
        <f>O175*Q175</f>
        <v/>
      </c>
      <c r="S175" s="97">
        <f>TRIM(E175)</f>
        <v/>
      </c>
    </row>
    <row r="176" hidden="1">
      <c r="A176" s="22" t="n">
        <v>6</v>
      </c>
      <c r="B176" t="inlineStr">
        <is>
          <t xml:space="preserve">CDM03 - MORENO 3              </t>
        </is>
      </c>
      <c r="C176" t="inlineStr">
        <is>
          <t xml:space="preserve">GRUPO L.                      </t>
        </is>
      </c>
      <c r="E176" t="inlineStr">
        <is>
          <t xml:space="preserve">BAZ000962           </t>
        </is>
      </c>
      <c r="F176" t="n">
        <v>5003025</v>
      </c>
      <c r="G176" t="inlineStr">
        <is>
          <t xml:space="preserve">OLLA ALUMINO C/TAP N°24 X 10 LTS   </t>
        </is>
      </c>
      <c r="H176" t="inlineStr">
        <is>
          <t xml:space="preserve">UNIDAD              </t>
        </is>
      </c>
      <c r="I176" t="n">
        <v>24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24</v>
      </c>
      <c r="P176" s="96">
        <f>_xlfn.XLOOKUP(Tabla5[[#This Row],[EAN CORREGIDO]],'Tabla Articulos'!B:B,'Tabla Articulos'!D:D)</f>
        <v/>
      </c>
      <c r="Q176" s="96">
        <f>_xlfn.XLOOKUP(S176,'Tabla Articulos'!B:B,'Tabla Articulos'!E:E)</f>
        <v/>
      </c>
      <c r="R176" s="96">
        <f>O176*Q176</f>
        <v/>
      </c>
      <c r="S176" s="97">
        <f>TRIM(E176)</f>
        <v/>
      </c>
    </row>
    <row r="177" hidden="1">
      <c r="A177" s="22" t="n">
        <v>6</v>
      </c>
      <c r="B177" t="inlineStr">
        <is>
          <t xml:space="preserve">CDM03 - MORENO 3              </t>
        </is>
      </c>
      <c r="C177" t="inlineStr">
        <is>
          <t xml:space="preserve">GRUPO L.                      </t>
        </is>
      </c>
      <c r="D177" t="inlineStr">
        <is>
          <t>GUANTE NITRILO</t>
        </is>
      </c>
      <c r="E177" t="inlineStr">
        <is>
          <t xml:space="preserve">888277653934        </t>
        </is>
      </c>
      <c r="F177" t="n">
        <v>2016734</v>
      </c>
      <c r="G177" t="inlineStr">
        <is>
          <t xml:space="preserve">GUANTE NITRILO M X100U MEDLINE     </t>
        </is>
      </c>
      <c r="H177" t="inlineStr">
        <is>
          <t xml:space="preserve">UNIDAD              </t>
        </is>
      </c>
      <c r="I177" t="n">
        <v>807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807</v>
      </c>
      <c r="P177" s="96">
        <f>_xlfn.XLOOKUP(Tabla5[[#This Row],[EAN CORREGIDO]],'Tabla Articulos'!B:B,'Tabla Articulos'!D:D)</f>
        <v/>
      </c>
      <c r="Q177" s="96">
        <f>_xlfn.XLOOKUP(S177,'Tabla Articulos'!B:B,'Tabla Articulos'!E:E)</f>
        <v/>
      </c>
      <c r="R177" s="96">
        <f>O177*Q177</f>
        <v/>
      </c>
      <c r="S177" s="97">
        <f>TRIM(E177)</f>
        <v/>
      </c>
    </row>
    <row r="178" hidden="1">
      <c r="A178" s="22" t="n">
        <v>6</v>
      </c>
      <c r="B178" t="inlineStr">
        <is>
          <t xml:space="preserve">CDM03 - MORENO 3              </t>
        </is>
      </c>
      <c r="C178" t="inlineStr">
        <is>
          <t xml:space="preserve">GRUPO L.                      </t>
        </is>
      </c>
      <c r="E178" t="inlineStr">
        <is>
          <t xml:space="preserve">UNIF000242          </t>
        </is>
      </c>
      <c r="F178" t="n">
        <v>9003229</v>
      </c>
      <c r="G178" t="inlineStr">
        <is>
          <t xml:space="preserve">PANTAL NAUT BLANCO SIN LOGO - T4   </t>
        </is>
      </c>
      <c r="H178" t="inlineStr">
        <is>
          <t xml:space="preserve">UNIDAD              </t>
        </is>
      </c>
      <c r="I178" t="n">
        <v>125</v>
      </c>
      <c r="J178" t="n">
        <v>0</v>
      </c>
      <c r="K178" t="n">
        <v>0</v>
      </c>
      <c r="L178" t="n">
        <v>2</v>
      </c>
      <c r="M178" t="n">
        <v>2</v>
      </c>
      <c r="N178" t="n">
        <v>0</v>
      </c>
      <c r="O178" t="n">
        <v>121</v>
      </c>
      <c r="P178" s="96">
        <f>_xlfn.XLOOKUP(Tabla5[[#This Row],[EAN CORREGIDO]],'Tabla Articulos'!B:B,'Tabla Articulos'!D:D)</f>
        <v/>
      </c>
      <c r="Q178" s="96">
        <f>_xlfn.XLOOKUP(S178,'Tabla Articulos'!B:B,'Tabla Articulos'!E:E)</f>
        <v/>
      </c>
      <c r="R178" s="96">
        <f>O178*Q178</f>
        <v/>
      </c>
      <c r="S178" s="97">
        <f>TRIM(E178)</f>
        <v/>
      </c>
    </row>
    <row r="179" hidden="1">
      <c r="A179" s="22" t="n">
        <v>5</v>
      </c>
      <c r="B179" t="inlineStr">
        <is>
          <t xml:space="preserve">CDM02 - MORENO 2              </t>
        </is>
      </c>
      <c r="C179" t="inlineStr">
        <is>
          <t xml:space="preserve">GRUPO L.                      </t>
        </is>
      </c>
      <c r="D179" t="inlineStr">
        <is>
          <t>ARROZ YAMANI</t>
        </is>
      </c>
      <c r="E179" t="inlineStr">
        <is>
          <t xml:space="preserve">0724751080530       </t>
        </is>
      </c>
      <c r="F179" t="n">
        <v>4019274</v>
      </c>
      <c r="G179" t="inlineStr">
        <is>
          <t xml:space="preserve">ARROZ YAMANI X1KG PUERTO GOURMET	  </t>
        </is>
      </c>
      <c r="H179" t="inlineStr">
        <is>
          <t xml:space="preserve">UNIDAD              </t>
        </is>
      </c>
      <c r="I179" t="n">
        <v>19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19</v>
      </c>
      <c r="P179" s="96">
        <f>_xlfn.XLOOKUP(Tabla5[[#This Row],[EAN CORREGIDO]],'Tabla Articulos'!B:B,'Tabla Articulos'!D:D)</f>
        <v/>
      </c>
      <c r="Q179" s="96">
        <f>_xlfn.XLOOKUP(S179,'Tabla Articulos'!B:B,'Tabla Articulos'!E:E)</f>
        <v/>
      </c>
      <c r="R179" s="96">
        <f>O179*Q179</f>
        <v/>
      </c>
      <c r="S179" s="97">
        <f>TRIM(E179)</f>
        <v/>
      </c>
    </row>
    <row r="180" hidden="1">
      <c r="A180" s="22" t="n">
        <v>6</v>
      </c>
      <c r="B180" t="inlineStr">
        <is>
          <t xml:space="preserve">CDM03 - MORENO 3              </t>
        </is>
      </c>
      <c r="C180" t="inlineStr">
        <is>
          <t xml:space="preserve">GRUPO L.                      </t>
        </is>
      </c>
      <c r="D180" s="11" t="n"/>
      <c r="E180" t="inlineStr">
        <is>
          <t xml:space="preserve">UNIF000047          </t>
        </is>
      </c>
      <c r="F180" t="n">
        <v>9003300</v>
      </c>
      <c r="G180" t="inlineStr">
        <is>
          <t xml:space="preserve">BUZO AZUL MARINO PULCRUS M         </t>
        </is>
      </c>
      <c r="H180" t="inlineStr">
        <is>
          <t xml:space="preserve">UNIDAD              </t>
        </is>
      </c>
      <c r="I180" t="n">
        <v>221</v>
      </c>
      <c r="J180" t="n">
        <v>0</v>
      </c>
      <c r="K180" t="n">
        <v>0</v>
      </c>
      <c r="L180" t="n">
        <v>45</v>
      </c>
      <c r="M180" t="n">
        <v>45</v>
      </c>
      <c r="N180" t="n">
        <v>0</v>
      </c>
      <c r="O180" t="n">
        <v>131</v>
      </c>
      <c r="P180" s="96">
        <f>_xlfn.XLOOKUP(Tabla5[[#This Row],[EAN CORREGIDO]],'Tabla Articulos'!B:B,'Tabla Articulos'!D:D)</f>
        <v/>
      </c>
      <c r="Q180" s="96">
        <f>_xlfn.XLOOKUP(S180,'Tabla Articulos'!B:B,'Tabla Articulos'!E:E)</f>
        <v/>
      </c>
      <c r="R180" s="96">
        <f>O180*Q180</f>
        <v/>
      </c>
      <c r="S180" s="97">
        <f>TRIM(E180)</f>
        <v/>
      </c>
    </row>
    <row r="181" hidden="1">
      <c r="A181" s="22" t="n">
        <v>6</v>
      </c>
      <c r="B181" t="inlineStr">
        <is>
          <t xml:space="preserve">CDM03 - MORENO 3              </t>
        </is>
      </c>
      <c r="C181" t="inlineStr">
        <is>
          <t xml:space="preserve">GRUPO L.                      </t>
        </is>
      </c>
      <c r="E181" t="inlineStr">
        <is>
          <t xml:space="preserve">7790520995285       </t>
        </is>
      </c>
      <c r="F181" t="n">
        <v>2007444</v>
      </c>
      <c r="G181" t="inlineStr">
        <is>
          <t xml:space="preserve">DESINFEC AER LYSOFORM 0.36L        </t>
        </is>
      </c>
      <c r="H181" t="inlineStr">
        <is>
          <t xml:space="preserve">UNIDAD              </t>
        </is>
      </c>
      <c r="I181" t="n">
        <v>926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926</v>
      </c>
      <c r="P181" s="96">
        <f>_xlfn.XLOOKUP(Tabla5[[#This Row],[EAN CORREGIDO]],'Tabla Articulos'!B:B,'Tabla Articulos'!D:D)</f>
        <v/>
      </c>
      <c r="Q181" s="96">
        <f>_xlfn.XLOOKUP(S181,'Tabla Articulos'!B:B,'Tabla Articulos'!E:E)</f>
        <v/>
      </c>
      <c r="R181" s="96">
        <f>O181*Q181</f>
        <v/>
      </c>
      <c r="S181" s="97">
        <f>TRIM(E181)</f>
        <v/>
      </c>
    </row>
    <row r="182" hidden="1">
      <c r="A182" s="22" t="n">
        <v>6</v>
      </c>
      <c r="B182" t="inlineStr">
        <is>
          <t xml:space="preserve">CDM03 - MORENO 3              </t>
        </is>
      </c>
      <c r="C182" t="inlineStr">
        <is>
          <t xml:space="preserve">GRUPO L.                      </t>
        </is>
      </c>
      <c r="E182" t="inlineStr">
        <is>
          <t xml:space="preserve">UNIF000044          </t>
        </is>
      </c>
      <c r="F182" t="n">
        <v>9003297</v>
      </c>
      <c r="G182" t="inlineStr">
        <is>
          <t xml:space="preserve">BUZO A. MARINO-FRISA ELEVARE 3XL   </t>
        </is>
      </c>
      <c r="H182" t="inlineStr">
        <is>
          <t xml:space="preserve">UNIDAD              </t>
        </is>
      </c>
      <c r="I182" t="n">
        <v>89</v>
      </c>
      <c r="J182" t="n">
        <v>0</v>
      </c>
      <c r="K182" t="n">
        <v>0</v>
      </c>
      <c r="L182" t="n">
        <v>3</v>
      </c>
      <c r="M182" t="n">
        <v>3</v>
      </c>
      <c r="N182" t="n">
        <v>0</v>
      </c>
      <c r="O182" t="n">
        <v>83</v>
      </c>
      <c r="P182" s="96">
        <f>_xlfn.XLOOKUP(Tabla5[[#This Row],[EAN CORREGIDO]],'Tabla Articulos'!B:B,'Tabla Articulos'!D:D)</f>
        <v/>
      </c>
      <c r="Q182" s="96">
        <f>_xlfn.XLOOKUP(S182,'Tabla Articulos'!B:B,'Tabla Articulos'!E:E)</f>
        <v/>
      </c>
      <c r="R182" s="96">
        <f>O182*Q182</f>
        <v/>
      </c>
      <c r="S182" s="97">
        <f>TRIM(E182)</f>
        <v/>
      </c>
    </row>
    <row r="183" hidden="1">
      <c r="A183" s="22" t="n">
        <v>6</v>
      </c>
      <c r="B183" t="inlineStr">
        <is>
          <t xml:space="preserve">CDM03 - MORENO 3              </t>
        </is>
      </c>
      <c r="C183" t="inlineStr">
        <is>
          <t xml:space="preserve">GRUPO L.                      </t>
        </is>
      </c>
      <c r="D183" s="11" t="n"/>
      <c r="E183" t="inlineStr">
        <is>
          <t xml:space="preserve">UNIF000601          </t>
        </is>
      </c>
      <c r="F183" t="n">
        <v>9003139</v>
      </c>
      <c r="G183" t="inlineStr">
        <is>
          <t xml:space="preserve">CHAQ. ESCOTE V GU NUTRICION T2     </t>
        </is>
      </c>
      <c r="H183" t="inlineStr">
        <is>
          <t xml:space="preserve">UNIDAD              </t>
        </is>
      </c>
      <c r="I183" t="n">
        <v>32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32</v>
      </c>
      <c r="P183" s="96">
        <f>_xlfn.XLOOKUP(Tabla5[[#This Row],[EAN CORREGIDO]],'Tabla Articulos'!B:B,'Tabla Articulos'!D:D)</f>
        <v/>
      </c>
      <c r="Q183" s="96">
        <f>_xlfn.XLOOKUP(S183,'Tabla Articulos'!B:B,'Tabla Articulos'!E:E)</f>
        <v/>
      </c>
      <c r="R183" s="96">
        <f>O183*Q183</f>
        <v/>
      </c>
      <c r="S183" s="97">
        <f>TRIM(E183)</f>
        <v/>
      </c>
    </row>
    <row r="184" hidden="1">
      <c r="A184" s="22" t="n">
        <v>6</v>
      </c>
      <c r="B184" t="inlineStr">
        <is>
          <t xml:space="preserve">CDM03 - MORENO 3              </t>
        </is>
      </c>
      <c r="C184" t="inlineStr">
        <is>
          <t xml:space="preserve">GRUPO L.                      </t>
        </is>
      </c>
      <c r="D184" s="11" t="n"/>
      <c r="E184" t="inlineStr">
        <is>
          <t xml:space="preserve">UNIF000305          </t>
        </is>
      </c>
      <c r="F184" t="n">
        <v>9003180</v>
      </c>
      <c r="G184" t="inlineStr">
        <is>
          <t xml:space="preserve">REME VERDE MILITAR C/REDONDO 3XL   </t>
        </is>
      </c>
      <c r="H184" t="inlineStr">
        <is>
          <t xml:space="preserve">UNIDAD              </t>
        </is>
      </c>
      <c r="I184" t="n">
        <v>56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56</v>
      </c>
      <c r="P184" s="96">
        <f>_xlfn.XLOOKUP(Tabla5[[#This Row],[EAN CORREGIDO]],'Tabla Articulos'!B:B,'Tabla Articulos'!D:D)</f>
        <v/>
      </c>
      <c r="Q184" s="96">
        <f>_xlfn.XLOOKUP(S184,'Tabla Articulos'!B:B,'Tabla Articulos'!E:E)</f>
        <v/>
      </c>
      <c r="R184" s="96">
        <f>O184*Q184</f>
        <v/>
      </c>
      <c r="S184" s="97">
        <f>TRIM(E184)</f>
        <v/>
      </c>
    </row>
    <row r="185" hidden="1">
      <c r="A185" s="22" t="n">
        <v>6</v>
      </c>
      <c r="B185" t="inlineStr">
        <is>
          <t xml:space="preserve">CDM03 - MORENO 3              </t>
        </is>
      </c>
      <c r="C185" t="inlineStr">
        <is>
          <t xml:space="preserve">GRUPO L.                      </t>
        </is>
      </c>
      <c r="D185" s="11" t="n"/>
      <c r="E185" t="inlineStr">
        <is>
          <t xml:space="preserve">UNIF000241          </t>
        </is>
      </c>
      <c r="F185" t="n">
        <v>9003228</v>
      </c>
      <c r="G185" t="inlineStr">
        <is>
          <t xml:space="preserve">PANTAL NAUT BLANCO SIN LOGO - T3   </t>
        </is>
      </c>
      <c r="H185" t="inlineStr">
        <is>
          <t xml:space="preserve">UNIDAD              </t>
        </is>
      </c>
      <c r="I185" t="n">
        <v>148</v>
      </c>
      <c r="J185" t="n">
        <v>0</v>
      </c>
      <c r="K185" t="n">
        <v>0</v>
      </c>
      <c r="L185" t="n">
        <v>3</v>
      </c>
      <c r="M185" t="n">
        <v>3</v>
      </c>
      <c r="N185" t="n">
        <v>0</v>
      </c>
      <c r="O185" t="n">
        <v>142</v>
      </c>
      <c r="P185" s="96">
        <f>_xlfn.XLOOKUP(Tabla5[[#This Row],[EAN CORREGIDO]],'Tabla Articulos'!B:B,'Tabla Articulos'!D:D)</f>
        <v/>
      </c>
      <c r="Q185" s="96">
        <f>_xlfn.XLOOKUP(S185,'Tabla Articulos'!B:B,'Tabla Articulos'!E:E)</f>
        <v/>
      </c>
      <c r="R185" s="96">
        <f>O185*Q185</f>
        <v/>
      </c>
      <c r="S185" s="97">
        <f>TRIM(E185)</f>
        <v/>
      </c>
    </row>
    <row r="186" hidden="1">
      <c r="A186" s="22" t="n">
        <v>6</v>
      </c>
      <c r="B186" t="inlineStr">
        <is>
          <t xml:space="preserve">CDM03 - MORENO 3              </t>
        </is>
      </c>
      <c r="C186" t="inlineStr">
        <is>
          <t xml:space="preserve">GRUPO L.                      </t>
        </is>
      </c>
      <c r="D186" s="11" t="n"/>
      <c r="E186" t="inlineStr">
        <is>
          <t xml:space="preserve">BAZ001276           </t>
        </is>
      </c>
      <c r="F186" t="n">
        <v>9003866</v>
      </c>
      <c r="G186" t="inlineStr">
        <is>
          <t xml:space="preserve">BOWL CUADRA B/ REDON 17.5X17.5     </t>
        </is>
      </c>
      <c r="H186" t="inlineStr">
        <is>
          <t xml:space="preserve">UNIDAD              </t>
        </is>
      </c>
      <c r="I186" t="n">
        <v>1458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1458</v>
      </c>
      <c r="P186" s="96">
        <f>_xlfn.XLOOKUP(Tabla5[[#This Row],[EAN CORREGIDO]],'Tabla Articulos'!B:B,'Tabla Articulos'!D:D)</f>
        <v/>
      </c>
      <c r="Q186" s="96">
        <f>_xlfn.XLOOKUP(S186,'Tabla Articulos'!B:B,'Tabla Articulos'!E:E)</f>
        <v/>
      </c>
      <c r="R186" s="96">
        <f>O186*Q186</f>
        <v/>
      </c>
      <c r="S186" s="97">
        <f>TRIM(E186)</f>
        <v/>
      </c>
    </row>
    <row r="187" hidden="1">
      <c r="A187" s="22" t="n">
        <v>5</v>
      </c>
      <c r="B187" t="inlineStr">
        <is>
          <t xml:space="preserve">CDM02 - MORENO 2              </t>
        </is>
      </c>
      <c r="C187" t="inlineStr">
        <is>
          <t xml:space="preserve">GRUPO L.                      </t>
        </is>
      </c>
      <c r="D187" s="11" t="inlineStr">
        <is>
          <t>JUGO INDIVIDUAL MANZANA</t>
        </is>
      </c>
      <c r="E187" t="inlineStr">
        <is>
          <t xml:space="preserve">7790895000720       </t>
        </is>
      </c>
      <c r="F187" t="n">
        <v>4017343</v>
      </c>
      <c r="G187" t="inlineStr">
        <is>
          <t xml:space="preserve">JUGO MANZANA X200ML CEPITA         </t>
        </is>
      </c>
      <c r="H187" t="inlineStr">
        <is>
          <t xml:space="preserve">UNIDAD              </t>
        </is>
      </c>
      <c r="I187" t="n">
        <v>90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90</v>
      </c>
      <c r="P187" s="96">
        <f>_xlfn.XLOOKUP(Tabla5[[#This Row],[EAN CORREGIDO]],'Tabla Articulos'!B:B,'Tabla Articulos'!D:D)</f>
        <v/>
      </c>
      <c r="Q187" s="96">
        <f>_xlfn.XLOOKUP(S187,'Tabla Articulos'!B:B,'Tabla Articulos'!E:E)</f>
        <v/>
      </c>
      <c r="R187" s="96">
        <f>O187*Q187</f>
        <v/>
      </c>
      <c r="S187" s="97">
        <f>TRIM(E187)</f>
        <v/>
      </c>
    </row>
    <row r="188" hidden="1">
      <c r="A188" s="22" t="n">
        <v>1</v>
      </c>
      <c r="B188" t="inlineStr">
        <is>
          <t xml:space="preserve">CD MORENO                     </t>
        </is>
      </c>
      <c r="C188" t="inlineStr">
        <is>
          <t xml:space="preserve">GRUPO L.                      </t>
        </is>
      </c>
      <c r="D188" t="inlineStr">
        <is>
          <t>JUGO INDIVIDUAL MANZANA</t>
        </is>
      </c>
      <c r="E188" t="inlineStr">
        <is>
          <t xml:space="preserve">7790895000720       </t>
        </is>
      </c>
      <c r="F188" t="n">
        <v>4017343</v>
      </c>
      <c r="G188" t="inlineStr">
        <is>
          <t xml:space="preserve">JUGO MANZANA X200ML CEPITA         </t>
        </is>
      </c>
      <c r="H188" t="inlineStr">
        <is>
          <t xml:space="preserve">UNIDAD              </t>
        </is>
      </c>
      <c r="I188" t="n">
        <v>1200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1200</v>
      </c>
      <c r="P188" s="96">
        <f>_xlfn.XLOOKUP(Tabla5[[#This Row],[EAN CORREGIDO]],'Tabla Articulos'!B:B,'Tabla Articulos'!D:D)</f>
        <v/>
      </c>
      <c r="Q188" s="96">
        <f>_xlfn.XLOOKUP(S188,'Tabla Articulos'!B:B,'Tabla Articulos'!E:E)</f>
        <v/>
      </c>
      <c r="R188" s="96">
        <f>O188*Q188</f>
        <v/>
      </c>
      <c r="S188" s="97">
        <f>TRIM(E188)</f>
        <v/>
      </c>
    </row>
    <row r="189" hidden="1">
      <c r="A189" s="22" t="n">
        <v>1</v>
      </c>
      <c r="B189" t="inlineStr">
        <is>
          <t xml:space="preserve">CD MORENO                     </t>
        </is>
      </c>
      <c r="C189" t="inlineStr">
        <is>
          <t xml:space="preserve">GRUPO L.                      </t>
        </is>
      </c>
      <c r="D189" t="inlineStr">
        <is>
          <t>DULCE BATATA</t>
        </is>
      </c>
      <c r="E189" t="inlineStr">
        <is>
          <t xml:space="preserve">7791113000621       </t>
        </is>
      </c>
      <c r="F189" t="n">
        <v>4020607</v>
      </c>
      <c r="G189" t="inlineStr">
        <is>
          <t xml:space="preserve">DULCE BATATA X 5KG EMETH           </t>
        </is>
      </c>
      <c r="H189" t="inlineStr">
        <is>
          <t xml:space="preserve">Kgs                 </t>
        </is>
      </c>
      <c r="I189" t="n">
        <v>462</v>
      </c>
      <c r="J189" t="n">
        <v>0</v>
      </c>
      <c r="K189" t="n">
        <v>0</v>
      </c>
      <c r="L189" t="n">
        <v>2</v>
      </c>
      <c r="M189" t="n">
        <v>2</v>
      </c>
      <c r="N189" t="n">
        <v>0</v>
      </c>
      <c r="O189" t="n">
        <v>458</v>
      </c>
      <c r="P189" s="96">
        <f>_xlfn.XLOOKUP(Tabla5[[#This Row],[EAN CORREGIDO]],'Tabla Articulos'!B:B,'Tabla Articulos'!D:D)</f>
        <v/>
      </c>
      <c r="Q189" s="96">
        <f>_xlfn.XLOOKUP(S189,'Tabla Articulos'!B:B,'Tabla Articulos'!E:E)</f>
        <v/>
      </c>
      <c r="R189" s="96">
        <f>O189*Q189</f>
        <v/>
      </c>
      <c r="S189" s="97">
        <f>TRIM(E189)</f>
        <v/>
      </c>
    </row>
    <row r="190" hidden="1">
      <c r="A190" s="22" t="n">
        <v>6</v>
      </c>
      <c r="B190" t="inlineStr">
        <is>
          <t xml:space="preserve">CDM03 - MORENO 3              </t>
        </is>
      </c>
      <c r="C190" t="inlineStr">
        <is>
          <t xml:space="preserve">GRUPO L.                      </t>
        </is>
      </c>
      <c r="E190" t="inlineStr">
        <is>
          <t xml:space="preserve">UNIF000197          </t>
        </is>
      </c>
      <c r="F190" t="n">
        <v>9003437</v>
      </c>
      <c r="G190" t="inlineStr">
        <is>
          <t xml:space="preserve">PANTA. CARGO NEGRO 48 GL SUPPORT   </t>
        </is>
      </c>
      <c r="H190" t="inlineStr">
        <is>
          <t xml:space="preserve">UNIDAD              </t>
        </is>
      </c>
      <c r="I190" t="n">
        <v>12</v>
      </c>
      <c r="J190" t="n">
        <v>0</v>
      </c>
      <c r="K190" t="n">
        <v>0</v>
      </c>
      <c r="L190" t="n">
        <v>2</v>
      </c>
      <c r="M190" t="n">
        <v>2</v>
      </c>
      <c r="N190" t="n">
        <v>0</v>
      </c>
      <c r="O190" t="n">
        <v>8</v>
      </c>
      <c r="P190" s="96">
        <f>_xlfn.XLOOKUP(Tabla5[[#This Row],[EAN CORREGIDO]],'Tabla Articulos'!B:B,'Tabla Articulos'!D:D)</f>
        <v/>
      </c>
      <c r="Q190" s="96">
        <f>_xlfn.XLOOKUP(S190,'Tabla Articulos'!B:B,'Tabla Articulos'!E:E)</f>
        <v/>
      </c>
      <c r="R190" s="96">
        <f>O190*Q190</f>
        <v/>
      </c>
      <c r="S190" s="97">
        <f>TRIM(E190)</f>
        <v/>
      </c>
    </row>
    <row r="191" hidden="1">
      <c r="A191" s="22" t="n">
        <v>6</v>
      </c>
      <c r="B191" t="inlineStr">
        <is>
          <t xml:space="preserve">CDM03 - MORENO 3              </t>
        </is>
      </c>
      <c r="C191" t="inlineStr">
        <is>
          <t xml:space="preserve">GRUPO L.                      </t>
        </is>
      </c>
      <c r="E191" t="inlineStr">
        <is>
          <t xml:space="preserve">7798057867815       </t>
        </is>
      </c>
      <c r="F191" t="n">
        <v>2007608</v>
      </c>
      <c r="G191" t="inlineStr">
        <is>
          <t xml:space="preserve">AMONIO CUATERNARIO CREW CJ 4X5L    </t>
        </is>
      </c>
      <c r="H191" t="inlineStr">
        <is>
          <t xml:space="preserve">UNIDAD              </t>
        </is>
      </c>
      <c r="I191" t="n">
        <v>0</v>
      </c>
      <c r="J191" t="n">
        <v>22</v>
      </c>
      <c r="K191" t="n">
        <v>0</v>
      </c>
      <c r="L191" t="n">
        <v>0</v>
      </c>
      <c r="M191" t="n">
        <v>0</v>
      </c>
      <c r="N191" t="n">
        <v>0</v>
      </c>
      <c r="O191" t="n">
        <v>22</v>
      </c>
      <c r="P191" s="96">
        <f>_xlfn.XLOOKUP(Tabla5[[#This Row],[EAN CORREGIDO]],'Tabla Articulos'!B:B,'Tabla Articulos'!D:D)</f>
        <v/>
      </c>
      <c r="Q191" s="96">
        <f>_xlfn.XLOOKUP(S191,'Tabla Articulos'!B:B,'Tabla Articulos'!E:E)</f>
        <v/>
      </c>
      <c r="R191" s="96">
        <f>O191*Q191</f>
        <v/>
      </c>
      <c r="S191" s="97">
        <f>TRIM(E191)</f>
        <v/>
      </c>
    </row>
    <row r="192" hidden="1">
      <c r="A192" s="22" t="n">
        <v>5</v>
      </c>
      <c r="B192" t="inlineStr">
        <is>
          <t xml:space="preserve">CDM02 - MORENO 2              </t>
        </is>
      </c>
      <c r="C192" t="inlineStr">
        <is>
          <t xml:space="preserve">GRUPO L.                      </t>
        </is>
      </c>
      <c r="D192" t="inlineStr">
        <is>
          <t>QUINOA</t>
        </is>
      </c>
      <c r="E192" t="inlineStr">
        <is>
          <t xml:space="preserve">7793323024909       </t>
        </is>
      </c>
      <c r="F192" t="n">
        <v>4077269</v>
      </c>
      <c r="G192" t="inlineStr">
        <is>
          <t xml:space="preserve"> SEMILLA QUINOA X1KG DICOMERE      </t>
        </is>
      </c>
      <c r="H192" t="inlineStr">
        <is>
          <t xml:space="preserve">UNIDAD              </t>
        </is>
      </c>
      <c r="I192" t="n">
        <v>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99</v>
      </c>
      <c r="P192" s="96">
        <f>_xlfn.XLOOKUP(Tabla5[[#This Row],[EAN CORREGIDO]],'Tabla Articulos'!B:B,'Tabla Articulos'!D:D)</f>
        <v/>
      </c>
      <c r="Q192" s="96">
        <f>_xlfn.XLOOKUP(S192,'Tabla Articulos'!B:B,'Tabla Articulos'!E:E)</f>
        <v/>
      </c>
      <c r="R192" s="96">
        <f>O192*Q192</f>
        <v/>
      </c>
      <c r="S192" s="97">
        <f>TRIM(E192)</f>
        <v/>
      </c>
    </row>
    <row r="193" hidden="1">
      <c r="A193" s="22" t="n">
        <v>6</v>
      </c>
      <c r="B193" t="inlineStr">
        <is>
          <t xml:space="preserve">CDM03 - MORENO 3              </t>
        </is>
      </c>
      <c r="C193" t="inlineStr">
        <is>
          <t xml:space="preserve">GRUPO L.                      </t>
        </is>
      </c>
      <c r="D193" s="11" t="n"/>
      <c r="E193" t="inlineStr">
        <is>
          <t xml:space="preserve">UNIF000434          </t>
        </is>
      </c>
      <c r="F193" t="n">
        <v>9003595</v>
      </c>
      <c r="G193" t="inlineStr">
        <is>
          <t xml:space="preserve">CAMPE. A. MARIN TRUCK PULCR 4XL    </t>
        </is>
      </c>
      <c r="H193" t="inlineStr">
        <is>
          <t xml:space="preserve">UNIDAD              </t>
        </is>
      </c>
      <c r="I193" t="n">
        <v>87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85</v>
      </c>
      <c r="P193" s="96">
        <f>_xlfn.XLOOKUP(Tabla5[[#This Row],[EAN CORREGIDO]],'Tabla Articulos'!B:B,'Tabla Articulos'!D:D)</f>
        <v/>
      </c>
      <c r="Q193" s="96">
        <f>_xlfn.XLOOKUP(S193,'Tabla Articulos'!B:B,'Tabla Articulos'!E:E)</f>
        <v/>
      </c>
      <c r="R193" s="96">
        <f>O193*Q193</f>
        <v/>
      </c>
      <c r="S193" s="97">
        <f>TRIM(E193)</f>
        <v/>
      </c>
    </row>
    <row r="194" hidden="1">
      <c r="A194" s="22" t="n">
        <v>5</v>
      </c>
      <c r="B194" t="inlineStr">
        <is>
          <t xml:space="preserve">CDM02 - MORENO 2              </t>
        </is>
      </c>
      <c r="C194" t="inlineStr">
        <is>
          <t xml:space="preserve">GRUPO L.                      </t>
        </is>
      </c>
      <c r="D194" t="inlineStr">
        <is>
          <t>MOUSSE LIMON</t>
        </is>
      </c>
      <c r="E194" t="inlineStr">
        <is>
          <t xml:space="preserve">7791270013649       </t>
        </is>
      </c>
      <c r="F194" t="n">
        <v>4020027</v>
      </c>
      <c r="G194" t="inlineStr">
        <is>
          <t xml:space="preserve">MOUSSE LIMON X 500G KEUKEN         </t>
        </is>
      </c>
      <c r="H194" t="inlineStr">
        <is>
          <t xml:space="preserve">UNIDAD              </t>
        </is>
      </c>
      <c r="I194" t="n">
        <v>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9</v>
      </c>
      <c r="P194" s="96">
        <f>_xlfn.XLOOKUP(Tabla5[[#This Row],[EAN CORREGIDO]],'Tabla Articulos'!B:B,'Tabla Articulos'!D:D)</f>
        <v/>
      </c>
      <c r="Q194" s="96">
        <f>_xlfn.XLOOKUP(S194,'Tabla Articulos'!B:B,'Tabla Articulos'!E:E)</f>
        <v/>
      </c>
      <c r="R194" s="96">
        <f>O194*Q194</f>
        <v/>
      </c>
      <c r="S194" s="97">
        <f>TRIM(E194)</f>
        <v/>
      </c>
    </row>
    <row r="195" hidden="1">
      <c r="A195" s="22" t="n">
        <v>1</v>
      </c>
      <c r="B195" t="inlineStr">
        <is>
          <t xml:space="preserve">CD MORENO                     </t>
        </is>
      </c>
      <c r="C195" t="inlineStr">
        <is>
          <t xml:space="preserve">GRUPO L.                      </t>
        </is>
      </c>
      <c r="D195" t="inlineStr">
        <is>
          <t>MANDARINA SAE</t>
        </is>
      </c>
      <c r="E195" t="inlineStr">
        <is>
          <t xml:space="preserve">7790216020113       </t>
        </is>
      </c>
      <c r="F195" t="n">
        <v>4018040</v>
      </c>
      <c r="G195" t="inlineStr">
        <is>
          <t xml:space="preserve">FRUTA MANDARINA SAE 100-130 XU     </t>
        </is>
      </c>
      <c r="H195" t="inlineStr">
        <is>
          <t xml:space="preserve">UNIDAD              </t>
        </is>
      </c>
      <c r="I195" t="n">
        <v>203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203</v>
      </c>
      <c r="P195" s="96">
        <f>_xlfn.XLOOKUP(Tabla5[[#This Row],[EAN CORREGIDO]],'Tabla Articulos'!B:B,'Tabla Articulos'!D:D)</f>
        <v/>
      </c>
      <c r="Q195" s="96">
        <f>_xlfn.XLOOKUP(S195,'Tabla Articulos'!B:B,'Tabla Articulos'!E:E)</f>
        <v/>
      </c>
      <c r="R195" s="96">
        <f>O195*Q195</f>
        <v/>
      </c>
      <c r="S195" s="97">
        <f>TRIM(E195)</f>
        <v/>
      </c>
    </row>
    <row r="196" hidden="1">
      <c r="A196" s="22" t="n">
        <v>5</v>
      </c>
      <c r="B196" t="inlineStr">
        <is>
          <t xml:space="preserve">CDM02 - MORENO 2              </t>
        </is>
      </c>
      <c r="C196" t="inlineStr">
        <is>
          <t xml:space="preserve">GRUPO L.                      </t>
        </is>
      </c>
      <c r="D196" t="inlineStr">
        <is>
          <t>MANDARINA SAE</t>
        </is>
      </c>
      <c r="E196" t="inlineStr">
        <is>
          <t xml:space="preserve">7790216020113       </t>
        </is>
      </c>
      <c r="F196" t="n">
        <v>4018040</v>
      </c>
      <c r="G196" t="inlineStr">
        <is>
          <t xml:space="preserve">FRUTA MANDARINA SAE 100-130 XU     </t>
        </is>
      </c>
      <c r="H196" t="inlineStr">
        <is>
          <t xml:space="preserve">UNIDAD              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s="96">
        <f>_xlfn.XLOOKUP(Tabla5[[#This Row],[EAN CORREGIDO]],'Tabla Articulos'!B:B,'Tabla Articulos'!D:D)</f>
        <v/>
      </c>
      <c r="Q196" s="96">
        <f>_xlfn.XLOOKUP(S196,'Tabla Articulos'!B:B,'Tabla Articulos'!E:E)</f>
        <v/>
      </c>
      <c r="R196" s="96">
        <f>O196*Q196</f>
        <v/>
      </c>
      <c r="S196" s="97">
        <f>TRIM(E196)</f>
        <v/>
      </c>
    </row>
    <row r="197" hidden="1">
      <c r="A197" s="22" t="n">
        <v>1</v>
      </c>
      <c r="B197" t="inlineStr">
        <is>
          <t xml:space="preserve">CD MORENO                     </t>
        </is>
      </c>
      <c r="C197" t="inlineStr">
        <is>
          <t xml:space="preserve">GRUPO L.                      </t>
        </is>
      </c>
      <c r="D197" t="inlineStr">
        <is>
          <t>SALSA DEMIGLASE</t>
        </is>
      </c>
      <c r="E197" t="inlineStr">
        <is>
          <t xml:space="preserve">7794000600652       </t>
        </is>
      </c>
      <c r="F197" t="n">
        <v>4020422</v>
      </c>
      <c r="G197" t="inlineStr">
        <is>
          <t xml:space="preserve">SALSA DEMIGLASE X 1 KG KNORR       </t>
        </is>
      </c>
      <c r="H197" t="inlineStr">
        <is>
          <t xml:space="preserve">UNIDAD              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s="96">
        <f>_xlfn.XLOOKUP(Tabla5[[#This Row],[EAN CORREGIDO]],'Tabla Articulos'!B:B,'Tabla Articulos'!D:D)</f>
        <v/>
      </c>
      <c r="Q197" s="96">
        <f>_xlfn.XLOOKUP(S197,'Tabla Articulos'!B:B,'Tabla Articulos'!E:E)</f>
        <v/>
      </c>
      <c r="R197" s="96">
        <f>O197*Q197</f>
        <v/>
      </c>
      <c r="S197" s="97">
        <f>TRIM(E197)</f>
        <v/>
      </c>
    </row>
    <row r="198" hidden="1">
      <c r="A198" s="22" t="n">
        <v>5</v>
      </c>
      <c r="B198" t="inlineStr">
        <is>
          <t xml:space="preserve">CDM02 - MORENO 2              </t>
        </is>
      </c>
      <c r="C198" t="inlineStr">
        <is>
          <t xml:space="preserve">GRUPO L.                      </t>
        </is>
      </c>
      <c r="D198" t="inlineStr">
        <is>
          <t>SALSA DEMIGLASE</t>
        </is>
      </c>
      <c r="E198" t="inlineStr">
        <is>
          <t xml:space="preserve">7794000600652       </t>
        </is>
      </c>
      <c r="F198" t="n">
        <v>4020422</v>
      </c>
      <c r="G198" t="inlineStr">
        <is>
          <t xml:space="preserve">SALSA DEMIGLASE X 1 KG KNORR       </t>
        </is>
      </c>
      <c r="H198" t="inlineStr">
        <is>
          <t xml:space="preserve">UNIDAD              </t>
        </is>
      </c>
      <c r="I198" t="n">
        <v>13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13</v>
      </c>
      <c r="P198" s="96">
        <f>_xlfn.XLOOKUP(Tabla5[[#This Row],[EAN CORREGIDO]],'Tabla Articulos'!B:B,'Tabla Articulos'!D:D)</f>
        <v/>
      </c>
      <c r="Q198" s="96">
        <f>_xlfn.XLOOKUP(S198,'Tabla Articulos'!B:B,'Tabla Articulos'!E:E)</f>
        <v/>
      </c>
      <c r="R198" s="96">
        <f>O198*Q198</f>
        <v/>
      </c>
      <c r="S198" s="97">
        <f>TRIM(E198)</f>
        <v/>
      </c>
    </row>
    <row r="199" hidden="1">
      <c r="A199" s="22" t="n">
        <v>6</v>
      </c>
      <c r="B199" t="inlineStr">
        <is>
          <t xml:space="preserve">CDM03 - MORENO 3              </t>
        </is>
      </c>
      <c r="C199" t="inlineStr">
        <is>
          <t xml:space="preserve">GRUPO L.                      </t>
        </is>
      </c>
      <c r="D199" t="inlineStr">
        <is>
          <t>ROLLO DE PAPEL PARA DISPENSER</t>
        </is>
      </c>
      <c r="E199" t="inlineStr">
        <is>
          <t xml:space="preserve">LIM000212           </t>
        </is>
      </c>
      <c r="F199" t="n">
        <v>2006229</v>
      </c>
      <c r="G199" t="inlineStr">
        <is>
          <t>TOALLA ROLLO BCO PREM 2UX300MTX2.8K</t>
        </is>
      </c>
      <c r="H199" t="inlineStr">
        <is>
          <t xml:space="preserve">UNIDAD              </t>
        </is>
      </c>
      <c r="I199" t="n">
        <v>727</v>
      </c>
      <c r="J199" t="n">
        <v>0</v>
      </c>
      <c r="K199" t="n">
        <v>0</v>
      </c>
      <c r="L199" t="n">
        <v>0</v>
      </c>
      <c r="M199" t="n">
        <v>15</v>
      </c>
      <c r="N199" t="n">
        <v>0</v>
      </c>
      <c r="O199" t="n">
        <v>712</v>
      </c>
      <c r="P199" s="96">
        <f>_xlfn.XLOOKUP(Tabla5[[#This Row],[EAN CORREGIDO]],'Tabla Articulos'!B:B,'Tabla Articulos'!D:D)</f>
        <v/>
      </c>
      <c r="Q199" s="96">
        <f>_xlfn.XLOOKUP(S199,'Tabla Articulos'!B:B,'Tabla Articulos'!E:E)</f>
        <v/>
      </c>
      <c r="R199" s="96">
        <f>O199*Q199</f>
        <v/>
      </c>
      <c r="S199" s="97">
        <f>TRIM(E199)</f>
        <v/>
      </c>
    </row>
    <row r="200" hidden="1">
      <c r="A200" s="22" t="n">
        <v>1</v>
      </c>
      <c r="B200" t="inlineStr">
        <is>
          <t xml:space="preserve">CD MORENO                     </t>
        </is>
      </c>
      <c r="C200" t="inlineStr">
        <is>
          <t xml:space="preserve">GRUPO L.                      </t>
        </is>
      </c>
      <c r="D200" t="inlineStr">
        <is>
          <t>MEDALLONES DE POLLO</t>
        </is>
      </c>
      <c r="E200" t="inlineStr">
        <is>
          <t xml:space="preserve">7798172641819       </t>
        </is>
      </c>
      <c r="F200" t="n">
        <v>4077654</v>
      </c>
      <c r="G200" t="inlineStr">
        <is>
          <t xml:space="preserve">MED POLLO REBOZADO 100G X20UN      </t>
        </is>
      </c>
      <c r="H200" t="inlineStr">
        <is>
          <t xml:space="preserve">UNIDAD              </t>
        </is>
      </c>
      <c r="I200" t="n">
        <v>600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600</v>
      </c>
      <c r="P200" s="96">
        <f>_xlfn.XLOOKUP(Tabla5[[#This Row],[EAN CORREGIDO]],'Tabla Articulos'!B:B,'Tabla Articulos'!D:D)</f>
        <v/>
      </c>
      <c r="Q200" s="96">
        <f>_xlfn.XLOOKUP(S200,'Tabla Articulos'!B:B,'Tabla Articulos'!E:E)</f>
        <v/>
      </c>
      <c r="R200" s="96">
        <f>O200*Q200</f>
        <v/>
      </c>
      <c r="S200" s="97">
        <f>TRIM(E200)</f>
        <v/>
      </c>
    </row>
    <row r="201" hidden="1">
      <c r="A201" s="22" t="n">
        <v>6</v>
      </c>
      <c r="B201" t="inlineStr">
        <is>
          <t xml:space="preserve">CDM03 - MORENO 3              </t>
        </is>
      </c>
      <c r="C201" t="inlineStr">
        <is>
          <t xml:space="preserve">GRUPO L.                      </t>
        </is>
      </c>
      <c r="E201" t="inlineStr">
        <is>
          <t xml:space="preserve">BAZ001279           </t>
        </is>
      </c>
      <c r="F201" t="n">
        <v>9003709</v>
      </c>
      <c r="G201" t="inlineStr">
        <is>
          <t xml:space="preserve">BAND FAST FOOD 45X35 NARAN CG      </t>
        </is>
      </c>
      <c r="H201" t="inlineStr">
        <is>
          <t xml:space="preserve">UNIDAD              </t>
        </is>
      </c>
      <c r="I201" t="n">
        <v>1420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1420</v>
      </c>
      <c r="P201" s="96">
        <f>_xlfn.XLOOKUP(Tabla5[[#This Row],[EAN CORREGIDO]],'Tabla Articulos'!B:B,'Tabla Articulos'!D:D)</f>
        <v/>
      </c>
      <c r="Q201" s="96">
        <f>_xlfn.XLOOKUP(S201,'Tabla Articulos'!B:B,'Tabla Articulos'!E:E)</f>
        <v/>
      </c>
      <c r="R201" s="96">
        <f>O201*Q201</f>
        <v/>
      </c>
      <c r="S201" s="97">
        <f>TRIM(E201)</f>
        <v/>
      </c>
    </row>
    <row r="202" hidden="1">
      <c r="A202" s="22" t="n">
        <v>5</v>
      </c>
      <c r="B202" t="inlineStr">
        <is>
          <t xml:space="preserve">CDM02 - MORENO 2              </t>
        </is>
      </c>
      <c r="C202" t="inlineStr">
        <is>
          <t xml:space="preserve">GRUPO L.                      </t>
        </is>
      </c>
      <c r="D202" s="11" t="inlineStr">
        <is>
          <t>MANZANA SAE</t>
        </is>
      </c>
      <c r="E202" t="inlineStr">
        <is>
          <t xml:space="preserve">7790216020106       </t>
        </is>
      </c>
      <c r="F202" t="n">
        <v>4018020</v>
      </c>
      <c r="G202" t="inlineStr">
        <is>
          <t xml:space="preserve">FRUTA MANZANA SAE X UNIDAD         </t>
        </is>
      </c>
      <c r="H202" t="inlineStr">
        <is>
          <t xml:space="preserve">UNIDAD              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s="96">
        <f>_xlfn.XLOOKUP(Tabla5[[#This Row],[EAN CORREGIDO]],'Tabla Articulos'!B:B,'Tabla Articulos'!D:D)</f>
        <v/>
      </c>
      <c r="Q202" s="96">
        <f>_xlfn.XLOOKUP(S202,'Tabla Articulos'!B:B,'Tabla Articulos'!E:E)</f>
        <v/>
      </c>
      <c r="R202" s="96">
        <f>O202*Q202</f>
        <v/>
      </c>
      <c r="S202" s="97">
        <f>TRIM(E202)</f>
        <v/>
      </c>
    </row>
    <row r="203" hidden="1">
      <c r="A203" s="22" t="n">
        <v>1</v>
      </c>
      <c r="B203" t="inlineStr">
        <is>
          <t xml:space="preserve">CD MORENO                     </t>
        </is>
      </c>
      <c r="C203" t="inlineStr">
        <is>
          <t xml:space="preserve">GRUPO L.                      </t>
        </is>
      </c>
      <c r="D203" s="11" t="inlineStr">
        <is>
          <t>MANZANA SAE</t>
        </is>
      </c>
      <c r="E203" t="inlineStr">
        <is>
          <t xml:space="preserve">7790216020106       </t>
        </is>
      </c>
      <c r="F203" t="n">
        <v>4018020</v>
      </c>
      <c r="G203" t="inlineStr">
        <is>
          <t xml:space="preserve">FRUTA MANZANA SAE X UNIDAD         </t>
        </is>
      </c>
      <c r="H203" t="inlineStr">
        <is>
          <t xml:space="preserve">UNIDAD              </t>
        </is>
      </c>
      <c r="I203" t="n">
        <v>19719</v>
      </c>
      <c r="J203" t="n">
        <v>0</v>
      </c>
      <c r="K203" t="n">
        <v>0</v>
      </c>
      <c r="L203" t="n">
        <v>427</v>
      </c>
      <c r="M203" t="n">
        <v>427</v>
      </c>
      <c r="N203" t="n">
        <v>0</v>
      </c>
      <c r="O203" t="n">
        <v>18865</v>
      </c>
      <c r="P203" s="96">
        <f>_xlfn.XLOOKUP(Tabla5[[#This Row],[EAN CORREGIDO]],'Tabla Articulos'!B:B,'Tabla Articulos'!D:D)</f>
        <v/>
      </c>
      <c r="Q203" s="96">
        <f>_xlfn.XLOOKUP(S203,'Tabla Articulos'!B:B,'Tabla Articulos'!E:E)</f>
        <v/>
      </c>
      <c r="R203" s="96">
        <f>O203*Q203</f>
        <v/>
      </c>
      <c r="S203" s="97">
        <f>TRIM(E203)</f>
        <v/>
      </c>
    </row>
    <row r="204" hidden="1">
      <c r="A204" s="22" t="n">
        <v>5</v>
      </c>
      <c r="B204" t="inlineStr">
        <is>
          <t xml:space="preserve">CDM02 - MORENO 2              </t>
        </is>
      </c>
      <c r="C204" t="inlineStr">
        <is>
          <t xml:space="preserve">GRUPO L.                      </t>
        </is>
      </c>
      <c r="D204" s="11" t="inlineStr">
        <is>
          <t>FLAN DDL</t>
        </is>
      </c>
      <c r="E204" t="inlineStr">
        <is>
          <t xml:space="preserve">7790530370218       </t>
        </is>
      </c>
      <c r="F204" t="n">
        <v>4019736</v>
      </c>
      <c r="G204" t="inlineStr">
        <is>
          <t xml:space="preserve">FLAN DULCE LECHE X1KG BEDIAL       </t>
        </is>
      </c>
      <c r="H204" t="inlineStr">
        <is>
          <t xml:space="preserve">UNIDAD              </t>
        </is>
      </c>
      <c r="I204" t="n">
        <v>115</v>
      </c>
      <c r="J204" t="n">
        <v>0</v>
      </c>
      <c r="K204" t="n">
        <v>0</v>
      </c>
      <c r="L204" t="n">
        <v>2</v>
      </c>
      <c r="M204" t="n">
        <v>2</v>
      </c>
      <c r="N204" t="n">
        <v>0</v>
      </c>
      <c r="O204" t="n">
        <v>111</v>
      </c>
      <c r="P204" s="96">
        <f>_xlfn.XLOOKUP(Tabla5[[#This Row],[EAN CORREGIDO]],'Tabla Articulos'!B:B,'Tabla Articulos'!D:D)</f>
        <v/>
      </c>
      <c r="Q204" s="96">
        <f>_xlfn.XLOOKUP(S204,'Tabla Articulos'!B:B,'Tabla Articulos'!E:E)</f>
        <v/>
      </c>
      <c r="R204" s="96">
        <f>O204*Q204</f>
        <v/>
      </c>
      <c r="S204" s="97">
        <f>TRIM(E204)</f>
        <v/>
      </c>
    </row>
    <row r="205" hidden="1">
      <c r="A205" s="22" t="n">
        <v>1</v>
      </c>
      <c r="B205" t="inlineStr">
        <is>
          <t xml:space="preserve">CD MORENO                     </t>
        </is>
      </c>
      <c r="C205" t="inlineStr">
        <is>
          <t xml:space="preserve">GRUPO L.                      </t>
        </is>
      </c>
      <c r="D205" t="inlineStr">
        <is>
          <t>FLAN DDL</t>
        </is>
      </c>
      <c r="E205" t="inlineStr">
        <is>
          <t xml:space="preserve">7790530370218       </t>
        </is>
      </c>
      <c r="F205" t="n">
        <v>4019736</v>
      </c>
      <c r="G205" t="inlineStr">
        <is>
          <t xml:space="preserve">FLAN DULCE LECHE X1KG BEDIAL       </t>
        </is>
      </c>
      <c r="H205" t="inlineStr">
        <is>
          <t xml:space="preserve">UNIDAD              </t>
        </is>
      </c>
      <c r="I205" t="n">
        <v>21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21</v>
      </c>
      <c r="P205" s="96">
        <f>_xlfn.XLOOKUP(Tabla5[[#This Row],[EAN CORREGIDO]],'Tabla Articulos'!B:B,'Tabla Articulos'!D:D)</f>
        <v/>
      </c>
      <c r="Q205" s="96">
        <f>_xlfn.XLOOKUP(S205,'Tabla Articulos'!B:B,'Tabla Articulos'!E:E)</f>
        <v/>
      </c>
      <c r="R205" s="96">
        <f>O205*Q205</f>
        <v/>
      </c>
      <c r="S205" s="97">
        <f>TRIM(E205)</f>
        <v/>
      </c>
    </row>
    <row r="206" hidden="1">
      <c r="A206" s="22" t="n">
        <v>6</v>
      </c>
      <c r="B206" t="inlineStr">
        <is>
          <t xml:space="preserve">CDM03 - MORENO 3              </t>
        </is>
      </c>
      <c r="C206" t="inlineStr">
        <is>
          <t xml:space="preserve">GRUPO L.                      </t>
        </is>
      </c>
      <c r="D206" s="11" t="n"/>
      <c r="E206" t="inlineStr">
        <is>
          <t xml:space="preserve">100ND45             </t>
        </is>
      </c>
      <c r="F206" t="n">
        <v>9004412</v>
      </c>
      <c r="G206" t="inlineStr">
        <is>
          <t xml:space="preserve">GL ZAPATO SEG. NEG. 45 GAMAX       </t>
        </is>
      </c>
      <c r="H206" t="inlineStr">
        <is>
          <t xml:space="preserve">UNIDAD              </t>
        </is>
      </c>
      <c r="I206" t="n">
        <v>0</v>
      </c>
      <c r="J206" t="n">
        <v>60</v>
      </c>
      <c r="K206" t="n">
        <v>0</v>
      </c>
      <c r="L206" t="n">
        <v>1</v>
      </c>
      <c r="M206" t="n">
        <v>1</v>
      </c>
      <c r="N206" t="n">
        <v>0</v>
      </c>
      <c r="O206" t="n">
        <v>58</v>
      </c>
      <c r="P206" s="96">
        <f>_xlfn.XLOOKUP(Tabla5[[#This Row],[EAN CORREGIDO]],'Tabla Articulos'!B:B,'Tabla Articulos'!D:D)</f>
        <v/>
      </c>
      <c r="Q206" s="96">
        <f>_xlfn.XLOOKUP(S206,'Tabla Articulos'!B:B,'Tabla Articulos'!E:E)</f>
        <v/>
      </c>
      <c r="R206" s="96">
        <f>O206*Q206</f>
        <v/>
      </c>
      <c r="S206" s="97">
        <f>TRIM(E206)</f>
        <v/>
      </c>
    </row>
    <row r="207" hidden="1">
      <c r="A207" s="22" t="n">
        <v>6</v>
      </c>
      <c r="B207" t="inlineStr">
        <is>
          <t xml:space="preserve">CDM03 - MORENO 3              </t>
        </is>
      </c>
      <c r="C207" t="inlineStr">
        <is>
          <t xml:space="preserve">GRUPO L.                      </t>
        </is>
      </c>
      <c r="D207" t="inlineStr">
        <is>
          <t>ESCOBILLA BAÑO</t>
        </is>
      </c>
      <c r="E207" t="inlineStr">
        <is>
          <t xml:space="preserve">7798086000221       </t>
        </is>
      </c>
      <c r="F207" t="n">
        <v>2006318</v>
      </c>
      <c r="G207" t="inlineStr">
        <is>
          <t xml:space="preserve">ESCOBILLA WC INYECTADA XU          </t>
        </is>
      </c>
      <c r="H207" t="inlineStr">
        <is>
          <t xml:space="preserve">UNIDAD              </t>
        </is>
      </c>
      <c r="I207" t="n">
        <v>11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</v>
      </c>
      <c r="P207" s="96">
        <f>_xlfn.XLOOKUP(Tabla5[[#This Row],[EAN CORREGIDO]],'Tabla Articulos'!B:B,'Tabla Articulos'!D:D)</f>
        <v/>
      </c>
      <c r="Q207" s="96">
        <f>_xlfn.XLOOKUP(S207,'Tabla Articulos'!B:B,'Tabla Articulos'!E:E)</f>
        <v/>
      </c>
      <c r="R207" s="96">
        <f>O207*Q207</f>
        <v/>
      </c>
      <c r="S207" s="97">
        <f>TRIM(E207)</f>
        <v/>
      </c>
    </row>
    <row r="208" hidden="1">
      <c r="A208" s="22" t="n">
        <v>6</v>
      </c>
      <c r="B208" t="inlineStr">
        <is>
          <t xml:space="preserve">CDM03 - MORENO 3              </t>
        </is>
      </c>
      <c r="C208" t="inlineStr">
        <is>
          <t xml:space="preserve">GRUPO L.                      </t>
        </is>
      </c>
      <c r="E208" t="inlineStr">
        <is>
          <t xml:space="preserve">UNIF000129          </t>
        </is>
      </c>
      <c r="F208" t="n">
        <v>9003065</v>
      </c>
      <c r="G208" t="inlineStr">
        <is>
          <t xml:space="preserve">AMBO GRIS GL SUPPORT ESC V L       </t>
        </is>
      </c>
      <c r="H208" t="inlineStr">
        <is>
          <t xml:space="preserve">UNIDAD              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13</v>
      </c>
      <c r="P208" s="96">
        <f>_xlfn.XLOOKUP(Tabla5[[#This Row],[EAN CORREGIDO]],'Tabla Articulos'!B:B,'Tabla Articulos'!D:D)</f>
        <v/>
      </c>
      <c r="Q208" s="96">
        <f>_xlfn.XLOOKUP(S208,'Tabla Articulos'!B:B,'Tabla Articulos'!E:E)</f>
        <v/>
      </c>
      <c r="R208" s="96">
        <f>O208*Q208</f>
        <v/>
      </c>
      <c r="S208" s="97">
        <f>TRIM(E208)</f>
        <v/>
      </c>
    </row>
    <row r="209" hidden="1">
      <c r="A209" s="22" t="n">
        <v>1</v>
      </c>
      <c r="B209" t="inlineStr">
        <is>
          <t xml:space="preserve">CD MORENO                     </t>
        </is>
      </c>
      <c r="C209" t="inlineStr">
        <is>
          <t xml:space="preserve">GRUPO L.                      </t>
        </is>
      </c>
      <c r="D209" t="inlineStr">
        <is>
          <t>ESENCIA VAINILLA</t>
        </is>
      </c>
      <c r="E209" t="inlineStr">
        <is>
          <t xml:space="preserve">7791113003271       </t>
        </is>
      </c>
      <c r="F209" t="n">
        <v>4020655</v>
      </c>
      <c r="G209" t="inlineStr">
        <is>
          <t xml:space="preserve">ESENCIA DE VAINILLA X1L EMETH      </t>
        </is>
      </c>
      <c r="H209" t="inlineStr">
        <is>
          <t xml:space="preserve">UNIDAD              </t>
        </is>
      </c>
      <c r="I209" t="n">
        <v>114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114</v>
      </c>
      <c r="P209" s="96">
        <f>_xlfn.XLOOKUP(Tabla5[[#This Row],[EAN CORREGIDO]],'Tabla Articulos'!B:B,'Tabla Articulos'!D:D)</f>
        <v/>
      </c>
      <c r="Q209" s="96">
        <f>_xlfn.XLOOKUP(S209,'Tabla Articulos'!B:B,'Tabla Articulos'!E:E)</f>
        <v/>
      </c>
      <c r="R209" s="96">
        <f>O209*Q209</f>
        <v/>
      </c>
      <c r="S209" s="97">
        <f>TRIM(E209)</f>
        <v/>
      </c>
    </row>
    <row r="210" hidden="1">
      <c r="A210" s="22" t="n">
        <v>5</v>
      </c>
      <c r="B210" t="inlineStr">
        <is>
          <t xml:space="preserve">CDM02 - MORENO 2              </t>
        </is>
      </c>
      <c r="C210" t="inlineStr">
        <is>
          <t xml:space="preserve">GRUPO L.                      </t>
        </is>
      </c>
      <c r="D210" s="11" t="inlineStr">
        <is>
          <t>ESENCIA VAINILLA</t>
        </is>
      </c>
      <c r="E210" t="inlineStr">
        <is>
          <t xml:space="preserve">7791113003271       </t>
        </is>
      </c>
      <c r="F210" t="n">
        <v>4020655</v>
      </c>
      <c r="G210" t="inlineStr">
        <is>
          <t xml:space="preserve">ESENCIA DE VAINILLA X1L EMETH      </t>
        </is>
      </c>
      <c r="H210" t="inlineStr">
        <is>
          <t xml:space="preserve">UNIDAD              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9</v>
      </c>
      <c r="P210" s="96">
        <f>_xlfn.XLOOKUP(Tabla5[[#This Row],[EAN CORREGIDO]],'Tabla Articulos'!B:B,'Tabla Articulos'!D:D)</f>
        <v/>
      </c>
      <c r="Q210" s="96">
        <f>_xlfn.XLOOKUP(S210,'Tabla Articulos'!B:B,'Tabla Articulos'!E:E)</f>
        <v/>
      </c>
      <c r="R210" s="96">
        <f>O210*Q210</f>
        <v/>
      </c>
      <c r="S210" s="97">
        <f>TRIM(E210)</f>
        <v/>
      </c>
    </row>
    <row r="211" hidden="1">
      <c r="A211" s="22" t="n">
        <v>6</v>
      </c>
      <c r="B211" t="inlineStr">
        <is>
          <t xml:space="preserve">CDM03 - MORENO 3              </t>
        </is>
      </c>
      <c r="C211" t="inlineStr">
        <is>
          <t xml:space="preserve">GRUPO L.                      </t>
        </is>
      </c>
      <c r="D211" s="11" t="inlineStr">
        <is>
          <t>AGITADOR</t>
        </is>
      </c>
      <c r="E211" t="inlineStr">
        <is>
          <t xml:space="preserve">13069000A           </t>
        </is>
      </c>
      <c r="F211" t="n">
        <v>2006151</v>
      </c>
      <c r="G211" t="inlineStr">
        <is>
          <t xml:space="preserve">AGITADOR X 1000 U                  </t>
        </is>
      </c>
      <c r="H211" t="inlineStr">
        <is>
          <t xml:space="preserve">UNIDAD              </t>
        </is>
      </c>
      <c r="I211" t="n">
        <v>192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192</v>
      </c>
      <c r="P211" s="96">
        <f>_xlfn.XLOOKUP(Tabla5[[#This Row],[EAN CORREGIDO]],'Tabla Articulos'!B:B,'Tabla Articulos'!D:D)</f>
        <v/>
      </c>
      <c r="Q211" s="96">
        <f>_xlfn.XLOOKUP(S211,'Tabla Articulos'!B:B,'Tabla Articulos'!E:E)</f>
        <v/>
      </c>
      <c r="R211" s="96">
        <f>O211*Q211</f>
        <v/>
      </c>
      <c r="S211" s="97">
        <f>TRIM(E211)</f>
        <v/>
      </c>
    </row>
    <row r="212" hidden="1">
      <c r="A212" s="22" t="n">
        <v>6</v>
      </c>
      <c r="B212" t="inlineStr">
        <is>
          <t xml:space="preserve">CDM03 - MORENO 3              </t>
        </is>
      </c>
      <c r="C212" t="inlineStr">
        <is>
          <t xml:space="preserve">GRUPO L.                      </t>
        </is>
      </c>
      <c r="D212" t="inlineStr">
        <is>
          <t>PAPEL HIGIENICO</t>
        </is>
      </c>
      <c r="E212" t="inlineStr">
        <is>
          <t xml:space="preserve">7896061971242       </t>
        </is>
      </c>
      <c r="F212" t="n">
        <v>2006480</v>
      </c>
      <c r="G212" t="inlineStr">
        <is>
          <t xml:space="preserve">PAPEL HIG INTERFO X250 HOJAS ELITE </t>
        </is>
      </c>
      <c r="H212" t="inlineStr">
        <is>
          <t xml:space="preserve">UNIDAD              </t>
        </is>
      </c>
      <c r="I212" t="n">
        <v>192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192</v>
      </c>
      <c r="P212" s="96">
        <f>_xlfn.XLOOKUP(Tabla5[[#This Row],[EAN CORREGIDO]],'Tabla Articulos'!B:B,'Tabla Articulos'!D:D)</f>
        <v/>
      </c>
      <c r="Q212" s="96">
        <f>_xlfn.XLOOKUP(S212,'Tabla Articulos'!B:B,'Tabla Articulos'!E:E)</f>
        <v/>
      </c>
      <c r="R212" s="96">
        <f>O212*Q212</f>
        <v/>
      </c>
      <c r="S212" s="97">
        <f>TRIM(E212)</f>
        <v/>
      </c>
    </row>
    <row r="213" hidden="1">
      <c r="A213" s="22" t="n">
        <v>5</v>
      </c>
      <c r="B213" t="inlineStr">
        <is>
          <t xml:space="preserve">CDM02 - MORENO 2              </t>
        </is>
      </c>
      <c r="C213" t="inlineStr">
        <is>
          <t xml:space="preserve">GRUPO L.                      </t>
        </is>
      </c>
      <c r="D213" s="11" t="inlineStr">
        <is>
          <t>ATUN A/N DESMEN</t>
        </is>
      </c>
      <c r="E213" t="inlineStr">
        <is>
          <t xml:space="preserve">7891167831087       </t>
        </is>
      </c>
      <c r="F213" t="n">
        <v>4021306</v>
      </c>
      <c r="G213" t="inlineStr">
        <is>
          <t xml:space="preserve">ATUN A/N DESMENUZADO X170G GOM     </t>
        </is>
      </c>
      <c r="H213" t="inlineStr">
        <is>
          <t xml:space="preserve">UNIDAD              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3</v>
      </c>
      <c r="P213" s="96">
        <f>_xlfn.XLOOKUP(Tabla5[[#This Row],[EAN CORREGIDO]],'Tabla Articulos'!B:B,'Tabla Articulos'!D:D)</f>
        <v/>
      </c>
      <c r="Q213" s="96">
        <f>_xlfn.XLOOKUP(S213,'Tabla Articulos'!B:B,'Tabla Articulos'!E:E)</f>
        <v/>
      </c>
      <c r="R213" s="96">
        <f>O213*Q213</f>
        <v/>
      </c>
      <c r="S213" s="97">
        <f>TRIM(E213)</f>
        <v/>
      </c>
    </row>
    <row r="214" hidden="1">
      <c r="A214" s="22" t="n">
        <v>6</v>
      </c>
      <c r="B214" t="inlineStr">
        <is>
          <t xml:space="preserve">CDM03 - MORENO 3              </t>
        </is>
      </c>
      <c r="C214" t="inlineStr">
        <is>
          <t xml:space="preserve">GRUPO L.                      </t>
        </is>
      </c>
      <c r="D214" t="inlineStr">
        <is>
          <t>DETERGENTE</t>
        </is>
      </c>
      <c r="E214" t="inlineStr">
        <is>
          <t xml:space="preserve">7798332280506       </t>
        </is>
      </c>
      <c r="F214" t="n">
        <v>2007489</v>
      </c>
      <c r="G214" t="inlineStr">
        <is>
          <t xml:space="preserve">DETERG PINO AMAR X5L SPARTAN       </t>
        </is>
      </c>
      <c r="H214" t="inlineStr">
        <is>
          <t xml:space="preserve">UNIDAD              </t>
        </is>
      </c>
      <c r="I214" t="n">
        <v>60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60</v>
      </c>
      <c r="P214" s="96">
        <f>_xlfn.XLOOKUP(Tabla5[[#This Row],[EAN CORREGIDO]],'Tabla Articulos'!B:B,'Tabla Articulos'!D:D)</f>
        <v/>
      </c>
      <c r="Q214" s="96">
        <f>_xlfn.XLOOKUP(S214,'Tabla Articulos'!B:B,'Tabla Articulos'!E:E)</f>
        <v/>
      </c>
      <c r="R214" s="96">
        <f>O214*Q214</f>
        <v/>
      </c>
      <c r="S214" s="97">
        <f>TRIM(E214)</f>
        <v/>
      </c>
    </row>
    <row r="215" hidden="1">
      <c r="A215" s="22" t="n">
        <v>6</v>
      </c>
      <c r="B215" t="inlineStr">
        <is>
          <t xml:space="preserve">CDM03 - MORENO 3              </t>
        </is>
      </c>
      <c r="C215" t="inlineStr">
        <is>
          <t xml:space="preserve">GRUPO L.                      </t>
        </is>
      </c>
      <c r="E215" t="inlineStr">
        <is>
          <t xml:space="preserve">LIM000235           </t>
        </is>
      </c>
      <c r="F215" t="n">
        <v>2006913</v>
      </c>
      <c r="G215" t="inlineStr">
        <is>
          <t xml:space="preserve">DISCO SCOTCH BRITE AZUL X U        </t>
        </is>
      </c>
      <c r="H215" t="inlineStr">
        <is>
          <t xml:space="preserve">UNIDAD              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6</v>
      </c>
      <c r="P215" s="96">
        <f>_xlfn.XLOOKUP(Tabla5[[#This Row],[EAN CORREGIDO]],'Tabla Articulos'!B:B,'Tabla Articulos'!D:D)</f>
        <v/>
      </c>
      <c r="Q215" s="96">
        <f>_xlfn.XLOOKUP(S215,'Tabla Articulos'!B:B,'Tabla Articulos'!E:E)</f>
        <v/>
      </c>
      <c r="R215" s="96">
        <f>O215*Q215</f>
        <v/>
      </c>
      <c r="S215" s="97">
        <f>TRIM(E215)</f>
        <v/>
      </c>
    </row>
    <row r="216" hidden="1">
      <c r="A216" s="22" t="n">
        <v>1</v>
      </c>
      <c r="B216" t="inlineStr">
        <is>
          <t xml:space="preserve">CD MORENO                     </t>
        </is>
      </c>
      <c r="C216" t="inlineStr">
        <is>
          <t xml:space="preserve">GRUPO L.                      </t>
        </is>
      </c>
      <c r="D216" t="inlineStr">
        <is>
          <t>PIMIENTA BLANCA S/TACC</t>
        </is>
      </c>
      <c r="E216" t="inlineStr">
        <is>
          <t xml:space="preserve">7797234000380       </t>
        </is>
      </c>
      <c r="F216" t="n">
        <v>4020704</v>
      </c>
      <c r="G216" t="inlineStr">
        <is>
          <t xml:space="preserve">PIMIENTA BLANCA X25G PERGOLA       </t>
        </is>
      </c>
      <c r="H216" t="inlineStr">
        <is>
          <t xml:space="preserve">UNIDAD              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5</v>
      </c>
      <c r="P216" s="96">
        <f>_xlfn.XLOOKUP(Tabla5[[#This Row],[EAN CORREGIDO]],'Tabla Articulos'!B:B,'Tabla Articulos'!D:D)</f>
        <v/>
      </c>
      <c r="Q216" s="96">
        <f>_xlfn.XLOOKUP(S216,'Tabla Articulos'!B:B,'Tabla Articulos'!E:E)</f>
        <v/>
      </c>
      <c r="R216" s="96">
        <f>O216*Q216</f>
        <v/>
      </c>
      <c r="S216" s="97">
        <f>TRIM(E216)</f>
        <v/>
      </c>
    </row>
    <row r="217" hidden="1">
      <c r="A217" s="22" t="n">
        <v>6</v>
      </c>
      <c r="B217" t="inlineStr">
        <is>
          <t xml:space="preserve">CDM03 - MORENO 3              </t>
        </is>
      </c>
      <c r="C217" t="inlineStr">
        <is>
          <t xml:space="preserve">GRUPO L.                      </t>
        </is>
      </c>
      <c r="D217" s="11" t="n"/>
      <c r="E217" t="inlineStr">
        <is>
          <t xml:space="preserve">5000761             </t>
        </is>
      </c>
      <c r="F217" t="n">
        <v>5000761</v>
      </c>
      <c r="G217" t="inlineStr">
        <is>
          <t>PROT. AUDITIVO ENDOAURAL QUANTUM LI</t>
        </is>
      </c>
      <c r="H217" t="inlineStr">
        <is>
          <t xml:space="preserve">UNIDAD              </t>
        </is>
      </c>
      <c r="I217" t="n">
        <v>296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296</v>
      </c>
      <c r="P217" s="96">
        <f>_xlfn.XLOOKUP(Tabla5[[#This Row],[EAN CORREGIDO]],'Tabla Articulos'!B:B,'Tabla Articulos'!D:D)</f>
        <v/>
      </c>
      <c r="Q217" s="96">
        <f>_xlfn.XLOOKUP(S217,'Tabla Articulos'!B:B,'Tabla Articulos'!E:E)</f>
        <v/>
      </c>
      <c r="R217" s="96">
        <f>O217*Q217</f>
        <v/>
      </c>
      <c r="S217" s="97">
        <f>TRIM(E217)</f>
        <v/>
      </c>
    </row>
    <row r="218" hidden="1">
      <c r="A218" s="22" t="n">
        <v>6</v>
      </c>
      <c r="B218" t="inlineStr">
        <is>
          <t xml:space="preserve">CDM03 - MORENO 3              </t>
        </is>
      </c>
      <c r="C218" t="inlineStr">
        <is>
          <t xml:space="preserve">GRUPO L.                      </t>
        </is>
      </c>
      <c r="E218" t="inlineStr">
        <is>
          <t xml:space="preserve">UNIF000551          </t>
        </is>
      </c>
      <c r="F218" t="n">
        <v>9003089</v>
      </c>
      <c r="G218" t="inlineStr">
        <is>
          <t xml:space="preserve">CHOMB GRIS NEG MANG CORTA VER XL   </t>
        </is>
      </c>
      <c r="H218" t="inlineStr">
        <is>
          <t xml:space="preserve">UNIDAD              </t>
        </is>
      </c>
      <c r="I218" t="n">
        <v>13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13</v>
      </c>
      <c r="P218" s="96">
        <f>_xlfn.XLOOKUP(Tabla5[[#This Row],[EAN CORREGIDO]],'Tabla Articulos'!B:B,'Tabla Articulos'!D:D)</f>
        <v/>
      </c>
      <c r="Q218" s="96">
        <f>_xlfn.XLOOKUP(S218,'Tabla Articulos'!B:B,'Tabla Articulos'!E:E)</f>
        <v/>
      </c>
      <c r="R218" s="96">
        <f>O218*Q218</f>
        <v/>
      </c>
      <c r="S218" s="97">
        <f>TRIM(E218)</f>
        <v/>
      </c>
    </row>
    <row r="219" hidden="1">
      <c r="A219" s="22" t="n">
        <v>1</v>
      </c>
      <c r="B219" t="inlineStr">
        <is>
          <t xml:space="preserve">CD MORENO                     </t>
        </is>
      </c>
      <c r="C219" t="inlineStr">
        <is>
          <t xml:space="preserve">GRUPO L.                      </t>
        </is>
      </c>
      <c r="D219" t="inlineStr">
        <is>
          <t>JUGO INDIVIDUAL NARANJA</t>
        </is>
      </c>
      <c r="E219" t="inlineStr">
        <is>
          <t xml:space="preserve">7790895649301       </t>
        </is>
      </c>
      <c r="F219" t="n">
        <v>4017287</v>
      </c>
      <c r="G219" t="inlineStr">
        <is>
          <t xml:space="preserve">JUGO NARANJA X200CC CEPITA	        </t>
        </is>
      </c>
      <c r="H219" t="inlineStr">
        <is>
          <t xml:space="preserve">UNIDAD              </t>
        </is>
      </c>
      <c r="I219" t="n">
        <v>100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100</v>
      </c>
      <c r="P219" s="96">
        <f>_xlfn.XLOOKUP(Tabla5[[#This Row],[EAN CORREGIDO]],'Tabla Articulos'!B:B,'Tabla Articulos'!D:D)</f>
        <v/>
      </c>
      <c r="Q219" s="96">
        <f>_xlfn.XLOOKUP(S219,'Tabla Articulos'!B:B,'Tabla Articulos'!E:E)</f>
        <v/>
      </c>
      <c r="R219" s="96">
        <f>O219*Q219</f>
        <v/>
      </c>
      <c r="S219" s="97">
        <f>TRIM(E219)</f>
        <v/>
      </c>
    </row>
    <row r="220" hidden="1">
      <c r="A220" s="22" t="n">
        <v>5</v>
      </c>
      <c r="B220" t="inlineStr">
        <is>
          <t xml:space="preserve">CDM02 - MORENO 2              </t>
        </is>
      </c>
      <c r="C220" t="inlineStr">
        <is>
          <t xml:space="preserve">GRUPO L.                      </t>
        </is>
      </c>
      <c r="D220" t="inlineStr">
        <is>
          <t>JUGO INDIVIDUAL NARANJA</t>
        </is>
      </c>
      <c r="E220" t="inlineStr">
        <is>
          <t xml:space="preserve">7790895649301       </t>
        </is>
      </c>
      <c r="F220" t="n">
        <v>4017287</v>
      </c>
      <c r="G220" t="inlineStr">
        <is>
          <t xml:space="preserve">JUGO NARANJA X200CC CEPITA	        </t>
        </is>
      </c>
      <c r="H220" t="inlineStr">
        <is>
          <t xml:space="preserve">UNIDAD              </t>
        </is>
      </c>
      <c r="I220" t="n">
        <v>0</v>
      </c>
      <c r="J220" t="n">
        <v>300</v>
      </c>
      <c r="K220" t="n">
        <v>0</v>
      </c>
      <c r="L220" t="n">
        <v>0</v>
      </c>
      <c r="M220" t="n">
        <v>0</v>
      </c>
      <c r="N220" t="n">
        <v>0</v>
      </c>
      <c r="O220" t="n">
        <v>300</v>
      </c>
      <c r="P220" s="96">
        <f>_xlfn.XLOOKUP(Tabla5[[#This Row],[EAN CORREGIDO]],'Tabla Articulos'!B:B,'Tabla Articulos'!D:D)</f>
        <v/>
      </c>
      <c r="Q220" s="96">
        <f>_xlfn.XLOOKUP(S220,'Tabla Articulos'!B:B,'Tabla Articulos'!E:E)</f>
        <v/>
      </c>
      <c r="R220" s="96">
        <f>O220*Q220</f>
        <v/>
      </c>
      <c r="S220" s="97">
        <f>TRIM(E220)</f>
        <v/>
      </c>
    </row>
    <row r="221" hidden="1">
      <c r="A221" s="22" t="n">
        <v>5</v>
      </c>
      <c r="B221" t="inlineStr">
        <is>
          <t xml:space="preserve">CDM02 - MORENO 2              </t>
        </is>
      </c>
      <c r="C221" t="inlineStr">
        <is>
          <t xml:space="preserve">GRUPO L.                      </t>
        </is>
      </c>
      <c r="D221" t="inlineStr">
        <is>
          <t>FIDEOS LARGO</t>
        </is>
      </c>
      <c r="E221" t="inlineStr">
        <is>
          <t xml:space="preserve">7790070336385       </t>
        </is>
      </c>
      <c r="F221" t="n">
        <v>4019455</v>
      </c>
      <c r="G221" t="inlineStr">
        <is>
          <t xml:space="preserve">FIDEO SPAGHETTI X500G LUCCHET      </t>
        </is>
      </c>
      <c r="H221" t="inlineStr">
        <is>
          <t xml:space="preserve">UNIDAD              </t>
        </is>
      </c>
      <c r="I221" t="n">
        <v>146</v>
      </c>
      <c r="J221" t="n">
        <v>300</v>
      </c>
      <c r="K221" t="n">
        <v>0</v>
      </c>
      <c r="L221" t="n">
        <v>20</v>
      </c>
      <c r="M221" t="n">
        <v>20</v>
      </c>
      <c r="N221" t="n">
        <v>0</v>
      </c>
      <c r="O221" t="n">
        <v>406</v>
      </c>
      <c r="P221" s="96">
        <f>_xlfn.XLOOKUP(Tabla5[[#This Row],[EAN CORREGIDO]],'Tabla Articulos'!B:B,'Tabla Articulos'!D:D)</f>
        <v/>
      </c>
      <c r="Q221" s="96">
        <f>_xlfn.XLOOKUP(S221,'Tabla Articulos'!B:B,'Tabla Articulos'!E:E)</f>
        <v/>
      </c>
      <c r="R221" s="96">
        <f>O221*Q221</f>
        <v/>
      </c>
      <c r="S221" s="97">
        <f>TRIM(E221)</f>
        <v/>
      </c>
    </row>
    <row r="222" hidden="1">
      <c r="A222" s="22" t="n">
        <v>1</v>
      </c>
      <c r="B222" t="inlineStr">
        <is>
          <t xml:space="preserve">CD MORENO                     </t>
        </is>
      </c>
      <c r="C222" t="inlineStr">
        <is>
          <t xml:space="preserve">GRUPO L.                      </t>
        </is>
      </c>
      <c r="D222" s="11" t="inlineStr">
        <is>
          <t>FIDEOS LARGO</t>
        </is>
      </c>
      <c r="E222" t="inlineStr">
        <is>
          <t xml:space="preserve">7790070336385       </t>
        </is>
      </c>
      <c r="F222" t="n">
        <v>4019455</v>
      </c>
      <c r="G222" t="inlineStr">
        <is>
          <t xml:space="preserve">FIDEO SPAGHETTI X500G LUCCHET      </t>
        </is>
      </c>
      <c r="H222" t="inlineStr">
        <is>
          <t xml:space="preserve">UNIDAD              </t>
        </is>
      </c>
      <c r="I222" t="n">
        <v>120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120</v>
      </c>
      <c r="P222" s="96">
        <f>_xlfn.XLOOKUP(Tabla5[[#This Row],[EAN CORREGIDO]],'Tabla Articulos'!B:B,'Tabla Articulos'!D:D)</f>
        <v/>
      </c>
      <c r="Q222" s="96">
        <f>_xlfn.XLOOKUP(S222,'Tabla Articulos'!B:B,'Tabla Articulos'!E:E)</f>
        <v/>
      </c>
      <c r="R222" s="96">
        <f>O222*Q222</f>
        <v/>
      </c>
      <c r="S222" s="97">
        <f>TRIM(E222)</f>
        <v/>
      </c>
    </row>
    <row r="223" hidden="1">
      <c r="A223" s="22" t="n">
        <v>6</v>
      </c>
      <c r="B223" t="inlineStr">
        <is>
          <t xml:space="preserve">CDM03 - MORENO 3              </t>
        </is>
      </c>
      <c r="C223" t="inlineStr">
        <is>
          <t xml:space="preserve">GRUPO L.                      </t>
        </is>
      </c>
      <c r="D223" s="11" t="n"/>
      <c r="E223" t="inlineStr">
        <is>
          <t xml:space="preserve">7798287511021       </t>
        </is>
      </c>
      <c r="F223" t="n">
        <v>2016644</v>
      </c>
      <c r="G223" t="inlineStr">
        <is>
          <t xml:space="preserve">REPUESTO P/MOPA 80 CM              </t>
        </is>
      </c>
      <c r="H223" t="inlineStr">
        <is>
          <t xml:space="preserve">UNIDAD              </t>
        </is>
      </c>
      <c r="I223" t="n">
        <v>39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39</v>
      </c>
      <c r="P223" s="96">
        <f>_xlfn.XLOOKUP(Tabla5[[#This Row],[EAN CORREGIDO]],'Tabla Articulos'!B:B,'Tabla Articulos'!D:D)</f>
        <v/>
      </c>
      <c r="Q223" s="96">
        <f>_xlfn.XLOOKUP(S223,'Tabla Articulos'!B:B,'Tabla Articulos'!E:E)</f>
        <v/>
      </c>
      <c r="R223" s="96">
        <f>O223*Q223</f>
        <v/>
      </c>
      <c r="S223" s="97">
        <f>TRIM(E223)</f>
        <v/>
      </c>
    </row>
    <row r="224" hidden="1">
      <c r="A224" s="22" t="n">
        <v>6</v>
      </c>
      <c r="B224" t="inlineStr">
        <is>
          <t xml:space="preserve">CDM03 - MORENO 3              </t>
        </is>
      </c>
      <c r="C224" t="inlineStr">
        <is>
          <t xml:space="preserve">GRUPO L.                      </t>
        </is>
      </c>
      <c r="E224" t="inlineStr">
        <is>
          <t xml:space="preserve">BUM00246            </t>
        </is>
      </c>
      <c r="F224" t="n">
        <v>1000211</v>
      </c>
      <c r="G224" t="inlineStr">
        <is>
          <t xml:space="preserve">CARRO JAULA L ESTADIO              </t>
        </is>
      </c>
      <c r="H224" t="inlineStr">
        <is>
          <t xml:space="preserve">UNIDAD              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s="96">
        <f>_xlfn.XLOOKUP(Tabla5[[#This Row],[EAN CORREGIDO]],'Tabla Articulos'!B:B,'Tabla Articulos'!D:D)</f>
        <v/>
      </c>
      <c r="Q224" s="96">
        <f>_xlfn.XLOOKUP(S224,'Tabla Articulos'!B:B,'Tabla Articulos'!E:E)</f>
        <v/>
      </c>
      <c r="R224" s="96">
        <f>O224*Q224</f>
        <v/>
      </c>
      <c r="S224" s="97">
        <f>TRIM(E224)</f>
        <v/>
      </c>
    </row>
    <row r="225" hidden="1">
      <c r="A225" s="22" t="n">
        <v>6</v>
      </c>
      <c r="B225" t="inlineStr">
        <is>
          <t xml:space="preserve">CDM03 - MORENO 3              </t>
        </is>
      </c>
      <c r="C225" t="inlineStr">
        <is>
          <t xml:space="preserve">GRUPO L.                      </t>
        </is>
      </c>
      <c r="D225" t="inlineStr">
        <is>
          <t>REPUESTO DE SECADOR</t>
        </is>
      </c>
      <c r="E225" t="inlineStr">
        <is>
          <t xml:space="preserve">LIM000382           </t>
        </is>
      </c>
      <c r="F225" t="n">
        <v>2006919</v>
      </c>
      <c r="G225" t="inlineStr">
        <is>
          <t xml:space="preserve">GOMA REPUESTO PREMIUM PULEXXU      </t>
        </is>
      </c>
      <c r="H225" t="inlineStr">
        <is>
          <t xml:space="preserve">UNIDAD              </t>
        </is>
      </c>
      <c r="I225" t="n">
        <v>75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75</v>
      </c>
      <c r="P225" s="96">
        <f>_xlfn.XLOOKUP(Tabla5[[#This Row],[EAN CORREGIDO]],'Tabla Articulos'!B:B,'Tabla Articulos'!D:D)</f>
        <v/>
      </c>
      <c r="Q225" s="96">
        <f>_xlfn.XLOOKUP(S225,'Tabla Articulos'!B:B,'Tabla Articulos'!E:E)</f>
        <v/>
      </c>
      <c r="R225" s="96">
        <f>O225*Q225</f>
        <v/>
      </c>
      <c r="S225" s="97">
        <f>TRIM(E225)</f>
        <v/>
      </c>
    </row>
    <row r="226" hidden="1">
      <c r="A226" s="22" t="n">
        <v>5</v>
      </c>
      <c r="B226" t="inlineStr">
        <is>
          <t xml:space="preserve">CDM02 - MORENO 2              </t>
        </is>
      </c>
      <c r="C226" t="inlineStr">
        <is>
          <t xml:space="preserve">GRUPO L.                      </t>
        </is>
      </c>
      <c r="D226" t="inlineStr">
        <is>
          <t>GOMITAS SURTIDAS</t>
        </is>
      </c>
      <c r="E226" t="inlineStr">
        <is>
          <t xml:space="preserve">7790580602000       </t>
        </is>
      </c>
      <c r="F226" t="n">
        <v>4077643</v>
      </c>
      <c r="G226" t="inlineStr">
        <is>
          <t xml:space="preserve">GOMITAS SURTIDAS X35G MOGUL        </t>
        </is>
      </c>
      <c r="H226" t="inlineStr">
        <is>
          <t xml:space="preserve">UNIDAD              </t>
        </is>
      </c>
      <c r="I226" t="n">
        <v>400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400</v>
      </c>
      <c r="P226" s="96">
        <f>_xlfn.XLOOKUP(Tabla5[[#This Row],[EAN CORREGIDO]],'Tabla Articulos'!B:B,'Tabla Articulos'!D:D)</f>
        <v/>
      </c>
      <c r="Q226" s="96">
        <f>_xlfn.XLOOKUP(S226,'Tabla Articulos'!B:B,'Tabla Articulos'!E:E)</f>
        <v/>
      </c>
      <c r="R226" s="96">
        <f>O226*Q226</f>
        <v/>
      </c>
      <c r="S226" s="97">
        <f>TRIM(E226)</f>
        <v/>
      </c>
    </row>
    <row r="227" hidden="1">
      <c r="A227" s="22" t="n">
        <v>6</v>
      </c>
      <c r="B227" t="inlineStr">
        <is>
          <t xml:space="preserve">CDM03 - MORENO 3              </t>
        </is>
      </c>
      <c r="C227" t="inlineStr">
        <is>
          <t xml:space="preserve">GRUPO L.                      </t>
        </is>
      </c>
      <c r="D227" s="11" t="n"/>
      <c r="E227" t="inlineStr">
        <is>
          <t xml:space="preserve">UNIF000289          </t>
        </is>
      </c>
      <c r="F227" t="n">
        <v>9003666</v>
      </c>
      <c r="G227" t="inlineStr">
        <is>
          <t xml:space="preserve">CAMPERA TRUCK.AZ. CINT. REFRAC M   </t>
        </is>
      </c>
      <c r="H227" t="inlineStr">
        <is>
          <t xml:space="preserve">UNIDAD              </t>
        </is>
      </c>
      <c r="I227" t="n">
        <v>19</v>
      </c>
      <c r="J227" t="n">
        <v>50</v>
      </c>
      <c r="K227" t="n">
        <v>0</v>
      </c>
      <c r="L227" t="n">
        <v>0</v>
      </c>
      <c r="M227" t="n">
        <v>0</v>
      </c>
      <c r="N227" t="n">
        <v>0</v>
      </c>
      <c r="O227" t="n">
        <v>69</v>
      </c>
      <c r="P227" s="96">
        <f>_xlfn.XLOOKUP(Tabla5[[#This Row],[EAN CORREGIDO]],'Tabla Articulos'!B:B,'Tabla Articulos'!D:D)</f>
        <v/>
      </c>
      <c r="Q227" s="96">
        <f>_xlfn.XLOOKUP(S227,'Tabla Articulos'!B:B,'Tabla Articulos'!E:E)</f>
        <v/>
      </c>
      <c r="R227" s="96">
        <f>O227*Q227</f>
        <v/>
      </c>
      <c r="S227" s="97">
        <f>TRIM(E227)</f>
        <v/>
      </c>
    </row>
    <row r="228" hidden="1">
      <c r="A228" s="22" t="n">
        <v>6</v>
      </c>
      <c r="B228" t="inlineStr">
        <is>
          <t xml:space="preserve">CDM03 - MORENO 3              </t>
        </is>
      </c>
      <c r="C228" t="inlineStr">
        <is>
          <t xml:space="preserve">GRUPO L.                      </t>
        </is>
      </c>
      <c r="D228" t="inlineStr">
        <is>
          <t>CAJA P/ PIZZA</t>
        </is>
      </c>
      <c r="E228" t="inlineStr">
        <is>
          <t xml:space="preserve">16032005A           </t>
        </is>
      </c>
      <c r="F228" t="n">
        <v>2006671</v>
      </c>
      <c r="G228" t="inlineStr">
        <is>
          <t xml:space="preserve">CAJA P/PIZZA GRANDE X U	           </t>
        </is>
      </c>
      <c r="H228" t="inlineStr">
        <is>
          <t xml:space="preserve">UNIDAD              </t>
        </is>
      </c>
      <c r="I228" t="n">
        <v>50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50</v>
      </c>
      <c r="P228" s="96">
        <f>_xlfn.XLOOKUP(Tabla5[[#This Row],[EAN CORREGIDO]],'Tabla Articulos'!B:B,'Tabla Articulos'!D:D)</f>
        <v/>
      </c>
      <c r="Q228" s="96">
        <f>_xlfn.XLOOKUP(S228,'Tabla Articulos'!B:B,'Tabla Articulos'!E:E)</f>
        <v/>
      </c>
      <c r="R228" s="96">
        <f>O228*Q228</f>
        <v/>
      </c>
      <c r="S228" s="97">
        <f>TRIM(E228)</f>
        <v/>
      </c>
    </row>
    <row r="229" hidden="1">
      <c r="A229" s="22" t="n">
        <v>6</v>
      </c>
      <c r="B229" t="inlineStr">
        <is>
          <t xml:space="preserve">CDM03 - MORENO 3              </t>
        </is>
      </c>
      <c r="C229" t="inlineStr">
        <is>
          <t xml:space="preserve">GRUPO L.                      </t>
        </is>
      </c>
      <c r="D229" t="inlineStr">
        <is>
          <t>FRANELA</t>
        </is>
      </c>
      <c r="E229" t="inlineStr">
        <is>
          <t xml:space="preserve">7798270246760       </t>
        </is>
      </c>
      <c r="F229" t="n">
        <v>2006348</v>
      </c>
      <c r="G229" t="inlineStr">
        <is>
          <t xml:space="preserve"> FRANELA X UNIDAD                  </t>
        </is>
      </c>
      <c r="H229" t="inlineStr">
        <is>
          <t xml:space="preserve">UNIDAD              </t>
        </is>
      </c>
      <c r="I229" t="n">
        <v>645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645</v>
      </c>
      <c r="P229" s="96">
        <f>_xlfn.XLOOKUP(Tabla5[[#This Row],[EAN CORREGIDO]],'Tabla Articulos'!B:B,'Tabla Articulos'!D:D)</f>
        <v/>
      </c>
      <c r="Q229" s="96">
        <f>_xlfn.XLOOKUP(S229,'Tabla Articulos'!B:B,'Tabla Articulos'!E:E)</f>
        <v/>
      </c>
      <c r="R229" s="96">
        <f>O229*Q229</f>
        <v/>
      </c>
      <c r="S229" s="97">
        <f>TRIM(E229)</f>
        <v/>
      </c>
    </row>
    <row r="230" hidden="1">
      <c r="A230" s="22" t="n">
        <v>6</v>
      </c>
      <c r="B230" t="inlineStr">
        <is>
          <t xml:space="preserve">CDM03 - MORENO 3              </t>
        </is>
      </c>
      <c r="C230" t="inlineStr">
        <is>
          <t xml:space="preserve">GRUPO L.                      </t>
        </is>
      </c>
      <c r="D230" s="11" t="n"/>
      <c r="E230" t="inlineStr">
        <is>
          <t xml:space="preserve">UNIF000440          </t>
        </is>
      </c>
      <c r="F230" t="n">
        <v>9003601</v>
      </c>
      <c r="G230" t="inlineStr">
        <is>
          <t xml:space="preserve">CAMPE. TRUCK A. MAR GL SUPP 3XL    </t>
        </is>
      </c>
      <c r="H230" t="inlineStr">
        <is>
          <t xml:space="preserve">UNIDAD              </t>
        </is>
      </c>
      <c r="I230" t="n">
        <v>32</v>
      </c>
      <c r="J230" t="n">
        <v>0</v>
      </c>
      <c r="K230" t="n">
        <v>0</v>
      </c>
      <c r="L230" t="n">
        <v>3</v>
      </c>
      <c r="M230" t="n">
        <v>3</v>
      </c>
      <c r="N230" t="n">
        <v>0</v>
      </c>
      <c r="O230" t="n">
        <v>26</v>
      </c>
      <c r="P230" s="96">
        <f>_xlfn.XLOOKUP(Tabla5[[#This Row],[EAN CORREGIDO]],'Tabla Articulos'!B:B,'Tabla Articulos'!D:D)</f>
        <v/>
      </c>
      <c r="Q230" s="96">
        <f>_xlfn.XLOOKUP(S230,'Tabla Articulos'!B:B,'Tabla Articulos'!E:E)</f>
        <v/>
      </c>
      <c r="R230" s="96">
        <f>O230*Q230</f>
        <v/>
      </c>
      <c r="S230" s="97">
        <f>TRIM(E230)</f>
        <v/>
      </c>
    </row>
    <row r="231" hidden="1">
      <c r="A231" s="22" t="n">
        <v>6</v>
      </c>
      <c r="B231" t="inlineStr">
        <is>
          <t xml:space="preserve">CDM03 - MORENO 3              </t>
        </is>
      </c>
      <c r="C231" t="inlineStr">
        <is>
          <t xml:space="preserve">GRUPO L.                      </t>
        </is>
      </c>
      <c r="D231" s="11" t="n"/>
      <c r="E231" t="inlineStr">
        <is>
          <t xml:space="preserve">UNIF000409          </t>
        </is>
      </c>
      <c r="F231" t="n">
        <v>9003470</v>
      </c>
      <c r="G231" t="inlineStr">
        <is>
          <t xml:space="preserve">PANTAL NEG GU/MOZO/CAJERO/ADM 7    </t>
        </is>
      </c>
      <c r="H231" t="inlineStr">
        <is>
          <t xml:space="preserve">UNIDAD              </t>
        </is>
      </c>
      <c r="I231" t="n">
        <v>18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18</v>
      </c>
      <c r="P231" s="96">
        <f>_xlfn.XLOOKUP(Tabla5[[#This Row],[EAN CORREGIDO]],'Tabla Articulos'!B:B,'Tabla Articulos'!D:D)</f>
        <v/>
      </c>
      <c r="Q231" s="96">
        <f>_xlfn.XLOOKUP(S231,'Tabla Articulos'!B:B,'Tabla Articulos'!E:E)</f>
        <v/>
      </c>
      <c r="R231" s="96">
        <f>O231*Q231</f>
        <v/>
      </c>
      <c r="S231" s="97">
        <f>TRIM(E231)</f>
        <v/>
      </c>
    </row>
    <row r="232" hidden="1">
      <c r="A232" s="22" t="n">
        <v>1</v>
      </c>
      <c r="B232" t="inlineStr">
        <is>
          <t xml:space="preserve">CD MORENO                     </t>
        </is>
      </c>
      <c r="C232" t="inlineStr">
        <is>
          <t xml:space="preserve">GRUPO L.                      </t>
        </is>
      </c>
      <c r="D232" t="inlineStr">
        <is>
          <t>MERLUZA A/A</t>
        </is>
      </c>
      <c r="E232" t="inlineStr">
        <is>
          <t xml:space="preserve">7790748235149       </t>
        </is>
      </c>
      <c r="F232" t="n">
        <v>4019656</v>
      </c>
      <c r="G232" t="inlineStr">
        <is>
          <t xml:space="preserve">MERLUZA A/A X380GR PUGLISI         </t>
        </is>
      </c>
      <c r="H232" t="inlineStr">
        <is>
          <t xml:space="preserve">UNIDAD              </t>
        </is>
      </c>
      <c r="I232" t="n">
        <v>623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623</v>
      </c>
      <c r="P232" s="96">
        <f>_xlfn.XLOOKUP(Tabla5[[#This Row],[EAN CORREGIDO]],'Tabla Articulos'!B:B,'Tabla Articulos'!D:D)</f>
        <v/>
      </c>
      <c r="Q232" s="96">
        <f>_xlfn.XLOOKUP(S232,'Tabla Articulos'!B:B,'Tabla Articulos'!E:E)</f>
        <v/>
      </c>
      <c r="R232" s="96">
        <f>O232*Q232</f>
        <v/>
      </c>
      <c r="S232" s="97">
        <f>TRIM(E232)</f>
        <v/>
      </c>
    </row>
    <row r="233" hidden="1">
      <c r="A233" s="22" t="n">
        <v>5</v>
      </c>
      <c r="B233" t="inlineStr">
        <is>
          <t xml:space="preserve">CDM02 - MORENO 2              </t>
        </is>
      </c>
      <c r="C233" t="inlineStr">
        <is>
          <t xml:space="preserve">GRUPO L.                      </t>
        </is>
      </c>
      <c r="D233" t="inlineStr">
        <is>
          <t>GALLE COCO INDIV</t>
        </is>
      </c>
      <c r="E233" t="inlineStr">
        <is>
          <t xml:space="preserve">7798188380184       </t>
        </is>
      </c>
      <c r="F233" t="n">
        <v>4024051</v>
      </c>
      <c r="G233" t="inlineStr">
        <is>
          <t xml:space="preserve">GALLE IND COCO 25G CAUTIVA         </t>
        </is>
      </c>
      <c r="H233" t="inlineStr">
        <is>
          <t xml:space="preserve">UNIDAD              </t>
        </is>
      </c>
      <c r="I233" t="n">
        <v>46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46</v>
      </c>
      <c r="P233" s="96">
        <f>_xlfn.XLOOKUP(Tabla5[[#This Row],[EAN CORREGIDO]],'Tabla Articulos'!B:B,'Tabla Articulos'!D:D)</f>
        <v/>
      </c>
      <c r="Q233" s="96">
        <f>_xlfn.XLOOKUP(S233,'Tabla Articulos'!B:B,'Tabla Articulos'!E:E)</f>
        <v/>
      </c>
      <c r="R233" s="96">
        <f>O233*Q233</f>
        <v/>
      </c>
      <c r="S233" s="97">
        <f>TRIM(E233)</f>
        <v/>
      </c>
    </row>
    <row r="234" hidden="1">
      <c r="A234" s="22" t="n">
        <v>1</v>
      </c>
      <c r="B234" t="inlineStr">
        <is>
          <t xml:space="preserve">CD MORENO                     </t>
        </is>
      </c>
      <c r="C234" t="inlineStr">
        <is>
          <t xml:space="preserve">GRUPO L.                      </t>
        </is>
      </c>
      <c r="D234" s="11" t="inlineStr">
        <is>
          <t>GALLE COCO INDIV</t>
        </is>
      </c>
      <c r="E234" t="inlineStr">
        <is>
          <t xml:space="preserve">7798188380184       </t>
        </is>
      </c>
      <c r="F234" t="n">
        <v>4024051</v>
      </c>
      <c r="G234" t="inlineStr">
        <is>
          <t xml:space="preserve">GALLE IND COCO 25G CAUTIVA         </t>
        </is>
      </c>
      <c r="H234" t="inlineStr">
        <is>
          <t xml:space="preserve">UNIDAD              </t>
        </is>
      </c>
      <c r="I234" t="n">
        <v>14223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14223</v>
      </c>
      <c r="P234" s="96">
        <f>_xlfn.XLOOKUP(Tabla5[[#This Row],[EAN CORREGIDO]],'Tabla Articulos'!B:B,'Tabla Articulos'!D:D)</f>
        <v/>
      </c>
      <c r="Q234" s="96">
        <f>_xlfn.XLOOKUP(S234,'Tabla Articulos'!B:B,'Tabla Articulos'!E:E)</f>
        <v/>
      </c>
      <c r="R234" s="96">
        <f>O234*Q234</f>
        <v/>
      </c>
      <c r="S234" s="97">
        <f>TRIM(E234)</f>
        <v/>
      </c>
    </row>
    <row r="235" hidden="1">
      <c r="A235" s="22" t="n">
        <v>1</v>
      </c>
      <c r="B235" t="inlineStr">
        <is>
          <t xml:space="preserve">CD MORENO                     </t>
        </is>
      </c>
      <c r="C235" t="inlineStr">
        <is>
          <t xml:space="preserve">GRUPO L.                      </t>
        </is>
      </c>
      <c r="D235" t="inlineStr">
        <is>
          <t>ARVEJA CONGELADA</t>
        </is>
      </c>
      <c r="E235" t="inlineStr">
        <is>
          <t xml:space="preserve">7798184272919       </t>
        </is>
      </c>
      <c r="F235" t="n">
        <v>4023648</v>
      </c>
      <c r="G235" t="inlineStr">
        <is>
          <t xml:space="preserve">ARVEJA IQF X500GR BIOMAC           </t>
        </is>
      </c>
      <c r="H235" t="inlineStr">
        <is>
          <t xml:space="preserve">UNIDAD              </t>
        </is>
      </c>
      <c r="I235" t="n">
        <v>28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28</v>
      </c>
      <c r="P235" s="96">
        <f>_xlfn.XLOOKUP(Tabla5[[#This Row],[EAN CORREGIDO]],'Tabla Articulos'!B:B,'Tabla Articulos'!D:D)</f>
        <v/>
      </c>
      <c r="Q235" s="96">
        <f>_xlfn.XLOOKUP(S235,'Tabla Articulos'!B:B,'Tabla Articulos'!E:E)</f>
        <v/>
      </c>
      <c r="R235" s="96">
        <f>O235*Q235</f>
        <v/>
      </c>
      <c r="S235" s="97">
        <f>TRIM(E235)</f>
        <v/>
      </c>
    </row>
    <row r="236" hidden="1">
      <c r="A236" s="22" t="n">
        <v>1</v>
      </c>
      <c r="B236" t="inlineStr">
        <is>
          <t xml:space="preserve">CD MORENO                     </t>
        </is>
      </c>
      <c r="C236" t="inlineStr">
        <is>
          <t xml:space="preserve">GRUPO L.                      </t>
        </is>
      </c>
      <c r="D236" t="inlineStr">
        <is>
          <t>CARNE ENTERA</t>
        </is>
      </c>
      <c r="E236" t="inlineStr">
        <is>
          <t xml:space="preserve">7790212030112       </t>
        </is>
      </c>
      <c r="F236" t="n">
        <v>4017746</v>
      </c>
      <c r="G236" t="inlineStr">
        <is>
          <t xml:space="preserve">ROAST BEAF X KG                    </t>
        </is>
      </c>
      <c r="H236" t="inlineStr">
        <is>
          <t xml:space="preserve">Kgs                 </t>
        </is>
      </c>
      <c r="I236" t="n">
        <v>0</v>
      </c>
      <c r="J236" t="n">
        <v>1499.99</v>
      </c>
      <c r="K236" t="n">
        <v>1499.99</v>
      </c>
      <c r="L236" t="n">
        <v>0</v>
      </c>
      <c r="M236" t="n">
        <v>0</v>
      </c>
      <c r="N236" t="n">
        <v>68</v>
      </c>
      <c r="O236" t="n">
        <v>-68</v>
      </c>
      <c r="P236" s="96">
        <f>_xlfn.XLOOKUP(Tabla5[[#This Row],[EAN CORREGIDO]],'Tabla Articulos'!B:B,'Tabla Articulos'!D:D)</f>
        <v/>
      </c>
      <c r="Q236" s="96">
        <f>_xlfn.XLOOKUP(S236,'Tabla Articulos'!B:B,'Tabla Articulos'!E:E)</f>
        <v/>
      </c>
      <c r="R236" s="96">
        <f>O236*Q236</f>
        <v/>
      </c>
      <c r="S236" s="97">
        <f>TRIM(E236)</f>
        <v/>
      </c>
    </row>
    <row r="237" hidden="1">
      <c r="A237" s="22" t="n">
        <v>6</v>
      </c>
      <c r="B237" t="inlineStr">
        <is>
          <t xml:space="preserve">CDM03 - MORENO 3              </t>
        </is>
      </c>
      <c r="C237" t="inlineStr">
        <is>
          <t xml:space="preserve">GRUPO L.                      </t>
        </is>
      </c>
      <c r="E237" t="inlineStr">
        <is>
          <t xml:space="preserve">UNIF000498          </t>
        </is>
      </c>
      <c r="F237" t="n">
        <v>9003586</v>
      </c>
      <c r="G237" t="inlineStr">
        <is>
          <t xml:space="preserve">CAMI GRIS CAMAR. RET. T54 C GOUR   </t>
        </is>
      </c>
      <c r="H237" t="inlineStr">
        <is>
          <t xml:space="preserve">UNIDAD              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5</v>
      </c>
      <c r="P237" s="96">
        <f>_xlfn.XLOOKUP(Tabla5[[#This Row],[EAN CORREGIDO]],'Tabla Articulos'!B:B,'Tabla Articulos'!D:D)</f>
        <v/>
      </c>
      <c r="Q237" s="96">
        <f>_xlfn.XLOOKUP(S237,'Tabla Articulos'!B:B,'Tabla Articulos'!E:E)</f>
        <v/>
      </c>
      <c r="R237" s="96">
        <f>O237*Q237</f>
        <v/>
      </c>
      <c r="S237" s="97">
        <f>TRIM(E237)</f>
        <v/>
      </c>
    </row>
    <row r="238" hidden="1">
      <c r="A238" s="22" t="n">
        <v>1</v>
      </c>
      <c r="B238" t="inlineStr">
        <is>
          <t xml:space="preserve">CD MORENO                     </t>
        </is>
      </c>
      <c r="C238" t="inlineStr">
        <is>
          <t xml:space="preserve">GRUPO L.                      </t>
        </is>
      </c>
      <c r="D238" t="inlineStr">
        <is>
          <t>SALCHICHA PASTEU</t>
        </is>
      </c>
      <c r="E238" t="inlineStr">
        <is>
          <t xml:space="preserve">7790079010828       </t>
        </is>
      </c>
      <c r="F238" t="n">
        <v>4017562</v>
      </c>
      <c r="G238" t="inlineStr">
        <is>
          <t xml:space="preserve">SALCHICHA X 6 U PALADINI           </t>
        </is>
      </c>
      <c r="H238" t="inlineStr">
        <is>
          <t xml:space="preserve">UNIDAD              </t>
        </is>
      </c>
      <c r="I238" t="n">
        <v>55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55</v>
      </c>
      <c r="P238" s="96">
        <f>_xlfn.XLOOKUP(Tabla5[[#This Row],[EAN CORREGIDO]],'Tabla Articulos'!B:B,'Tabla Articulos'!D:D)</f>
        <v/>
      </c>
      <c r="Q238" s="96">
        <f>_xlfn.XLOOKUP(S238,'Tabla Articulos'!B:B,'Tabla Articulos'!E:E)</f>
        <v/>
      </c>
      <c r="R238" s="96">
        <f>O238*Q238</f>
        <v/>
      </c>
      <c r="S238" s="97">
        <f>TRIM(E238)</f>
        <v/>
      </c>
    </row>
    <row r="239" hidden="1">
      <c r="A239" s="22" t="n">
        <v>1</v>
      </c>
      <c r="B239" t="inlineStr">
        <is>
          <t xml:space="preserve">CD MORENO                     </t>
        </is>
      </c>
      <c r="C239" t="inlineStr">
        <is>
          <t xml:space="preserve">GRUPO L.                      </t>
        </is>
      </c>
      <c r="D239" t="inlineStr">
        <is>
          <t>ARVEJA</t>
        </is>
      </c>
      <c r="E239" t="inlineStr">
        <is>
          <t xml:space="preserve">7790790120257       </t>
        </is>
      </c>
      <c r="F239" t="n">
        <v>4019665</v>
      </c>
      <c r="G239" t="inlineStr">
        <is>
          <t xml:space="preserve">ARVEJA X 350 G INCA                </t>
        </is>
      </c>
      <c r="H239" t="inlineStr">
        <is>
          <t xml:space="preserve">UNIDAD              </t>
        </is>
      </c>
      <c r="I239" t="n">
        <v>20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20</v>
      </c>
      <c r="P239" s="96">
        <f>_xlfn.XLOOKUP(Tabla5[[#This Row],[EAN CORREGIDO]],'Tabla Articulos'!B:B,'Tabla Articulos'!D:D)</f>
        <v/>
      </c>
      <c r="Q239" s="96">
        <f>_xlfn.XLOOKUP(S239,'Tabla Articulos'!B:B,'Tabla Articulos'!E:E)</f>
        <v/>
      </c>
      <c r="R239" s="96">
        <f>O239*Q239</f>
        <v/>
      </c>
      <c r="S239" s="97">
        <f>TRIM(E239)</f>
        <v/>
      </c>
    </row>
    <row r="240" hidden="1">
      <c r="A240" s="22" t="n">
        <v>6</v>
      </c>
      <c r="B240" t="inlineStr">
        <is>
          <t xml:space="preserve">CDM03 - MORENO 3              </t>
        </is>
      </c>
      <c r="C240" t="inlineStr">
        <is>
          <t xml:space="preserve">GRUPO L.                      </t>
        </is>
      </c>
      <c r="D240" s="11" t="n"/>
      <c r="E240" t="inlineStr">
        <is>
          <t xml:space="preserve">UNIF000042          </t>
        </is>
      </c>
      <c r="F240" t="n">
        <v>9003295</v>
      </c>
      <c r="G240" t="inlineStr">
        <is>
          <t xml:space="preserve">BUZO AZUL ELEVARE XL               </t>
        </is>
      </c>
      <c r="H240" t="inlineStr">
        <is>
          <t xml:space="preserve">UNIDAD              </t>
        </is>
      </c>
      <c r="I240" t="n">
        <v>160</v>
      </c>
      <c r="J240" t="n">
        <v>0</v>
      </c>
      <c r="K240" t="n">
        <v>0</v>
      </c>
      <c r="L240" t="n">
        <v>17</v>
      </c>
      <c r="M240" t="n">
        <v>17</v>
      </c>
      <c r="N240" t="n">
        <v>0</v>
      </c>
      <c r="O240" t="n">
        <v>126</v>
      </c>
      <c r="P240" s="96">
        <f>_xlfn.XLOOKUP(Tabla5[[#This Row],[EAN CORREGIDO]],'Tabla Articulos'!B:B,'Tabla Articulos'!D:D)</f>
        <v/>
      </c>
      <c r="Q240" s="96">
        <f>_xlfn.XLOOKUP(S240,'Tabla Articulos'!B:B,'Tabla Articulos'!E:E)</f>
        <v/>
      </c>
      <c r="R240" s="96">
        <f>O240*Q240</f>
        <v/>
      </c>
      <c r="S240" s="97">
        <f>TRIM(E240)</f>
        <v/>
      </c>
    </row>
    <row r="241" hidden="1">
      <c r="A241" s="22" t="n">
        <v>1</v>
      </c>
      <c r="B241" t="inlineStr">
        <is>
          <t xml:space="preserve">CD MORENO                     </t>
        </is>
      </c>
      <c r="C241" t="inlineStr">
        <is>
          <t xml:space="preserve">GRUPO L.                      </t>
        </is>
      </c>
      <c r="D241" s="11" t="inlineStr">
        <is>
          <t>CARNE ENTERA</t>
        </is>
      </c>
      <c r="E241" t="inlineStr">
        <is>
          <t xml:space="preserve">7790212030062       </t>
        </is>
      </c>
      <c r="F241" t="n">
        <v>4017744</v>
      </c>
      <c r="G241" t="inlineStr">
        <is>
          <t xml:space="preserve">NALGA SIN TAPA X KG                </t>
        </is>
      </c>
      <c r="H241" t="inlineStr">
        <is>
          <t xml:space="preserve">Kgs                 </t>
        </is>
      </c>
      <c r="I241" t="n">
        <v>201.44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201.44</v>
      </c>
      <c r="P241" s="96">
        <f>_xlfn.XLOOKUP(Tabla5[[#This Row],[EAN CORREGIDO]],'Tabla Articulos'!B:B,'Tabla Articulos'!D:D)</f>
        <v/>
      </c>
      <c r="Q241" s="96">
        <f>_xlfn.XLOOKUP(S241,'Tabla Articulos'!B:B,'Tabla Articulos'!E:E)</f>
        <v/>
      </c>
      <c r="R241" s="96">
        <f>O241*Q241</f>
        <v/>
      </c>
      <c r="S241" s="97">
        <f>TRIM(E241)</f>
        <v/>
      </c>
    </row>
    <row r="242" hidden="1">
      <c r="A242" s="22" t="n">
        <v>6</v>
      </c>
      <c r="B242" t="inlineStr">
        <is>
          <t xml:space="preserve">CDM03 - MORENO 3              </t>
        </is>
      </c>
      <c r="C242" t="inlineStr">
        <is>
          <t xml:space="preserve">GRUPO L.                      </t>
        </is>
      </c>
      <c r="D242" s="11" t="n"/>
      <c r="E242" t="inlineStr">
        <is>
          <t xml:space="preserve">UNIF000530          </t>
        </is>
      </c>
      <c r="F242" t="n">
        <v>9003232</v>
      </c>
      <c r="G242" t="inlineStr">
        <is>
          <t xml:space="preserve">DELANTERO NEGRO NUTRIRE            </t>
        </is>
      </c>
      <c r="H242" t="inlineStr">
        <is>
          <t xml:space="preserve">UNIDAD              </t>
        </is>
      </c>
      <c r="I242" t="n">
        <v>310</v>
      </c>
      <c r="J242" t="n">
        <v>700</v>
      </c>
      <c r="K242" t="n">
        <v>0</v>
      </c>
      <c r="L242" t="n">
        <v>3</v>
      </c>
      <c r="M242" t="n">
        <v>3</v>
      </c>
      <c r="N242" t="n">
        <v>0</v>
      </c>
      <c r="O242" t="n">
        <v>1004</v>
      </c>
      <c r="P242" s="96">
        <f>_xlfn.XLOOKUP(Tabla5[[#This Row],[EAN CORREGIDO]],'Tabla Articulos'!B:B,'Tabla Articulos'!D:D)</f>
        <v/>
      </c>
      <c r="Q242" s="96">
        <f>_xlfn.XLOOKUP(S242,'Tabla Articulos'!B:B,'Tabla Articulos'!E:E)</f>
        <v/>
      </c>
      <c r="R242" s="96">
        <f>O242*Q242</f>
        <v/>
      </c>
      <c r="S242" s="97">
        <f>TRIM(E242)</f>
        <v/>
      </c>
    </row>
    <row r="243" hidden="1">
      <c r="A243" s="22" t="n">
        <v>6</v>
      </c>
      <c r="B243" t="inlineStr">
        <is>
          <t xml:space="preserve">CDM03 - MORENO 3              </t>
        </is>
      </c>
      <c r="C243" t="inlineStr">
        <is>
          <t xml:space="preserve">GRUPO L.                      </t>
        </is>
      </c>
      <c r="D243" s="11" t="n"/>
      <c r="E243" t="inlineStr">
        <is>
          <t xml:space="preserve">7793253004255       </t>
        </is>
      </c>
      <c r="F243" t="n">
        <v>2011448</v>
      </c>
      <c r="G243" t="inlineStr">
        <is>
          <t xml:space="preserve">GL DESOD.BEBE 360CC AROM.POET      </t>
        </is>
      </c>
      <c r="H243" t="inlineStr">
        <is>
          <t xml:space="preserve">UNIDAD              </t>
        </is>
      </c>
      <c r="I243" t="n">
        <v>562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562</v>
      </c>
      <c r="P243" s="96">
        <f>_xlfn.XLOOKUP(Tabla5[[#This Row],[EAN CORREGIDO]],'Tabla Articulos'!B:B,'Tabla Articulos'!D:D)</f>
        <v/>
      </c>
      <c r="Q243" s="96">
        <f>_xlfn.XLOOKUP(S243,'Tabla Articulos'!B:B,'Tabla Articulos'!E:E)</f>
        <v/>
      </c>
      <c r="R243" s="96">
        <f>O243*Q243</f>
        <v/>
      </c>
      <c r="S243" s="97">
        <f>TRIM(E243)</f>
        <v/>
      </c>
    </row>
    <row r="244" hidden="1">
      <c r="A244" s="22" t="n">
        <v>5</v>
      </c>
      <c r="B244" t="inlineStr">
        <is>
          <t xml:space="preserve">CDM02 - MORENO 2              </t>
        </is>
      </c>
      <c r="C244" t="inlineStr">
        <is>
          <t xml:space="preserve">GRUPO L.                      </t>
        </is>
      </c>
      <c r="D244" s="11" t="inlineStr">
        <is>
          <t>ARROZ PARBOIL</t>
        </is>
      </c>
      <c r="E244" t="inlineStr">
        <is>
          <t xml:space="preserve">7790847060543       </t>
        </is>
      </c>
      <c r="F244" t="n">
        <v>4019857</v>
      </c>
      <c r="G244" t="inlineStr">
        <is>
          <t xml:space="preserve">ARROZ PARBOIL X 1KG DON MARCOS     </t>
        </is>
      </c>
      <c r="H244" t="inlineStr">
        <is>
          <t xml:space="preserve">UNIDAD              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s="96">
        <f>_xlfn.XLOOKUP(Tabla5[[#This Row],[EAN CORREGIDO]],'Tabla Articulos'!B:B,'Tabla Articulos'!D:D)</f>
        <v/>
      </c>
      <c r="Q244" s="96">
        <f>_xlfn.XLOOKUP(S244,'Tabla Articulos'!B:B,'Tabla Articulos'!E:E)</f>
        <v/>
      </c>
      <c r="R244" s="96">
        <f>O244*Q244</f>
        <v/>
      </c>
      <c r="S244" s="97">
        <f>TRIM(E244)</f>
        <v/>
      </c>
    </row>
    <row r="245" hidden="1">
      <c r="A245" s="22" t="n">
        <v>1</v>
      </c>
      <c r="B245" t="inlineStr">
        <is>
          <t xml:space="preserve">CD MORENO                     </t>
        </is>
      </c>
      <c r="C245" t="inlineStr">
        <is>
          <t xml:space="preserve">GRUPO L.                      </t>
        </is>
      </c>
      <c r="D245" t="inlineStr">
        <is>
          <t>ARROZ PARBOIL</t>
        </is>
      </c>
      <c r="E245" t="inlineStr">
        <is>
          <t xml:space="preserve">7790847060543       </t>
        </is>
      </c>
      <c r="F245" t="n">
        <v>4019857</v>
      </c>
      <c r="G245" t="inlineStr">
        <is>
          <t xml:space="preserve">ARROZ PARBOIL X 1KG DON MARCOS     </t>
        </is>
      </c>
      <c r="H245" t="inlineStr">
        <is>
          <t xml:space="preserve">UNIDAD              </t>
        </is>
      </c>
      <c r="I245" t="n">
        <v>92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92</v>
      </c>
      <c r="P245" s="96">
        <f>_xlfn.XLOOKUP(Tabla5[[#This Row],[EAN CORREGIDO]],'Tabla Articulos'!B:B,'Tabla Articulos'!D:D)</f>
        <v/>
      </c>
      <c r="Q245" s="96">
        <f>_xlfn.XLOOKUP(S245,'Tabla Articulos'!B:B,'Tabla Articulos'!E:E)</f>
        <v/>
      </c>
      <c r="R245" s="96">
        <f>O245*Q245</f>
        <v/>
      </c>
      <c r="S245" s="97">
        <f>TRIM(E245)</f>
        <v/>
      </c>
    </row>
    <row r="246" hidden="1">
      <c r="A246" s="22" t="n">
        <v>6</v>
      </c>
      <c r="B246" t="inlineStr">
        <is>
          <t xml:space="preserve">CDM03 - MORENO 3              </t>
        </is>
      </c>
      <c r="C246" t="inlineStr">
        <is>
          <t xml:space="preserve">GRUPO L.                      </t>
        </is>
      </c>
      <c r="E246" t="inlineStr">
        <is>
          <t xml:space="preserve">7790000000662       </t>
        </is>
      </c>
      <c r="F246" t="n">
        <v>2011417</v>
      </c>
      <c r="G246" t="inlineStr">
        <is>
          <t xml:space="preserve">ESPATULA RASPIN X U                </t>
        </is>
      </c>
      <c r="H246" t="inlineStr">
        <is>
          <t xml:space="preserve">UNIDAD              </t>
        </is>
      </c>
      <c r="I246" t="n">
        <v>212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212</v>
      </c>
      <c r="P246" s="96">
        <f>_xlfn.XLOOKUP(Tabla5[[#This Row],[EAN CORREGIDO]],'Tabla Articulos'!B:B,'Tabla Articulos'!D:D)</f>
        <v/>
      </c>
      <c r="Q246" s="96">
        <f>_xlfn.XLOOKUP(S246,'Tabla Articulos'!B:B,'Tabla Articulos'!E:E)</f>
        <v/>
      </c>
      <c r="R246" s="96">
        <f>O246*Q246</f>
        <v/>
      </c>
      <c r="S246" s="97">
        <f>TRIM(E246)</f>
        <v/>
      </c>
    </row>
    <row r="247" hidden="1">
      <c r="A247" s="22" t="n">
        <v>1</v>
      </c>
      <c r="B247" t="inlineStr">
        <is>
          <t xml:space="preserve">CD MORENO                     </t>
        </is>
      </c>
      <c r="C247" t="inlineStr">
        <is>
          <t xml:space="preserve">GRUPO L.                      </t>
        </is>
      </c>
      <c r="D247" t="inlineStr">
        <is>
          <t>POLLO CONGELADO</t>
        </is>
      </c>
      <c r="E247" t="inlineStr">
        <is>
          <t xml:space="preserve">7798172641512       </t>
        </is>
      </c>
      <c r="F247" t="n">
        <v>4017662</v>
      </c>
      <c r="G247" t="inlineStr">
        <is>
          <t xml:space="preserve">SUPREMA CONGELADA X5KG SOYCHU	     </t>
        </is>
      </c>
      <c r="H247" t="inlineStr">
        <is>
          <t xml:space="preserve">Kgs                 </t>
        </is>
      </c>
      <c r="I247" t="n">
        <v>74</v>
      </c>
      <c r="J247" t="n">
        <v>0</v>
      </c>
      <c r="K247" t="n">
        <v>0</v>
      </c>
      <c r="L247" t="n">
        <v>33</v>
      </c>
      <c r="M247" t="n">
        <v>33</v>
      </c>
      <c r="N247" t="n">
        <v>0</v>
      </c>
      <c r="O247" t="n">
        <v>8</v>
      </c>
      <c r="P247" s="96">
        <f>_xlfn.XLOOKUP(Tabla5[[#This Row],[EAN CORREGIDO]],'Tabla Articulos'!B:B,'Tabla Articulos'!D:D)</f>
        <v/>
      </c>
      <c r="Q247" s="96">
        <f>_xlfn.XLOOKUP(S247,'Tabla Articulos'!B:B,'Tabla Articulos'!E:E)</f>
        <v/>
      </c>
      <c r="R247" s="96">
        <f>O247*Q247</f>
        <v/>
      </c>
      <c r="S247" s="97">
        <f>TRIM(E247)</f>
        <v/>
      </c>
    </row>
    <row r="248" hidden="1">
      <c r="A248" s="22" t="n">
        <v>1</v>
      </c>
      <c r="B248" t="inlineStr">
        <is>
          <t xml:space="preserve">CD MORENO                     </t>
        </is>
      </c>
      <c r="C248" t="inlineStr">
        <is>
          <t xml:space="preserve">GRUPO L.                      </t>
        </is>
      </c>
      <c r="D248" t="inlineStr">
        <is>
          <t>FLAN DDL</t>
        </is>
      </c>
      <c r="E248" t="inlineStr">
        <is>
          <t xml:space="preserve">7790530370300       </t>
        </is>
      </c>
      <c r="F248" t="n">
        <v>4019839</v>
      </c>
      <c r="G248" t="inlineStr">
        <is>
          <t xml:space="preserve">FLAN DULCE DE LECHE X 5K BEDIAL    </t>
        </is>
      </c>
      <c r="H248" t="inlineStr">
        <is>
          <t xml:space="preserve">UNIDAD              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3</v>
      </c>
      <c r="P248" s="96">
        <f>_xlfn.XLOOKUP(Tabla5[[#This Row],[EAN CORREGIDO]],'Tabla Articulos'!B:B,'Tabla Articulos'!D:D)</f>
        <v/>
      </c>
      <c r="Q248" s="96">
        <f>_xlfn.XLOOKUP(S248,'Tabla Articulos'!B:B,'Tabla Articulos'!E:E)</f>
        <v/>
      </c>
      <c r="R248" s="96">
        <f>O248*Q248</f>
        <v/>
      </c>
      <c r="S248" s="97">
        <f>TRIM(E248)</f>
        <v/>
      </c>
    </row>
    <row r="249" hidden="1">
      <c r="A249" s="22" t="n">
        <v>6</v>
      </c>
      <c r="B249" t="inlineStr">
        <is>
          <t xml:space="preserve">CDM03 - MORENO 3              </t>
        </is>
      </c>
      <c r="C249" t="inlineStr">
        <is>
          <t xml:space="preserve">GRUPO L.                      </t>
        </is>
      </c>
      <c r="E249" t="inlineStr">
        <is>
          <t xml:space="preserve">UNIF000018          </t>
        </is>
      </c>
      <c r="F249" t="n">
        <v>9003049</v>
      </c>
      <c r="G249" t="inlineStr">
        <is>
          <t xml:space="preserve">CHA.AMB A.MAR. ESCO.V PULCR 2XL    </t>
        </is>
      </c>
      <c r="H249" t="inlineStr">
        <is>
          <t xml:space="preserve">UNIDAD              </t>
        </is>
      </c>
      <c r="I249" t="n">
        <v>140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140</v>
      </c>
      <c r="P249" s="96">
        <f>_xlfn.XLOOKUP(Tabla5[[#This Row],[EAN CORREGIDO]],'Tabla Articulos'!B:B,'Tabla Articulos'!D:D)</f>
        <v/>
      </c>
      <c r="Q249" s="96">
        <f>_xlfn.XLOOKUP(S249,'Tabla Articulos'!B:B,'Tabla Articulos'!E:E)</f>
        <v/>
      </c>
      <c r="R249" s="96">
        <f>O249*Q249</f>
        <v/>
      </c>
      <c r="S249" s="97">
        <f>TRIM(E249)</f>
        <v/>
      </c>
    </row>
    <row r="250" hidden="1">
      <c r="A250" s="22" t="n">
        <v>1</v>
      </c>
      <c r="B250" t="inlineStr">
        <is>
          <t xml:space="preserve">CD MORENO                     </t>
        </is>
      </c>
      <c r="C250" t="inlineStr">
        <is>
          <t xml:space="preserve">GRUPO L.                      </t>
        </is>
      </c>
      <c r="D250" t="inlineStr">
        <is>
          <t xml:space="preserve">LECHE MATERNIZADA </t>
        </is>
      </c>
      <c r="E250" t="inlineStr">
        <is>
          <t xml:space="preserve">7798181641411       </t>
        </is>
      </c>
      <c r="F250" t="n">
        <v>4018214</v>
      </c>
      <c r="G250" t="inlineStr">
        <is>
          <t xml:space="preserve">LECHE BB1 ADVANCEDX200CC SANC	     </t>
        </is>
      </c>
      <c r="H250" t="inlineStr">
        <is>
          <t xml:space="preserve">UNIDAD              </t>
        </is>
      </c>
      <c r="I250" t="n">
        <v>7937</v>
      </c>
      <c r="J250" t="n">
        <v>3512</v>
      </c>
      <c r="K250" t="n">
        <v>0</v>
      </c>
      <c r="L250" t="n">
        <v>240</v>
      </c>
      <c r="M250" t="n">
        <v>240</v>
      </c>
      <c r="N250" t="n">
        <v>0</v>
      </c>
      <c r="O250" t="n">
        <v>10969</v>
      </c>
      <c r="P250" s="96">
        <f>_xlfn.XLOOKUP(Tabla5[[#This Row],[EAN CORREGIDO]],'Tabla Articulos'!B:B,'Tabla Articulos'!D:D)</f>
        <v/>
      </c>
      <c r="Q250" s="96">
        <f>_xlfn.XLOOKUP(S250,'Tabla Articulos'!B:B,'Tabla Articulos'!E:E)</f>
        <v/>
      </c>
      <c r="R250" s="96">
        <f>O250*Q250</f>
        <v/>
      </c>
      <c r="S250" s="97">
        <f>TRIM(E250)</f>
        <v/>
      </c>
    </row>
    <row r="251" hidden="1">
      <c r="A251" s="22" t="n">
        <v>1</v>
      </c>
      <c r="B251" t="inlineStr">
        <is>
          <t xml:space="preserve">CD MORENO                     </t>
        </is>
      </c>
      <c r="C251" t="inlineStr">
        <is>
          <t xml:space="preserve">GRUPO L.                      </t>
        </is>
      </c>
      <c r="D251" s="11" t="inlineStr">
        <is>
          <t>PANADERIA CONGELADA</t>
        </is>
      </c>
      <c r="E251" t="inlineStr">
        <is>
          <t xml:space="preserve">7798088625420       </t>
        </is>
      </c>
      <c r="F251" t="n">
        <v>4018460</v>
      </c>
      <c r="G251" t="inlineStr">
        <is>
          <t>BUDIN ENTERO FRUTOS SECOS XU SELYGE</t>
        </is>
      </c>
      <c r="H251" t="inlineStr">
        <is>
          <t xml:space="preserve">UNIDAD              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8</v>
      </c>
      <c r="P251" s="96">
        <f>_xlfn.XLOOKUP(Tabla5[[#This Row],[EAN CORREGIDO]],'Tabla Articulos'!B:B,'Tabla Articulos'!D:D)</f>
        <v/>
      </c>
      <c r="Q251" s="96">
        <f>_xlfn.XLOOKUP(S251,'Tabla Articulos'!B:B,'Tabla Articulos'!E:E)</f>
        <v/>
      </c>
      <c r="R251" s="96">
        <f>O251*Q251</f>
        <v/>
      </c>
      <c r="S251" s="97">
        <f>TRIM(E251)</f>
        <v/>
      </c>
    </row>
    <row r="252" hidden="1">
      <c r="A252" s="22" t="n">
        <v>6</v>
      </c>
      <c r="B252" t="inlineStr">
        <is>
          <t xml:space="preserve">CDM03 - MORENO 3              </t>
        </is>
      </c>
      <c r="C252" t="inlineStr">
        <is>
          <t xml:space="preserve">GRUPO L.                      </t>
        </is>
      </c>
      <c r="E252" t="inlineStr">
        <is>
          <t xml:space="preserve">UNIF000619          </t>
        </is>
      </c>
      <c r="F252" t="n">
        <v>9003157</v>
      </c>
      <c r="G252" t="inlineStr">
        <is>
          <t xml:space="preserve">GORRA F1 NEGRA C GOUR              </t>
        </is>
      </c>
      <c r="H252" t="inlineStr">
        <is>
          <t xml:space="preserve">UNIDAD              </t>
        </is>
      </c>
      <c r="I252" t="n">
        <v>114</v>
      </c>
      <c r="J252" t="n">
        <v>350</v>
      </c>
      <c r="K252" t="n">
        <v>0</v>
      </c>
      <c r="L252" t="n">
        <v>0</v>
      </c>
      <c r="M252" t="n">
        <v>0</v>
      </c>
      <c r="N252" t="n">
        <v>0</v>
      </c>
      <c r="O252" t="n">
        <v>464</v>
      </c>
      <c r="P252" s="96">
        <f>_xlfn.XLOOKUP(Tabla5[[#This Row],[EAN CORREGIDO]],'Tabla Articulos'!B:B,'Tabla Articulos'!D:D)</f>
        <v/>
      </c>
      <c r="Q252" s="96">
        <f>_xlfn.XLOOKUP(S252,'Tabla Articulos'!B:B,'Tabla Articulos'!E:E)</f>
        <v/>
      </c>
      <c r="R252" s="96">
        <f>O252*Q252</f>
        <v/>
      </c>
      <c r="S252" s="97">
        <f>TRIM(E252)</f>
        <v/>
      </c>
    </row>
    <row r="253" hidden="1">
      <c r="A253" s="22" t="n">
        <v>6</v>
      </c>
      <c r="B253" t="inlineStr">
        <is>
          <t xml:space="preserve">CDM03 - MORENO 3              </t>
        </is>
      </c>
      <c r="C253" t="inlineStr">
        <is>
          <t xml:space="preserve">GRUPO L.                      </t>
        </is>
      </c>
      <c r="E253" t="inlineStr">
        <is>
          <t xml:space="preserve">UNIF000383          </t>
        </is>
      </c>
      <c r="F253" t="n">
        <v>9003647</v>
      </c>
      <c r="G253" t="inlineStr">
        <is>
          <t xml:space="preserve">SWEATER AZUL-LANA 2XL              </t>
        </is>
      </c>
      <c r="H253" t="inlineStr">
        <is>
          <t xml:space="preserve">UNIDAD              </t>
        </is>
      </c>
      <c r="I253" t="n">
        <v>20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20</v>
      </c>
      <c r="P253" s="96">
        <f>_xlfn.XLOOKUP(Tabla5[[#This Row],[EAN CORREGIDO]],'Tabla Articulos'!B:B,'Tabla Articulos'!D:D)</f>
        <v/>
      </c>
      <c r="Q253" s="96">
        <f>_xlfn.XLOOKUP(S253,'Tabla Articulos'!B:B,'Tabla Articulos'!E:E)</f>
        <v/>
      </c>
      <c r="R253" s="96">
        <f>O253*Q253</f>
        <v/>
      </c>
      <c r="S253" s="97">
        <f>TRIM(E253)</f>
        <v/>
      </c>
    </row>
    <row r="254" hidden="1">
      <c r="A254" s="22" t="n">
        <v>6</v>
      </c>
      <c r="B254" t="inlineStr">
        <is>
          <t xml:space="preserve">CDM03 - MORENO 3              </t>
        </is>
      </c>
      <c r="C254" t="inlineStr">
        <is>
          <t xml:space="preserve">GRUPO L.                      </t>
        </is>
      </c>
      <c r="D254" t="inlineStr">
        <is>
          <t>BOLSAS RESIDUO 30 MICRO NEGRA</t>
        </is>
      </c>
      <c r="E254" t="inlineStr">
        <is>
          <t xml:space="preserve">16010002A           </t>
        </is>
      </c>
      <c r="F254" t="n">
        <v>2006691</v>
      </c>
      <c r="G254" t="inlineStr">
        <is>
          <t xml:space="preserve">BOLSA RESIDUO NEGRA 45X60X50U      </t>
        </is>
      </c>
      <c r="H254" t="inlineStr">
        <is>
          <t xml:space="preserve">UNIDAD              </t>
        </is>
      </c>
      <c r="I254" t="n">
        <v>1175</v>
      </c>
      <c r="J254" t="n">
        <v>0</v>
      </c>
      <c r="K254" t="n">
        <v>0</v>
      </c>
      <c r="L254" t="n">
        <v>71</v>
      </c>
      <c r="M254" t="n">
        <v>71</v>
      </c>
      <c r="N254" t="n">
        <v>71</v>
      </c>
      <c r="O254" t="n">
        <v>962</v>
      </c>
      <c r="P254" s="96">
        <f>_xlfn.XLOOKUP(Tabla5[[#This Row],[EAN CORREGIDO]],'Tabla Articulos'!B:B,'Tabla Articulos'!D:D)</f>
        <v/>
      </c>
      <c r="Q254" s="96">
        <f>_xlfn.XLOOKUP(S254,'Tabla Articulos'!B:B,'Tabla Articulos'!E:E)</f>
        <v/>
      </c>
      <c r="R254" s="96">
        <f>O254*Q254</f>
        <v/>
      </c>
      <c r="S254" s="97">
        <f>TRIM(E254)</f>
        <v/>
      </c>
    </row>
    <row r="255" hidden="1">
      <c r="A255" s="22" t="n">
        <v>6</v>
      </c>
      <c r="B255" t="inlineStr">
        <is>
          <t xml:space="preserve">CDM03 - MORENO 3              </t>
        </is>
      </c>
      <c r="C255" t="inlineStr">
        <is>
          <t xml:space="preserve">GRUPO L.                      </t>
        </is>
      </c>
      <c r="E255" t="inlineStr">
        <is>
          <t xml:space="preserve">UNIF000659          </t>
        </is>
      </c>
      <c r="F255" t="n">
        <v>9003995</v>
      </c>
      <c r="G255" t="inlineStr">
        <is>
          <t xml:space="preserve">PANTALON CARGO NEGRO 44            </t>
        </is>
      </c>
      <c r="H255" t="inlineStr">
        <is>
          <t xml:space="preserve">UNIDAD              </t>
        </is>
      </c>
      <c r="I255" t="n">
        <v>89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89</v>
      </c>
      <c r="P255" s="96">
        <f>_xlfn.XLOOKUP(Tabla5[[#This Row],[EAN CORREGIDO]],'Tabla Articulos'!B:B,'Tabla Articulos'!D:D)</f>
        <v/>
      </c>
      <c r="Q255" s="96">
        <f>_xlfn.XLOOKUP(S255,'Tabla Articulos'!B:B,'Tabla Articulos'!E:E)</f>
        <v/>
      </c>
      <c r="R255" s="96">
        <f>O255*Q255</f>
        <v/>
      </c>
      <c r="S255" s="97">
        <f>TRIM(E255)</f>
        <v/>
      </c>
    </row>
    <row r="256" hidden="1">
      <c r="A256" s="22" t="n">
        <v>1</v>
      </c>
      <c r="B256" t="inlineStr">
        <is>
          <t xml:space="preserve">CD MORENO                     </t>
        </is>
      </c>
      <c r="C256" t="inlineStr">
        <is>
          <t xml:space="preserve">GRUPO L.                      </t>
        </is>
      </c>
      <c r="D256" t="inlineStr">
        <is>
          <t>FIDEOS GUISEROS</t>
        </is>
      </c>
      <c r="E256" t="inlineStr">
        <is>
          <t xml:space="preserve">7794080001561       </t>
        </is>
      </c>
      <c r="F256" t="n">
        <v>4020073</v>
      </c>
      <c r="G256" t="inlineStr">
        <is>
          <t>FIDEO GUIS TIRAB X500G DON BERNABEU</t>
        </is>
      </c>
      <c r="H256" t="inlineStr">
        <is>
          <t xml:space="preserve">UNIDAD              </t>
        </is>
      </c>
      <c r="I256" t="n">
        <v>61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61</v>
      </c>
      <c r="P256" s="96">
        <f>_xlfn.XLOOKUP(Tabla5[[#This Row],[EAN CORREGIDO]],'Tabla Articulos'!B:B,'Tabla Articulos'!D:D)</f>
        <v/>
      </c>
      <c r="Q256" s="96">
        <f>_xlfn.XLOOKUP(S256,'Tabla Articulos'!B:B,'Tabla Articulos'!E:E)</f>
        <v/>
      </c>
      <c r="R256" s="96">
        <f>O256*Q256</f>
        <v/>
      </c>
      <c r="S256" s="97">
        <f>TRIM(E256)</f>
        <v/>
      </c>
    </row>
    <row r="257" hidden="1">
      <c r="A257" s="22" t="n">
        <v>6</v>
      </c>
      <c r="B257" t="inlineStr">
        <is>
          <t xml:space="preserve">CDM03 - MORENO 3              </t>
        </is>
      </c>
      <c r="C257" t="inlineStr">
        <is>
          <t xml:space="preserve">GRUPO L.                      </t>
        </is>
      </c>
      <c r="E257" t="inlineStr">
        <is>
          <t xml:space="preserve">UNIF000057          </t>
        </is>
      </c>
      <c r="F257" t="n">
        <v>9003310</v>
      </c>
      <c r="G257" t="inlineStr">
        <is>
          <t xml:space="preserve">BUZO A. MARINO-FRISA GL SUP- 2XL   </t>
        </is>
      </c>
      <c r="H257" t="inlineStr">
        <is>
          <t xml:space="preserve">UNIDAD              </t>
        </is>
      </c>
      <c r="I257" t="n">
        <v>10</v>
      </c>
      <c r="J257" t="n">
        <v>80</v>
      </c>
      <c r="K257" t="n">
        <v>0</v>
      </c>
      <c r="L257" t="n">
        <v>4</v>
      </c>
      <c r="M257" t="n">
        <v>4</v>
      </c>
      <c r="N257" t="n">
        <v>0</v>
      </c>
      <c r="O257" t="n">
        <v>82</v>
      </c>
      <c r="P257" s="96">
        <f>_xlfn.XLOOKUP(Tabla5[[#This Row],[EAN CORREGIDO]],'Tabla Articulos'!B:B,'Tabla Articulos'!D:D)</f>
        <v/>
      </c>
      <c r="Q257" s="96">
        <f>_xlfn.XLOOKUP(S257,'Tabla Articulos'!B:B,'Tabla Articulos'!E:E)</f>
        <v/>
      </c>
      <c r="R257" s="96">
        <f>O257*Q257</f>
        <v/>
      </c>
      <c r="S257" s="97">
        <f>TRIM(E257)</f>
        <v/>
      </c>
    </row>
    <row r="258" hidden="1">
      <c r="A258" s="22" t="n">
        <v>5</v>
      </c>
      <c r="B258" t="inlineStr">
        <is>
          <t xml:space="preserve">CDM02 - MORENO 2              </t>
        </is>
      </c>
      <c r="C258" t="inlineStr">
        <is>
          <t xml:space="preserve">GRUPO L.                      </t>
        </is>
      </c>
      <c r="E258" t="inlineStr">
        <is>
          <t xml:space="preserve">7798113350169       </t>
        </is>
      </c>
      <c r="F258" t="n">
        <v>4023663</v>
      </c>
      <c r="G258" t="inlineStr">
        <is>
          <t xml:space="preserve">DURAZNO EN TROZO X820G AGUARIB     </t>
        </is>
      </c>
      <c r="H258" t="inlineStr">
        <is>
          <t xml:space="preserve">BULTOS              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8</v>
      </c>
      <c r="P258" s="96">
        <f>_xlfn.XLOOKUP(Tabla5[[#This Row],[EAN CORREGIDO]],'Tabla Articulos'!B:B,'Tabla Articulos'!D:D)</f>
        <v/>
      </c>
      <c r="Q258" s="96">
        <f>_xlfn.XLOOKUP(S258,'Tabla Articulos'!B:B,'Tabla Articulos'!E:E)</f>
        <v/>
      </c>
      <c r="R258" s="96">
        <f>O258*Q258</f>
        <v/>
      </c>
      <c r="S258" s="97">
        <f>TRIM(E258)</f>
        <v/>
      </c>
    </row>
    <row r="259" hidden="1">
      <c r="A259" s="22" t="n">
        <v>6</v>
      </c>
      <c r="B259" t="inlineStr">
        <is>
          <t xml:space="preserve">CDM03 - MORENO 3              </t>
        </is>
      </c>
      <c r="C259" t="inlineStr">
        <is>
          <t xml:space="preserve">GRUPO L.                      </t>
        </is>
      </c>
      <c r="D259" s="11" t="n"/>
      <c r="E259" t="inlineStr">
        <is>
          <t xml:space="preserve">7794297033034       </t>
        </is>
      </c>
      <c r="F259" t="n">
        <v>2006952</v>
      </c>
      <c r="G259" t="inlineStr">
        <is>
          <t xml:space="preserve">CESTO RECTANGULAR DE 10LT          </t>
        </is>
      </c>
      <c r="H259" t="inlineStr">
        <is>
          <t xml:space="preserve">UNIDAD              </t>
        </is>
      </c>
      <c r="I259" t="n">
        <v>88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88</v>
      </c>
      <c r="P259" s="96">
        <f>_xlfn.XLOOKUP(Tabla5[[#This Row],[EAN CORREGIDO]],'Tabla Articulos'!B:B,'Tabla Articulos'!D:D)</f>
        <v/>
      </c>
      <c r="Q259" s="96">
        <f>_xlfn.XLOOKUP(S259,'Tabla Articulos'!B:B,'Tabla Articulos'!E:E)</f>
        <v/>
      </c>
      <c r="R259" s="96">
        <f>O259*Q259</f>
        <v/>
      </c>
      <c r="S259" s="97">
        <f>TRIM(E259)</f>
        <v/>
      </c>
    </row>
    <row r="260" hidden="1">
      <c r="A260" s="22" t="n">
        <v>1</v>
      </c>
      <c r="B260" t="inlineStr">
        <is>
          <t xml:space="preserve">CD MORENO                     </t>
        </is>
      </c>
      <c r="C260" t="inlineStr">
        <is>
          <t xml:space="preserve">GRUPO L.                      </t>
        </is>
      </c>
      <c r="D260" t="inlineStr">
        <is>
          <t>PAPAS BASTON CONGELADAS</t>
        </is>
      </c>
      <c r="E260" t="inlineStr">
        <is>
          <t xml:space="preserve">7898921567824       </t>
        </is>
      </c>
      <c r="F260" t="n">
        <v>4023977</v>
      </c>
      <c r="G260" t="inlineStr">
        <is>
          <t xml:space="preserve">PAPA CONG TRADIC X2KG BEM BRASIL   </t>
        </is>
      </c>
      <c r="H260" t="inlineStr">
        <is>
          <t xml:space="preserve">UNIDAD              </t>
        </is>
      </c>
      <c r="I260" t="n">
        <v>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7</v>
      </c>
      <c r="P260" s="96">
        <f>_xlfn.XLOOKUP(Tabla5[[#This Row],[EAN CORREGIDO]],'Tabla Articulos'!B:B,'Tabla Articulos'!D:D)</f>
        <v/>
      </c>
      <c r="Q260" s="96">
        <f>_xlfn.XLOOKUP(S260,'Tabla Articulos'!B:B,'Tabla Articulos'!E:E)</f>
        <v/>
      </c>
      <c r="R260" s="96">
        <f>O260*Q260</f>
        <v/>
      </c>
      <c r="S260" s="97">
        <f>TRIM(E260)</f>
        <v/>
      </c>
    </row>
    <row r="261" hidden="1">
      <c r="A261" s="22" t="n">
        <v>1</v>
      </c>
      <c r="B261" t="inlineStr">
        <is>
          <t xml:space="preserve">CD MORENO                     </t>
        </is>
      </c>
      <c r="C261" t="inlineStr">
        <is>
          <t xml:space="preserve">GRUPO L.                      </t>
        </is>
      </c>
      <c r="D261" t="inlineStr">
        <is>
          <t xml:space="preserve">LECHE VITAL 2 </t>
        </is>
      </c>
      <c r="E261" t="inlineStr">
        <is>
          <t xml:space="preserve">7795323775508       </t>
        </is>
      </c>
      <c r="F261" t="n">
        <v>4077475</v>
      </c>
      <c r="G261" t="inlineStr">
        <is>
          <t>LECHE CRECER 2 X200ML LA SERENISIMA</t>
        </is>
      </c>
      <c r="H261" t="inlineStr">
        <is>
          <t xml:space="preserve">UNIDAD              </t>
        </is>
      </c>
      <c r="I261" t="n">
        <v>173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173</v>
      </c>
      <c r="P261" s="96">
        <f>_xlfn.XLOOKUP(Tabla5[[#This Row],[EAN CORREGIDO]],'Tabla Articulos'!B:B,'Tabla Articulos'!D:D)</f>
        <v/>
      </c>
      <c r="Q261" s="96">
        <f>_xlfn.XLOOKUP(S261,'Tabla Articulos'!B:B,'Tabla Articulos'!E:E)</f>
        <v/>
      </c>
      <c r="R261" s="96">
        <f>O261*Q261</f>
        <v/>
      </c>
      <c r="S261" s="97">
        <f>TRIM(E261)</f>
        <v/>
      </c>
    </row>
    <row r="262" hidden="1">
      <c r="A262" s="22" t="n">
        <v>6</v>
      </c>
      <c r="B262" t="inlineStr">
        <is>
          <t xml:space="preserve">CDM03 - MORENO 3              </t>
        </is>
      </c>
      <c r="C262" t="inlineStr">
        <is>
          <t xml:space="preserve">GRUPO L.                      </t>
        </is>
      </c>
      <c r="D262" t="inlineStr">
        <is>
          <t xml:space="preserve">FIBRA ESPONJA  </t>
        </is>
      </c>
      <c r="E262" t="inlineStr">
        <is>
          <t xml:space="preserve">7798040051918       </t>
        </is>
      </c>
      <c r="F262" t="n">
        <v>2006344</v>
      </c>
      <c r="G262" t="inlineStr">
        <is>
          <t xml:space="preserve">FIBRA PARRILLERA GRANDE X UNID     </t>
        </is>
      </c>
      <c r="H262" t="inlineStr">
        <is>
          <t xml:space="preserve">UNIDAD              </t>
        </is>
      </c>
      <c r="I262" t="n">
        <v>253</v>
      </c>
      <c r="J262" t="n">
        <v>0</v>
      </c>
      <c r="K262" t="n">
        <v>0</v>
      </c>
      <c r="L262" t="n">
        <v>50</v>
      </c>
      <c r="M262" t="n">
        <v>50</v>
      </c>
      <c r="N262" t="n">
        <v>0</v>
      </c>
      <c r="O262" t="n">
        <v>153</v>
      </c>
      <c r="P262" s="96">
        <f>_xlfn.XLOOKUP(Tabla5[[#This Row],[EAN CORREGIDO]],'Tabla Articulos'!B:B,'Tabla Articulos'!D:D)</f>
        <v/>
      </c>
      <c r="Q262" s="96">
        <f>_xlfn.XLOOKUP(S262,'Tabla Articulos'!B:B,'Tabla Articulos'!E:E)</f>
        <v/>
      </c>
      <c r="R262" s="96">
        <f>O262*Q262</f>
        <v/>
      </c>
      <c r="S262" s="97">
        <f>TRIM(E262)</f>
        <v/>
      </c>
    </row>
    <row r="263" hidden="1">
      <c r="A263" s="22" t="n">
        <v>5</v>
      </c>
      <c r="B263" t="inlineStr">
        <is>
          <t xml:space="preserve">CDM02 - MORENO 2              </t>
        </is>
      </c>
      <c r="C263" t="inlineStr">
        <is>
          <t xml:space="preserve">GRUPO L.                      </t>
        </is>
      </c>
      <c r="D263" s="11" t="inlineStr">
        <is>
          <t>MERMELADA IND DURAZNO</t>
        </is>
      </c>
      <c r="E263" t="inlineStr">
        <is>
          <t xml:space="preserve">7798011976683       </t>
        </is>
      </c>
      <c r="F263" t="n">
        <v>4020320</v>
      </c>
      <c r="G263" t="inlineStr">
        <is>
          <t xml:space="preserve">MERM DURX20GX108U ABEDUL           </t>
        </is>
      </c>
      <c r="H263" t="inlineStr">
        <is>
          <t xml:space="preserve">UNIDAD              </t>
        </is>
      </c>
      <c r="I263" t="n">
        <v>49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49</v>
      </c>
      <c r="P263" s="96">
        <f>_xlfn.XLOOKUP(Tabla5[[#This Row],[EAN CORREGIDO]],'Tabla Articulos'!B:B,'Tabla Articulos'!D:D)</f>
        <v/>
      </c>
      <c r="Q263" s="96">
        <f>_xlfn.XLOOKUP(S263,'Tabla Articulos'!B:B,'Tabla Articulos'!E:E)</f>
        <v/>
      </c>
      <c r="R263" s="96">
        <f>O263*Q263</f>
        <v/>
      </c>
      <c r="S263" s="97">
        <f>TRIM(E263)</f>
        <v/>
      </c>
    </row>
    <row r="264" hidden="1">
      <c r="A264" s="22" t="n">
        <v>5</v>
      </c>
      <c r="B264" t="inlineStr">
        <is>
          <t xml:space="preserve">CDM02 - MORENO 2              </t>
        </is>
      </c>
      <c r="C264" t="inlineStr">
        <is>
          <t xml:space="preserve">GRUPO L.                      </t>
        </is>
      </c>
      <c r="D264" t="inlineStr">
        <is>
          <t>ARVEJA PARTIDA</t>
        </is>
      </c>
      <c r="E264" t="inlineStr">
        <is>
          <t xml:space="preserve">7798016190701       </t>
        </is>
      </c>
      <c r="F264" t="n">
        <v>4024049</v>
      </c>
      <c r="G264" t="inlineStr">
        <is>
          <t xml:space="preserve">ARVEJAS ENTERAS X 400 G AGROMAR    </t>
        </is>
      </c>
      <c r="H264" t="inlineStr">
        <is>
          <t xml:space="preserve">UNIDAD              </t>
        </is>
      </c>
      <c r="I264" t="n">
        <v>18837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18837</v>
      </c>
      <c r="P264" s="96">
        <f>_xlfn.XLOOKUP(Tabla5[[#This Row],[EAN CORREGIDO]],'Tabla Articulos'!B:B,'Tabla Articulos'!D:D)</f>
        <v/>
      </c>
      <c r="Q264" s="96">
        <f>_xlfn.XLOOKUP(S264,'Tabla Articulos'!B:B,'Tabla Articulos'!E:E)</f>
        <v/>
      </c>
      <c r="R264" s="96">
        <f>O264*Q264</f>
        <v/>
      </c>
      <c r="S264" s="97">
        <f>TRIM(E264)</f>
        <v/>
      </c>
    </row>
    <row r="265" hidden="1">
      <c r="A265" s="22" t="n">
        <v>6</v>
      </c>
      <c r="B265" t="inlineStr">
        <is>
          <t xml:space="preserve">CDM03 - MORENO 3              </t>
        </is>
      </c>
      <c r="C265" t="inlineStr">
        <is>
          <t xml:space="preserve">GRUPO L.                      </t>
        </is>
      </c>
      <c r="E265" t="inlineStr">
        <is>
          <t xml:space="preserve">UNIF000748          </t>
        </is>
      </c>
      <c r="F265" t="n">
        <v>9004202</v>
      </c>
      <c r="G265" t="inlineStr">
        <is>
          <t xml:space="preserve">CAMISA POPLIN ML BLUE CAFÉ XL      </t>
        </is>
      </c>
      <c r="H265" t="inlineStr">
        <is>
          <t xml:space="preserve">UNIDAD              </t>
        </is>
      </c>
      <c r="I265" t="n">
        <v>10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10</v>
      </c>
      <c r="P265" s="96">
        <f>_xlfn.XLOOKUP(Tabla5[[#This Row],[EAN CORREGIDO]],'Tabla Articulos'!B:B,'Tabla Articulos'!D:D)</f>
        <v/>
      </c>
      <c r="Q265" s="96">
        <f>_xlfn.XLOOKUP(S265,'Tabla Articulos'!B:B,'Tabla Articulos'!E:E)</f>
        <v/>
      </c>
      <c r="R265" s="96">
        <f>O265*Q265</f>
        <v/>
      </c>
      <c r="S265" s="97">
        <f>TRIM(E265)</f>
        <v/>
      </c>
    </row>
    <row r="266" hidden="1">
      <c r="A266" s="22" t="n">
        <v>6</v>
      </c>
      <c r="B266" t="inlineStr">
        <is>
          <t xml:space="preserve">CDM03 - MORENO 3              </t>
        </is>
      </c>
      <c r="C266" t="inlineStr">
        <is>
          <t xml:space="preserve">GRUPO L.                      </t>
        </is>
      </c>
      <c r="D266" s="11" t="inlineStr">
        <is>
          <t>PAPEL HIGIENICO</t>
        </is>
      </c>
      <c r="E266" t="inlineStr">
        <is>
          <t xml:space="preserve">7798430440062       </t>
        </is>
      </c>
      <c r="F266" t="n">
        <v>2006401</v>
      </c>
      <c r="G266" t="inlineStr">
        <is>
          <t xml:space="preserve">PAPEL HIGIENICO CONO GDE 300MX8U	  </t>
        </is>
      </c>
      <c r="H266" t="inlineStr">
        <is>
          <t xml:space="preserve">UNIDAD              </t>
        </is>
      </c>
      <c r="I266" t="n">
        <v>77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77</v>
      </c>
      <c r="P266" s="96">
        <f>_xlfn.XLOOKUP(Tabla5[[#This Row],[EAN CORREGIDO]],'Tabla Articulos'!B:B,'Tabla Articulos'!D:D)</f>
        <v/>
      </c>
      <c r="Q266" s="96">
        <f>_xlfn.XLOOKUP(S266,'Tabla Articulos'!B:B,'Tabla Articulos'!E:E)</f>
        <v/>
      </c>
      <c r="R266" s="96">
        <f>O266*Q266</f>
        <v/>
      </c>
      <c r="S266" s="97">
        <f>TRIM(E266)</f>
        <v/>
      </c>
    </row>
    <row r="267" hidden="1">
      <c r="A267" s="22" t="n">
        <v>6</v>
      </c>
      <c r="B267" t="inlineStr">
        <is>
          <t xml:space="preserve">CDM03 - MORENO 3              </t>
        </is>
      </c>
      <c r="C267" t="inlineStr">
        <is>
          <t xml:space="preserve">GRUPO L.                      </t>
        </is>
      </c>
      <c r="E267" t="inlineStr">
        <is>
          <t xml:space="preserve">UNIF000541          </t>
        </is>
      </c>
      <c r="F267" t="n">
        <v>9003079</v>
      </c>
      <c r="G267" t="inlineStr">
        <is>
          <t xml:space="preserve">CHOMB GRIS NEG MANG CORTA AZ. XL   </t>
        </is>
      </c>
      <c r="H267" t="inlineStr">
        <is>
          <t xml:space="preserve">UNIDAD              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4</v>
      </c>
      <c r="P267" s="96">
        <f>_xlfn.XLOOKUP(Tabla5[[#This Row],[EAN CORREGIDO]],'Tabla Articulos'!B:B,'Tabla Articulos'!D:D)</f>
        <v/>
      </c>
      <c r="Q267" s="96">
        <f>_xlfn.XLOOKUP(S267,'Tabla Articulos'!B:B,'Tabla Articulos'!E:E)</f>
        <v/>
      </c>
      <c r="R267" s="96">
        <f>O267*Q267</f>
        <v/>
      </c>
      <c r="S267" s="97">
        <f>TRIM(E267)</f>
        <v/>
      </c>
    </row>
    <row r="268" hidden="1">
      <c r="A268" s="22" t="n">
        <v>1</v>
      </c>
      <c r="B268" t="inlineStr">
        <is>
          <t xml:space="preserve">CD MORENO                     </t>
        </is>
      </c>
      <c r="C268" t="inlineStr">
        <is>
          <t xml:space="preserve">GRUPO L.                      </t>
        </is>
      </c>
      <c r="D268" t="inlineStr">
        <is>
          <t>FIDEOS SOPEROS</t>
        </is>
      </c>
      <c r="E268" t="inlineStr">
        <is>
          <t xml:space="preserve">7797470000939       </t>
        </is>
      </c>
      <c r="F268" t="n">
        <v>4020082</v>
      </c>
      <c r="G268" t="inlineStr">
        <is>
          <t xml:space="preserve">FIDEO SOP DEDALIT X 500G MAROL     </t>
        </is>
      </c>
      <c r="H268" t="inlineStr">
        <is>
          <t xml:space="preserve">UNIDAD              </t>
        </is>
      </c>
      <c r="I268" t="n">
        <v>39961</v>
      </c>
      <c r="J268" t="n">
        <v>0</v>
      </c>
      <c r="K268" t="n">
        <v>0</v>
      </c>
      <c r="L268" t="n">
        <v>1374</v>
      </c>
      <c r="M268" t="n">
        <v>1374</v>
      </c>
      <c r="N268" t="n">
        <v>0</v>
      </c>
      <c r="O268" t="n">
        <v>37213</v>
      </c>
      <c r="P268" s="96">
        <f>_xlfn.XLOOKUP(Tabla5[[#This Row],[EAN CORREGIDO]],'Tabla Articulos'!B:B,'Tabla Articulos'!D:D)</f>
        <v/>
      </c>
      <c r="Q268" s="96">
        <f>_xlfn.XLOOKUP(S268,'Tabla Articulos'!B:B,'Tabla Articulos'!E:E)</f>
        <v/>
      </c>
      <c r="R268" s="96">
        <f>O268*Q268</f>
        <v/>
      </c>
      <c r="S268" s="97">
        <f>TRIM(E268)</f>
        <v/>
      </c>
    </row>
    <row r="269" hidden="1">
      <c r="A269" s="22" t="n">
        <v>5</v>
      </c>
      <c r="B269" t="inlineStr">
        <is>
          <t xml:space="preserve">CDM02 - MORENO 2              </t>
        </is>
      </c>
      <c r="C269" t="inlineStr">
        <is>
          <t xml:space="preserve">GRUPO L.                      </t>
        </is>
      </c>
      <c r="D269" t="inlineStr">
        <is>
          <t>FIDEOS SOPEROS</t>
        </is>
      </c>
      <c r="E269" t="inlineStr">
        <is>
          <t xml:space="preserve">7797470000939       </t>
        </is>
      </c>
      <c r="F269" t="n">
        <v>4020082</v>
      </c>
      <c r="G269" t="inlineStr">
        <is>
          <t xml:space="preserve">FIDEO SOP DEDALIT X 500G MAROL     </t>
        </is>
      </c>
      <c r="H269" t="inlineStr">
        <is>
          <t xml:space="preserve">UNIDAD              </t>
        </is>
      </c>
      <c r="I269" t="n">
        <v>10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10</v>
      </c>
      <c r="P269" s="96">
        <f>_xlfn.XLOOKUP(Tabla5[[#This Row],[EAN CORREGIDO]],'Tabla Articulos'!B:B,'Tabla Articulos'!D:D)</f>
        <v/>
      </c>
      <c r="Q269" s="96">
        <f>_xlfn.XLOOKUP(S269,'Tabla Articulos'!B:B,'Tabla Articulos'!E:E)</f>
        <v/>
      </c>
      <c r="R269" s="96">
        <f>O269*Q269</f>
        <v/>
      </c>
      <c r="S269" s="97">
        <f>TRIM(E269)</f>
        <v/>
      </c>
    </row>
    <row r="270" hidden="1">
      <c r="A270" s="22" t="n">
        <v>6</v>
      </c>
      <c r="B270" t="inlineStr">
        <is>
          <t xml:space="preserve">CDM03 - MORENO 3              </t>
        </is>
      </c>
      <c r="C270" t="inlineStr">
        <is>
          <t xml:space="preserve">GRUPO L.                      </t>
        </is>
      </c>
      <c r="E270" t="inlineStr">
        <is>
          <t xml:space="preserve">UNIF000629          </t>
        </is>
      </c>
      <c r="F270" t="n">
        <v>9003167</v>
      </c>
      <c r="G270" t="inlineStr">
        <is>
          <t xml:space="preserve">DELANTERO NEGRO GL SUP             </t>
        </is>
      </c>
      <c r="H270" t="inlineStr">
        <is>
          <t xml:space="preserve">UNIDAD              </t>
        </is>
      </c>
      <c r="I270" t="n">
        <v>0</v>
      </c>
      <c r="J270" t="n">
        <v>700</v>
      </c>
      <c r="K270" t="n">
        <v>0</v>
      </c>
      <c r="L270" t="n">
        <v>0</v>
      </c>
      <c r="M270" t="n">
        <v>0</v>
      </c>
      <c r="N270" t="n">
        <v>0</v>
      </c>
      <c r="O270" t="n">
        <v>700</v>
      </c>
      <c r="P270" s="96">
        <f>_xlfn.XLOOKUP(Tabla5[[#This Row],[EAN CORREGIDO]],'Tabla Articulos'!B:B,'Tabla Articulos'!D:D)</f>
        <v/>
      </c>
      <c r="Q270" s="96">
        <f>_xlfn.XLOOKUP(S270,'Tabla Articulos'!B:B,'Tabla Articulos'!E:E)</f>
        <v/>
      </c>
      <c r="R270" s="96">
        <f>O270*Q270</f>
        <v/>
      </c>
      <c r="S270" s="97">
        <f>TRIM(E270)</f>
        <v/>
      </c>
    </row>
    <row r="271" hidden="1">
      <c r="A271" s="22" t="n">
        <v>6</v>
      </c>
      <c r="B271" t="inlineStr">
        <is>
          <t xml:space="preserve">CDM03 - MORENO 3              </t>
        </is>
      </c>
      <c r="C271" t="inlineStr">
        <is>
          <t xml:space="preserve">GRUPO L.                      </t>
        </is>
      </c>
      <c r="E271" t="inlineStr">
        <is>
          <t xml:space="preserve">UNIF000025          </t>
        </is>
      </c>
      <c r="F271" t="n">
        <v>9003056</v>
      </c>
      <c r="G271" t="inlineStr">
        <is>
          <t xml:space="preserve">AMBO CEL. ESCO.V SANTANDER 3XL     </t>
        </is>
      </c>
      <c r="H271" t="inlineStr">
        <is>
          <t xml:space="preserve">UNIDAD              </t>
        </is>
      </c>
      <c r="I271" t="n">
        <v>10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10</v>
      </c>
      <c r="P271" s="96">
        <f>_xlfn.XLOOKUP(Tabla5[[#This Row],[EAN CORREGIDO]],'Tabla Articulos'!B:B,'Tabla Articulos'!D:D)</f>
        <v/>
      </c>
      <c r="Q271" s="96">
        <f>_xlfn.XLOOKUP(S271,'Tabla Articulos'!B:B,'Tabla Articulos'!E:E)</f>
        <v/>
      </c>
      <c r="R271" s="96">
        <f>O271*Q271</f>
        <v/>
      </c>
      <c r="S271" s="97">
        <f>TRIM(E271)</f>
        <v/>
      </c>
    </row>
    <row r="272" hidden="1">
      <c r="A272" s="22" t="n">
        <v>5</v>
      </c>
      <c r="B272" t="inlineStr">
        <is>
          <t xml:space="preserve">CDM02 - MORENO 2              </t>
        </is>
      </c>
      <c r="C272" t="inlineStr">
        <is>
          <t xml:space="preserve">GRUPO L.                      </t>
        </is>
      </c>
      <c r="D272" t="inlineStr">
        <is>
          <t>AJI</t>
        </is>
      </c>
      <c r="E272" t="inlineStr">
        <is>
          <t xml:space="preserve">7790216010142       </t>
        </is>
      </c>
      <c r="F272" t="n">
        <v>4018051</v>
      </c>
      <c r="G272" t="inlineStr">
        <is>
          <t xml:space="preserve">AJI PIMIENTO X KG.                 </t>
        </is>
      </c>
      <c r="H272" t="inlineStr">
        <is>
          <t xml:space="preserve">Kgs                 </t>
        </is>
      </c>
      <c r="I272" t="n">
        <v>3.51</v>
      </c>
      <c r="J272" t="n">
        <v>0</v>
      </c>
      <c r="K272" t="n">
        <v>0</v>
      </c>
      <c r="L272" t="n">
        <v>1.455</v>
      </c>
      <c r="M272" t="n">
        <v>1.455</v>
      </c>
      <c r="N272" t="n">
        <v>0</v>
      </c>
      <c r="O272" t="n">
        <v>0.6</v>
      </c>
      <c r="P272" s="96">
        <f>_xlfn.XLOOKUP(Tabla5[[#This Row],[EAN CORREGIDO]],'Tabla Articulos'!B:B,'Tabla Articulos'!D:D)</f>
        <v/>
      </c>
      <c r="Q272" s="96">
        <f>_xlfn.XLOOKUP(S272,'Tabla Articulos'!B:B,'Tabla Articulos'!E:E)</f>
        <v/>
      </c>
      <c r="R272" s="96">
        <f>O272*Q272</f>
        <v/>
      </c>
      <c r="S272" s="97">
        <f>TRIM(E272)</f>
        <v/>
      </c>
    </row>
    <row r="273" hidden="1">
      <c r="A273" s="22" t="n">
        <v>1</v>
      </c>
      <c r="B273" t="inlineStr">
        <is>
          <t xml:space="preserve">CD MORENO                     </t>
        </is>
      </c>
      <c r="C273" t="inlineStr">
        <is>
          <t xml:space="preserve">GRUPO L.                      </t>
        </is>
      </c>
      <c r="D273" t="inlineStr">
        <is>
          <t>AJI</t>
        </is>
      </c>
      <c r="E273" t="inlineStr">
        <is>
          <t xml:space="preserve">7790216010142       </t>
        </is>
      </c>
      <c r="F273" t="n">
        <v>4018051</v>
      </c>
      <c r="G273" t="inlineStr">
        <is>
          <t xml:space="preserve">AJI PIMIENTO X KG.                 </t>
        </is>
      </c>
      <c r="H273" t="inlineStr">
        <is>
          <t xml:space="preserve">Kgs                 </t>
        </is>
      </c>
      <c r="I273" t="n">
        <v>4.69</v>
      </c>
      <c r="J273" t="n">
        <v>0</v>
      </c>
      <c r="K273" t="n">
        <v>0</v>
      </c>
      <c r="L273" t="n">
        <v>2.02</v>
      </c>
      <c r="M273" t="n">
        <v>2.02</v>
      </c>
      <c r="N273" t="n">
        <v>0</v>
      </c>
      <c r="O273" t="n">
        <v>0.65</v>
      </c>
      <c r="P273" s="96">
        <f>_xlfn.XLOOKUP(Tabla5[[#This Row],[EAN CORREGIDO]],'Tabla Articulos'!B:B,'Tabla Articulos'!D:D)</f>
        <v/>
      </c>
      <c r="Q273" s="96">
        <f>_xlfn.XLOOKUP(S273,'Tabla Articulos'!B:B,'Tabla Articulos'!E:E)</f>
        <v/>
      </c>
      <c r="R273" s="96">
        <f>O273*Q273</f>
        <v/>
      </c>
      <c r="S273" s="97">
        <f>TRIM(E273)</f>
        <v/>
      </c>
    </row>
    <row r="274" hidden="1">
      <c r="A274" s="22" t="n">
        <v>6</v>
      </c>
      <c r="B274" t="inlineStr">
        <is>
          <t xml:space="preserve">CDM03 - MORENO 3              </t>
        </is>
      </c>
      <c r="C274" t="inlineStr">
        <is>
          <t xml:space="preserve">GRUPO L.                      </t>
        </is>
      </c>
      <c r="D274" s="11" t="n"/>
      <c r="E274" t="inlineStr">
        <is>
          <t xml:space="preserve">UNIF000240          </t>
        </is>
      </c>
      <c r="F274" t="n">
        <v>9003227</v>
      </c>
      <c r="G274" t="inlineStr">
        <is>
          <t xml:space="preserve">PANTAL NAUT BLANCO SIN LOGO - T2   </t>
        </is>
      </c>
      <c r="H274" t="inlineStr">
        <is>
          <t xml:space="preserve">UNIDAD              </t>
        </is>
      </c>
      <c r="I274" t="n">
        <v>174</v>
      </c>
      <c r="J274" t="n">
        <v>0</v>
      </c>
      <c r="K274" t="n">
        <v>0</v>
      </c>
      <c r="L274" t="n">
        <v>2</v>
      </c>
      <c r="M274" t="n">
        <v>2</v>
      </c>
      <c r="N274" t="n">
        <v>0</v>
      </c>
      <c r="O274" t="n">
        <v>170</v>
      </c>
      <c r="P274" s="96">
        <f>_xlfn.XLOOKUP(Tabla5[[#This Row],[EAN CORREGIDO]],'Tabla Articulos'!B:B,'Tabla Articulos'!D:D)</f>
        <v/>
      </c>
      <c r="Q274" s="96">
        <f>_xlfn.XLOOKUP(S274,'Tabla Articulos'!B:B,'Tabla Articulos'!E:E)</f>
        <v/>
      </c>
      <c r="R274" s="96">
        <f>O274*Q274</f>
        <v/>
      </c>
      <c r="S274" s="97">
        <f>TRIM(E274)</f>
        <v/>
      </c>
    </row>
    <row r="275" hidden="1">
      <c r="A275" s="22" t="n">
        <v>6</v>
      </c>
      <c r="B275" t="inlineStr">
        <is>
          <t xml:space="preserve">CDM03 - MORENO 3              </t>
        </is>
      </c>
      <c r="C275" t="inlineStr">
        <is>
          <t xml:space="preserve">GRUPO L.                      </t>
        </is>
      </c>
      <c r="E275" t="inlineStr">
        <is>
          <t xml:space="preserve">7798012211091       </t>
        </is>
      </c>
      <c r="F275" t="n">
        <v>2007434</v>
      </c>
      <c r="G275" t="inlineStr">
        <is>
          <t xml:space="preserve">PLUMERO GLOBO XUN MPROP            </t>
        </is>
      </c>
      <c r="H275" t="inlineStr">
        <is>
          <t xml:space="preserve">UNIDAD              </t>
        </is>
      </c>
      <c r="I275" t="n">
        <v>120</v>
      </c>
      <c r="J275" t="n">
        <v>120</v>
      </c>
      <c r="K275" t="n">
        <v>0</v>
      </c>
      <c r="L275" t="n">
        <v>0</v>
      </c>
      <c r="M275" t="n">
        <v>0</v>
      </c>
      <c r="N275" t="n">
        <v>0</v>
      </c>
      <c r="O275" t="n">
        <v>240</v>
      </c>
      <c r="P275" s="96">
        <f>_xlfn.XLOOKUP(Tabla5[[#This Row],[EAN CORREGIDO]],'Tabla Articulos'!B:B,'Tabla Articulos'!D:D)</f>
        <v/>
      </c>
      <c r="Q275" s="96">
        <f>_xlfn.XLOOKUP(S275,'Tabla Articulos'!B:B,'Tabla Articulos'!E:E)</f>
        <v/>
      </c>
      <c r="R275" s="96">
        <f>O275*Q275</f>
        <v/>
      </c>
      <c r="S275" s="97">
        <f>TRIM(E275)</f>
        <v/>
      </c>
    </row>
    <row r="276" hidden="1">
      <c r="A276" s="22" t="n">
        <v>6</v>
      </c>
      <c r="B276" t="inlineStr">
        <is>
          <t xml:space="preserve">CDM03 - MORENO 3              </t>
        </is>
      </c>
      <c r="C276" t="inlineStr">
        <is>
          <t xml:space="preserve">GRUPO L.                      </t>
        </is>
      </c>
      <c r="E276" t="inlineStr">
        <is>
          <t xml:space="preserve">UNIF000113          </t>
        </is>
      </c>
      <c r="F276" t="n">
        <v>9003213</v>
      </c>
      <c r="G276" t="inlineStr">
        <is>
          <t xml:space="preserve">PANTALON NAUTICO GRIS 3            </t>
        </is>
      </c>
      <c r="H276" t="inlineStr">
        <is>
          <t xml:space="preserve">UNIDAD              </t>
        </is>
      </c>
      <c r="I276" t="n">
        <v>30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30</v>
      </c>
      <c r="P276" s="96">
        <f>_xlfn.XLOOKUP(Tabla5[[#This Row],[EAN CORREGIDO]],'Tabla Articulos'!B:B,'Tabla Articulos'!D:D)</f>
        <v/>
      </c>
      <c r="Q276" s="96">
        <f>_xlfn.XLOOKUP(S276,'Tabla Articulos'!B:B,'Tabla Articulos'!E:E)</f>
        <v/>
      </c>
      <c r="R276" s="96">
        <f>O276*Q276</f>
        <v/>
      </c>
      <c r="S276" s="97">
        <f>TRIM(E276)</f>
        <v/>
      </c>
    </row>
    <row r="277" hidden="1">
      <c r="A277" s="22" t="n">
        <v>6</v>
      </c>
      <c r="B277" t="inlineStr">
        <is>
          <t xml:space="preserve">CDM03 - MORENO 3              </t>
        </is>
      </c>
      <c r="C277" t="inlineStr">
        <is>
          <t xml:space="preserve">GRUPO L.                      </t>
        </is>
      </c>
      <c r="E277" t="inlineStr">
        <is>
          <t xml:space="preserve">BAZ001380           </t>
        </is>
      </c>
      <c r="F277" t="n">
        <v>9003894</v>
      </c>
      <c r="G277" t="inlineStr">
        <is>
          <t xml:space="preserve">QUESERA-OREGANO ACERO INOX         </t>
        </is>
      </c>
      <c r="H277" t="inlineStr">
        <is>
          <t xml:space="preserve">UNIDAD              </t>
        </is>
      </c>
      <c r="I277" t="n">
        <v>35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35</v>
      </c>
      <c r="P277" s="96">
        <f>_xlfn.XLOOKUP(Tabla5[[#This Row],[EAN CORREGIDO]],'Tabla Articulos'!B:B,'Tabla Articulos'!D:D)</f>
        <v/>
      </c>
      <c r="Q277" s="96">
        <f>_xlfn.XLOOKUP(S277,'Tabla Articulos'!B:B,'Tabla Articulos'!E:E)</f>
        <v/>
      </c>
      <c r="R277" s="96">
        <f>O277*Q277</f>
        <v/>
      </c>
      <c r="S277" s="97">
        <f>TRIM(E277)</f>
        <v/>
      </c>
    </row>
    <row r="278" hidden="1">
      <c r="A278" s="22" t="n">
        <v>6</v>
      </c>
      <c r="B278" t="inlineStr">
        <is>
          <t xml:space="preserve">CDM03 - MORENO 3              </t>
        </is>
      </c>
      <c r="C278" t="inlineStr">
        <is>
          <t xml:space="preserve">GRUPO L.                      </t>
        </is>
      </c>
      <c r="E278" t="inlineStr">
        <is>
          <t xml:space="preserve">UNIF000755          </t>
        </is>
      </c>
      <c r="F278" t="n">
        <v>9004209</v>
      </c>
      <c r="G278" t="inlineStr">
        <is>
          <t>CHOMBA PIQ GR MELANGE BLUE CAFÉ XXL</t>
        </is>
      </c>
      <c r="H278" t="inlineStr">
        <is>
          <t xml:space="preserve">UNIDAD              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s="96">
        <f>_xlfn.XLOOKUP(Tabla5[[#This Row],[EAN CORREGIDO]],'Tabla Articulos'!B:B,'Tabla Articulos'!D:D)</f>
        <v/>
      </c>
      <c r="Q278" s="96">
        <f>_xlfn.XLOOKUP(S278,'Tabla Articulos'!B:B,'Tabla Articulos'!E:E)</f>
        <v/>
      </c>
      <c r="R278" s="96">
        <f>O278*Q278</f>
        <v/>
      </c>
      <c r="S278" s="97">
        <f>TRIM(E278)</f>
        <v/>
      </c>
    </row>
    <row r="279" hidden="1">
      <c r="A279" s="22" t="n">
        <v>1</v>
      </c>
      <c r="B279" t="inlineStr">
        <is>
          <t xml:space="preserve">CD MORENO                     </t>
        </is>
      </c>
      <c r="C279" t="inlineStr">
        <is>
          <t xml:space="preserve">GRUPO L.                      </t>
        </is>
      </c>
      <c r="D279" t="inlineStr">
        <is>
          <t>GELATINA ANANA LIGHT</t>
        </is>
      </c>
      <c r="E279" t="inlineStr">
        <is>
          <t xml:space="preserve">790757899612        </t>
        </is>
      </c>
      <c r="F279" t="n">
        <v>4022524</v>
      </c>
      <c r="G279" t="inlineStr">
        <is>
          <t xml:space="preserve">GELATINA LIGHT ANANA 1KG POREC     </t>
        </is>
      </c>
      <c r="H279" t="inlineStr">
        <is>
          <t xml:space="preserve">UNIDAD              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7</v>
      </c>
      <c r="P279" s="96">
        <f>_xlfn.XLOOKUP(Tabla5[[#This Row],[EAN CORREGIDO]],'Tabla Articulos'!B:B,'Tabla Articulos'!D:D)</f>
        <v/>
      </c>
      <c r="Q279" s="96">
        <f>_xlfn.XLOOKUP(S279,'Tabla Articulos'!B:B,'Tabla Articulos'!E:E)</f>
        <v/>
      </c>
      <c r="R279" s="96">
        <f>O279*Q279</f>
        <v/>
      </c>
      <c r="S279" s="97">
        <f>TRIM(E279)</f>
        <v/>
      </c>
    </row>
    <row r="280" hidden="1">
      <c r="A280" s="22" t="n">
        <v>1</v>
      </c>
      <c r="B280" t="inlineStr">
        <is>
          <t xml:space="preserve">CD MORENO                     </t>
        </is>
      </c>
      <c r="C280" t="inlineStr">
        <is>
          <t xml:space="preserve">GRUPO L.                      </t>
        </is>
      </c>
      <c r="D280" s="11" t="inlineStr">
        <is>
          <t>SAL FINA IND B/SODIO</t>
        </is>
      </c>
      <c r="E280" t="inlineStr">
        <is>
          <t xml:space="preserve">7798011970322       </t>
        </is>
      </c>
      <c r="F280" t="n">
        <v>4020345</v>
      </c>
      <c r="G280" t="inlineStr">
        <is>
          <t>SAL IND B/SODIO 1 GR X 400 U ABEDUL</t>
        </is>
      </c>
      <c r="H280" t="inlineStr">
        <is>
          <t xml:space="preserve">UNIDAD              </t>
        </is>
      </c>
      <c r="I280" t="n">
        <v>24</v>
      </c>
      <c r="J280" t="n">
        <v>0</v>
      </c>
      <c r="K280" t="n">
        <v>0</v>
      </c>
      <c r="L280" t="n">
        <v>5</v>
      </c>
      <c r="M280" t="n">
        <v>5</v>
      </c>
      <c r="N280" t="n">
        <v>0</v>
      </c>
      <c r="O280" t="n">
        <v>14</v>
      </c>
      <c r="P280" s="96">
        <f>_xlfn.XLOOKUP(Tabla5[[#This Row],[EAN CORREGIDO]],'Tabla Articulos'!B:B,'Tabla Articulos'!D:D)</f>
        <v/>
      </c>
      <c r="Q280" s="96">
        <f>_xlfn.XLOOKUP(S280,'Tabla Articulos'!B:B,'Tabla Articulos'!E:E)</f>
        <v/>
      </c>
      <c r="R280" s="96">
        <f>O280*Q280</f>
        <v/>
      </c>
      <c r="S280" s="97">
        <f>TRIM(E280)</f>
        <v/>
      </c>
    </row>
    <row r="281" hidden="1">
      <c r="A281" s="22" t="n">
        <v>6</v>
      </c>
      <c r="B281" t="inlineStr">
        <is>
          <t xml:space="preserve">CDM03 - MORENO 3              </t>
        </is>
      </c>
      <c r="C281" t="inlineStr">
        <is>
          <t xml:space="preserve">GRUPO L.                      </t>
        </is>
      </c>
      <c r="E281" t="inlineStr">
        <is>
          <t xml:space="preserve">UNIF000429          </t>
        </is>
      </c>
      <c r="F281" t="n">
        <v>9003590</v>
      </c>
      <c r="G281" t="inlineStr">
        <is>
          <t xml:space="preserve">CAMP. A. MAR. TRUCKER PULCRUS M    </t>
        </is>
      </c>
      <c r="H281" t="inlineStr">
        <is>
          <t xml:space="preserve">UNIDAD              </t>
        </is>
      </c>
      <c r="I281" t="n">
        <v>163</v>
      </c>
      <c r="J281" t="n">
        <v>0</v>
      </c>
      <c r="K281" t="n">
        <v>0</v>
      </c>
      <c r="L281" t="n">
        <v>2</v>
      </c>
      <c r="M281" t="n">
        <v>2</v>
      </c>
      <c r="N281" t="n">
        <v>0</v>
      </c>
      <c r="O281" t="n">
        <v>159</v>
      </c>
      <c r="P281" s="96">
        <f>_xlfn.XLOOKUP(Tabla5[[#This Row],[EAN CORREGIDO]],'Tabla Articulos'!B:B,'Tabla Articulos'!D:D)</f>
        <v/>
      </c>
      <c r="Q281" s="96">
        <f>_xlfn.XLOOKUP(S281,'Tabla Articulos'!B:B,'Tabla Articulos'!E:E)</f>
        <v/>
      </c>
      <c r="R281" s="96">
        <f>O281*Q281</f>
        <v/>
      </c>
      <c r="S281" s="97">
        <f>TRIM(E281)</f>
        <v/>
      </c>
    </row>
    <row r="282" hidden="1">
      <c r="A282" s="22" t="n">
        <v>6</v>
      </c>
      <c r="B282" t="inlineStr">
        <is>
          <t xml:space="preserve">CDM03 - MORENO 3              </t>
        </is>
      </c>
      <c r="C282" t="inlineStr">
        <is>
          <t xml:space="preserve">GRUPO L.                      </t>
        </is>
      </c>
      <c r="E282" t="inlineStr">
        <is>
          <t xml:space="preserve">UNIF000299          </t>
        </is>
      </c>
      <c r="F282" t="n">
        <v>9003349</v>
      </c>
      <c r="G282" t="inlineStr">
        <is>
          <t xml:space="preserve">CHOMBA PIQUE-AZUL FRANCIA 2XL      </t>
        </is>
      </c>
      <c r="H282" t="inlineStr">
        <is>
          <t xml:space="preserve">UNIDAD              </t>
        </is>
      </c>
      <c r="I282" t="n">
        <v>11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11</v>
      </c>
      <c r="P282" s="96">
        <f>_xlfn.XLOOKUP(Tabla5[[#This Row],[EAN CORREGIDO]],'Tabla Articulos'!B:B,'Tabla Articulos'!D:D)</f>
        <v/>
      </c>
      <c r="Q282" s="96">
        <f>_xlfn.XLOOKUP(S282,'Tabla Articulos'!B:B,'Tabla Articulos'!E:E)</f>
        <v/>
      </c>
      <c r="R282" s="96">
        <f>O282*Q282</f>
        <v/>
      </c>
      <c r="S282" s="97">
        <f>TRIM(E282)</f>
        <v/>
      </c>
    </row>
    <row r="283" hidden="1">
      <c r="A283" s="22" t="n">
        <v>6</v>
      </c>
      <c r="B283" t="inlineStr">
        <is>
          <t xml:space="preserve">CDM03 - MORENO 3              </t>
        </is>
      </c>
      <c r="C283" t="inlineStr">
        <is>
          <t xml:space="preserve">GRUPO L.                      </t>
        </is>
      </c>
      <c r="D283" t="inlineStr">
        <is>
          <t>VASO TERMICO</t>
        </is>
      </c>
      <c r="E283" t="inlineStr">
        <is>
          <t xml:space="preserve">7790321020406       </t>
        </is>
      </c>
      <c r="F283" t="n">
        <v>2006153</v>
      </c>
      <c r="G283" t="inlineStr">
        <is>
          <t xml:space="preserve">VASO TERMICO X 300 X 25 U          </t>
        </is>
      </c>
      <c r="H283" t="inlineStr">
        <is>
          <t xml:space="preserve">UNIDAD              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s="96">
        <f>_xlfn.XLOOKUP(Tabla5[[#This Row],[EAN CORREGIDO]],'Tabla Articulos'!B:B,'Tabla Articulos'!D:D)</f>
        <v/>
      </c>
      <c r="Q283" s="96">
        <f>_xlfn.XLOOKUP(S283,'Tabla Articulos'!B:B,'Tabla Articulos'!E:E)</f>
        <v/>
      </c>
      <c r="R283" s="96">
        <f>O283*Q283</f>
        <v/>
      </c>
      <c r="S283" s="97">
        <f>TRIM(E283)</f>
        <v/>
      </c>
    </row>
    <row r="284" hidden="1">
      <c r="A284" s="22" t="n">
        <v>6</v>
      </c>
      <c r="B284" t="inlineStr">
        <is>
          <t xml:space="preserve">CDM03 - MORENO 3              </t>
        </is>
      </c>
      <c r="C284" t="inlineStr">
        <is>
          <t xml:space="preserve">GRUPO L.                      </t>
        </is>
      </c>
      <c r="D284" s="11" t="inlineStr">
        <is>
          <t>SERVILLETA DESC S/LOGO</t>
        </is>
      </c>
      <c r="E284" t="inlineStr">
        <is>
          <t xml:space="preserve">7790000000713       </t>
        </is>
      </c>
      <c r="F284" t="n">
        <v>2016520</v>
      </c>
      <c r="G284" t="inlineStr">
        <is>
          <t xml:space="preserve">SERV SIMIL TELA S/LOGO X2000U      </t>
        </is>
      </c>
      <c r="H284" t="inlineStr">
        <is>
          <t xml:space="preserve">UNIDAD              </t>
        </is>
      </c>
      <c r="I284" t="n">
        <v>26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26</v>
      </c>
      <c r="P284" s="96">
        <f>_xlfn.XLOOKUP(Tabla5[[#This Row],[EAN CORREGIDO]],'Tabla Articulos'!B:B,'Tabla Articulos'!D:D)</f>
        <v/>
      </c>
      <c r="Q284" s="96">
        <f>_xlfn.XLOOKUP(S284,'Tabla Articulos'!B:B,'Tabla Articulos'!E:E)</f>
        <v/>
      </c>
      <c r="R284" s="96">
        <f>O284*Q284</f>
        <v/>
      </c>
      <c r="S284" s="97">
        <f>TRIM(E284)</f>
        <v/>
      </c>
    </row>
    <row r="285" hidden="1">
      <c r="A285" s="22" t="n">
        <v>5</v>
      </c>
      <c r="B285" t="inlineStr">
        <is>
          <t xml:space="preserve">CDM02 - MORENO 2              </t>
        </is>
      </c>
      <c r="C285" t="inlineStr">
        <is>
          <t xml:space="preserve">GRUPO L.                      </t>
        </is>
      </c>
      <c r="D285" s="11" t="inlineStr">
        <is>
          <t>SALSA DULCE DE LECHE</t>
        </is>
      </c>
      <c r="E285" t="inlineStr">
        <is>
          <t xml:space="preserve">7798110340071       </t>
        </is>
      </c>
      <c r="F285" t="n">
        <v>4024490</v>
      </c>
      <c r="G285" t="inlineStr">
        <is>
          <t xml:space="preserve">SALSA DE DDL X0.5KG INDUAL         </t>
        </is>
      </c>
      <c r="H285" t="inlineStr">
        <is>
          <t xml:space="preserve">UNIDAD              </t>
        </is>
      </c>
      <c r="I285" t="n">
        <v>10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10</v>
      </c>
      <c r="P285" s="96">
        <f>_xlfn.XLOOKUP(Tabla5[[#This Row],[EAN CORREGIDO]],'Tabla Articulos'!B:B,'Tabla Articulos'!D:D)</f>
        <v/>
      </c>
      <c r="Q285" s="96">
        <f>_xlfn.XLOOKUP(S285,'Tabla Articulos'!B:B,'Tabla Articulos'!E:E)</f>
        <v/>
      </c>
      <c r="R285" s="96">
        <f>O285*Q285</f>
        <v/>
      </c>
      <c r="S285" s="97">
        <f>TRIM(E285)</f>
        <v/>
      </c>
    </row>
    <row r="286" hidden="1">
      <c r="A286" s="22" t="n">
        <v>1</v>
      </c>
      <c r="B286" t="inlineStr">
        <is>
          <t xml:space="preserve">CD MORENO                     </t>
        </is>
      </c>
      <c r="C286" t="inlineStr">
        <is>
          <t xml:space="preserve">GRUPO L.                      </t>
        </is>
      </c>
      <c r="D286" s="11" t="inlineStr">
        <is>
          <t>LOCRO</t>
        </is>
      </c>
      <c r="E286" t="inlineStr">
        <is>
          <t xml:space="preserve">7798156760970       </t>
        </is>
      </c>
      <c r="F286" t="n">
        <v>4020531</v>
      </c>
      <c r="G286" t="inlineStr">
        <is>
          <t xml:space="preserve">LOCRO X500GR SABORES DEL VALLE     </t>
        </is>
      </c>
      <c r="H286" t="inlineStr">
        <is>
          <t xml:space="preserve">UNIDAD              </t>
        </is>
      </c>
      <c r="I286" t="n">
        <v>401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401</v>
      </c>
      <c r="P286" s="96">
        <f>_xlfn.XLOOKUP(Tabla5[[#This Row],[EAN CORREGIDO]],'Tabla Articulos'!B:B,'Tabla Articulos'!D:D)</f>
        <v/>
      </c>
      <c r="Q286" s="96">
        <f>_xlfn.XLOOKUP(S286,'Tabla Articulos'!B:B,'Tabla Articulos'!E:E)</f>
        <v/>
      </c>
      <c r="R286" s="96">
        <f>O286*Q286</f>
        <v/>
      </c>
      <c r="S286" s="97">
        <f>TRIM(E286)</f>
        <v/>
      </c>
    </row>
    <row r="287" hidden="1">
      <c r="A287" s="22" t="n">
        <v>6</v>
      </c>
      <c r="B287" t="inlineStr">
        <is>
          <t xml:space="preserve">CDM03 - MORENO 3              </t>
        </is>
      </c>
      <c r="C287" t="inlineStr">
        <is>
          <t xml:space="preserve">GRUPO L.                      </t>
        </is>
      </c>
      <c r="E287" t="inlineStr">
        <is>
          <t xml:space="preserve">UNIF000121          </t>
        </is>
      </c>
      <c r="F287" t="n">
        <v>9003221</v>
      </c>
      <c r="G287" t="inlineStr">
        <is>
          <t xml:space="preserve">PANTALON NAUTICO BLANCO 3          </t>
        </is>
      </c>
      <c r="H287" t="inlineStr">
        <is>
          <t xml:space="preserve">UNIDAD              </t>
        </is>
      </c>
      <c r="I287" t="n">
        <v>679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679</v>
      </c>
      <c r="P287" s="96">
        <f>_xlfn.XLOOKUP(Tabla5[[#This Row],[EAN CORREGIDO]],'Tabla Articulos'!B:B,'Tabla Articulos'!D:D)</f>
        <v/>
      </c>
      <c r="Q287" s="96">
        <f>_xlfn.XLOOKUP(S287,'Tabla Articulos'!B:B,'Tabla Articulos'!E:E)</f>
        <v/>
      </c>
      <c r="R287" s="96">
        <f>O287*Q287</f>
        <v/>
      </c>
      <c r="S287" s="97">
        <f>TRIM(E287)</f>
        <v/>
      </c>
    </row>
    <row r="288" hidden="1">
      <c r="A288" s="22" t="n">
        <v>1</v>
      </c>
      <c r="B288" t="inlineStr">
        <is>
          <t xml:space="preserve">CD MORENO                     </t>
        </is>
      </c>
      <c r="C288" t="inlineStr">
        <is>
          <t xml:space="preserve">GRUPO L.                      </t>
        </is>
      </c>
      <c r="D288" t="inlineStr">
        <is>
          <t xml:space="preserve">GALLE ARROZ DULCES </t>
        </is>
      </c>
      <c r="E288" t="inlineStr">
        <is>
          <t xml:space="preserve">7798082000485       </t>
        </is>
      </c>
      <c r="F288" t="n">
        <v>4018915</v>
      </c>
      <c r="G288" t="inlineStr">
        <is>
          <t xml:space="preserve">GALLE ARRO DUL X95GR ARROZEN       </t>
        </is>
      </c>
      <c r="H288" t="inlineStr">
        <is>
          <t xml:space="preserve">UNIDAD              </t>
        </is>
      </c>
      <c r="I288" t="n">
        <v>483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483</v>
      </c>
      <c r="P288" s="96">
        <f>_xlfn.XLOOKUP(Tabla5[[#This Row],[EAN CORREGIDO]],'Tabla Articulos'!B:B,'Tabla Articulos'!D:D)</f>
        <v/>
      </c>
      <c r="Q288" s="96">
        <f>_xlfn.XLOOKUP(S288,'Tabla Articulos'!B:B,'Tabla Articulos'!E:E)</f>
        <v/>
      </c>
      <c r="R288" s="96">
        <f>O288*Q288</f>
        <v/>
      </c>
      <c r="S288" s="97">
        <f>TRIM(E288)</f>
        <v/>
      </c>
    </row>
    <row r="289" hidden="1">
      <c r="A289" s="22" t="n">
        <v>6</v>
      </c>
      <c r="B289" t="inlineStr">
        <is>
          <t xml:space="preserve">CDM03 - MORENO 3              </t>
        </is>
      </c>
      <c r="C289" t="inlineStr">
        <is>
          <t xml:space="preserve">GRUPO L.                      </t>
        </is>
      </c>
      <c r="D289" s="11" t="inlineStr">
        <is>
          <t>BARBIJO DESCARTABLE</t>
        </is>
      </c>
      <c r="E289" t="inlineStr">
        <is>
          <t xml:space="preserve">7790000000162       </t>
        </is>
      </c>
      <c r="F289" t="n">
        <v>2007079</v>
      </c>
      <c r="G289" t="inlineStr">
        <is>
          <t xml:space="preserve">BARBIJOS N95 MARCA PROPIA 50UN     </t>
        </is>
      </c>
      <c r="H289" t="inlineStr">
        <is>
          <t xml:space="preserve">UNIDAD              </t>
        </is>
      </c>
      <c r="I289" t="n">
        <v>10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10</v>
      </c>
      <c r="P289" s="96">
        <f>_xlfn.XLOOKUP(Tabla5[[#This Row],[EAN CORREGIDO]],'Tabla Articulos'!B:B,'Tabla Articulos'!D:D)</f>
        <v/>
      </c>
      <c r="Q289" s="96">
        <f>_xlfn.XLOOKUP(S289,'Tabla Articulos'!B:B,'Tabla Articulos'!E:E)</f>
        <v/>
      </c>
      <c r="R289" s="96">
        <f>O289*Q289</f>
        <v/>
      </c>
      <c r="S289" s="97">
        <f>TRIM(E289)</f>
        <v/>
      </c>
    </row>
    <row r="290" hidden="1">
      <c r="A290" s="22" t="n">
        <v>6</v>
      </c>
      <c r="B290" t="inlineStr">
        <is>
          <t xml:space="preserve">CDM03 - MORENO 3              </t>
        </is>
      </c>
      <c r="C290" t="inlineStr">
        <is>
          <t xml:space="preserve">GRUPO L.                      </t>
        </is>
      </c>
      <c r="D290" s="11" t="inlineStr">
        <is>
          <t>SECADORES PISO</t>
        </is>
      </c>
      <c r="E290" t="inlineStr">
        <is>
          <t xml:space="preserve">LIM000156           </t>
        </is>
      </c>
      <c r="F290" t="n">
        <v>2006752</v>
      </c>
      <c r="G290" t="inlineStr">
        <is>
          <t xml:space="preserve">SECADOR DE PISO X 80 CM X U        </t>
        </is>
      </c>
      <c r="H290" t="inlineStr">
        <is>
          <t xml:space="preserve">UNIDAD              </t>
        </is>
      </c>
      <c r="I290" t="n">
        <v>983</v>
      </c>
      <c r="J290" t="n">
        <v>0</v>
      </c>
      <c r="K290" t="n">
        <v>0</v>
      </c>
      <c r="L290" t="n">
        <v>147</v>
      </c>
      <c r="M290" t="n">
        <v>147</v>
      </c>
      <c r="N290" t="n">
        <v>0</v>
      </c>
      <c r="O290" t="n">
        <v>689</v>
      </c>
      <c r="P290" s="96">
        <f>_xlfn.XLOOKUP(Tabla5[[#This Row],[EAN CORREGIDO]],'Tabla Articulos'!B:B,'Tabla Articulos'!D:D)</f>
        <v/>
      </c>
      <c r="Q290" s="96">
        <f>_xlfn.XLOOKUP(S290,'Tabla Articulos'!B:B,'Tabla Articulos'!E:E)</f>
        <v/>
      </c>
      <c r="R290" s="96">
        <f>O290*Q290</f>
        <v/>
      </c>
      <c r="S290" s="97">
        <f>TRIM(E290)</f>
        <v/>
      </c>
    </row>
    <row r="291" hidden="1">
      <c r="A291" s="22" t="n">
        <v>5</v>
      </c>
      <c r="B291" t="inlineStr">
        <is>
          <t xml:space="preserve">CDM02 - MORENO 2              </t>
        </is>
      </c>
      <c r="C291" t="inlineStr">
        <is>
          <t xml:space="preserve">GRUPO L.                      </t>
        </is>
      </c>
      <c r="D291" t="inlineStr">
        <is>
          <t>CIRUELA</t>
        </is>
      </c>
      <c r="E291" t="inlineStr">
        <is>
          <t xml:space="preserve">7790216020090       </t>
        </is>
      </c>
      <c r="F291" t="n">
        <v>4018058</v>
      </c>
      <c r="G291" t="inlineStr">
        <is>
          <t xml:space="preserve">CIRUELA X KG                       </t>
        </is>
      </c>
      <c r="H291" t="inlineStr">
        <is>
          <t xml:space="preserve">Kgs                 </t>
        </is>
      </c>
      <c r="I291" t="n">
        <v>2.73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2.73</v>
      </c>
      <c r="P291" s="96">
        <f>_xlfn.XLOOKUP(Tabla5[[#This Row],[EAN CORREGIDO]],'Tabla Articulos'!B:B,'Tabla Articulos'!D:D)</f>
        <v/>
      </c>
      <c r="Q291" s="96">
        <f>_xlfn.XLOOKUP(S291,'Tabla Articulos'!B:B,'Tabla Articulos'!E:E)</f>
        <v/>
      </c>
      <c r="R291" s="96">
        <f>O291*Q291</f>
        <v/>
      </c>
      <c r="S291" s="97">
        <f>TRIM(E291)</f>
        <v/>
      </c>
    </row>
    <row r="292" hidden="1">
      <c r="A292" s="22" t="n">
        <v>6</v>
      </c>
      <c r="B292" t="inlineStr">
        <is>
          <t xml:space="preserve">CDM03 - MORENO 3              </t>
        </is>
      </c>
      <c r="C292" t="inlineStr">
        <is>
          <t xml:space="preserve">GRUPO L.                      </t>
        </is>
      </c>
      <c r="E292" t="inlineStr">
        <is>
          <t xml:space="preserve">UNIF000639          </t>
        </is>
      </c>
      <c r="F292" t="n">
        <v>9003915</v>
      </c>
      <c r="G292" t="inlineStr">
        <is>
          <t xml:space="preserve">CHOMBA PIQUE GR XL CHEF G          </t>
        </is>
      </c>
      <c r="H292" t="inlineStr">
        <is>
          <t xml:space="preserve">UNIDAD              </t>
        </is>
      </c>
      <c r="I292" t="n">
        <v>71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71</v>
      </c>
      <c r="P292" s="96">
        <f>_xlfn.XLOOKUP(Tabla5[[#This Row],[EAN CORREGIDO]],'Tabla Articulos'!B:B,'Tabla Articulos'!D:D)</f>
        <v/>
      </c>
      <c r="Q292" s="96">
        <f>_xlfn.XLOOKUP(S292,'Tabla Articulos'!B:B,'Tabla Articulos'!E:E)</f>
        <v/>
      </c>
      <c r="R292" s="96">
        <f>O292*Q292</f>
        <v/>
      </c>
      <c r="S292" s="97">
        <f>TRIM(E292)</f>
        <v/>
      </c>
    </row>
    <row r="293" hidden="1">
      <c r="A293" s="22" t="n">
        <v>1</v>
      </c>
      <c r="B293" t="inlineStr">
        <is>
          <t xml:space="preserve">CD MORENO                     </t>
        </is>
      </c>
      <c r="C293" t="inlineStr">
        <is>
          <t xml:space="preserve">GRUPO L.                      </t>
        </is>
      </c>
      <c r="D293" t="inlineStr">
        <is>
          <t>NARANJA SAE</t>
        </is>
      </c>
      <c r="E293" t="inlineStr">
        <is>
          <t xml:space="preserve">7790216020116       </t>
        </is>
      </c>
      <c r="F293" t="n">
        <v>4018021</v>
      </c>
      <c r="G293" t="inlineStr">
        <is>
          <t xml:space="preserve">FRUTA NARANJA SAE 100-130 XKG      </t>
        </is>
      </c>
      <c r="H293" t="inlineStr">
        <is>
          <t xml:space="preserve">Kgs                 </t>
        </is>
      </c>
      <c r="I293" t="n">
        <v>13755.405</v>
      </c>
      <c r="J293" t="n">
        <v>0</v>
      </c>
      <c r="K293" t="n">
        <v>0</v>
      </c>
      <c r="L293" t="n">
        <v>0.06</v>
      </c>
      <c r="M293" t="n">
        <v>0.06</v>
      </c>
      <c r="N293" t="n">
        <v>0</v>
      </c>
      <c r="O293" t="n">
        <v>13755.285</v>
      </c>
      <c r="P293" s="96">
        <f>_xlfn.XLOOKUP(Tabla5[[#This Row],[EAN CORREGIDO]],'Tabla Articulos'!B:B,'Tabla Articulos'!D:D)</f>
        <v/>
      </c>
      <c r="Q293" s="96">
        <f>_xlfn.XLOOKUP(S293,'Tabla Articulos'!B:B,'Tabla Articulos'!E:E)</f>
        <v/>
      </c>
      <c r="R293" s="96">
        <f>O293*Q293</f>
        <v/>
      </c>
      <c r="S293" s="97">
        <f>TRIM(E293)</f>
        <v/>
      </c>
    </row>
    <row r="294" hidden="1">
      <c r="A294" s="22" t="n">
        <v>1</v>
      </c>
      <c r="B294" t="inlineStr">
        <is>
          <t xml:space="preserve">CD MORENO                     </t>
        </is>
      </c>
      <c r="C294" t="inlineStr">
        <is>
          <t xml:space="preserve">GRUPO L.                      </t>
        </is>
      </c>
      <c r="D294" t="inlineStr">
        <is>
          <t>AJI MOLIDO</t>
        </is>
      </c>
      <c r="E294" t="inlineStr">
        <is>
          <t xml:space="preserve">7798224212080       </t>
        </is>
      </c>
      <c r="F294" t="n">
        <v>4020811</v>
      </c>
      <c r="G294" t="inlineStr">
        <is>
          <t xml:space="preserve">AJI MOLIDO X15G PARMESANA          </t>
        </is>
      </c>
      <c r="H294" t="inlineStr">
        <is>
          <t xml:space="preserve">UNIDAD              </t>
        </is>
      </c>
      <c r="I294" t="n">
        <v>644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644</v>
      </c>
      <c r="P294" s="96">
        <f>_xlfn.XLOOKUP(Tabla5[[#This Row],[EAN CORREGIDO]],'Tabla Articulos'!B:B,'Tabla Articulos'!D:D)</f>
        <v/>
      </c>
      <c r="Q294" s="96">
        <f>_xlfn.XLOOKUP(S294,'Tabla Articulos'!B:B,'Tabla Articulos'!E:E)</f>
        <v/>
      </c>
      <c r="R294" s="96">
        <f>O294*Q294</f>
        <v/>
      </c>
      <c r="S294" s="97">
        <f>TRIM(E294)</f>
        <v/>
      </c>
    </row>
    <row r="295" hidden="1">
      <c r="A295" s="22" t="n">
        <v>5</v>
      </c>
      <c r="B295" t="inlineStr">
        <is>
          <t xml:space="preserve">CDM02 - MORENO 2              </t>
        </is>
      </c>
      <c r="C295" t="inlineStr">
        <is>
          <t xml:space="preserve">GRUPO L.                      </t>
        </is>
      </c>
      <c r="D295" t="inlineStr">
        <is>
          <t>AJI MOLIDO</t>
        </is>
      </c>
      <c r="E295" t="inlineStr">
        <is>
          <t xml:space="preserve">7798224212080       </t>
        </is>
      </c>
      <c r="F295" t="n">
        <v>4020811</v>
      </c>
      <c r="G295" t="inlineStr">
        <is>
          <t xml:space="preserve">AJI MOLIDO X15G PARMESANA          </t>
        </is>
      </c>
      <c r="H295" t="inlineStr">
        <is>
          <t xml:space="preserve">UNIDAD              </t>
        </is>
      </c>
      <c r="I295" t="n">
        <v>12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12</v>
      </c>
      <c r="P295" s="96">
        <f>_xlfn.XLOOKUP(Tabla5[[#This Row],[EAN CORREGIDO]],'Tabla Articulos'!B:B,'Tabla Articulos'!D:D)</f>
        <v/>
      </c>
      <c r="Q295" s="96">
        <f>_xlfn.XLOOKUP(S295,'Tabla Articulos'!B:B,'Tabla Articulos'!E:E)</f>
        <v/>
      </c>
      <c r="R295" s="96">
        <f>O295*Q295</f>
        <v/>
      </c>
      <c r="S295" s="97">
        <f>TRIM(E295)</f>
        <v/>
      </c>
    </row>
    <row r="296" hidden="1">
      <c r="A296" s="22" t="n">
        <v>1</v>
      </c>
      <c r="B296" t="inlineStr">
        <is>
          <t xml:space="preserve">CD MORENO                     </t>
        </is>
      </c>
      <c r="C296" t="inlineStr">
        <is>
          <t xml:space="preserve">GRUPO L.                      </t>
        </is>
      </c>
      <c r="D296" t="inlineStr">
        <is>
          <t>PIMIENTA BLANCA</t>
        </is>
      </c>
      <c r="E296" t="inlineStr">
        <is>
          <t xml:space="preserve">7793875360241       </t>
        </is>
      </c>
      <c r="F296" t="n">
        <v>4020415</v>
      </c>
      <c r="G296" t="inlineStr">
        <is>
          <t xml:space="preserve">PIMIENTA BLANCA x 1 KG AROMAS      </t>
        </is>
      </c>
      <c r="H296" t="inlineStr">
        <is>
          <t xml:space="preserve">UNIDAD              </t>
        </is>
      </c>
      <c r="I296" t="n">
        <v>76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76</v>
      </c>
      <c r="P296" s="96">
        <f>_xlfn.XLOOKUP(Tabla5[[#This Row],[EAN CORREGIDO]],'Tabla Articulos'!B:B,'Tabla Articulos'!D:D)</f>
        <v/>
      </c>
      <c r="Q296" s="96">
        <f>_xlfn.XLOOKUP(S296,'Tabla Articulos'!B:B,'Tabla Articulos'!E:E)</f>
        <v/>
      </c>
      <c r="R296" s="96">
        <f>O296*Q296</f>
        <v/>
      </c>
      <c r="S296" s="97">
        <f>TRIM(E296)</f>
        <v/>
      </c>
    </row>
    <row r="297" hidden="1">
      <c r="A297" s="22" t="n">
        <v>5</v>
      </c>
      <c r="B297" t="inlineStr">
        <is>
          <t xml:space="preserve">CDM02 - MORENO 2              </t>
        </is>
      </c>
      <c r="C297" t="inlineStr">
        <is>
          <t xml:space="preserve">GRUPO L.                      </t>
        </is>
      </c>
      <c r="D297" t="inlineStr">
        <is>
          <t>PIMIENTA BLANCA</t>
        </is>
      </c>
      <c r="E297" t="inlineStr">
        <is>
          <t xml:space="preserve">7793875360241       </t>
        </is>
      </c>
      <c r="F297" t="n">
        <v>4020415</v>
      </c>
      <c r="G297" t="inlineStr">
        <is>
          <t xml:space="preserve">PIMIENTA BLANCA x 1 KG AROMAS      </t>
        </is>
      </c>
      <c r="H297" t="inlineStr">
        <is>
          <t xml:space="preserve">UNIDAD              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8</v>
      </c>
      <c r="P297" s="96">
        <f>_xlfn.XLOOKUP(Tabla5[[#This Row],[EAN CORREGIDO]],'Tabla Articulos'!B:B,'Tabla Articulos'!D:D)</f>
        <v/>
      </c>
      <c r="Q297" s="96">
        <f>_xlfn.XLOOKUP(S297,'Tabla Articulos'!B:B,'Tabla Articulos'!E:E)</f>
        <v/>
      </c>
      <c r="R297" s="96">
        <f>O297*Q297</f>
        <v/>
      </c>
      <c r="S297" s="97">
        <f>TRIM(E297)</f>
        <v/>
      </c>
    </row>
    <row r="298" hidden="1">
      <c r="A298" s="22" t="n">
        <v>6</v>
      </c>
      <c r="B298" t="inlineStr">
        <is>
          <t xml:space="preserve">CDM03 - MORENO 3              </t>
        </is>
      </c>
      <c r="C298" t="inlineStr">
        <is>
          <t xml:space="preserve">GRUPO L.                      </t>
        </is>
      </c>
      <c r="D298" s="11" t="inlineStr">
        <is>
          <t>GUANTE GOMA</t>
        </is>
      </c>
      <c r="E298" t="inlineStr">
        <is>
          <t xml:space="preserve">7798092968744       </t>
        </is>
      </c>
      <c r="F298" t="n">
        <v>2007095</v>
      </c>
      <c r="G298" t="inlineStr">
        <is>
          <t xml:space="preserve">GUANTES SOFT XL                    </t>
        </is>
      </c>
      <c r="H298" t="inlineStr">
        <is>
          <t xml:space="preserve">UNIDAD              </t>
        </is>
      </c>
      <c r="I298" t="n">
        <v>432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432</v>
      </c>
      <c r="P298" s="96">
        <f>_xlfn.XLOOKUP(Tabla5[[#This Row],[EAN CORREGIDO]],'Tabla Articulos'!B:B,'Tabla Articulos'!D:D)</f>
        <v/>
      </c>
      <c r="Q298" s="96">
        <f>_xlfn.XLOOKUP(S298,'Tabla Articulos'!B:B,'Tabla Articulos'!E:E)</f>
        <v/>
      </c>
      <c r="R298" s="96">
        <f>O298*Q298</f>
        <v/>
      </c>
      <c r="S298" s="97">
        <f>TRIM(E298)</f>
        <v/>
      </c>
    </row>
    <row r="299" hidden="1">
      <c r="A299" s="22" t="n">
        <v>6</v>
      </c>
      <c r="B299" t="inlineStr">
        <is>
          <t xml:space="preserve">CDM03 - MORENO 3              </t>
        </is>
      </c>
      <c r="C299" t="inlineStr">
        <is>
          <t xml:space="preserve">GRUPO L.                      </t>
        </is>
      </c>
      <c r="E299" t="inlineStr">
        <is>
          <t xml:space="preserve">BAZ001321           </t>
        </is>
      </c>
      <c r="F299" t="n">
        <v>9003752</v>
      </c>
      <c r="G299" t="inlineStr">
        <is>
          <t xml:space="preserve">PALA PARA TORTA TRIAN AC INOX      </t>
        </is>
      </c>
      <c r="H299" t="inlineStr">
        <is>
          <t xml:space="preserve">UNIDAD              </t>
        </is>
      </c>
      <c r="I299" t="n">
        <v>26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26</v>
      </c>
      <c r="P299" s="96">
        <f>_xlfn.XLOOKUP(Tabla5[[#This Row],[EAN CORREGIDO]],'Tabla Articulos'!B:B,'Tabla Articulos'!D:D)</f>
        <v/>
      </c>
      <c r="Q299" s="96">
        <f>_xlfn.XLOOKUP(S299,'Tabla Articulos'!B:B,'Tabla Articulos'!E:E)</f>
        <v/>
      </c>
      <c r="R299" s="96">
        <f>O299*Q299</f>
        <v/>
      </c>
      <c r="S299" s="97">
        <f>TRIM(E299)</f>
        <v/>
      </c>
    </row>
    <row r="300" hidden="1">
      <c r="A300" s="22" t="n">
        <v>6</v>
      </c>
      <c r="B300" t="inlineStr">
        <is>
          <t xml:space="preserve">CDM03 - MORENO 3              </t>
        </is>
      </c>
      <c r="C300" t="inlineStr">
        <is>
          <t xml:space="preserve">GRUPO L.                      </t>
        </is>
      </c>
      <c r="D300" s="11" t="n"/>
      <c r="E300" t="inlineStr">
        <is>
          <t xml:space="preserve">UNIF000006          </t>
        </is>
      </c>
      <c r="F300" t="n">
        <v>9003037</v>
      </c>
      <c r="G300" t="inlineStr">
        <is>
          <t xml:space="preserve">AMBO A. MAR. ESCO.-V 3XL PULCRUS   </t>
        </is>
      </c>
      <c r="H300" t="inlineStr">
        <is>
          <t xml:space="preserve">UNIDAD              </t>
        </is>
      </c>
      <c r="I300" t="n">
        <v>22</v>
      </c>
      <c r="J300" t="n">
        <v>200</v>
      </c>
      <c r="K300" t="n">
        <v>0</v>
      </c>
      <c r="L300" t="n">
        <v>0</v>
      </c>
      <c r="M300" t="n">
        <v>0</v>
      </c>
      <c r="N300" t="n">
        <v>0</v>
      </c>
      <c r="O300" t="n">
        <v>222</v>
      </c>
      <c r="P300" s="96">
        <f>_xlfn.XLOOKUP(Tabla5[[#This Row],[EAN CORREGIDO]],'Tabla Articulos'!B:B,'Tabla Articulos'!D:D)</f>
        <v/>
      </c>
      <c r="Q300" s="96">
        <f>_xlfn.XLOOKUP(S300,'Tabla Articulos'!B:B,'Tabla Articulos'!E:E)</f>
        <v/>
      </c>
      <c r="R300" s="96">
        <f>O300*Q300</f>
        <v/>
      </c>
      <c r="S300" s="97">
        <f>TRIM(E300)</f>
        <v/>
      </c>
    </row>
    <row r="301" hidden="1">
      <c r="A301" s="22" t="n">
        <v>5</v>
      </c>
      <c r="B301" t="inlineStr">
        <is>
          <t xml:space="preserve">CDM02 - MORENO 2              </t>
        </is>
      </c>
      <c r="C301" t="inlineStr">
        <is>
          <t xml:space="preserve">GRUPO L.                      </t>
        </is>
      </c>
      <c r="D301" t="inlineStr">
        <is>
          <t>FLAN LIGHT VAINILLA</t>
        </is>
      </c>
      <c r="E301" t="inlineStr">
        <is>
          <t xml:space="preserve">7791113001840       </t>
        </is>
      </c>
      <c r="F301" t="n">
        <v>4019866</v>
      </c>
      <c r="G301" t="inlineStr">
        <is>
          <t xml:space="preserve">FLAN VAINILLA LIGHT X30G EMETH     </t>
        </is>
      </c>
      <c r="H301" t="inlineStr">
        <is>
          <t xml:space="preserve">UNIDAD              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5</v>
      </c>
      <c r="P301" s="96">
        <f>_xlfn.XLOOKUP(Tabla5[[#This Row],[EAN CORREGIDO]],'Tabla Articulos'!B:B,'Tabla Articulos'!D:D)</f>
        <v/>
      </c>
      <c r="Q301" s="96">
        <f>_xlfn.XLOOKUP(S301,'Tabla Articulos'!B:B,'Tabla Articulos'!E:E)</f>
        <v/>
      </c>
      <c r="R301" s="96">
        <f>O301*Q301</f>
        <v/>
      </c>
      <c r="S301" s="97">
        <f>TRIM(E301)</f>
        <v/>
      </c>
    </row>
    <row r="302" hidden="1">
      <c r="A302" s="22" t="n">
        <v>1</v>
      </c>
      <c r="B302" t="inlineStr">
        <is>
          <t xml:space="preserve">CD MORENO                     </t>
        </is>
      </c>
      <c r="C302" t="inlineStr">
        <is>
          <t xml:space="preserve">GRUPO L.                      </t>
        </is>
      </c>
      <c r="D302" t="inlineStr">
        <is>
          <t>CONDIM P/ARROZ</t>
        </is>
      </c>
      <c r="E302" t="inlineStr">
        <is>
          <t xml:space="preserve">7793875312608       </t>
        </is>
      </c>
      <c r="F302" t="n">
        <v>4020132</v>
      </c>
      <c r="G302" t="inlineStr">
        <is>
          <t xml:space="preserve">CONDIMENTO PARA ARROZ X25GR AR     </t>
        </is>
      </c>
      <c r="H302" t="inlineStr">
        <is>
          <t xml:space="preserve">UNIDAD              </t>
        </is>
      </c>
      <c r="I302" t="n">
        <v>606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606</v>
      </c>
      <c r="P302" s="96">
        <f>_xlfn.XLOOKUP(Tabla5[[#This Row],[EAN CORREGIDO]],'Tabla Articulos'!B:B,'Tabla Articulos'!D:D)</f>
        <v/>
      </c>
      <c r="Q302" s="96">
        <f>_xlfn.XLOOKUP(S302,'Tabla Articulos'!B:B,'Tabla Articulos'!E:E)</f>
        <v/>
      </c>
      <c r="R302" s="96">
        <f>O302*Q302</f>
        <v/>
      </c>
      <c r="S302" s="97">
        <f>TRIM(E302)</f>
        <v/>
      </c>
    </row>
    <row r="303" hidden="1">
      <c r="A303" s="22" t="n">
        <v>6</v>
      </c>
      <c r="B303" t="inlineStr">
        <is>
          <t xml:space="preserve">CDM03 - MORENO 3              </t>
        </is>
      </c>
      <c r="C303" t="inlineStr">
        <is>
          <t xml:space="preserve">GRUPO L.                      </t>
        </is>
      </c>
      <c r="E303" t="inlineStr">
        <is>
          <t xml:space="preserve">UNIF000579          </t>
        </is>
      </c>
      <c r="F303" t="n">
        <v>9003117</v>
      </c>
      <c r="G303" t="inlineStr">
        <is>
          <t xml:space="preserve">CAMISA GRIS T56                    </t>
        </is>
      </c>
      <c r="H303" t="inlineStr">
        <is>
          <t xml:space="preserve">UNIDAD              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9</v>
      </c>
      <c r="P303" s="96">
        <f>_xlfn.XLOOKUP(Tabla5[[#This Row],[EAN CORREGIDO]],'Tabla Articulos'!B:B,'Tabla Articulos'!D:D)</f>
        <v/>
      </c>
      <c r="Q303" s="96">
        <f>_xlfn.XLOOKUP(S303,'Tabla Articulos'!B:B,'Tabla Articulos'!E:E)</f>
        <v/>
      </c>
      <c r="R303" s="96">
        <f>O303*Q303</f>
        <v/>
      </c>
      <c r="S303" s="97">
        <f>TRIM(E303)</f>
        <v/>
      </c>
    </row>
    <row r="304" hidden="1">
      <c r="A304" s="22" t="n">
        <v>1</v>
      </c>
      <c r="B304" t="inlineStr">
        <is>
          <t xml:space="preserve">CD MORENO                     </t>
        </is>
      </c>
      <c r="C304" t="inlineStr">
        <is>
          <t xml:space="preserve">GRUPO L.                      </t>
        </is>
      </c>
      <c r="D304" t="inlineStr">
        <is>
          <t>GALLE SALVADO</t>
        </is>
      </c>
      <c r="E304" t="inlineStr">
        <is>
          <t xml:space="preserve">7790045823209       </t>
        </is>
      </c>
      <c r="F304" t="n">
        <v>4024243</v>
      </c>
      <c r="G304" t="inlineStr">
        <is>
          <t xml:space="preserve">GALLETITA SALVADO X135G GRANIX     </t>
        </is>
      </c>
      <c r="H304" t="inlineStr">
        <is>
          <t xml:space="preserve">UNIDAD              </t>
        </is>
      </c>
      <c r="I304" t="n">
        <v>25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25</v>
      </c>
      <c r="P304" s="96">
        <f>_xlfn.XLOOKUP(Tabla5[[#This Row],[EAN CORREGIDO]],'Tabla Articulos'!B:B,'Tabla Articulos'!D:D)</f>
        <v/>
      </c>
      <c r="Q304" s="96">
        <f>_xlfn.XLOOKUP(S304,'Tabla Articulos'!B:B,'Tabla Articulos'!E:E)</f>
        <v/>
      </c>
      <c r="R304" s="96">
        <f>O304*Q304</f>
        <v/>
      </c>
      <c r="S304" s="97">
        <f>TRIM(E304)</f>
        <v/>
      </c>
    </row>
    <row r="305" hidden="1">
      <c r="A305" s="22" t="n">
        <v>6</v>
      </c>
      <c r="B305" t="inlineStr">
        <is>
          <t xml:space="preserve">CDM03 - MORENO 3              </t>
        </is>
      </c>
      <c r="C305" t="inlineStr">
        <is>
          <t xml:space="preserve">GRUPO L.                      </t>
        </is>
      </c>
      <c r="D305" t="inlineStr">
        <is>
          <t>CABOS MADERA</t>
        </is>
      </c>
      <c r="E305" t="inlineStr">
        <is>
          <t xml:space="preserve">LIM000183           </t>
        </is>
      </c>
      <c r="F305" t="n">
        <v>2006493</v>
      </c>
      <c r="G305" t="inlineStr">
        <is>
          <t xml:space="preserve">CABO MADERA X 1.30 M               </t>
        </is>
      </c>
      <c r="H305" t="inlineStr">
        <is>
          <t xml:space="preserve">UNIDAD              </t>
        </is>
      </c>
      <c r="I305" t="n">
        <v>101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101</v>
      </c>
      <c r="P305" s="96">
        <f>_xlfn.XLOOKUP(Tabla5[[#This Row],[EAN CORREGIDO]],'Tabla Articulos'!B:B,'Tabla Articulos'!D:D)</f>
        <v/>
      </c>
      <c r="Q305" s="96">
        <f>_xlfn.XLOOKUP(S305,'Tabla Articulos'!B:B,'Tabla Articulos'!E:E)</f>
        <v/>
      </c>
      <c r="R305" s="96">
        <f>O305*Q305</f>
        <v/>
      </c>
      <c r="S305" s="97">
        <f>TRIM(E305)</f>
        <v/>
      </c>
    </row>
    <row r="306" hidden="1">
      <c r="A306" s="22" t="n">
        <v>1</v>
      </c>
      <c r="B306" t="inlineStr">
        <is>
          <t xml:space="preserve">CD MORENO                     </t>
        </is>
      </c>
      <c r="C306" t="inlineStr">
        <is>
          <t xml:space="preserve">GRUPO L.                      </t>
        </is>
      </c>
      <c r="D306" t="inlineStr">
        <is>
          <t>YOGUR ENTERO VAINILLA</t>
        </is>
      </c>
      <c r="E306" t="inlineStr">
        <is>
          <t xml:space="preserve">7798001563060       </t>
        </is>
      </c>
      <c r="F306" t="n">
        <v>4049237</v>
      </c>
      <c r="G306" t="inlineStr">
        <is>
          <t xml:space="preserve">YOGUR ENT VAIN X900CC CREMIGAL     </t>
        </is>
      </c>
      <c r="H306" t="inlineStr">
        <is>
          <t xml:space="preserve">UNIDAD              </t>
        </is>
      </c>
      <c r="I306" t="n">
        <v>14045</v>
      </c>
      <c r="J306" t="n">
        <v>0</v>
      </c>
      <c r="K306" t="n">
        <v>0</v>
      </c>
      <c r="L306" t="n">
        <v>1459</v>
      </c>
      <c r="M306" t="n">
        <v>1459</v>
      </c>
      <c r="N306" t="n">
        <v>0</v>
      </c>
      <c r="O306" t="n">
        <v>11127</v>
      </c>
      <c r="P306" s="96">
        <f>_xlfn.XLOOKUP(Tabla5[[#This Row],[EAN CORREGIDO]],'Tabla Articulos'!B:B,'Tabla Articulos'!D:D)</f>
        <v/>
      </c>
      <c r="Q306" s="96">
        <f>_xlfn.XLOOKUP(S306,'Tabla Articulos'!B:B,'Tabla Articulos'!E:E)</f>
        <v/>
      </c>
      <c r="R306" s="96">
        <f>O306*Q306</f>
        <v/>
      </c>
      <c r="S306" s="97">
        <f>TRIM(E306)</f>
        <v/>
      </c>
    </row>
    <row r="307" hidden="1">
      <c r="A307" s="22" t="n">
        <v>6</v>
      </c>
      <c r="B307" t="inlineStr">
        <is>
          <t xml:space="preserve">CDM03 - MORENO 3              </t>
        </is>
      </c>
      <c r="C307" t="inlineStr">
        <is>
          <t xml:space="preserve">GRUPO L.                      </t>
        </is>
      </c>
      <c r="E307" t="inlineStr">
        <is>
          <t xml:space="preserve">BA-835              </t>
        </is>
      </c>
      <c r="F307" t="n">
        <v>5003267</v>
      </c>
      <c r="G307" t="inlineStr">
        <is>
          <t xml:space="preserve">CESTO OFICINA 5LT                  </t>
        </is>
      </c>
      <c r="H307" t="inlineStr">
        <is>
          <t xml:space="preserve">UNIDAD              </t>
        </is>
      </c>
      <c r="I307" t="n">
        <v>100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100</v>
      </c>
      <c r="P307" s="96">
        <f>_xlfn.XLOOKUP(Tabla5[[#This Row],[EAN CORREGIDO]],'Tabla Articulos'!B:B,'Tabla Articulos'!D:D)</f>
        <v/>
      </c>
      <c r="Q307" s="96">
        <f>_xlfn.XLOOKUP(S307,'Tabla Articulos'!B:B,'Tabla Articulos'!E:E)</f>
        <v/>
      </c>
      <c r="R307" s="96">
        <f>O307*Q307</f>
        <v/>
      </c>
      <c r="S307" s="97">
        <f>TRIM(E307)</f>
        <v/>
      </c>
    </row>
    <row r="308" hidden="1">
      <c r="A308" s="22" t="n">
        <v>5</v>
      </c>
      <c r="B308" t="inlineStr">
        <is>
          <t xml:space="preserve">CDM02 - MORENO 2              </t>
        </is>
      </c>
      <c r="C308" t="inlineStr">
        <is>
          <t xml:space="preserve">GRUPO L.                      </t>
        </is>
      </c>
      <c r="D308" t="inlineStr">
        <is>
          <t>SAL GRUESA</t>
        </is>
      </c>
      <c r="E308" t="inlineStr">
        <is>
          <t xml:space="preserve">7790000000407       </t>
        </is>
      </c>
      <c r="F308" t="n">
        <v>4023609</v>
      </c>
      <c r="G308" t="inlineStr">
        <is>
          <t xml:space="preserve">SAL GRUESA X25KG PRONISAL          </t>
        </is>
      </c>
      <c r="H308" t="inlineStr">
        <is>
          <t xml:space="preserve">UNIDAD              </t>
        </is>
      </c>
      <c r="I308" t="n">
        <v>1040</v>
      </c>
      <c r="J308" t="n">
        <v>728</v>
      </c>
      <c r="K308" t="n">
        <v>0</v>
      </c>
      <c r="L308" t="n">
        <v>0</v>
      </c>
      <c r="M308" t="n">
        <v>0</v>
      </c>
      <c r="N308" t="n">
        <v>0</v>
      </c>
      <c r="O308" t="n">
        <v>1768</v>
      </c>
      <c r="P308" s="96">
        <f>_xlfn.XLOOKUP(Tabla5[[#This Row],[EAN CORREGIDO]],'Tabla Articulos'!B:B,'Tabla Articulos'!D:D)</f>
        <v/>
      </c>
      <c r="Q308" s="96">
        <f>_xlfn.XLOOKUP(S308,'Tabla Articulos'!B:B,'Tabla Articulos'!E:E)</f>
        <v/>
      </c>
      <c r="R308" s="96">
        <f>O308*Q308</f>
        <v/>
      </c>
      <c r="S308" s="97">
        <f>TRIM(E308)</f>
        <v/>
      </c>
    </row>
    <row r="309" hidden="1">
      <c r="A309" s="22" t="n">
        <v>1</v>
      </c>
      <c r="B309" t="inlineStr">
        <is>
          <t xml:space="preserve">CD MORENO                     </t>
        </is>
      </c>
      <c r="C309" t="inlineStr">
        <is>
          <t xml:space="preserve">GRUPO L.                      </t>
        </is>
      </c>
      <c r="D309" t="inlineStr">
        <is>
          <t>ARROZ PARBOIL</t>
        </is>
      </c>
      <c r="E309" t="inlineStr">
        <is>
          <t xml:space="preserve">7791120037566       </t>
        </is>
      </c>
      <c r="F309" t="n">
        <v>4077596</v>
      </c>
      <c r="G309" t="inlineStr">
        <is>
          <t xml:space="preserve">ARROZ PARBOIL X500GR MOLINOS ALA   </t>
        </is>
      </c>
      <c r="H309" t="inlineStr">
        <is>
          <t xml:space="preserve">UNIDAD              </t>
        </is>
      </c>
      <c r="I309" t="n">
        <v>3890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3890</v>
      </c>
      <c r="P309" s="96">
        <f>_xlfn.XLOOKUP(Tabla5[[#This Row],[EAN CORREGIDO]],'Tabla Articulos'!B:B,'Tabla Articulos'!D:D)</f>
        <v/>
      </c>
      <c r="Q309" s="96">
        <f>_xlfn.XLOOKUP(S309,'Tabla Articulos'!B:B,'Tabla Articulos'!E:E)</f>
        <v/>
      </c>
      <c r="R309" s="96">
        <f>O309*Q309</f>
        <v/>
      </c>
      <c r="S309" s="97">
        <f>TRIM(E309)</f>
        <v/>
      </c>
    </row>
    <row r="310" hidden="1">
      <c r="A310" s="22" t="n">
        <v>5</v>
      </c>
      <c r="B310" t="inlineStr">
        <is>
          <t xml:space="preserve">CDM02 - MORENO 2              </t>
        </is>
      </c>
      <c r="C310" t="inlineStr">
        <is>
          <t xml:space="preserve">GRUPO L.                      </t>
        </is>
      </c>
      <c r="D310" t="inlineStr">
        <is>
          <t>ARROZ PARBOIL</t>
        </is>
      </c>
      <c r="E310" t="inlineStr">
        <is>
          <t xml:space="preserve">7791120037566       </t>
        </is>
      </c>
      <c r="F310" t="n">
        <v>4077596</v>
      </c>
      <c r="G310" t="inlineStr">
        <is>
          <t xml:space="preserve">ARROZ PARBOIL X500GR MOLINOS ALA   </t>
        </is>
      </c>
      <c r="H310" t="inlineStr">
        <is>
          <t xml:space="preserve">UNIDAD              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6</v>
      </c>
      <c r="P310" s="96">
        <f>_xlfn.XLOOKUP(Tabla5[[#This Row],[EAN CORREGIDO]],'Tabla Articulos'!B:B,'Tabla Articulos'!D:D)</f>
        <v/>
      </c>
      <c r="Q310" s="96">
        <f>_xlfn.XLOOKUP(S310,'Tabla Articulos'!B:B,'Tabla Articulos'!E:E)</f>
        <v/>
      </c>
      <c r="R310" s="96">
        <f>O310*Q310</f>
        <v/>
      </c>
      <c r="S310" s="97">
        <f>TRIM(E310)</f>
        <v/>
      </c>
    </row>
    <row r="311" hidden="1">
      <c r="A311" s="22" t="n">
        <v>6</v>
      </c>
      <c r="B311" t="inlineStr">
        <is>
          <t xml:space="preserve">CDM03 - MORENO 3              </t>
        </is>
      </c>
      <c r="C311" t="inlineStr">
        <is>
          <t xml:space="preserve">GRUPO L.                      </t>
        </is>
      </c>
      <c r="D311" s="11" t="n"/>
      <c r="E311" t="inlineStr">
        <is>
          <t xml:space="preserve">BUM310              </t>
        </is>
      </c>
      <c r="F311" t="n">
        <v>1000132</v>
      </c>
      <c r="G311" t="inlineStr">
        <is>
          <t xml:space="preserve">BACHA                              </t>
        </is>
      </c>
      <c r="H311" t="inlineStr">
        <is>
          <t xml:space="preserve">UNIDAD              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s="96">
        <f>_xlfn.XLOOKUP(Tabla5[[#This Row],[EAN CORREGIDO]],'Tabla Articulos'!B:B,'Tabla Articulos'!D:D)</f>
        <v/>
      </c>
      <c r="Q311" s="96">
        <f>_xlfn.XLOOKUP(S311,'Tabla Articulos'!B:B,'Tabla Articulos'!E:E)</f>
        <v/>
      </c>
      <c r="R311" s="96">
        <f>O311*Q311</f>
        <v/>
      </c>
      <c r="S311" s="97">
        <f>TRIM(E311)</f>
        <v/>
      </c>
    </row>
    <row r="312" hidden="1">
      <c r="A312" s="22" t="n">
        <v>6</v>
      </c>
      <c r="B312" t="inlineStr">
        <is>
          <t xml:space="preserve">CDM03 - MORENO 3              </t>
        </is>
      </c>
      <c r="C312" t="inlineStr">
        <is>
          <t xml:space="preserve">GRUPO L.                      </t>
        </is>
      </c>
      <c r="E312" t="inlineStr">
        <is>
          <t xml:space="preserve">UNIF000229          </t>
        </is>
      </c>
      <c r="F312" t="n">
        <v>9003497</v>
      </c>
      <c r="G312" t="inlineStr">
        <is>
          <t xml:space="preserve">PANTAL CARG NEGRO VER. 54 GL SUP   </t>
        </is>
      </c>
      <c r="H312" t="inlineStr">
        <is>
          <t xml:space="preserve">UNIDAD              </t>
        </is>
      </c>
      <c r="I312" t="n">
        <v>6</v>
      </c>
      <c r="J312" t="n">
        <v>15</v>
      </c>
      <c r="K312" t="n">
        <v>0</v>
      </c>
      <c r="L312" t="n">
        <v>0</v>
      </c>
      <c r="M312" t="n">
        <v>0</v>
      </c>
      <c r="N312" t="n">
        <v>0</v>
      </c>
      <c r="O312" t="n">
        <v>21</v>
      </c>
      <c r="P312" s="96">
        <f>_xlfn.XLOOKUP(Tabla5[[#This Row],[EAN CORREGIDO]],'Tabla Articulos'!B:B,'Tabla Articulos'!D:D)</f>
        <v/>
      </c>
      <c r="Q312" s="96">
        <f>_xlfn.XLOOKUP(S312,'Tabla Articulos'!B:B,'Tabla Articulos'!E:E)</f>
        <v/>
      </c>
      <c r="R312" s="96">
        <f>O312*Q312</f>
        <v/>
      </c>
      <c r="S312" s="97">
        <f>TRIM(E312)</f>
        <v/>
      </c>
    </row>
    <row r="313" hidden="1">
      <c r="A313" s="22" t="n">
        <v>6</v>
      </c>
      <c r="B313" t="inlineStr">
        <is>
          <t xml:space="preserve">CDM03 - MORENO 3              </t>
        </is>
      </c>
      <c r="C313" t="inlineStr">
        <is>
          <t xml:space="preserve">GRUPO L.                      </t>
        </is>
      </c>
      <c r="E313" t="inlineStr">
        <is>
          <t xml:space="preserve">UNIF000490          </t>
        </is>
      </c>
      <c r="F313" t="n">
        <v>9003578</v>
      </c>
      <c r="G313" t="inlineStr">
        <is>
          <t xml:space="preserve">CAMI GRIS CAMAR. RET. T38 C GOUR   </t>
        </is>
      </c>
      <c r="H313" t="inlineStr">
        <is>
          <t xml:space="preserve">UNIDAD              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s="96">
        <f>_xlfn.XLOOKUP(Tabla5[[#This Row],[EAN CORREGIDO]],'Tabla Articulos'!B:B,'Tabla Articulos'!D:D)</f>
        <v/>
      </c>
      <c r="Q313" s="96">
        <f>_xlfn.XLOOKUP(S313,'Tabla Articulos'!B:B,'Tabla Articulos'!E:E)</f>
        <v/>
      </c>
      <c r="R313" s="96">
        <f>O313*Q313</f>
        <v/>
      </c>
      <c r="S313" s="97">
        <f>TRIM(E313)</f>
        <v/>
      </c>
    </row>
    <row r="314" hidden="1">
      <c r="A314" s="22" t="n">
        <v>5</v>
      </c>
      <c r="B314" t="inlineStr">
        <is>
          <t xml:space="preserve">CDM02 - MORENO 2              </t>
        </is>
      </c>
      <c r="C314" t="inlineStr">
        <is>
          <t xml:space="preserve">GRUPO L.                      </t>
        </is>
      </c>
      <c r="D314" t="inlineStr">
        <is>
          <t>AVENA INSTANTANEA</t>
        </is>
      </c>
      <c r="E314" t="inlineStr">
        <is>
          <t xml:space="preserve">7790199604594       </t>
        </is>
      </c>
      <c r="F314" t="n">
        <v>4024504</v>
      </c>
      <c r="G314" t="inlineStr">
        <is>
          <t xml:space="preserve">AVENA INST X400G MORIXE            </t>
        </is>
      </c>
      <c r="H314" t="inlineStr">
        <is>
          <t xml:space="preserve">UNIDAD              </t>
        </is>
      </c>
      <c r="I314" t="n">
        <v>0</v>
      </c>
      <c r="J314" t="n">
        <v>140</v>
      </c>
      <c r="K314" t="n">
        <v>0</v>
      </c>
      <c r="L314" t="n">
        <v>0</v>
      </c>
      <c r="M314" t="n">
        <v>0</v>
      </c>
      <c r="N314" t="n">
        <v>0</v>
      </c>
      <c r="O314" t="n">
        <v>140</v>
      </c>
      <c r="P314" s="96">
        <f>_xlfn.XLOOKUP(Tabla5[[#This Row],[EAN CORREGIDO]],'Tabla Articulos'!B:B,'Tabla Articulos'!D:D)</f>
        <v/>
      </c>
      <c r="Q314" s="96">
        <f>_xlfn.XLOOKUP(S314,'Tabla Articulos'!B:B,'Tabla Articulos'!E:E)</f>
        <v/>
      </c>
      <c r="R314" s="96">
        <f>O314*Q314</f>
        <v/>
      </c>
      <c r="S314" s="97">
        <f>TRIM(E314)</f>
        <v/>
      </c>
    </row>
    <row r="315" hidden="1">
      <c r="A315" s="22" t="n">
        <v>1</v>
      </c>
      <c r="B315" t="inlineStr">
        <is>
          <t xml:space="preserve">CD MORENO                     </t>
        </is>
      </c>
      <c r="C315" t="inlineStr">
        <is>
          <t xml:space="preserve">GRUPO L.                      </t>
        </is>
      </c>
      <c r="D315" t="inlineStr">
        <is>
          <t>CHAMPIGNON ENTERO</t>
        </is>
      </c>
      <c r="E315" t="inlineStr">
        <is>
          <t xml:space="preserve">7790499000546       </t>
        </is>
      </c>
      <c r="F315" t="n">
        <v>4019730</v>
      </c>
      <c r="G315" t="inlineStr">
        <is>
          <t xml:space="preserve">CHAMPINGNON ENTERO X400 LA BANDA   </t>
        </is>
      </c>
      <c r="H315" t="inlineStr">
        <is>
          <t xml:space="preserve">UNIDAD              </t>
        </is>
      </c>
      <c r="I315" t="n">
        <v>446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446</v>
      </c>
      <c r="P315" s="96">
        <f>_xlfn.XLOOKUP(Tabla5[[#This Row],[EAN CORREGIDO]],'Tabla Articulos'!B:B,'Tabla Articulos'!D:D)</f>
        <v/>
      </c>
      <c r="Q315" s="96">
        <f>_xlfn.XLOOKUP(S315,'Tabla Articulos'!B:B,'Tabla Articulos'!E:E)</f>
        <v/>
      </c>
      <c r="R315" s="96">
        <f>O315*Q315</f>
        <v/>
      </c>
      <c r="S315" s="97">
        <f>TRIM(E315)</f>
        <v/>
      </c>
    </row>
    <row r="316" hidden="1">
      <c r="A316" s="22" t="n">
        <v>5</v>
      </c>
      <c r="B316" t="inlineStr">
        <is>
          <t xml:space="preserve">CDM02 - MORENO 2              </t>
        </is>
      </c>
      <c r="C316" t="inlineStr">
        <is>
          <t xml:space="preserve">GRUPO L.                      </t>
        </is>
      </c>
      <c r="D316" s="11" t="inlineStr">
        <is>
          <t>BOLSAS ARRANQUE</t>
        </is>
      </c>
      <c r="E316" t="inlineStr">
        <is>
          <t xml:space="preserve">16204014A           </t>
        </is>
      </c>
      <c r="F316" t="n">
        <v>2006487</v>
      </c>
      <c r="G316" t="inlineStr">
        <is>
          <t xml:space="preserve">ROLLO BOLSA ARRANQUE 15X20         </t>
        </is>
      </c>
      <c r="H316" t="inlineStr">
        <is>
          <t xml:space="preserve">UNIDAD              </t>
        </is>
      </c>
      <c r="I316" t="n">
        <v>105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105</v>
      </c>
      <c r="P316" s="96">
        <f>_xlfn.XLOOKUP(Tabla5[[#This Row],[EAN CORREGIDO]],'Tabla Articulos'!B:B,'Tabla Articulos'!D:D)</f>
        <v/>
      </c>
      <c r="Q316" s="96">
        <f>_xlfn.XLOOKUP(S316,'Tabla Articulos'!B:B,'Tabla Articulos'!E:E)</f>
        <v/>
      </c>
      <c r="R316" s="96">
        <f>O316*Q316</f>
        <v/>
      </c>
      <c r="S316" s="97">
        <f>TRIM(E316)</f>
        <v/>
      </c>
    </row>
    <row r="317" hidden="1">
      <c r="A317" s="22" t="n">
        <v>6</v>
      </c>
      <c r="B317" t="inlineStr">
        <is>
          <t xml:space="preserve">CDM03 - MORENO 3              </t>
        </is>
      </c>
      <c r="C317" t="inlineStr">
        <is>
          <t xml:space="preserve">GRUPO L.                      </t>
        </is>
      </c>
      <c r="D317" t="inlineStr">
        <is>
          <t>BOLSAS ARRANQUE</t>
        </is>
      </c>
      <c r="E317" t="inlineStr">
        <is>
          <t xml:space="preserve">16204014A           </t>
        </is>
      </c>
      <c r="F317" t="n">
        <v>2006487</v>
      </c>
      <c r="G317" t="inlineStr">
        <is>
          <t xml:space="preserve">ROLLO BOLSA ARRANQUE 15X20         </t>
        </is>
      </c>
      <c r="H317" t="inlineStr">
        <is>
          <t xml:space="preserve">UNIDAD              </t>
        </is>
      </c>
      <c r="I317" t="n">
        <v>1245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1245</v>
      </c>
      <c r="P317" s="96">
        <f>_xlfn.XLOOKUP(Tabla5[[#This Row],[EAN CORREGIDO]],'Tabla Articulos'!B:B,'Tabla Articulos'!D:D)</f>
        <v/>
      </c>
      <c r="Q317" s="96">
        <f>_xlfn.XLOOKUP(S317,'Tabla Articulos'!B:B,'Tabla Articulos'!E:E)</f>
        <v/>
      </c>
      <c r="R317" s="96">
        <f>O317*Q317</f>
        <v/>
      </c>
      <c r="S317" s="97">
        <f>TRIM(E317)</f>
        <v/>
      </c>
    </row>
    <row r="318" hidden="1">
      <c r="A318" s="22" t="n">
        <v>6</v>
      </c>
      <c r="B318" t="inlineStr">
        <is>
          <t xml:space="preserve">CDM03 - MORENO 3              </t>
        </is>
      </c>
      <c r="C318" t="inlineStr">
        <is>
          <t xml:space="preserve">GRUPO L.                      </t>
        </is>
      </c>
      <c r="D318" t="inlineStr">
        <is>
          <t>CABOS ALUMINIO</t>
        </is>
      </c>
      <c r="E318" t="inlineStr">
        <is>
          <t xml:space="preserve">7793253004443       </t>
        </is>
      </c>
      <c r="F318" t="n">
        <v>2006696</v>
      </c>
      <c r="G318" t="inlineStr">
        <is>
          <t xml:space="preserve">CABO METALICO C/ROSCA              </t>
        </is>
      </c>
      <c r="H318" t="inlineStr">
        <is>
          <t xml:space="preserve">UNIDAD              </t>
        </is>
      </c>
      <c r="I318" t="n">
        <v>2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0</v>
      </c>
      <c r="P318" s="96">
        <f>_xlfn.XLOOKUP(Tabla5[[#This Row],[EAN CORREGIDO]],'Tabla Articulos'!B:B,'Tabla Articulos'!D:D)</f>
        <v/>
      </c>
      <c r="Q318" s="96">
        <f>_xlfn.XLOOKUP(S318,'Tabla Articulos'!B:B,'Tabla Articulos'!E:E)</f>
        <v/>
      </c>
      <c r="R318" s="96">
        <f>O318*Q318</f>
        <v/>
      </c>
      <c r="S318" s="97">
        <f>TRIM(E318)</f>
        <v/>
      </c>
    </row>
    <row r="319" hidden="1">
      <c r="A319" s="22" t="n">
        <v>1</v>
      </c>
      <c r="B319" t="inlineStr">
        <is>
          <t xml:space="preserve">CD MORENO                     </t>
        </is>
      </c>
      <c r="C319" t="inlineStr">
        <is>
          <t xml:space="preserve">GRUPO L.                      </t>
        </is>
      </c>
      <c r="D319" t="inlineStr">
        <is>
          <t>MOSTAZA INDIVIDUAL</t>
        </is>
      </c>
      <c r="E319" t="inlineStr">
        <is>
          <t xml:space="preserve">67794000006500      </t>
        </is>
      </c>
      <c r="F319" t="n">
        <v>4021269</v>
      </c>
      <c r="G319" t="inlineStr">
        <is>
          <t xml:space="preserve">MOSTAZA IND X196U X8CC SAVORA      </t>
        </is>
      </c>
      <c r="H319" t="inlineStr">
        <is>
          <t xml:space="preserve">UNIDAD              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7</v>
      </c>
      <c r="P319" s="96">
        <f>_xlfn.XLOOKUP(Tabla5[[#This Row],[EAN CORREGIDO]],'Tabla Articulos'!B:B,'Tabla Articulos'!D:D)</f>
        <v/>
      </c>
      <c r="Q319" s="96">
        <f>_xlfn.XLOOKUP(S319,'Tabla Articulos'!B:B,'Tabla Articulos'!E:E)</f>
        <v/>
      </c>
      <c r="R319" s="96">
        <f>O319*Q319</f>
        <v/>
      </c>
      <c r="S319" s="97">
        <f>TRIM(E319)</f>
        <v/>
      </c>
    </row>
    <row r="320" hidden="1">
      <c r="A320" s="22" t="n">
        <v>5</v>
      </c>
      <c r="B320" t="inlineStr">
        <is>
          <t xml:space="preserve">CDM02 - MORENO 2              </t>
        </is>
      </c>
      <c r="C320" t="inlineStr">
        <is>
          <t xml:space="preserve">GRUPO L.                      </t>
        </is>
      </c>
      <c r="D320" s="11" t="inlineStr">
        <is>
          <t>MOSTAZA INDIVIDUAL</t>
        </is>
      </c>
      <c r="E320" t="inlineStr">
        <is>
          <t xml:space="preserve">67794000006500      </t>
        </is>
      </c>
      <c r="F320" t="n">
        <v>4021269</v>
      </c>
      <c r="G320" t="inlineStr">
        <is>
          <t xml:space="preserve">MOSTAZA IND X196U X8CC SAVORA      </t>
        </is>
      </c>
      <c r="H320" t="inlineStr">
        <is>
          <t xml:space="preserve">UNIDAD              </t>
        </is>
      </c>
      <c r="I320" t="n">
        <v>46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46</v>
      </c>
      <c r="P320" s="96">
        <f>_xlfn.XLOOKUP(Tabla5[[#This Row],[EAN CORREGIDO]],'Tabla Articulos'!B:B,'Tabla Articulos'!D:D)</f>
        <v/>
      </c>
      <c r="Q320" s="96">
        <f>_xlfn.XLOOKUP(S320,'Tabla Articulos'!B:B,'Tabla Articulos'!E:E)</f>
        <v/>
      </c>
      <c r="R320" s="96">
        <f>O320*Q320</f>
        <v/>
      </c>
      <c r="S320" s="97">
        <f>TRIM(E320)</f>
        <v/>
      </c>
    </row>
    <row r="321" hidden="1">
      <c r="A321" s="22" t="n">
        <v>1</v>
      </c>
      <c r="B321" t="inlineStr">
        <is>
          <t xml:space="preserve">CD MORENO                     </t>
        </is>
      </c>
      <c r="C321" t="inlineStr">
        <is>
          <t xml:space="preserve">GRUPO L.                      </t>
        </is>
      </c>
      <c r="D321" t="inlineStr">
        <is>
          <t>MEDALLONES DE POLLO</t>
        </is>
      </c>
      <c r="E321" t="inlineStr">
        <is>
          <t xml:space="preserve">7798346030135       </t>
        </is>
      </c>
      <c r="F321" t="n">
        <v>4077653</v>
      </c>
      <c r="G321" t="inlineStr">
        <is>
          <t xml:space="preserve">MEDALLON POLLO REBOZADO 83G X70UN  </t>
        </is>
      </c>
      <c r="H321" t="inlineStr">
        <is>
          <t xml:space="preserve">UNIDAD              </t>
        </is>
      </c>
      <c r="I321" t="n">
        <v>57</v>
      </c>
      <c r="J321" t="n">
        <v>0</v>
      </c>
      <c r="K321" t="n">
        <v>0</v>
      </c>
      <c r="L321" t="n">
        <v>16</v>
      </c>
      <c r="M321" t="n">
        <v>16</v>
      </c>
      <c r="N321" t="n">
        <v>0</v>
      </c>
      <c r="O321" t="n">
        <v>25</v>
      </c>
      <c r="P321" s="96">
        <f>_xlfn.XLOOKUP(Tabla5[[#This Row],[EAN CORREGIDO]],'Tabla Articulos'!B:B,'Tabla Articulos'!D:D)</f>
        <v/>
      </c>
      <c r="Q321" s="96">
        <f>_xlfn.XLOOKUP(S321,'Tabla Articulos'!B:B,'Tabla Articulos'!E:E)</f>
        <v/>
      </c>
      <c r="R321" s="96">
        <f>O321*Q321</f>
        <v/>
      </c>
      <c r="S321" s="97">
        <f>TRIM(E321)</f>
        <v/>
      </c>
    </row>
    <row r="322" hidden="1">
      <c r="A322" s="22" t="n">
        <v>1</v>
      </c>
      <c r="B322" t="inlineStr">
        <is>
          <t xml:space="preserve">CD MORENO                     </t>
        </is>
      </c>
      <c r="C322" t="inlineStr">
        <is>
          <t xml:space="preserve">GRUPO L.                      </t>
        </is>
      </c>
      <c r="D322" t="inlineStr">
        <is>
          <t>QUESO FRESCO</t>
        </is>
      </c>
      <c r="E322" t="inlineStr">
        <is>
          <t xml:space="preserve">7790212060879       </t>
        </is>
      </c>
      <c r="F322" t="n">
        <v>4018351</v>
      </c>
      <c r="G322" t="inlineStr">
        <is>
          <t xml:space="preserve">QUESO CREMOSO X KG                 </t>
        </is>
      </c>
      <c r="H322" t="inlineStr">
        <is>
          <t xml:space="preserve">Kgs                 </t>
        </is>
      </c>
      <c r="I322" t="n">
        <v>671.405</v>
      </c>
      <c r="J322" t="n">
        <v>0</v>
      </c>
      <c r="K322" t="n">
        <v>0</v>
      </c>
      <c r="L322" t="n">
        <v>36.2</v>
      </c>
      <c r="M322" t="n">
        <v>36.2</v>
      </c>
      <c r="N322" t="n">
        <v>0</v>
      </c>
      <c r="O322" t="n">
        <v>599.005</v>
      </c>
      <c r="P322" s="96">
        <f>_xlfn.XLOOKUP(Tabla5[[#This Row],[EAN CORREGIDO]],'Tabla Articulos'!B:B,'Tabla Articulos'!D:D)</f>
        <v/>
      </c>
      <c r="Q322" s="96">
        <f>_xlfn.XLOOKUP(S322,'Tabla Articulos'!B:B,'Tabla Articulos'!E:E)</f>
        <v/>
      </c>
      <c r="R322" s="96">
        <f>O322*Q322</f>
        <v/>
      </c>
      <c r="S322" s="97">
        <f>TRIM(E322)</f>
        <v/>
      </c>
    </row>
    <row r="323" hidden="1">
      <c r="A323" s="22" t="n">
        <v>6</v>
      </c>
      <c r="B323" t="inlineStr">
        <is>
          <t xml:space="preserve">CDM03 - MORENO 3              </t>
        </is>
      </c>
      <c r="C323" t="inlineStr">
        <is>
          <t xml:space="preserve">GRUPO L.                      </t>
        </is>
      </c>
      <c r="E323" t="inlineStr">
        <is>
          <t xml:space="preserve">UNIF000751          </t>
        </is>
      </c>
      <c r="F323" t="n">
        <v>9004205</v>
      </c>
      <c r="G323" t="inlineStr">
        <is>
          <t xml:space="preserve">CHOMBA PIQ GRIS MELANGE BLUECAFÉ S </t>
        </is>
      </c>
      <c r="H323" t="inlineStr">
        <is>
          <t xml:space="preserve">UNIDAD              </t>
        </is>
      </c>
      <c r="I323" t="n">
        <v>21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21</v>
      </c>
      <c r="P323" s="96">
        <f>_xlfn.XLOOKUP(Tabla5[[#This Row],[EAN CORREGIDO]],'Tabla Articulos'!B:B,'Tabla Articulos'!D:D)</f>
        <v/>
      </c>
      <c r="Q323" s="96">
        <f>_xlfn.XLOOKUP(S323,'Tabla Articulos'!B:B,'Tabla Articulos'!E:E)</f>
        <v/>
      </c>
      <c r="R323" s="96">
        <f>O323*Q323</f>
        <v/>
      </c>
      <c r="S323" s="97">
        <f>TRIM(E323)</f>
        <v/>
      </c>
    </row>
    <row r="324" hidden="1">
      <c r="A324" s="22" t="n">
        <v>6</v>
      </c>
      <c r="B324" t="inlineStr">
        <is>
          <t xml:space="preserve">CDM03 - MORENO 3              </t>
        </is>
      </c>
      <c r="C324" t="inlineStr">
        <is>
          <t xml:space="preserve">GRUPO L.                      </t>
        </is>
      </c>
      <c r="E324" t="inlineStr">
        <is>
          <t xml:space="preserve">5000753             </t>
        </is>
      </c>
      <c r="F324" t="n">
        <v>5000753</v>
      </c>
      <c r="G324" t="inlineStr">
        <is>
          <t>GUANTE MAPA ULTRANITRIL AF 492 VERD</t>
        </is>
      </c>
      <c r="H324" t="inlineStr">
        <is>
          <t xml:space="preserve">UNIDAD              </t>
        </is>
      </c>
      <c r="I324" t="n">
        <v>80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80</v>
      </c>
      <c r="P324" s="96">
        <f>_xlfn.XLOOKUP(Tabla5[[#This Row],[EAN CORREGIDO]],'Tabla Articulos'!B:B,'Tabla Articulos'!D:D)</f>
        <v/>
      </c>
      <c r="Q324" s="96">
        <f>_xlfn.XLOOKUP(S324,'Tabla Articulos'!B:B,'Tabla Articulos'!E:E)</f>
        <v/>
      </c>
      <c r="R324" s="96">
        <f>O324*Q324</f>
        <v/>
      </c>
      <c r="S324" s="97">
        <f>TRIM(E324)</f>
        <v/>
      </c>
    </row>
    <row r="325" hidden="1">
      <c r="A325" s="22" t="n">
        <v>1</v>
      </c>
      <c r="B325" t="inlineStr">
        <is>
          <t xml:space="preserve">CD MORENO                     </t>
        </is>
      </c>
      <c r="C325" t="inlineStr">
        <is>
          <t xml:space="preserve">GRUPO L.                      </t>
        </is>
      </c>
      <c r="D325" t="inlineStr">
        <is>
          <t>PROVENZAL</t>
        </is>
      </c>
      <c r="E325" t="inlineStr">
        <is>
          <t xml:space="preserve">7793875360050       </t>
        </is>
      </c>
      <c r="F325" t="n">
        <v>4020191</v>
      </c>
      <c r="G325" t="inlineStr">
        <is>
          <t xml:space="preserve">PROVENZAL X 25 G AROMAS Y SABORES  </t>
        </is>
      </c>
      <c r="H325" t="inlineStr">
        <is>
          <t xml:space="preserve">UNIDAD              </t>
        </is>
      </c>
      <c r="I325" t="n">
        <v>1926</v>
      </c>
      <c r="J325" t="n">
        <v>0</v>
      </c>
      <c r="K325" t="n">
        <v>0</v>
      </c>
      <c r="L325" t="n">
        <v>60</v>
      </c>
      <c r="M325" t="n">
        <v>60</v>
      </c>
      <c r="N325" t="n">
        <v>0</v>
      </c>
      <c r="O325" t="n">
        <v>1806</v>
      </c>
      <c r="P325" s="96">
        <f>_xlfn.XLOOKUP(Tabla5[[#This Row],[EAN CORREGIDO]],'Tabla Articulos'!B:B,'Tabla Articulos'!D:D)</f>
        <v/>
      </c>
      <c r="Q325" s="96">
        <f>_xlfn.XLOOKUP(S325,'Tabla Articulos'!B:B,'Tabla Articulos'!E:E)</f>
        <v/>
      </c>
      <c r="R325" s="96">
        <f>O325*Q325</f>
        <v/>
      </c>
      <c r="S325" s="97">
        <f>TRIM(E325)</f>
        <v/>
      </c>
    </row>
    <row r="326" hidden="1">
      <c r="A326" s="22" t="n">
        <v>6</v>
      </c>
      <c r="B326" t="inlineStr">
        <is>
          <t xml:space="preserve">CDM03 - MORENO 3              </t>
        </is>
      </c>
      <c r="C326" t="inlineStr">
        <is>
          <t xml:space="preserve">GRUPO L.                      </t>
        </is>
      </c>
      <c r="D326" s="11" t="n"/>
      <c r="E326" t="inlineStr">
        <is>
          <t xml:space="preserve">LIM000248           </t>
        </is>
      </c>
      <c r="F326" t="n">
        <v>2006808</v>
      </c>
      <c r="G326" t="inlineStr">
        <is>
          <t xml:space="preserve">CABO MADERA X 2.20MT               </t>
        </is>
      </c>
      <c r="H326" t="inlineStr">
        <is>
          <t xml:space="preserve">UNIDAD              </t>
        </is>
      </c>
      <c r="I326" t="n">
        <v>1690</v>
      </c>
      <c r="J326" t="n">
        <v>0</v>
      </c>
      <c r="K326" t="n">
        <v>0</v>
      </c>
      <c r="L326" t="n">
        <v>147</v>
      </c>
      <c r="M326" t="n">
        <v>147</v>
      </c>
      <c r="N326" t="n">
        <v>0</v>
      </c>
      <c r="O326" t="n">
        <v>1396</v>
      </c>
      <c r="P326" s="96">
        <f>_xlfn.XLOOKUP(Tabla5[[#This Row],[EAN CORREGIDO]],'Tabla Articulos'!B:B,'Tabla Articulos'!D:D)</f>
        <v/>
      </c>
      <c r="Q326" s="96">
        <f>_xlfn.XLOOKUP(S326,'Tabla Articulos'!B:B,'Tabla Articulos'!E:E)</f>
        <v/>
      </c>
      <c r="R326" s="96">
        <f>O326*Q326</f>
        <v/>
      </c>
      <c r="S326" s="97">
        <f>TRIM(E326)</f>
        <v/>
      </c>
    </row>
    <row r="327" hidden="1">
      <c r="A327" s="22" t="n">
        <v>6</v>
      </c>
      <c r="B327" t="inlineStr">
        <is>
          <t xml:space="preserve">CDM03 - MORENO 3              </t>
        </is>
      </c>
      <c r="C327" t="inlineStr">
        <is>
          <t xml:space="preserve">GRUPO L.                      </t>
        </is>
      </c>
      <c r="E327" t="inlineStr">
        <is>
          <t xml:space="preserve">UNIF000343          </t>
        </is>
      </c>
      <c r="F327" t="n">
        <v>9003516</v>
      </c>
      <c r="G327" t="inlineStr">
        <is>
          <t xml:space="preserve">CHAQ CUE.MAO AY/CAM/PEON 1 NUTRI   </t>
        </is>
      </c>
      <c r="H327" t="inlineStr">
        <is>
          <t xml:space="preserve">UNIDAD              </t>
        </is>
      </c>
      <c r="I327" t="n">
        <v>27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27</v>
      </c>
      <c r="P327" s="96">
        <f>_xlfn.XLOOKUP(Tabla5[[#This Row],[EAN CORREGIDO]],'Tabla Articulos'!B:B,'Tabla Articulos'!D:D)</f>
        <v/>
      </c>
      <c r="Q327" s="96">
        <f>_xlfn.XLOOKUP(S327,'Tabla Articulos'!B:B,'Tabla Articulos'!E:E)</f>
        <v/>
      </c>
      <c r="R327" s="96">
        <f>O327*Q327</f>
        <v/>
      </c>
      <c r="S327" s="97">
        <f>TRIM(E327)</f>
        <v/>
      </c>
    </row>
    <row r="328" hidden="1">
      <c r="A328" s="22" t="n">
        <v>6</v>
      </c>
      <c r="B328" t="inlineStr">
        <is>
          <t xml:space="preserve">CDM03 - MORENO 3              </t>
        </is>
      </c>
      <c r="C328" t="inlineStr">
        <is>
          <t xml:space="preserve">GRUPO L.                      </t>
        </is>
      </c>
      <c r="D328" s="11" t="n"/>
      <c r="E328" t="inlineStr">
        <is>
          <t xml:space="preserve">UNIF000220          </t>
        </is>
      </c>
      <c r="F328" t="n">
        <v>9003488</v>
      </c>
      <c r="G328" t="inlineStr">
        <is>
          <t xml:space="preserve">PANTAL CARG NEGRO NAR. 54 GL SUP   </t>
        </is>
      </c>
      <c r="H328" t="inlineStr">
        <is>
          <t xml:space="preserve">UNIDAD              </t>
        </is>
      </c>
      <c r="I328" t="n">
        <v>15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15</v>
      </c>
      <c r="P328" s="96">
        <f>_xlfn.XLOOKUP(Tabla5[[#This Row],[EAN CORREGIDO]],'Tabla Articulos'!B:B,'Tabla Articulos'!D:D)</f>
        <v/>
      </c>
      <c r="Q328" s="96">
        <f>_xlfn.XLOOKUP(S328,'Tabla Articulos'!B:B,'Tabla Articulos'!E:E)</f>
        <v/>
      </c>
      <c r="R328" s="96">
        <f>O328*Q328</f>
        <v/>
      </c>
      <c r="S328" s="97">
        <f>TRIM(E328)</f>
        <v/>
      </c>
    </row>
    <row r="329" hidden="1">
      <c r="A329" s="22" t="n">
        <v>6</v>
      </c>
      <c r="B329" t="inlineStr">
        <is>
          <t xml:space="preserve">CDM03 - MORENO 3              </t>
        </is>
      </c>
      <c r="C329" t="inlineStr">
        <is>
          <t xml:space="preserve">GRUPO L.                      </t>
        </is>
      </c>
      <c r="D329" t="inlineStr">
        <is>
          <t>BOLSA RESIDUO</t>
        </is>
      </c>
      <c r="E329" t="inlineStr">
        <is>
          <t xml:space="preserve">7790000000830       </t>
        </is>
      </c>
      <c r="F329" t="n">
        <v>2016696</v>
      </c>
      <c r="G329" t="inlineStr">
        <is>
          <t xml:space="preserve">BOLSA RESID VERD 45X60X50U KIT ESC </t>
        </is>
      </c>
      <c r="H329" t="inlineStr">
        <is>
          <t xml:space="preserve">UNIDAD              </t>
        </is>
      </c>
      <c r="I329" t="n">
        <v>4480</v>
      </c>
      <c r="J329" t="n">
        <v>1100</v>
      </c>
      <c r="K329" t="n">
        <v>0</v>
      </c>
      <c r="L329" t="n">
        <v>71</v>
      </c>
      <c r="M329" t="n">
        <v>71</v>
      </c>
      <c r="N329" t="n">
        <v>0</v>
      </c>
      <c r="O329" t="n">
        <v>5438</v>
      </c>
      <c r="P329" s="96">
        <f>_xlfn.XLOOKUP(Tabla5[[#This Row],[EAN CORREGIDO]],'Tabla Articulos'!B:B,'Tabla Articulos'!D:D)</f>
        <v/>
      </c>
      <c r="Q329" s="96">
        <f>_xlfn.XLOOKUP(S329,'Tabla Articulos'!B:B,'Tabla Articulos'!E:E)</f>
        <v/>
      </c>
      <c r="R329" s="96">
        <f>O329*Q329</f>
        <v/>
      </c>
      <c r="S329" s="97">
        <f>TRIM(E329)</f>
        <v/>
      </c>
    </row>
    <row r="330" hidden="1">
      <c r="A330" s="22" t="n">
        <v>1</v>
      </c>
      <c r="B330" t="inlineStr">
        <is>
          <t xml:space="preserve">CD MORENO                     </t>
        </is>
      </c>
      <c r="C330" t="inlineStr">
        <is>
          <t xml:space="preserve">GRUPO L.                      </t>
        </is>
      </c>
      <c r="D330" t="inlineStr">
        <is>
          <t>PURE INST</t>
        </is>
      </c>
      <c r="E330" t="inlineStr">
        <is>
          <t xml:space="preserve">7791254186727       </t>
        </is>
      </c>
      <c r="F330" t="n">
        <v>4019817</v>
      </c>
      <c r="G330" t="inlineStr">
        <is>
          <t xml:space="preserve">PURE DE PAPAS INST X1KG JUMALA     </t>
        </is>
      </c>
      <c r="H330" t="inlineStr">
        <is>
          <t xml:space="preserve">UNIDAD              </t>
        </is>
      </c>
      <c r="I330" t="n">
        <v>760</v>
      </c>
      <c r="J330" t="n">
        <v>0</v>
      </c>
      <c r="K330" t="n">
        <v>0</v>
      </c>
      <c r="L330" t="n">
        <v>73</v>
      </c>
      <c r="M330" t="n">
        <v>73</v>
      </c>
      <c r="N330" t="n">
        <v>0</v>
      </c>
      <c r="O330" t="n">
        <v>614</v>
      </c>
      <c r="P330" s="96">
        <f>_xlfn.XLOOKUP(Tabla5[[#This Row],[EAN CORREGIDO]],'Tabla Articulos'!B:B,'Tabla Articulos'!D:D)</f>
        <v/>
      </c>
      <c r="Q330" s="96">
        <f>_xlfn.XLOOKUP(S330,'Tabla Articulos'!B:B,'Tabla Articulos'!E:E)</f>
        <v/>
      </c>
      <c r="R330" s="96">
        <f>O330*Q330</f>
        <v/>
      </c>
      <c r="S330" s="97">
        <f>TRIM(E330)</f>
        <v/>
      </c>
    </row>
    <row r="331" hidden="1">
      <c r="A331" s="22" t="n">
        <v>6</v>
      </c>
      <c r="B331" t="inlineStr">
        <is>
          <t xml:space="preserve">CDM03 - MORENO 3              </t>
        </is>
      </c>
      <c r="C331" t="inlineStr">
        <is>
          <t xml:space="preserve">GRUPO L.                      </t>
        </is>
      </c>
      <c r="E331" t="inlineStr">
        <is>
          <t xml:space="preserve">UNIF000524          </t>
        </is>
      </c>
      <c r="F331" t="n">
        <v>9003403</v>
      </c>
      <c r="G331" t="inlineStr">
        <is>
          <t xml:space="preserve">CONJ. PRIMERA PIEL XXL S.LOG       </t>
        </is>
      </c>
      <c r="H331" t="inlineStr">
        <is>
          <t xml:space="preserve">UNIDAD              </t>
        </is>
      </c>
      <c r="I331" t="n">
        <v>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99</v>
      </c>
      <c r="P331" s="96">
        <f>_xlfn.XLOOKUP(Tabla5[[#This Row],[EAN CORREGIDO]],'Tabla Articulos'!B:B,'Tabla Articulos'!D:D)</f>
        <v/>
      </c>
      <c r="Q331" s="96">
        <f>_xlfn.XLOOKUP(S331,'Tabla Articulos'!B:B,'Tabla Articulos'!E:E)</f>
        <v/>
      </c>
      <c r="R331" s="96">
        <f>O331*Q331</f>
        <v/>
      </c>
      <c r="S331" s="97">
        <f>TRIM(E331)</f>
        <v/>
      </c>
    </row>
    <row r="332" hidden="1">
      <c r="A332" s="22" t="n">
        <v>1</v>
      </c>
      <c r="B332" t="inlineStr">
        <is>
          <t xml:space="preserve">CD MORENO                     </t>
        </is>
      </c>
      <c r="C332" t="inlineStr">
        <is>
          <t xml:space="preserve">GRUPO L.                      </t>
        </is>
      </c>
      <c r="D332" s="11" t="inlineStr">
        <is>
          <t>PURE PAPA INSTANTANEO</t>
        </is>
      </c>
      <c r="E332" t="inlineStr">
        <is>
          <t xml:space="preserve">7792180145352       </t>
        </is>
      </c>
      <c r="F332" t="n">
        <v>4021279</v>
      </c>
      <c r="G332" t="inlineStr">
        <is>
          <t xml:space="preserve">PURE DE PAPA DESH X3KG CAÑUELAS    </t>
        </is>
      </c>
      <c r="H332" t="inlineStr">
        <is>
          <t xml:space="preserve">UNIDAD              </t>
        </is>
      </c>
      <c r="I332" t="n">
        <v>57</v>
      </c>
      <c r="J332" t="n">
        <v>0</v>
      </c>
      <c r="K332" t="n">
        <v>0</v>
      </c>
      <c r="L332" t="n">
        <v>19</v>
      </c>
      <c r="M332" t="n">
        <v>19</v>
      </c>
      <c r="N332" t="n">
        <v>0</v>
      </c>
      <c r="O332" t="n">
        <v>19</v>
      </c>
      <c r="P332" s="96">
        <f>_xlfn.XLOOKUP(Tabla5[[#This Row],[EAN CORREGIDO]],'Tabla Articulos'!B:B,'Tabla Articulos'!D:D)</f>
        <v/>
      </c>
      <c r="Q332" s="96">
        <f>_xlfn.XLOOKUP(S332,'Tabla Articulos'!B:B,'Tabla Articulos'!E:E)</f>
        <v/>
      </c>
      <c r="R332" s="96">
        <f>O332*Q332</f>
        <v/>
      </c>
      <c r="S332" s="97">
        <f>TRIM(E332)</f>
        <v/>
      </c>
    </row>
    <row r="333" hidden="1">
      <c r="A333" s="22" t="n">
        <v>6</v>
      </c>
      <c r="B333" t="inlineStr">
        <is>
          <t xml:space="preserve">CDM03 - MORENO 3              </t>
        </is>
      </c>
      <c r="C333" t="inlineStr">
        <is>
          <t xml:space="preserve">GRUPO L.                      </t>
        </is>
      </c>
      <c r="E333" t="inlineStr">
        <is>
          <t xml:space="preserve">9001930             </t>
        </is>
      </c>
      <c r="F333" t="n">
        <v>9001930</v>
      </c>
      <c r="G333" t="inlineStr">
        <is>
          <t xml:space="preserve">PALA CON CABO Y GOMA ROJO          </t>
        </is>
      </c>
      <c r="H333" t="inlineStr">
        <is>
          <t xml:space="preserve">UNIDAD              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5</v>
      </c>
      <c r="P333" s="96">
        <f>_xlfn.XLOOKUP(Tabla5[[#This Row],[EAN CORREGIDO]],'Tabla Articulos'!B:B,'Tabla Articulos'!D:D)</f>
        <v/>
      </c>
      <c r="Q333" s="96">
        <f>_xlfn.XLOOKUP(S333,'Tabla Articulos'!B:B,'Tabla Articulos'!E:E)</f>
        <v/>
      </c>
      <c r="R333" s="96">
        <f>O333*Q333</f>
        <v/>
      </c>
      <c r="S333" s="97">
        <f>TRIM(E333)</f>
        <v/>
      </c>
    </row>
    <row r="334" hidden="1">
      <c r="A334" s="22" t="n">
        <v>6</v>
      </c>
      <c r="B334" t="inlineStr">
        <is>
          <t xml:space="preserve">CDM03 - MORENO 3              </t>
        </is>
      </c>
      <c r="C334" t="inlineStr">
        <is>
          <t xml:space="preserve">GRUPO L.                      </t>
        </is>
      </c>
      <c r="D334" s="11" t="inlineStr">
        <is>
          <t>GUANTE GOMA</t>
        </is>
      </c>
      <c r="E334" t="inlineStr">
        <is>
          <t xml:space="preserve">7798092968737       </t>
        </is>
      </c>
      <c r="F334" t="n">
        <v>2006776</v>
      </c>
      <c r="G334" t="inlineStr">
        <is>
          <t xml:space="preserve">GUANTES GOMA VERDE PAR XU G MAKE   </t>
        </is>
      </c>
      <c r="H334" t="inlineStr">
        <is>
          <t xml:space="preserve">UNIDAD              </t>
        </is>
      </c>
      <c r="I334" t="n">
        <v>978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978</v>
      </c>
      <c r="P334" s="96">
        <f>_xlfn.XLOOKUP(Tabla5[[#This Row],[EAN CORREGIDO]],'Tabla Articulos'!B:B,'Tabla Articulos'!D:D)</f>
        <v/>
      </c>
      <c r="Q334" s="96">
        <f>_xlfn.XLOOKUP(S334,'Tabla Articulos'!B:B,'Tabla Articulos'!E:E)</f>
        <v/>
      </c>
      <c r="R334" s="96">
        <f>O334*Q334</f>
        <v/>
      </c>
      <c r="S334" s="97">
        <f>TRIM(E334)</f>
        <v/>
      </c>
    </row>
    <row r="335" hidden="1">
      <c r="A335" s="22" t="n">
        <v>6</v>
      </c>
      <c r="B335" t="inlineStr">
        <is>
          <t xml:space="preserve">CDM03 - MORENO 3              </t>
        </is>
      </c>
      <c r="C335" t="inlineStr">
        <is>
          <t xml:space="preserve">GRUPO L.                      </t>
        </is>
      </c>
      <c r="D335" s="11" t="n"/>
      <c r="E335" t="inlineStr">
        <is>
          <t xml:space="preserve">BAZ001301           </t>
        </is>
      </c>
      <c r="F335" t="n">
        <v>9003697</v>
      </c>
      <c r="G335" t="inlineStr">
        <is>
          <t xml:space="preserve">TENEDOR MESA M/ PLASTICO NEGRO     </t>
        </is>
      </c>
      <c r="H335" t="inlineStr">
        <is>
          <t xml:space="preserve">UNIDAD              </t>
        </is>
      </c>
      <c r="I335" t="n">
        <v>1517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1517</v>
      </c>
      <c r="P335" s="96">
        <f>_xlfn.XLOOKUP(Tabla5[[#This Row],[EAN CORREGIDO]],'Tabla Articulos'!B:B,'Tabla Articulos'!D:D)</f>
        <v/>
      </c>
      <c r="Q335" s="96">
        <f>_xlfn.XLOOKUP(S335,'Tabla Articulos'!B:B,'Tabla Articulos'!E:E)</f>
        <v/>
      </c>
      <c r="R335" s="96">
        <f>O335*Q335</f>
        <v/>
      </c>
      <c r="S335" s="97">
        <f>TRIM(E335)</f>
        <v/>
      </c>
    </row>
    <row r="336" hidden="1">
      <c r="A336" s="22" t="n">
        <v>6</v>
      </c>
      <c r="B336" t="inlineStr">
        <is>
          <t xml:space="preserve">CDM03 - MORENO 3              </t>
        </is>
      </c>
      <c r="C336" t="inlineStr">
        <is>
          <t xml:space="preserve">GRUPO L.                      </t>
        </is>
      </c>
      <c r="E336" t="inlineStr">
        <is>
          <t xml:space="preserve">UNIF000418          </t>
        </is>
      </c>
      <c r="F336" t="n">
        <v>9003278</v>
      </c>
      <c r="G336" t="inlineStr">
        <is>
          <t xml:space="preserve">BUZO BLANCO NUTRIRE FRISA 5XL      </t>
        </is>
      </c>
      <c r="H336" t="inlineStr">
        <is>
          <t xml:space="preserve">UNIDAD              </t>
        </is>
      </c>
      <c r="I336" t="n">
        <v>29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29</v>
      </c>
      <c r="P336" s="96">
        <f>_xlfn.XLOOKUP(Tabla5[[#This Row],[EAN CORREGIDO]],'Tabla Articulos'!B:B,'Tabla Articulos'!D:D)</f>
        <v/>
      </c>
      <c r="Q336" s="96">
        <f>_xlfn.XLOOKUP(S336,'Tabla Articulos'!B:B,'Tabla Articulos'!E:E)</f>
        <v/>
      </c>
      <c r="R336" s="96">
        <f>O336*Q336</f>
        <v/>
      </c>
      <c r="S336" s="97">
        <f>TRIM(E336)</f>
        <v/>
      </c>
    </row>
    <row r="337" hidden="1">
      <c r="A337" s="22" t="n">
        <v>6</v>
      </c>
      <c r="B337" t="inlineStr">
        <is>
          <t xml:space="preserve">CDM03 - MORENO 3              </t>
        </is>
      </c>
      <c r="C337" t="inlineStr">
        <is>
          <t xml:space="preserve">GRUPO L.                      </t>
        </is>
      </c>
      <c r="D337" s="11" t="inlineStr">
        <is>
          <t>SOPAPA</t>
        </is>
      </c>
      <c r="E337" t="inlineStr">
        <is>
          <t xml:space="preserve">7790925000096       </t>
        </is>
      </c>
      <c r="F337" t="n">
        <v>2006184</v>
      </c>
      <c r="G337" t="inlineStr">
        <is>
          <t xml:space="preserve">SOPAPA DE GOMA X UN                </t>
        </is>
      </c>
      <c r="H337" t="inlineStr">
        <is>
          <t xml:space="preserve">UNIDAD              </t>
        </is>
      </c>
      <c r="I337" t="n">
        <v>249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249</v>
      </c>
      <c r="P337" s="96">
        <f>_xlfn.XLOOKUP(Tabla5[[#This Row],[EAN CORREGIDO]],'Tabla Articulos'!B:B,'Tabla Articulos'!D:D)</f>
        <v/>
      </c>
      <c r="Q337" s="96">
        <f>_xlfn.XLOOKUP(S337,'Tabla Articulos'!B:B,'Tabla Articulos'!E:E)</f>
        <v/>
      </c>
      <c r="R337" s="96">
        <f>O337*Q337</f>
        <v/>
      </c>
      <c r="S337" s="97">
        <f>TRIM(E337)</f>
        <v/>
      </c>
    </row>
    <row r="338" hidden="1">
      <c r="A338" s="22" t="n">
        <v>6</v>
      </c>
      <c r="B338" t="inlineStr">
        <is>
          <t xml:space="preserve">CDM03 - MORENO 3              </t>
        </is>
      </c>
      <c r="C338" t="inlineStr">
        <is>
          <t xml:space="preserve">GRUPO L.                      </t>
        </is>
      </c>
      <c r="E338" t="inlineStr">
        <is>
          <t xml:space="preserve">100ND34             </t>
        </is>
      </c>
      <c r="F338" t="n">
        <v>9004401</v>
      </c>
      <c r="G338" t="inlineStr">
        <is>
          <t xml:space="preserve">GL ZAPATO SEG. NEG.34 GAMAX        </t>
        </is>
      </c>
      <c r="H338" t="inlineStr">
        <is>
          <t xml:space="preserve">UNIDAD              </t>
        </is>
      </c>
      <c r="I338" t="n">
        <v>0</v>
      </c>
      <c r="J338" t="n">
        <v>10</v>
      </c>
      <c r="K338" t="n">
        <v>0</v>
      </c>
      <c r="L338" t="n">
        <v>3</v>
      </c>
      <c r="M338" t="n">
        <v>3</v>
      </c>
      <c r="N338" t="n">
        <v>0</v>
      </c>
      <c r="O338" t="n">
        <v>4</v>
      </c>
      <c r="P338" s="96">
        <f>_xlfn.XLOOKUP(Tabla5[[#This Row],[EAN CORREGIDO]],'Tabla Articulos'!B:B,'Tabla Articulos'!D:D)</f>
        <v/>
      </c>
      <c r="Q338" s="96">
        <f>_xlfn.XLOOKUP(S338,'Tabla Articulos'!B:B,'Tabla Articulos'!E:E)</f>
        <v/>
      </c>
      <c r="R338" s="96">
        <f>O338*Q338</f>
        <v/>
      </c>
      <c r="S338" s="97">
        <f>TRIM(E338)</f>
        <v/>
      </c>
    </row>
    <row r="339" hidden="1">
      <c r="A339" s="22" t="n">
        <v>6</v>
      </c>
      <c r="B339" t="inlineStr">
        <is>
          <t xml:space="preserve">CDM03 - MORENO 3              </t>
        </is>
      </c>
      <c r="C339" t="inlineStr">
        <is>
          <t xml:space="preserve">GRUPO L.                      </t>
        </is>
      </c>
      <c r="D339" s="11" t="n"/>
      <c r="E339" t="inlineStr">
        <is>
          <t xml:space="preserve">UNIF000563          </t>
        </is>
      </c>
      <c r="F339" t="n">
        <v>9003101</v>
      </c>
      <c r="G339" t="inlineStr">
        <is>
          <t xml:space="preserve">REMERA GRIS MANGA CORTA M          </t>
        </is>
      </c>
      <c r="H339" t="inlineStr">
        <is>
          <t xml:space="preserve">UNIDAD              </t>
        </is>
      </c>
      <c r="I339" t="n">
        <v>16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16</v>
      </c>
      <c r="P339" s="96">
        <f>_xlfn.XLOOKUP(Tabla5[[#This Row],[EAN CORREGIDO]],'Tabla Articulos'!B:B,'Tabla Articulos'!D:D)</f>
        <v/>
      </c>
      <c r="Q339" s="96">
        <f>_xlfn.XLOOKUP(S339,'Tabla Articulos'!B:B,'Tabla Articulos'!E:E)</f>
        <v/>
      </c>
      <c r="R339" s="96">
        <f>O339*Q339</f>
        <v/>
      </c>
      <c r="S339" s="97">
        <f>TRIM(E339)</f>
        <v/>
      </c>
    </row>
    <row r="340" hidden="1">
      <c r="A340" s="22" t="n">
        <v>1</v>
      </c>
      <c r="B340" t="inlineStr">
        <is>
          <t xml:space="preserve">CD MORENO                     </t>
        </is>
      </c>
      <c r="C340" t="inlineStr">
        <is>
          <t xml:space="preserve">GRUPO L.                      </t>
        </is>
      </c>
      <c r="D340" s="11" t="inlineStr">
        <is>
          <t>SESAMO INTEGRAL</t>
        </is>
      </c>
      <c r="E340" t="inlineStr">
        <is>
          <t xml:space="preserve">7793323002358       </t>
        </is>
      </c>
      <c r="F340" t="n">
        <v>4021392</v>
      </c>
      <c r="G340" t="inlineStr">
        <is>
          <t xml:space="preserve">SESAMO INTEGRAL DICOMERE X 1KG     </t>
        </is>
      </c>
      <c r="H340" t="inlineStr">
        <is>
          <t xml:space="preserve">UNIDAD              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3</v>
      </c>
      <c r="P340" s="96">
        <f>_xlfn.XLOOKUP(Tabla5[[#This Row],[EAN CORREGIDO]],'Tabla Articulos'!B:B,'Tabla Articulos'!D:D)</f>
        <v/>
      </c>
      <c r="Q340" s="96">
        <f>_xlfn.XLOOKUP(S340,'Tabla Articulos'!B:B,'Tabla Articulos'!E:E)</f>
        <v/>
      </c>
      <c r="R340" s="96">
        <f>O340*Q340</f>
        <v/>
      </c>
      <c r="S340" s="97">
        <f>TRIM(E340)</f>
        <v/>
      </c>
    </row>
    <row r="341" hidden="1">
      <c r="A341" s="22" t="n">
        <v>5</v>
      </c>
      <c r="B341" t="inlineStr">
        <is>
          <t xml:space="preserve">CDM02 - MORENO 2              </t>
        </is>
      </c>
      <c r="C341" t="inlineStr">
        <is>
          <t xml:space="preserve">GRUPO L.                      </t>
        </is>
      </c>
      <c r="D341" t="inlineStr">
        <is>
          <t>SESAMO INTEGRAL</t>
        </is>
      </c>
      <c r="E341" t="inlineStr">
        <is>
          <t xml:space="preserve">7793323002358       </t>
        </is>
      </c>
      <c r="F341" t="n">
        <v>4021392</v>
      </c>
      <c r="G341" t="inlineStr">
        <is>
          <t xml:space="preserve">SESAMO INTEGRAL DICOMERE X 1KG     </t>
        </is>
      </c>
      <c r="H341" t="inlineStr">
        <is>
          <t xml:space="preserve">UNIDAD              </t>
        </is>
      </c>
      <c r="I341" t="n">
        <v>45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45</v>
      </c>
      <c r="P341" s="96">
        <f>_xlfn.XLOOKUP(Tabla5[[#This Row],[EAN CORREGIDO]],'Tabla Articulos'!B:B,'Tabla Articulos'!D:D)</f>
        <v/>
      </c>
      <c r="Q341" s="96">
        <f>_xlfn.XLOOKUP(S341,'Tabla Articulos'!B:B,'Tabla Articulos'!E:E)</f>
        <v/>
      </c>
      <c r="R341" s="96">
        <f>O341*Q341</f>
        <v/>
      </c>
      <c r="S341" s="97">
        <f>TRIM(E341)</f>
        <v/>
      </c>
    </row>
    <row r="342" hidden="1">
      <c r="A342" s="22" t="n">
        <v>6</v>
      </c>
      <c r="B342" t="inlineStr">
        <is>
          <t xml:space="preserve">CDM03 - MORENO 3              </t>
        </is>
      </c>
      <c r="C342" t="inlineStr">
        <is>
          <t xml:space="preserve">GRUPO L.                      </t>
        </is>
      </c>
      <c r="D342" s="11" t="n"/>
      <c r="E342" t="inlineStr">
        <is>
          <t xml:space="preserve">BAZ001163           </t>
        </is>
      </c>
      <c r="F342" t="n">
        <v>9003833</v>
      </c>
      <c r="G342" t="inlineStr">
        <is>
          <t xml:space="preserve">VASO OCTOGONAL POLICARB 330CC      </t>
        </is>
      </c>
      <c r="H342" t="inlineStr">
        <is>
          <t xml:space="preserve">UNIDAD              </t>
        </is>
      </c>
      <c r="I342" t="n">
        <v>6086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6086</v>
      </c>
      <c r="P342" s="96">
        <f>_xlfn.XLOOKUP(Tabla5[[#This Row],[EAN CORREGIDO]],'Tabla Articulos'!B:B,'Tabla Articulos'!D:D)</f>
        <v/>
      </c>
      <c r="Q342" s="96">
        <f>_xlfn.XLOOKUP(S342,'Tabla Articulos'!B:B,'Tabla Articulos'!E:E)</f>
        <v/>
      </c>
      <c r="R342" s="96">
        <f>O342*Q342</f>
        <v/>
      </c>
      <c r="S342" s="97">
        <f>TRIM(E342)</f>
        <v/>
      </c>
    </row>
    <row r="343" hidden="1">
      <c r="A343" s="22" t="n">
        <v>1</v>
      </c>
      <c r="B343" t="inlineStr">
        <is>
          <t xml:space="preserve">CD MORENO                     </t>
        </is>
      </c>
      <c r="C343" t="inlineStr">
        <is>
          <t xml:space="preserve">GRUPO L.                      </t>
        </is>
      </c>
      <c r="D343" t="inlineStr">
        <is>
          <t>ZUCHINI</t>
        </is>
      </c>
      <c r="E343" t="inlineStr">
        <is>
          <t xml:space="preserve">7790216012630       </t>
        </is>
      </c>
      <c r="F343" t="n">
        <v>4018044</v>
      </c>
      <c r="G343" t="inlineStr">
        <is>
          <t xml:space="preserve">ZUCHINI X KG                       </t>
        </is>
      </c>
      <c r="H343" t="inlineStr">
        <is>
          <t xml:space="preserve">Kgs                 </t>
        </is>
      </c>
      <c r="I343" t="n">
        <v>16.95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16.95</v>
      </c>
      <c r="P343" s="96">
        <f>_xlfn.XLOOKUP(Tabla5[[#This Row],[EAN CORREGIDO]],'Tabla Articulos'!B:B,'Tabla Articulos'!D:D)</f>
        <v/>
      </c>
      <c r="Q343" s="96">
        <f>_xlfn.XLOOKUP(S343,'Tabla Articulos'!B:B,'Tabla Articulos'!E:E)</f>
        <v/>
      </c>
      <c r="R343" s="96">
        <f>O343*Q343</f>
        <v/>
      </c>
      <c r="S343" s="97">
        <f>TRIM(E343)</f>
        <v/>
      </c>
    </row>
    <row r="344" hidden="1">
      <c r="A344" s="22" t="n">
        <v>5</v>
      </c>
      <c r="B344" t="inlineStr">
        <is>
          <t xml:space="preserve">CDM02 - MORENO 2              </t>
        </is>
      </c>
      <c r="C344" t="inlineStr">
        <is>
          <t xml:space="preserve">GRUPO L.                      </t>
        </is>
      </c>
      <c r="D344" t="inlineStr">
        <is>
          <t>FIDEOS GLUTEN S/TACC</t>
        </is>
      </c>
      <c r="E344" t="inlineStr">
        <is>
          <t xml:space="preserve">7790070335999       </t>
        </is>
      </c>
      <c r="F344" t="n">
        <v>4024378</v>
      </c>
      <c r="G344" t="inlineStr">
        <is>
          <t xml:space="preserve">FID PENNE RIGAT S/TACC 0.5K MATA   </t>
        </is>
      </c>
      <c r="H344" t="inlineStr">
        <is>
          <t xml:space="preserve">UNIDAD              </t>
        </is>
      </c>
      <c r="I344" t="n">
        <v>35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35</v>
      </c>
      <c r="P344" s="96">
        <f>_xlfn.XLOOKUP(Tabla5[[#This Row],[EAN CORREGIDO]],'Tabla Articulos'!B:B,'Tabla Articulos'!D:D)</f>
        <v/>
      </c>
      <c r="Q344" s="96">
        <f>_xlfn.XLOOKUP(S344,'Tabla Articulos'!B:B,'Tabla Articulos'!E:E)</f>
        <v/>
      </c>
      <c r="R344" s="96">
        <f>O344*Q344</f>
        <v/>
      </c>
      <c r="S344" s="97">
        <f>TRIM(E344)</f>
        <v/>
      </c>
    </row>
    <row r="345" hidden="1">
      <c r="A345" s="22" t="n">
        <v>1</v>
      </c>
      <c r="B345" t="inlineStr">
        <is>
          <t xml:space="preserve">CD MORENO                     </t>
        </is>
      </c>
      <c r="C345" t="inlineStr">
        <is>
          <t xml:space="preserve">GRUPO L.                      </t>
        </is>
      </c>
      <c r="D345" t="inlineStr">
        <is>
          <t>GALLE DULCES CELIACO</t>
        </is>
      </c>
      <c r="E345" t="inlineStr">
        <is>
          <t xml:space="preserve">7798082000539       </t>
        </is>
      </c>
      <c r="F345" t="n">
        <v>4020796</v>
      </c>
      <c r="G345" t="inlineStr">
        <is>
          <t xml:space="preserve">RUEDITAS CHOCO S/TACC X180G NATU   </t>
        </is>
      </c>
      <c r="H345" t="inlineStr">
        <is>
          <t xml:space="preserve">UNIDAD              </t>
        </is>
      </c>
      <c r="I345" t="n">
        <v>46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46</v>
      </c>
      <c r="P345" s="96">
        <f>_xlfn.XLOOKUP(Tabla5[[#This Row],[EAN CORREGIDO]],'Tabla Articulos'!B:B,'Tabla Articulos'!D:D)</f>
        <v/>
      </c>
      <c r="Q345" s="96">
        <f>_xlfn.XLOOKUP(S345,'Tabla Articulos'!B:B,'Tabla Articulos'!E:E)</f>
        <v/>
      </c>
      <c r="R345" s="96">
        <f>O345*Q345</f>
        <v/>
      </c>
      <c r="S345" s="97">
        <f>TRIM(E345)</f>
        <v/>
      </c>
    </row>
    <row r="346" hidden="1">
      <c r="A346" s="22" t="n">
        <v>6</v>
      </c>
      <c r="B346" t="inlineStr">
        <is>
          <t xml:space="preserve">CDM03 - MORENO 3              </t>
        </is>
      </c>
      <c r="C346" t="inlineStr">
        <is>
          <t xml:space="preserve">GRUPO L.                      </t>
        </is>
      </c>
      <c r="E346" t="inlineStr">
        <is>
          <t xml:space="preserve">UNIF000311          </t>
        </is>
      </c>
      <c r="F346" t="n">
        <v>9003185</v>
      </c>
      <c r="G346" t="inlineStr">
        <is>
          <t xml:space="preserve">REMERA-AZUL MARINO C/REDONDO 2XL   </t>
        </is>
      </c>
      <c r="H346" t="inlineStr">
        <is>
          <t xml:space="preserve">UNIDAD              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s="96">
        <f>_xlfn.XLOOKUP(Tabla5[[#This Row],[EAN CORREGIDO]],'Tabla Articulos'!B:B,'Tabla Articulos'!D:D)</f>
        <v/>
      </c>
      <c r="Q346" s="96">
        <f>_xlfn.XLOOKUP(S346,'Tabla Articulos'!B:B,'Tabla Articulos'!E:E)</f>
        <v/>
      </c>
      <c r="R346" s="96">
        <f>O346*Q346</f>
        <v/>
      </c>
      <c r="S346" s="97">
        <f>TRIM(E346)</f>
        <v/>
      </c>
    </row>
    <row r="347" hidden="1">
      <c r="A347" s="22" t="n">
        <v>1</v>
      </c>
      <c r="B347" t="inlineStr">
        <is>
          <t xml:space="preserve">CD MORENO                     </t>
        </is>
      </c>
      <c r="C347" t="inlineStr">
        <is>
          <t xml:space="preserve">GRUPO L.                      </t>
        </is>
      </c>
      <c r="D347" t="inlineStr">
        <is>
          <t>MERMELADA LIGHT</t>
        </is>
      </c>
      <c r="E347" t="inlineStr">
        <is>
          <t xml:space="preserve">7792260639689       </t>
        </is>
      </c>
      <c r="F347" t="n">
        <v>4020212</v>
      </c>
      <c r="G347" t="inlineStr">
        <is>
          <t>MERMELADA DURAZ LIGHT X420GR ORIETA</t>
        </is>
      </c>
      <c r="H347" t="inlineStr">
        <is>
          <t xml:space="preserve">UNIDAD              </t>
        </is>
      </c>
      <c r="I347" t="n">
        <v>345</v>
      </c>
      <c r="J347" t="n">
        <v>24</v>
      </c>
      <c r="K347" t="n">
        <v>0</v>
      </c>
      <c r="L347" t="n">
        <v>0</v>
      </c>
      <c r="M347" t="n">
        <v>0</v>
      </c>
      <c r="N347" t="n">
        <v>0</v>
      </c>
      <c r="O347" t="n">
        <v>369</v>
      </c>
      <c r="P347" s="96">
        <f>_xlfn.XLOOKUP(Tabla5[[#This Row],[EAN CORREGIDO]],'Tabla Articulos'!B:B,'Tabla Articulos'!D:D)</f>
        <v/>
      </c>
      <c r="Q347" s="96">
        <f>_xlfn.XLOOKUP(S347,'Tabla Articulos'!B:B,'Tabla Articulos'!E:E)</f>
        <v/>
      </c>
      <c r="R347" s="96">
        <f>O347*Q347</f>
        <v/>
      </c>
      <c r="S347" s="97">
        <f>TRIM(E347)</f>
        <v/>
      </c>
    </row>
    <row r="348" hidden="1">
      <c r="A348" s="22" t="n">
        <v>6</v>
      </c>
      <c r="B348" t="inlineStr">
        <is>
          <t xml:space="preserve">CDM03 - MORENO 3              </t>
        </is>
      </c>
      <c r="C348" t="inlineStr">
        <is>
          <t xml:space="preserve">GRUPO L.                      </t>
        </is>
      </c>
      <c r="D348" s="11" t="inlineStr">
        <is>
          <t>PAÑO MICROFIBRA</t>
        </is>
      </c>
      <c r="E348" t="inlineStr">
        <is>
          <t xml:space="preserve">7790000000458       </t>
        </is>
      </c>
      <c r="F348" t="n">
        <v>2007481</v>
      </c>
      <c r="G348" t="inlineStr">
        <is>
          <t xml:space="preserve">PANO MICROF AMAR CLEANTEX          </t>
        </is>
      </c>
      <c r="H348" t="inlineStr">
        <is>
          <t xml:space="preserve">UNIDAD              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  <c r="P348" s="96">
        <f>_xlfn.XLOOKUP(Tabla5[[#This Row],[EAN CORREGIDO]],'Tabla Articulos'!B:B,'Tabla Articulos'!D:D)</f>
        <v/>
      </c>
      <c r="Q348" s="96">
        <f>_xlfn.XLOOKUP(S348,'Tabla Articulos'!B:B,'Tabla Articulos'!E:E)</f>
        <v/>
      </c>
      <c r="R348" s="96">
        <f>O348*Q348</f>
        <v/>
      </c>
      <c r="S348" s="97">
        <f>TRIM(E348)</f>
        <v/>
      </c>
    </row>
    <row r="349" hidden="1">
      <c r="A349" s="22" t="n">
        <v>6</v>
      </c>
      <c r="B349" t="inlineStr">
        <is>
          <t xml:space="preserve">CDM03 - MORENO 3              </t>
        </is>
      </c>
      <c r="C349" t="inlineStr">
        <is>
          <t xml:space="preserve">GRUPO L.                      </t>
        </is>
      </c>
      <c r="D349" t="inlineStr">
        <is>
          <t>PLUMERO x U</t>
        </is>
      </c>
      <c r="E349" t="inlineStr">
        <is>
          <t xml:space="preserve">7790000000671       </t>
        </is>
      </c>
      <c r="F349" t="n">
        <v>2011426</v>
      </c>
      <c r="G349" t="inlineStr">
        <is>
          <t xml:space="preserve">PLUMERO MEDIANO XUN                </t>
        </is>
      </c>
      <c r="H349" t="inlineStr">
        <is>
          <t xml:space="preserve">UNIDAD              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4</v>
      </c>
      <c r="P349" s="96">
        <f>_xlfn.XLOOKUP(Tabla5[[#This Row],[EAN CORREGIDO]],'Tabla Articulos'!B:B,'Tabla Articulos'!D:D)</f>
        <v/>
      </c>
      <c r="Q349" s="96">
        <f>_xlfn.XLOOKUP(S349,'Tabla Articulos'!B:B,'Tabla Articulos'!E:E)</f>
        <v/>
      </c>
      <c r="R349" s="96">
        <f>O349*Q349</f>
        <v/>
      </c>
      <c r="S349" s="97">
        <f>TRIM(E349)</f>
        <v/>
      </c>
    </row>
    <row r="350" hidden="1">
      <c r="A350" s="22" t="n">
        <v>6</v>
      </c>
      <c r="B350" t="inlineStr">
        <is>
          <t xml:space="preserve">CDM03 - MORENO 3              </t>
        </is>
      </c>
      <c r="C350" t="inlineStr">
        <is>
          <t xml:space="preserve">GRUPO L.                      </t>
        </is>
      </c>
      <c r="E350" t="inlineStr">
        <is>
          <t xml:space="preserve">UNIF000431          </t>
        </is>
      </c>
      <c r="F350" t="n">
        <v>9003592</v>
      </c>
      <c r="G350" t="inlineStr">
        <is>
          <t xml:space="preserve">CAMP. A. MARIN TRUCK PULCRUS XL    </t>
        </is>
      </c>
      <c r="H350" t="inlineStr">
        <is>
          <t xml:space="preserve">UNIDAD              </t>
        </is>
      </c>
      <c r="I350" t="n">
        <v>188</v>
      </c>
      <c r="J350" t="n">
        <v>0</v>
      </c>
      <c r="K350" t="n">
        <v>0</v>
      </c>
      <c r="L350" t="n">
        <v>8</v>
      </c>
      <c r="M350" t="n">
        <v>8</v>
      </c>
      <c r="N350" t="n">
        <v>0</v>
      </c>
      <c r="O350" t="n">
        <v>172</v>
      </c>
      <c r="P350" s="96">
        <f>_xlfn.XLOOKUP(Tabla5[[#This Row],[EAN CORREGIDO]],'Tabla Articulos'!B:B,'Tabla Articulos'!D:D)</f>
        <v/>
      </c>
      <c r="Q350" s="96">
        <f>_xlfn.XLOOKUP(S350,'Tabla Articulos'!B:B,'Tabla Articulos'!E:E)</f>
        <v/>
      </c>
      <c r="R350" s="96">
        <f>O350*Q350</f>
        <v/>
      </c>
      <c r="S350" s="97">
        <f>TRIM(E350)</f>
        <v/>
      </c>
    </row>
    <row r="351" hidden="1">
      <c r="A351" s="22" t="n">
        <v>5</v>
      </c>
      <c r="B351" t="inlineStr">
        <is>
          <t xml:space="preserve">CDM02 - MORENO 2              </t>
        </is>
      </c>
      <c r="C351" t="inlineStr">
        <is>
          <t xml:space="preserve">GRUPO L.                      </t>
        </is>
      </c>
      <c r="D351" t="inlineStr">
        <is>
          <t>ANANA RODAJA LATA</t>
        </is>
      </c>
      <c r="E351" t="inlineStr">
        <is>
          <t xml:space="preserve">7791885004841       </t>
        </is>
      </c>
      <c r="F351" t="n">
        <v>4077270</v>
      </c>
      <c r="G351" t="inlineStr">
        <is>
          <t xml:space="preserve">ANANA RODAJA X836G CUMANA          </t>
        </is>
      </c>
      <c r="H351" t="inlineStr">
        <is>
          <t xml:space="preserve">UNIDAD              </t>
        </is>
      </c>
      <c r="I351" t="n">
        <v>38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38</v>
      </c>
      <c r="P351" s="96">
        <f>_xlfn.XLOOKUP(Tabla5[[#This Row],[EAN CORREGIDO]],'Tabla Articulos'!B:B,'Tabla Articulos'!D:D)</f>
        <v/>
      </c>
      <c r="Q351" s="96">
        <f>_xlfn.XLOOKUP(S351,'Tabla Articulos'!B:B,'Tabla Articulos'!E:E)</f>
        <v/>
      </c>
      <c r="R351" s="96">
        <f>O351*Q351</f>
        <v/>
      </c>
      <c r="S351" s="97">
        <f>TRIM(E351)</f>
        <v/>
      </c>
    </row>
    <row r="352" hidden="1">
      <c r="A352" s="22" t="n">
        <v>1</v>
      </c>
      <c r="B352" t="inlineStr">
        <is>
          <t xml:space="preserve">CD MORENO                     </t>
        </is>
      </c>
      <c r="C352" t="inlineStr">
        <is>
          <t xml:space="preserve">GRUPO L.                      </t>
        </is>
      </c>
      <c r="D352" t="inlineStr">
        <is>
          <t>NARANJA 90-100</t>
        </is>
      </c>
      <c r="E352" t="inlineStr">
        <is>
          <t xml:space="preserve">7790216020026       </t>
        </is>
      </c>
      <c r="F352" t="n">
        <v>4017983</v>
      </c>
      <c r="G352" t="inlineStr">
        <is>
          <t xml:space="preserve">FRUTA NARANJA 90-110 XU            </t>
        </is>
      </c>
      <c r="H352" t="inlineStr">
        <is>
          <t xml:space="preserve">UNIDAD              </t>
        </is>
      </c>
      <c r="I352" t="n">
        <v>12163</v>
      </c>
      <c r="J352" t="n">
        <v>0</v>
      </c>
      <c r="K352" t="n">
        <v>0</v>
      </c>
      <c r="L352" t="n">
        <v>1178</v>
      </c>
      <c r="M352" t="n">
        <v>1178</v>
      </c>
      <c r="N352" t="n">
        <v>0</v>
      </c>
      <c r="O352" t="n">
        <v>9807</v>
      </c>
      <c r="P352" s="96">
        <f>_xlfn.XLOOKUP(Tabla5[[#This Row],[EAN CORREGIDO]],'Tabla Articulos'!B:B,'Tabla Articulos'!D:D)</f>
        <v/>
      </c>
      <c r="Q352" s="96">
        <f>_xlfn.XLOOKUP(S352,'Tabla Articulos'!B:B,'Tabla Articulos'!E:E)</f>
        <v/>
      </c>
      <c r="R352" s="96">
        <f>O352*Q352</f>
        <v/>
      </c>
      <c r="S352" s="97">
        <f>TRIM(E352)</f>
        <v/>
      </c>
    </row>
    <row r="353" hidden="1">
      <c r="A353" s="22" t="n">
        <v>1</v>
      </c>
      <c r="B353" t="inlineStr">
        <is>
          <t xml:space="preserve">CD MORENO                     </t>
        </is>
      </c>
      <c r="C353" t="inlineStr">
        <is>
          <t xml:space="preserve">GRUPO L.                      </t>
        </is>
      </c>
      <c r="D353" t="inlineStr">
        <is>
          <t>PIMIENTA BLANCA</t>
        </is>
      </c>
      <c r="E353" t="inlineStr">
        <is>
          <t xml:space="preserve">7798224212110       </t>
        </is>
      </c>
      <c r="F353" t="n">
        <v>4020488</v>
      </c>
      <c r="G353" t="inlineStr">
        <is>
          <t xml:space="preserve">PIMIENTA BLANCA X15G PARMESANA     </t>
        </is>
      </c>
      <c r="H353" t="inlineStr">
        <is>
          <t xml:space="preserve">UNIDAD              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s="96">
        <f>_xlfn.XLOOKUP(Tabla5[[#This Row],[EAN CORREGIDO]],'Tabla Articulos'!B:B,'Tabla Articulos'!D:D)</f>
        <v/>
      </c>
      <c r="Q353" s="96">
        <f>_xlfn.XLOOKUP(S353,'Tabla Articulos'!B:B,'Tabla Articulos'!E:E)</f>
        <v/>
      </c>
      <c r="R353" s="96">
        <f>O353*Q353</f>
        <v/>
      </c>
      <c r="S353" s="97">
        <f>TRIM(E353)</f>
        <v/>
      </c>
    </row>
    <row r="354" hidden="1">
      <c r="A354" s="22" t="n">
        <v>5</v>
      </c>
      <c r="B354" t="inlineStr">
        <is>
          <t xml:space="preserve">CDM02 - MORENO 2              </t>
        </is>
      </c>
      <c r="C354" t="inlineStr">
        <is>
          <t xml:space="preserve">GRUPO L.                      </t>
        </is>
      </c>
      <c r="D354" t="inlineStr">
        <is>
          <t>ROMERO</t>
        </is>
      </c>
      <c r="E354" t="inlineStr">
        <is>
          <t xml:space="preserve">7793875317146       </t>
        </is>
      </c>
      <c r="F354" t="n">
        <v>4020188</v>
      </c>
      <c r="G354" t="inlineStr">
        <is>
          <t xml:space="preserve">ROMERO X500GR AROMAS Y SABORES     </t>
        </is>
      </c>
      <c r="H354" t="inlineStr">
        <is>
          <t xml:space="preserve">UNIDAD              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2</v>
      </c>
      <c r="P354" s="96">
        <f>_xlfn.XLOOKUP(Tabla5[[#This Row],[EAN CORREGIDO]],'Tabla Articulos'!B:B,'Tabla Articulos'!D:D)</f>
        <v/>
      </c>
      <c r="Q354" s="96">
        <f>_xlfn.XLOOKUP(S354,'Tabla Articulos'!B:B,'Tabla Articulos'!E:E)</f>
        <v/>
      </c>
      <c r="R354" s="96">
        <f>O354*Q354</f>
        <v/>
      </c>
      <c r="S354" s="97">
        <f>TRIM(E354)</f>
        <v/>
      </c>
    </row>
    <row r="355" hidden="1">
      <c r="A355" s="22" t="n">
        <v>1</v>
      </c>
      <c r="B355" t="inlineStr">
        <is>
          <t xml:space="preserve">CD MORENO                     </t>
        </is>
      </c>
      <c r="C355" t="inlineStr">
        <is>
          <t xml:space="preserve">GRUPO L.                      </t>
        </is>
      </c>
      <c r="D355" t="inlineStr">
        <is>
          <t>ROMERO</t>
        </is>
      </c>
      <c r="E355" t="inlineStr">
        <is>
          <t xml:space="preserve">7793875317146       </t>
        </is>
      </c>
      <c r="F355" t="n">
        <v>4020188</v>
      </c>
      <c r="G355" t="inlineStr">
        <is>
          <t xml:space="preserve">ROMERO X500GR AROMAS Y SABORES     </t>
        </is>
      </c>
      <c r="H355" t="inlineStr">
        <is>
          <t xml:space="preserve">UNIDAD              </t>
        </is>
      </c>
      <c r="I355" t="n">
        <v>37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37</v>
      </c>
      <c r="P355" s="96">
        <f>_xlfn.XLOOKUP(Tabla5[[#This Row],[EAN CORREGIDO]],'Tabla Articulos'!B:B,'Tabla Articulos'!D:D)</f>
        <v/>
      </c>
      <c r="Q355" s="96">
        <f>_xlfn.XLOOKUP(S355,'Tabla Articulos'!B:B,'Tabla Articulos'!E:E)</f>
        <v/>
      </c>
      <c r="R355" s="96">
        <f>O355*Q355</f>
        <v/>
      </c>
      <c r="S355" s="97">
        <f>TRIM(E355)</f>
        <v/>
      </c>
    </row>
    <row r="356" hidden="1">
      <c r="A356" s="22" t="n">
        <v>6</v>
      </c>
      <c r="B356" t="inlineStr">
        <is>
          <t xml:space="preserve">CDM03 - MORENO 3              </t>
        </is>
      </c>
      <c r="C356" t="inlineStr">
        <is>
          <t xml:space="preserve">GRUPO L.                      </t>
        </is>
      </c>
      <c r="E356" t="inlineStr">
        <is>
          <t xml:space="preserve">UNIF000500          </t>
        </is>
      </c>
      <c r="F356" t="n">
        <v>9003588</v>
      </c>
      <c r="G356" t="inlineStr">
        <is>
          <t xml:space="preserve">CAMI GRIS CAMAR. RET. T58 C GOUR   </t>
        </is>
      </c>
      <c r="H356" t="inlineStr">
        <is>
          <t xml:space="preserve">UNIDAD              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4</v>
      </c>
      <c r="P356" s="96">
        <f>_xlfn.XLOOKUP(Tabla5[[#This Row],[EAN CORREGIDO]],'Tabla Articulos'!B:B,'Tabla Articulos'!D:D)</f>
        <v/>
      </c>
      <c r="Q356" s="96">
        <f>_xlfn.XLOOKUP(S356,'Tabla Articulos'!B:B,'Tabla Articulos'!E:E)</f>
        <v/>
      </c>
      <c r="R356" s="96">
        <f>O356*Q356</f>
        <v/>
      </c>
      <c r="S356" s="97">
        <f>TRIM(E356)</f>
        <v/>
      </c>
    </row>
    <row r="357" hidden="1">
      <c r="A357" s="22" t="n">
        <v>6</v>
      </c>
      <c r="B357" t="inlineStr">
        <is>
          <t xml:space="preserve">CDM03 - MORENO 3              </t>
        </is>
      </c>
      <c r="C357" t="inlineStr">
        <is>
          <t xml:space="preserve">GRUPO L.                      </t>
        </is>
      </c>
      <c r="E357" t="inlineStr">
        <is>
          <t xml:space="preserve">UNIF000288          </t>
        </is>
      </c>
      <c r="F357" t="n">
        <v>9003665</v>
      </c>
      <c r="G357" t="inlineStr">
        <is>
          <t xml:space="preserve">CAMPERA TRUCK.AZ. CINT. REFRAC S   </t>
        </is>
      </c>
      <c r="H357" t="inlineStr">
        <is>
          <t xml:space="preserve">UNIDAD              </t>
        </is>
      </c>
      <c r="I357" t="n">
        <v>10</v>
      </c>
      <c r="J357" t="n">
        <v>20</v>
      </c>
      <c r="K357" t="n">
        <v>0</v>
      </c>
      <c r="L357" t="n">
        <v>0</v>
      </c>
      <c r="M357" t="n">
        <v>0</v>
      </c>
      <c r="N357" t="n">
        <v>0</v>
      </c>
      <c r="O357" t="n">
        <v>30</v>
      </c>
      <c r="P357" s="96">
        <f>_xlfn.XLOOKUP(Tabla5[[#This Row],[EAN CORREGIDO]],'Tabla Articulos'!B:B,'Tabla Articulos'!D:D)</f>
        <v/>
      </c>
      <c r="Q357" s="96">
        <f>_xlfn.XLOOKUP(S357,'Tabla Articulos'!B:B,'Tabla Articulos'!E:E)</f>
        <v/>
      </c>
      <c r="R357" s="96">
        <f>O357*Q357</f>
        <v/>
      </c>
      <c r="S357" s="97">
        <f>TRIM(E357)</f>
        <v/>
      </c>
    </row>
    <row r="358" hidden="1">
      <c r="A358" s="22" t="n">
        <v>6</v>
      </c>
      <c r="B358" t="inlineStr">
        <is>
          <t xml:space="preserve">CDM03 - MORENO 3              </t>
        </is>
      </c>
      <c r="C358" t="inlineStr">
        <is>
          <t xml:space="preserve">GRUPO L.                      </t>
        </is>
      </c>
      <c r="D358" s="11" t="n"/>
      <c r="E358" t="inlineStr">
        <is>
          <t xml:space="preserve">0648260488628       </t>
        </is>
      </c>
      <c r="F358" t="n">
        <v>2007202</v>
      </c>
      <c r="G358" t="inlineStr">
        <is>
          <t xml:space="preserve">VO ESCARBADIENTES X500UN           </t>
        </is>
      </c>
      <c r="H358" t="inlineStr">
        <is>
          <t xml:space="preserve">UNIDAD              </t>
        </is>
      </c>
      <c r="I358" t="n">
        <v>2010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2010</v>
      </c>
      <c r="P358" s="96">
        <f>_xlfn.XLOOKUP(Tabla5[[#This Row],[EAN CORREGIDO]],'Tabla Articulos'!B:B,'Tabla Articulos'!D:D)</f>
        <v/>
      </c>
      <c r="Q358" s="96">
        <f>_xlfn.XLOOKUP(S358,'Tabla Articulos'!B:B,'Tabla Articulos'!E:E)</f>
        <v/>
      </c>
      <c r="R358" s="96">
        <f>O358*Q358</f>
        <v/>
      </c>
      <c r="S358" s="97">
        <f>TRIM(E358)</f>
        <v/>
      </c>
    </row>
    <row r="359" hidden="1">
      <c r="A359" s="22" t="n">
        <v>6</v>
      </c>
      <c r="B359" t="inlineStr">
        <is>
          <t xml:space="preserve">CDM03 - MORENO 3              </t>
        </is>
      </c>
      <c r="C359" t="inlineStr">
        <is>
          <t xml:space="preserve">GRUPO L.                      </t>
        </is>
      </c>
      <c r="E359" t="inlineStr">
        <is>
          <t xml:space="preserve">UNIF000438          </t>
        </is>
      </c>
      <c r="F359" t="n">
        <v>9003599</v>
      </c>
      <c r="G359" t="inlineStr">
        <is>
          <t xml:space="preserve">CAMP. TRUCKER A. MAR GL SUPP XL    </t>
        </is>
      </c>
      <c r="H359" t="inlineStr">
        <is>
          <t xml:space="preserve">UNIDAD              </t>
        </is>
      </c>
      <c r="I359" t="n">
        <v>51</v>
      </c>
      <c r="J359" t="n">
        <v>0</v>
      </c>
      <c r="K359" t="n">
        <v>0</v>
      </c>
      <c r="L359" t="n">
        <v>11</v>
      </c>
      <c r="M359" t="n">
        <v>11</v>
      </c>
      <c r="N359" t="n">
        <v>0</v>
      </c>
      <c r="O359" t="n">
        <v>29</v>
      </c>
      <c r="P359" s="96">
        <f>_xlfn.XLOOKUP(Tabla5[[#This Row],[EAN CORREGIDO]],'Tabla Articulos'!B:B,'Tabla Articulos'!D:D)</f>
        <v/>
      </c>
      <c r="Q359" s="96">
        <f>_xlfn.XLOOKUP(S359,'Tabla Articulos'!B:B,'Tabla Articulos'!E:E)</f>
        <v/>
      </c>
      <c r="R359" s="96">
        <f>O359*Q359</f>
        <v/>
      </c>
      <c r="S359" s="97">
        <f>TRIM(E359)</f>
        <v/>
      </c>
    </row>
    <row r="360" hidden="1">
      <c r="A360" s="22" t="n">
        <v>1</v>
      </c>
      <c r="B360" t="inlineStr">
        <is>
          <t xml:space="preserve">CD MORENO                     </t>
        </is>
      </c>
      <c r="C360" t="inlineStr">
        <is>
          <t xml:space="preserve">GRUPO L.                      </t>
        </is>
      </c>
      <c r="D360" s="11" t="inlineStr">
        <is>
          <t>GALLE COCO</t>
        </is>
      </c>
      <c r="E360" t="inlineStr">
        <is>
          <t xml:space="preserve">7790726120177       </t>
        </is>
      </c>
      <c r="F360" t="n">
        <v>4018835</v>
      </c>
      <c r="G360" t="inlineStr">
        <is>
          <t xml:space="preserve">GALLE COCO X350G DULCYPAS	         </t>
        </is>
      </c>
      <c r="H360" t="inlineStr">
        <is>
          <t xml:space="preserve">UNIDAD              </t>
        </is>
      </c>
      <c r="I360" t="n">
        <v>36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36</v>
      </c>
      <c r="P360" s="96">
        <f>_xlfn.XLOOKUP(Tabla5[[#This Row],[EAN CORREGIDO]],'Tabla Articulos'!B:B,'Tabla Articulos'!D:D)</f>
        <v/>
      </c>
      <c r="Q360" s="96">
        <f>_xlfn.XLOOKUP(S360,'Tabla Articulos'!B:B,'Tabla Articulos'!E:E)</f>
        <v/>
      </c>
      <c r="R360" s="96">
        <f>O360*Q360</f>
        <v/>
      </c>
      <c r="S360" s="97">
        <f>TRIM(E360)</f>
        <v/>
      </c>
    </row>
    <row r="361" hidden="1">
      <c r="A361" s="22" t="n">
        <v>5</v>
      </c>
      <c r="B361" t="inlineStr">
        <is>
          <t xml:space="preserve">CDM02 - MORENO 2              </t>
        </is>
      </c>
      <c r="C361" t="inlineStr">
        <is>
          <t xml:space="preserve">GRUPO L.                      </t>
        </is>
      </c>
      <c r="D361" s="11" t="inlineStr">
        <is>
          <t>GALLE COCO</t>
        </is>
      </c>
      <c r="E361" t="inlineStr">
        <is>
          <t xml:space="preserve">7790726120177       </t>
        </is>
      </c>
      <c r="F361" t="n">
        <v>4018835</v>
      </c>
      <c r="G361" t="inlineStr">
        <is>
          <t xml:space="preserve">GALLE COCO X350G DULCYPAS	         </t>
        </is>
      </c>
      <c r="H361" t="inlineStr">
        <is>
          <t xml:space="preserve">UNIDAD              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s="96">
        <f>_xlfn.XLOOKUP(Tabla5[[#This Row],[EAN CORREGIDO]],'Tabla Articulos'!B:B,'Tabla Articulos'!D:D)</f>
        <v/>
      </c>
      <c r="Q361" s="96">
        <f>_xlfn.XLOOKUP(S361,'Tabla Articulos'!B:B,'Tabla Articulos'!E:E)</f>
        <v/>
      </c>
      <c r="R361" s="96">
        <f>O361*Q361</f>
        <v/>
      </c>
      <c r="S361" s="97">
        <f>TRIM(E361)</f>
        <v/>
      </c>
    </row>
    <row r="362" hidden="1">
      <c r="A362" s="22" t="n">
        <v>6</v>
      </c>
      <c r="B362" t="inlineStr">
        <is>
          <t xml:space="preserve">CDM03 - MORENO 3              </t>
        </is>
      </c>
      <c r="C362" t="inlineStr">
        <is>
          <t xml:space="preserve">GRUPO L.                      </t>
        </is>
      </c>
      <c r="E362" t="inlineStr">
        <is>
          <t xml:space="preserve">UNIF000043          </t>
        </is>
      </c>
      <c r="F362" t="n">
        <v>9003296</v>
      </c>
      <c r="G362" t="inlineStr">
        <is>
          <t xml:space="preserve">BUZO A. MARINO-FRISA ELEVARE 2XL   </t>
        </is>
      </c>
      <c r="H362" t="inlineStr">
        <is>
          <t xml:space="preserve">UNIDAD              </t>
        </is>
      </c>
      <c r="I362" t="n">
        <v>33</v>
      </c>
      <c r="J362" t="n">
        <v>60</v>
      </c>
      <c r="K362" t="n">
        <v>0</v>
      </c>
      <c r="L362" t="n">
        <v>4</v>
      </c>
      <c r="M362" t="n">
        <v>4</v>
      </c>
      <c r="N362" t="n">
        <v>0</v>
      </c>
      <c r="O362" t="n">
        <v>85</v>
      </c>
      <c r="P362" s="96">
        <f>_xlfn.XLOOKUP(Tabla5[[#This Row],[EAN CORREGIDO]],'Tabla Articulos'!B:B,'Tabla Articulos'!D:D)</f>
        <v/>
      </c>
      <c r="Q362" s="96">
        <f>_xlfn.XLOOKUP(S362,'Tabla Articulos'!B:B,'Tabla Articulos'!E:E)</f>
        <v/>
      </c>
      <c r="R362" s="96">
        <f>O362*Q362</f>
        <v/>
      </c>
      <c r="S362" s="97">
        <f>TRIM(E362)</f>
        <v/>
      </c>
    </row>
    <row r="363" hidden="1">
      <c r="A363" s="22" t="n">
        <v>6</v>
      </c>
      <c r="B363" t="inlineStr">
        <is>
          <t xml:space="preserve">CDM03 - MORENO 3              </t>
        </is>
      </c>
      <c r="C363" t="inlineStr">
        <is>
          <t xml:space="preserve">GRUPO L.                      </t>
        </is>
      </c>
      <c r="E363" t="inlineStr">
        <is>
          <t xml:space="preserve">UNIF000531          </t>
        </is>
      </c>
      <c r="F363" t="n">
        <v>9003068</v>
      </c>
      <c r="G363" t="inlineStr">
        <is>
          <t xml:space="preserve">CAMI.GRAF AZUL MARINO 56 ELEVARE   </t>
        </is>
      </c>
      <c r="H363" t="inlineStr">
        <is>
          <t xml:space="preserve">UNIDAD              </t>
        </is>
      </c>
      <c r="I363" t="n">
        <v>25</v>
      </c>
      <c r="J363" t="n">
        <v>60</v>
      </c>
      <c r="K363" t="n">
        <v>0</v>
      </c>
      <c r="L363" t="n">
        <v>0</v>
      </c>
      <c r="M363" t="n">
        <v>0</v>
      </c>
      <c r="N363" t="n">
        <v>0</v>
      </c>
      <c r="O363" t="n">
        <v>85</v>
      </c>
      <c r="P363" s="96">
        <f>_xlfn.XLOOKUP(Tabla5[[#This Row],[EAN CORREGIDO]],'Tabla Articulos'!B:B,'Tabla Articulos'!D:D)</f>
        <v/>
      </c>
      <c r="Q363" s="96">
        <f>_xlfn.XLOOKUP(S363,'Tabla Articulos'!B:B,'Tabla Articulos'!E:E)</f>
        <v/>
      </c>
      <c r="R363" s="96">
        <f>O363*Q363</f>
        <v/>
      </c>
      <c r="S363" s="97">
        <f>TRIM(E363)</f>
        <v/>
      </c>
    </row>
    <row r="364" hidden="1">
      <c r="A364" s="22" t="n">
        <v>1</v>
      </c>
      <c r="B364" t="inlineStr">
        <is>
          <t xml:space="preserve">CD MORENO                     </t>
        </is>
      </c>
      <c r="C364" t="inlineStr">
        <is>
          <t xml:space="preserve">GRUPO L.                      </t>
        </is>
      </c>
      <c r="D364" t="inlineStr">
        <is>
          <t>ACELGA CONGELADA</t>
        </is>
      </c>
      <c r="E364" t="inlineStr">
        <is>
          <t xml:space="preserve">7798184272902       </t>
        </is>
      </c>
      <c r="F364" t="n">
        <v>4023798</v>
      </c>
      <c r="G364" t="inlineStr">
        <is>
          <t xml:space="preserve">ACELGA CONG E/HOJAS IQF 0.5KG BI   </t>
        </is>
      </c>
      <c r="H364" t="inlineStr">
        <is>
          <t xml:space="preserve">UNIDAD              </t>
        </is>
      </c>
      <c r="I364" t="n">
        <v>18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18</v>
      </c>
      <c r="P364" s="96">
        <f>_xlfn.XLOOKUP(Tabla5[[#This Row],[EAN CORREGIDO]],'Tabla Articulos'!B:B,'Tabla Articulos'!D:D)</f>
        <v/>
      </c>
      <c r="Q364" s="96">
        <f>_xlfn.XLOOKUP(S364,'Tabla Articulos'!B:B,'Tabla Articulos'!E:E)</f>
        <v/>
      </c>
      <c r="R364" s="96">
        <f>O364*Q364</f>
        <v/>
      </c>
      <c r="S364" s="97">
        <f>TRIM(E364)</f>
        <v/>
      </c>
    </row>
    <row r="365" hidden="1">
      <c r="A365" s="22" t="n">
        <v>1</v>
      </c>
      <c r="B365" t="inlineStr">
        <is>
          <t xml:space="preserve">CD MORENO                     </t>
        </is>
      </c>
      <c r="C365" t="inlineStr">
        <is>
          <t xml:space="preserve">GRUPO L.                      </t>
        </is>
      </c>
      <c r="D365" t="inlineStr">
        <is>
          <t>ARVEJA</t>
        </is>
      </c>
      <c r="E365" t="inlineStr">
        <is>
          <t xml:space="preserve">7798156760024       </t>
        </is>
      </c>
      <c r="F365" t="n">
        <v>4020530</v>
      </c>
      <c r="G365" t="inlineStr">
        <is>
          <t xml:space="preserve">ARVEJAS TETRA X340G DEL VALLE      </t>
        </is>
      </c>
      <c r="H365" t="inlineStr">
        <is>
          <t xml:space="preserve">UNIDAD              </t>
        </is>
      </c>
      <c r="I365" t="n">
        <v>7973</v>
      </c>
      <c r="J365" t="n">
        <v>2772</v>
      </c>
      <c r="K365" t="n">
        <v>0</v>
      </c>
      <c r="L365" t="n">
        <v>556</v>
      </c>
      <c r="M365" t="n">
        <v>556</v>
      </c>
      <c r="N365" t="n">
        <v>0</v>
      </c>
      <c r="O365" t="n">
        <v>9633</v>
      </c>
      <c r="P365" s="96">
        <f>_xlfn.XLOOKUP(Tabla5[[#This Row],[EAN CORREGIDO]],'Tabla Articulos'!B:B,'Tabla Articulos'!D:D)</f>
        <v/>
      </c>
      <c r="Q365" s="96">
        <f>_xlfn.XLOOKUP(S365,'Tabla Articulos'!B:B,'Tabla Articulos'!E:E)</f>
        <v/>
      </c>
      <c r="R365" s="96">
        <f>O365*Q365</f>
        <v/>
      </c>
      <c r="S365" s="97">
        <f>TRIM(E365)</f>
        <v/>
      </c>
    </row>
    <row r="366" hidden="1">
      <c r="A366" s="22" t="n">
        <v>5</v>
      </c>
      <c r="B366" t="inlineStr">
        <is>
          <t xml:space="preserve">CDM02 - MORENO 2              </t>
        </is>
      </c>
      <c r="C366" t="inlineStr">
        <is>
          <t xml:space="preserve">GRUPO L.                      </t>
        </is>
      </c>
      <c r="D366" t="inlineStr">
        <is>
          <t>ARVEJA</t>
        </is>
      </c>
      <c r="E366" t="inlineStr">
        <is>
          <t xml:space="preserve">7798156760024       </t>
        </is>
      </c>
      <c r="F366" t="n">
        <v>4020530</v>
      </c>
      <c r="G366" t="inlineStr">
        <is>
          <t xml:space="preserve">ARVEJAS TETRA X340G DEL VALLE      </t>
        </is>
      </c>
      <c r="H366" t="inlineStr">
        <is>
          <t xml:space="preserve">UNIDAD              </t>
        </is>
      </c>
      <c r="I366" t="n">
        <v>37076</v>
      </c>
      <c r="J366" t="n">
        <v>0</v>
      </c>
      <c r="K366" t="n">
        <v>5544</v>
      </c>
      <c r="L366" t="n">
        <v>0</v>
      </c>
      <c r="M366" t="n">
        <v>0</v>
      </c>
      <c r="N366" t="n">
        <v>0</v>
      </c>
      <c r="O366" t="n">
        <v>31532</v>
      </c>
      <c r="P366" s="96">
        <f>_xlfn.XLOOKUP(Tabla5[[#This Row],[EAN CORREGIDO]],'Tabla Articulos'!B:B,'Tabla Articulos'!D:D)</f>
        <v/>
      </c>
      <c r="Q366" s="96">
        <f>_xlfn.XLOOKUP(S366,'Tabla Articulos'!B:B,'Tabla Articulos'!E:E)</f>
        <v/>
      </c>
      <c r="R366" s="96">
        <f>O366*Q366</f>
        <v/>
      </c>
      <c r="S366" s="97">
        <f>TRIM(E366)</f>
        <v/>
      </c>
    </row>
    <row r="367" hidden="1">
      <c r="A367" s="22" t="n">
        <v>6</v>
      </c>
      <c r="B367" t="inlineStr">
        <is>
          <t xml:space="preserve">CDM03 - MORENO 3              </t>
        </is>
      </c>
      <c r="C367" t="inlineStr">
        <is>
          <t xml:space="preserve">GRUPO L.                      </t>
        </is>
      </c>
      <c r="E367" t="inlineStr">
        <is>
          <t xml:space="preserve">UNIF000139          </t>
        </is>
      </c>
      <c r="F367" t="n">
        <v>9003556</v>
      </c>
      <c r="G367" t="inlineStr">
        <is>
          <t xml:space="preserve">CAMISA 3/4 BCA. SALUD MUJER - 2    </t>
        </is>
      </c>
      <c r="H367" t="inlineStr">
        <is>
          <t xml:space="preserve">UNIDAD              </t>
        </is>
      </c>
      <c r="I367" t="n">
        <v>2</v>
      </c>
      <c r="J367" t="n">
        <v>120</v>
      </c>
      <c r="K367" t="n">
        <v>0</v>
      </c>
      <c r="L367" t="n">
        <v>0</v>
      </c>
      <c r="M367" t="n">
        <v>0</v>
      </c>
      <c r="N367" t="n">
        <v>0</v>
      </c>
      <c r="O367" t="n">
        <v>122</v>
      </c>
      <c r="P367" s="96">
        <f>_xlfn.XLOOKUP(Tabla5[[#This Row],[EAN CORREGIDO]],'Tabla Articulos'!B:B,'Tabla Articulos'!D:D)</f>
        <v/>
      </c>
      <c r="Q367" s="96">
        <f>_xlfn.XLOOKUP(S367,'Tabla Articulos'!B:B,'Tabla Articulos'!E:E)</f>
        <v/>
      </c>
      <c r="R367" s="96">
        <f>O367*Q367</f>
        <v/>
      </c>
      <c r="S367" s="97">
        <f>TRIM(E367)</f>
        <v/>
      </c>
    </row>
    <row r="368" hidden="1">
      <c r="A368" s="22" t="n">
        <v>6</v>
      </c>
      <c r="B368" t="inlineStr">
        <is>
          <t xml:space="preserve">CDM03 - MORENO 3              </t>
        </is>
      </c>
      <c r="C368" t="inlineStr">
        <is>
          <t xml:space="preserve">GRUPO L.                      </t>
        </is>
      </c>
      <c r="E368" t="inlineStr">
        <is>
          <t xml:space="preserve">UNIF000206          </t>
        </is>
      </c>
      <c r="F368" t="n">
        <v>9003474</v>
      </c>
      <c r="G368" t="inlineStr">
        <is>
          <t xml:space="preserve">PANTAL CARG NEGRO AZ. 44 GL SUP    </t>
        </is>
      </c>
      <c r="H368" t="inlineStr">
        <is>
          <t xml:space="preserve">UNIDAD              </t>
        </is>
      </c>
      <c r="I368" t="n">
        <v>6</v>
      </c>
      <c r="J368" t="n">
        <v>25</v>
      </c>
      <c r="K368" t="n">
        <v>0</v>
      </c>
      <c r="L368" t="n">
        <v>2</v>
      </c>
      <c r="M368" t="n">
        <v>2</v>
      </c>
      <c r="N368" t="n">
        <v>0</v>
      </c>
      <c r="O368" t="n">
        <v>27</v>
      </c>
      <c r="P368" s="96">
        <f>_xlfn.XLOOKUP(Tabla5[[#This Row],[EAN CORREGIDO]],'Tabla Articulos'!B:B,'Tabla Articulos'!D:D)</f>
        <v/>
      </c>
      <c r="Q368" s="96">
        <f>_xlfn.XLOOKUP(S368,'Tabla Articulos'!B:B,'Tabla Articulos'!E:E)</f>
        <v/>
      </c>
      <c r="R368" s="96">
        <f>O368*Q368</f>
        <v/>
      </c>
      <c r="S368" s="97">
        <f>TRIM(E368)</f>
        <v/>
      </c>
    </row>
    <row r="369" hidden="1">
      <c r="A369" s="22" t="n">
        <v>6</v>
      </c>
      <c r="B369" t="inlineStr">
        <is>
          <t xml:space="preserve">CDM03 - MORENO 3              </t>
        </is>
      </c>
      <c r="C369" t="inlineStr">
        <is>
          <t xml:space="preserve">GRUPO L.                      </t>
        </is>
      </c>
      <c r="D369" s="11" t="inlineStr">
        <is>
          <t>ROLLO DE PAPEL PARA DISPENSER</t>
        </is>
      </c>
      <c r="E369" t="inlineStr">
        <is>
          <t xml:space="preserve">7798430440086       </t>
        </is>
      </c>
      <c r="F369" t="n">
        <v>2016709</v>
      </c>
      <c r="G369" t="inlineStr">
        <is>
          <t xml:space="preserve">ROLLO 200MX4U CC MALTED 3.53KG     </t>
        </is>
      </c>
      <c r="H369" t="inlineStr">
        <is>
          <t xml:space="preserve">UNIDAD              </t>
        </is>
      </c>
      <c r="I369" t="n">
        <v>422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422</v>
      </c>
      <c r="P369" s="96">
        <f>_xlfn.XLOOKUP(Tabla5[[#This Row],[EAN CORREGIDO]],'Tabla Articulos'!B:B,'Tabla Articulos'!D:D)</f>
        <v/>
      </c>
      <c r="Q369" s="96">
        <f>_xlfn.XLOOKUP(S369,'Tabla Articulos'!B:B,'Tabla Articulos'!E:E)</f>
        <v/>
      </c>
      <c r="R369" s="96">
        <f>O369*Q369</f>
        <v/>
      </c>
      <c r="S369" s="97">
        <f>TRIM(E369)</f>
        <v/>
      </c>
    </row>
    <row r="370" hidden="1">
      <c r="A370" s="22" t="n">
        <v>6</v>
      </c>
      <c r="B370" t="inlineStr">
        <is>
          <t xml:space="preserve">CDM03 - MORENO 3              </t>
        </is>
      </c>
      <c r="C370" t="inlineStr">
        <is>
          <t xml:space="preserve">GRUPO L.                      </t>
        </is>
      </c>
      <c r="E370" t="inlineStr">
        <is>
          <t xml:space="preserve">LIM000175           </t>
        </is>
      </c>
      <c r="F370" t="n">
        <v>2006723</v>
      </c>
      <c r="G370" t="inlineStr">
        <is>
          <t xml:space="preserve">EMBUDO X U                         </t>
        </is>
      </c>
      <c r="H370" t="inlineStr">
        <is>
          <t xml:space="preserve">UNIDAD              </t>
        </is>
      </c>
      <c r="I370" t="n">
        <v>101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101</v>
      </c>
      <c r="P370" s="96">
        <f>_xlfn.XLOOKUP(Tabla5[[#This Row],[EAN CORREGIDO]],'Tabla Articulos'!B:B,'Tabla Articulos'!D:D)</f>
        <v/>
      </c>
      <c r="Q370" s="96">
        <f>_xlfn.XLOOKUP(S370,'Tabla Articulos'!B:B,'Tabla Articulos'!E:E)</f>
        <v/>
      </c>
      <c r="R370" s="96">
        <f>O370*Q370</f>
        <v/>
      </c>
      <c r="S370" s="97">
        <f>TRIM(E370)</f>
        <v/>
      </c>
    </row>
    <row r="371" hidden="1">
      <c r="A371" s="22" t="n">
        <v>1</v>
      </c>
      <c r="B371" t="inlineStr">
        <is>
          <t xml:space="preserve">CD MORENO                     </t>
        </is>
      </c>
      <c r="C371" t="inlineStr">
        <is>
          <t xml:space="preserve">GRUPO L.                      </t>
        </is>
      </c>
      <c r="D371" s="11" t="inlineStr">
        <is>
          <t>MILANESA SOJA</t>
        </is>
      </c>
      <c r="E371" t="inlineStr">
        <is>
          <t xml:space="preserve">7790174001349       </t>
        </is>
      </c>
      <c r="F371" t="n">
        <v>4017478</v>
      </c>
      <c r="G371" t="inlineStr">
        <is>
          <t xml:space="preserve">MILANESA DE SOJA X4UVEGETALEX      </t>
        </is>
      </c>
      <c r="H371" t="inlineStr">
        <is>
          <t xml:space="preserve">UNIDAD              </t>
        </is>
      </c>
      <c r="I371" t="n">
        <v>221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221</v>
      </c>
      <c r="P371" s="96">
        <f>_xlfn.XLOOKUP(Tabla5[[#This Row],[EAN CORREGIDO]],'Tabla Articulos'!B:B,'Tabla Articulos'!D:D)</f>
        <v/>
      </c>
      <c r="Q371" s="96">
        <f>_xlfn.XLOOKUP(S371,'Tabla Articulos'!B:B,'Tabla Articulos'!E:E)</f>
        <v/>
      </c>
      <c r="R371" s="96">
        <f>O371*Q371</f>
        <v/>
      </c>
      <c r="S371" s="97">
        <f>TRIM(E371)</f>
        <v/>
      </c>
    </row>
    <row r="372" hidden="1">
      <c r="A372" s="22" t="n">
        <v>6</v>
      </c>
      <c r="B372" t="inlineStr">
        <is>
          <t xml:space="preserve">CDM03 - MORENO 3              </t>
        </is>
      </c>
      <c r="C372" t="inlineStr">
        <is>
          <t xml:space="preserve">GRUPO L.                      </t>
        </is>
      </c>
      <c r="D372" t="inlineStr">
        <is>
          <t>BOLSAS CAMISETA</t>
        </is>
      </c>
      <c r="E372" t="inlineStr">
        <is>
          <t xml:space="preserve">7795618001244       </t>
        </is>
      </c>
      <c r="F372" t="n">
        <v>2006953</v>
      </c>
      <c r="G372" t="inlineStr">
        <is>
          <t xml:space="preserve">BOLSA CAMISETA BCA 40X50X50UN      </t>
        </is>
      </c>
      <c r="H372" t="inlineStr">
        <is>
          <t xml:space="preserve">UNIDAD              </t>
        </is>
      </c>
      <c r="I372" t="n">
        <v>578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578</v>
      </c>
      <c r="P372" s="96">
        <f>_xlfn.XLOOKUP(Tabla5[[#This Row],[EAN CORREGIDO]],'Tabla Articulos'!B:B,'Tabla Articulos'!D:D)</f>
        <v/>
      </c>
      <c r="Q372" s="96">
        <f>_xlfn.XLOOKUP(S372,'Tabla Articulos'!B:B,'Tabla Articulos'!E:E)</f>
        <v/>
      </c>
      <c r="R372" s="96">
        <f>O372*Q372</f>
        <v/>
      </c>
      <c r="S372" s="97">
        <f>TRIM(E372)</f>
        <v/>
      </c>
    </row>
    <row r="373" hidden="1">
      <c r="A373" s="22" t="n">
        <v>5</v>
      </c>
      <c r="B373" t="inlineStr">
        <is>
          <t xml:space="preserve">CDM02 - MORENO 2              </t>
        </is>
      </c>
      <c r="C373" t="inlineStr">
        <is>
          <t xml:space="preserve">GRUPO L.                      </t>
        </is>
      </c>
      <c r="D373" s="11" t="inlineStr">
        <is>
          <t>FIDEOS GUISEROS</t>
        </is>
      </c>
      <c r="E373" t="inlineStr">
        <is>
          <t xml:space="preserve">7790070318619       </t>
        </is>
      </c>
      <c r="F373" t="n">
        <v>4024325</v>
      </c>
      <c r="G373" t="inlineStr">
        <is>
          <t xml:space="preserve">FIDEO CODITO X500GMATARAZZO        </t>
        </is>
      </c>
      <c r="H373" t="inlineStr">
        <is>
          <t xml:space="preserve">UNIDAD              </t>
        </is>
      </c>
      <c r="I373" t="n">
        <v>15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15</v>
      </c>
      <c r="P373" s="96">
        <f>_xlfn.XLOOKUP(Tabla5[[#This Row],[EAN CORREGIDO]],'Tabla Articulos'!B:B,'Tabla Articulos'!D:D)</f>
        <v/>
      </c>
      <c r="Q373" s="96">
        <f>_xlfn.XLOOKUP(S373,'Tabla Articulos'!B:B,'Tabla Articulos'!E:E)</f>
        <v/>
      </c>
      <c r="R373" s="96">
        <f>O373*Q373</f>
        <v/>
      </c>
      <c r="S373" s="97">
        <f>TRIM(E373)</f>
        <v/>
      </c>
    </row>
    <row r="374" hidden="1">
      <c r="A374" s="22" t="n">
        <v>6</v>
      </c>
      <c r="B374" t="inlineStr">
        <is>
          <t xml:space="preserve">CDM03 - MORENO 3              </t>
        </is>
      </c>
      <c r="C374" t="inlineStr">
        <is>
          <t xml:space="preserve">GRUPO L.                      </t>
        </is>
      </c>
      <c r="D374" s="11" t="n"/>
      <c r="E374" t="inlineStr">
        <is>
          <t xml:space="preserve">BAZ001338           </t>
        </is>
      </c>
      <c r="F374" t="n">
        <v>9003754</v>
      </c>
      <c r="G374" t="inlineStr">
        <is>
          <t xml:space="preserve">ENSALADERA ACER INOX 16 CM         </t>
        </is>
      </c>
      <c r="H374" t="inlineStr">
        <is>
          <t xml:space="preserve">UNIDAD              </t>
        </is>
      </c>
      <c r="I374" t="n">
        <v>951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951</v>
      </c>
      <c r="P374" s="96">
        <f>_xlfn.XLOOKUP(Tabla5[[#This Row],[EAN CORREGIDO]],'Tabla Articulos'!B:B,'Tabla Articulos'!D:D)</f>
        <v/>
      </c>
      <c r="Q374" s="96">
        <f>_xlfn.XLOOKUP(S374,'Tabla Articulos'!B:B,'Tabla Articulos'!E:E)</f>
        <v/>
      </c>
      <c r="R374" s="96">
        <f>O374*Q374</f>
        <v/>
      </c>
      <c r="S374" s="97">
        <f>TRIM(E374)</f>
        <v/>
      </c>
    </row>
    <row r="375" hidden="1">
      <c r="A375" s="22" t="n">
        <v>6</v>
      </c>
      <c r="B375" t="inlineStr">
        <is>
          <t xml:space="preserve">CDM03 - MORENO 3              </t>
        </is>
      </c>
      <c r="C375" t="inlineStr">
        <is>
          <t xml:space="preserve">GRUPO L.                      </t>
        </is>
      </c>
      <c r="E375" t="inlineStr">
        <is>
          <t xml:space="preserve">UNIF000321          </t>
        </is>
      </c>
      <c r="F375" t="n">
        <v>9003195</v>
      </c>
      <c r="G375" t="inlineStr">
        <is>
          <t xml:space="preserve">REM CUE. RED A.MAR. ELEVARE 4XL    </t>
        </is>
      </c>
      <c r="H375" t="inlineStr">
        <is>
          <t xml:space="preserve">UNIDAD              </t>
        </is>
      </c>
      <c r="I375" t="n">
        <v>13</v>
      </c>
      <c r="J375" t="n">
        <v>0</v>
      </c>
      <c r="K375" t="n">
        <v>0</v>
      </c>
      <c r="L375" t="n">
        <v>4</v>
      </c>
      <c r="M375" t="n">
        <v>4</v>
      </c>
      <c r="N375" t="n">
        <v>0</v>
      </c>
      <c r="O375" t="n">
        <v>5</v>
      </c>
      <c r="P375" s="96">
        <f>_xlfn.XLOOKUP(Tabla5[[#This Row],[EAN CORREGIDO]],'Tabla Articulos'!B:B,'Tabla Articulos'!D:D)</f>
        <v/>
      </c>
      <c r="Q375" s="96">
        <f>_xlfn.XLOOKUP(S375,'Tabla Articulos'!B:B,'Tabla Articulos'!E:E)</f>
        <v/>
      </c>
      <c r="R375" s="96">
        <f>O375*Q375</f>
        <v/>
      </c>
      <c r="S375" s="97">
        <f>TRIM(E375)</f>
        <v/>
      </c>
    </row>
    <row r="376" hidden="1">
      <c r="A376" s="22" t="n">
        <v>6</v>
      </c>
      <c r="B376" t="inlineStr">
        <is>
          <t xml:space="preserve">CDM03 - MORENO 3              </t>
        </is>
      </c>
      <c r="C376" t="inlineStr">
        <is>
          <t xml:space="preserve">GRUPO L.                      </t>
        </is>
      </c>
      <c r="D376" t="inlineStr">
        <is>
          <t>GUANTE GOMA</t>
        </is>
      </c>
      <c r="E376" t="inlineStr">
        <is>
          <t xml:space="preserve">7797390401274       </t>
        </is>
      </c>
      <c r="F376" t="n">
        <v>2016726</v>
      </c>
      <c r="G376" t="inlineStr">
        <is>
          <t xml:space="preserve">GUANTES NAR  M SCHEZ               </t>
        </is>
      </c>
      <c r="H376" t="inlineStr">
        <is>
          <t xml:space="preserve">UNIDAD              </t>
        </is>
      </c>
      <c r="I376" t="n">
        <v>74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74</v>
      </c>
      <c r="P376" s="96">
        <f>_xlfn.XLOOKUP(Tabla5[[#This Row],[EAN CORREGIDO]],'Tabla Articulos'!B:B,'Tabla Articulos'!D:D)</f>
        <v/>
      </c>
      <c r="Q376" s="96">
        <f>_xlfn.XLOOKUP(S376,'Tabla Articulos'!B:B,'Tabla Articulos'!E:E)</f>
        <v/>
      </c>
      <c r="R376" s="96">
        <f>O376*Q376</f>
        <v/>
      </c>
      <c r="S376" s="97">
        <f>TRIM(E376)</f>
        <v/>
      </c>
    </row>
    <row r="377" hidden="1">
      <c r="A377" s="22" t="n">
        <v>6</v>
      </c>
      <c r="B377" t="inlineStr">
        <is>
          <t xml:space="preserve">CDM03 - MORENO 3              </t>
        </is>
      </c>
      <c r="C377" t="inlineStr">
        <is>
          <t xml:space="preserve">GRUPO L.                      </t>
        </is>
      </c>
      <c r="E377" t="inlineStr">
        <is>
          <t xml:space="preserve">A1607C25T5          </t>
        </is>
      </c>
      <c r="F377" t="n">
        <v>9003027</v>
      </c>
      <c r="G377" t="inlineStr">
        <is>
          <t xml:space="preserve">ZAPATO SEG. NEG. 38 ATT CHUBUT     </t>
        </is>
      </c>
      <c r="H377" t="inlineStr">
        <is>
          <t xml:space="preserve">UNIDAD              </t>
        </is>
      </c>
      <c r="I377" t="n">
        <v>6</v>
      </c>
      <c r="J377" t="n">
        <v>120</v>
      </c>
      <c r="K377" t="n">
        <v>0</v>
      </c>
      <c r="L377" t="n">
        <v>9</v>
      </c>
      <c r="M377" t="n">
        <v>9</v>
      </c>
      <c r="N377" t="n">
        <v>0</v>
      </c>
      <c r="O377" t="n">
        <v>108</v>
      </c>
      <c r="P377" s="96">
        <f>_xlfn.XLOOKUP(Tabla5[[#This Row],[EAN CORREGIDO]],'Tabla Articulos'!B:B,'Tabla Articulos'!D:D)</f>
        <v/>
      </c>
      <c r="Q377" s="96">
        <f>_xlfn.XLOOKUP(S377,'Tabla Articulos'!B:B,'Tabla Articulos'!E:E)</f>
        <v/>
      </c>
      <c r="R377" s="96">
        <f>O377*Q377</f>
        <v/>
      </c>
      <c r="S377" s="97">
        <f>TRIM(E377)</f>
        <v/>
      </c>
    </row>
    <row r="378" hidden="1">
      <c r="A378" s="22" t="n">
        <v>6</v>
      </c>
      <c r="B378" t="inlineStr">
        <is>
          <t xml:space="preserve">CDM03 - MORENO 3              </t>
        </is>
      </c>
      <c r="C378" t="inlineStr">
        <is>
          <t xml:space="preserve">GRUPO L.                      </t>
        </is>
      </c>
      <c r="E378" t="inlineStr">
        <is>
          <t xml:space="preserve">UNIF000095          </t>
        </is>
      </c>
      <c r="F378" t="n">
        <v>9003331</v>
      </c>
      <c r="G378" t="inlineStr">
        <is>
          <t xml:space="preserve">CHOMBA PIQUE GRIS M GL SUP.        </t>
        </is>
      </c>
      <c r="H378" t="inlineStr">
        <is>
          <t xml:space="preserve">UNIDAD              </t>
        </is>
      </c>
      <c r="I378" t="n">
        <v>0</v>
      </c>
      <c r="J378" t="n">
        <v>382</v>
      </c>
      <c r="K378" t="n">
        <v>0</v>
      </c>
      <c r="L378" t="n">
        <v>8</v>
      </c>
      <c r="M378" t="n">
        <v>8</v>
      </c>
      <c r="N378" t="n">
        <v>0</v>
      </c>
      <c r="O378" t="n">
        <v>366</v>
      </c>
      <c r="P378" s="96">
        <f>_xlfn.XLOOKUP(Tabla5[[#This Row],[EAN CORREGIDO]],'Tabla Articulos'!B:B,'Tabla Articulos'!D:D)</f>
        <v/>
      </c>
      <c r="Q378" s="96">
        <f>_xlfn.XLOOKUP(S378,'Tabla Articulos'!B:B,'Tabla Articulos'!E:E)</f>
        <v/>
      </c>
      <c r="R378" s="96">
        <f>O378*Q378</f>
        <v/>
      </c>
      <c r="S378" s="97">
        <f>TRIM(E378)</f>
        <v/>
      </c>
    </row>
    <row r="379" hidden="1">
      <c r="A379" s="22" t="n">
        <v>1</v>
      </c>
      <c r="B379" t="inlineStr">
        <is>
          <t xml:space="preserve">CD MORENO                     </t>
        </is>
      </c>
      <c r="C379" t="inlineStr">
        <is>
          <t xml:space="preserve">GRUPO L.                      </t>
        </is>
      </c>
      <c r="D379" t="inlineStr">
        <is>
          <t>NUEZ PELADA</t>
        </is>
      </c>
      <c r="E379" t="inlineStr">
        <is>
          <t xml:space="preserve">724751080226        </t>
        </is>
      </c>
      <c r="F379" t="n">
        <v>4022365</v>
      </c>
      <c r="G379" t="inlineStr">
        <is>
          <t xml:space="preserve">NUECES PEL MARIPOSA GOURMET 1KG    </t>
        </is>
      </c>
      <c r="H379" t="inlineStr">
        <is>
          <t xml:space="preserve">UNIDAD              </t>
        </is>
      </c>
      <c r="I379" t="n">
        <v>20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20</v>
      </c>
      <c r="P379" s="96">
        <f>_xlfn.XLOOKUP(Tabla5[[#This Row],[EAN CORREGIDO]],'Tabla Articulos'!B:B,'Tabla Articulos'!D:D)</f>
        <v/>
      </c>
      <c r="Q379" s="96">
        <f>_xlfn.XLOOKUP(S379,'Tabla Articulos'!B:B,'Tabla Articulos'!E:E)</f>
        <v/>
      </c>
      <c r="R379" s="96">
        <f>O379*Q379</f>
        <v/>
      </c>
      <c r="S379" s="97">
        <f>TRIM(E379)</f>
        <v/>
      </c>
    </row>
    <row r="380" hidden="1">
      <c r="A380" s="22" t="n">
        <v>5</v>
      </c>
      <c r="B380" t="inlineStr">
        <is>
          <t xml:space="preserve">CDM02 - MORENO 2              </t>
        </is>
      </c>
      <c r="C380" t="inlineStr">
        <is>
          <t xml:space="preserve">GRUPO L.                      </t>
        </is>
      </c>
      <c r="D380" t="inlineStr">
        <is>
          <t>NUEZ PELADA</t>
        </is>
      </c>
      <c r="E380" t="inlineStr">
        <is>
          <t xml:space="preserve">724751080226        </t>
        </is>
      </c>
      <c r="F380" t="n">
        <v>4022365</v>
      </c>
      <c r="G380" t="inlineStr">
        <is>
          <t xml:space="preserve">NUECES PEL MARIPOSA GOURMET 1KG    </t>
        </is>
      </c>
      <c r="H380" t="inlineStr">
        <is>
          <t xml:space="preserve">UNIDAD              </t>
        </is>
      </c>
      <c r="I380" t="n">
        <v>43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43</v>
      </c>
      <c r="P380" s="96">
        <f>_xlfn.XLOOKUP(Tabla5[[#This Row],[EAN CORREGIDO]],'Tabla Articulos'!B:B,'Tabla Articulos'!D:D)</f>
        <v/>
      </c>
      <c r="Q380" s="96">
        <f>_xlfn.XLOOKUP(S380,'Tabla Articulos'!B:B,'Tabla Articulos'!E:E)</f>
        <v/>
      </c>
      <c r="R380" s="96">
        <f>O380*Q380</f>
        <v/>
      </c>
      <c r="S380" s="97">
        <f>TRIM(E380)</f>
        <v/>
      </c>
    </row>
    <row r="381" hidden="1">
      <c r="A381" s="22" t="n">
        <v>6</v>
      </c>
      <c r="B381" t="inlineStr">
        <is>
          <t xml:space="preserve">CDM03 - MORENO 3              </t>
        </is>
      </c>
      <c r="C381" t="inlineStr">
        <is>
          <t xml:space="preserve">GRUPO L.                      </t>
        </is>
      </c>
      <c r="E381" t="inlineStr">
        <is>
          <t xml:space="preserve">UNIF000747          </t>
        </is>
      </c>
      <c r="F381" t="n">
        <v>9004201</v>
      </c>
      <c r="G381" t="inlineStr">
        <is>
          <t xml:space="preserve">CAMISA POPLIN ML BLUE CAFÉ L       </t>
        </is>
      </c>
      <c r="H381" t="inlineStr">
        <is>
          <t xml:space="preserve">UNIDAD              </t>
        </is>
      </c>
      <c r="I381" t="n">
        <v>29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29</v>
      </c>
      <c r="P381" s="96">
        <f>_xlfn.XLOOKUP(Tabla5[[#This Row],[EAN CORREGIDO]],'Tabla Articulos'!B:B,'Tabla Articulos'!D:D)</f>
        <v/>
      </c>
      <c r="Q381" s="96">
        <f>_xlfn.XLOOKUP(S381,'Tabla Articulos'!B:B,'Tabla Articulos'!E:E)</f>
        <v/>
      </c>
      <c r="R381" s="96">
        <f>O381*Q381</f>
        <v/>
      </c>
      <c r="S381" s="97">
        <f>TRIM(E381)</f>
        <v/>
      </c>
    </row>
    <row r="382" hidden="1">
      <c r="A382" s="22" t="n">
        <v>1</v>
      </c>
      <c r="B382" t="inlineStr">
        <is>
          <t xml:space="preserve">CD MORENO                     </t>
        </is>
      </c>
      <c r="C382" t="inlineStr">
        <is>
          <t xml:space="preserve">GRUPO L.                      </t>
        </is>
      </c>
      <c r="D382" t="inlineStr">
        <is>
          <t>GALLE LIMON</t>
        </is>
      </c>
      <c r="E382" t="inlineStr">
        <is>
          <t xml:space="preserve">7796236000961       </t>
        </is>
      </c>
      <c r="F382" t="n">
        <v>4076726</v>
      </c>
      <c r="G382" t="inlineStr">
        <is>
          <t>GALLE ANILLITOS LIMON X400G RIEDMAR</t>
        </is>
      </c>
      <c r="H382" t="inlineStr">
        <is>
          <t xml:space="preserve">UNIDAD              </t>
        </is>
      </c>
      <c r="I382" t="n">
        <v>2885</v>
      </c>
      <c r="J382" t="n">
        <v>0</v>
      </c>
      <c r="K382" t="n">
        <v>0</v>
      </c>
      <c r="L382" t="n">
        <v>581</v>
      </c>
      <c r="M382" t="n">
        <v>581</v>
      </c>
      <c r="N382" t="n">
        <v>0</v>
      </c>
      <c r="O382" t="n">
        <v>1723</v>
      </c>
      <c r="P382" s="96">
        <f>_xlfn.XLOOKUP(Tabla5[[#This Row],[EAN CORREGIDO]],'Tabla Articulos'!B:B,'Tabla Articulos'!D:D)</f>
        <v/>
      </c>
      <c r="Q382" s="96">
        <f>_xlfn.XLOOKUP(S382,'Tabla Articulos'!B:B,'Tabla Articulos'!E:E)</f>
        <v/>
      </c>
      <c r="R382" s="96">
        <f>O382*Q382</f>
        <v/>
      </c>
      <c r="S382" s="97">
        <f>TRIM(E382)</f>
        <v/>
      </c>
    </row>
    <row r="383" hidden="1">
      <c r="A383" s="22" t="n">
        <v>5</v>
      </c>
      <c r="B383" t="inlineStr">
        <is>
          <t xml:space="preserve">CDM02 - MORENO 2              </t>
        </is>
      </c>
      <c r="C383" t="inlineStr">
        <is>
          <t xml:space="preserve">GRUPO L.                      </t>
        </is>
      </c>
      <c r="D383" t="inlineStr">
        <is>
          <t>MERLUZA A/N</t>
        </is>
      </c>
      <c r="E383" t="inlineStr">
        <is>
          <t xml:space="preserve">7792750001606       </t>
        </is>
      </c>
      <c r="F383" t="n">
        <v>4020045</v>
      </c>
      <c r="G383" t="inlineStr">
        <is>
          <t xml:space="preserve">MERLUZA NATURAL X340G MARBELLA     </t>
        </is>
      </c>
      <c r="H383" t="inlineStr">
        <is>
          <t xml:space="preserve">UNIDAD              </t>
        </is>
      </c>
      <c r="I383" t="n">
        <v>17651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17651</v>
      </c>
      <c r="P383" s="96">
        <f>_xlfn.XLOOKUP(Tabla5[[#This Row],[EAN CORREGIDO]],'Tabla Articulos'!B:B,'Tabla Articulos'!D:D)</f>
        <v/>
      </c>
      <c r="Q383" s="96">
        <f>_xlfn.XLOOKUP(S383,'Tabla Articulos'!B:B,'Tabla Articulos'!E:E)</f>
        <v/>
      </c>
      <c r="R383" s="96">
        <f>O383*Q383</f>
        <v/>
      </c>
      <c r="S383" s="97">
        <f>TRIM(E383)</f>
        <v/>
      </c>
    </row>
    <row r="384" hidden="1">
      <c r="A384" s="22" t="n">
        <v>1</v>
      </c>
      <c r="B384" t="inlineStr">
        <is>
          <t xml:space="preserve">CD MORENO                     </t>
        </is>
      </c>
      <c r="C384" t="inlineStr">
        <is>
          <t xml:space="preserve">GRUPO L.                      </t>
        </is>
      </c>
      <c r="D384" s="11" t="inlineStr">
        <is>
          <t>MERLUZA A/N</t>
        </is>
      </c>
      <c r="E384" t="inlineStr">
        <is>
          <t xml:space="preserve">7792750001606       </t>
        </is>
      </c>
      <c r="F384" t="n">
        <v>4020045</v>
      </c>
      <c r="G384" t="inlineStr">
        <is>
          <t xml:space="preserve">MERLUZA NATURAL X340G MARBELLA     </t>
        </is>
      </c>
      <c r="H384" t="inlineStr">
        <is>
          <t xml:space="preserve">UNIDAD              </t>
        </is>
      </c>
      <c r="I384" t="n">
        <v>2134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2134</v>
      </c>
      <c r="P384" s="96">
        <f>_xlfn.XLOOKUP(Tabla5[[#This Row],[EAN CORREGIDO]],'Tabla Articulos'!B:B,'Tabla Articulos'!D:D)</f>
        <v/>
      </c>
      <c r="Q384" s="96">
        <f>_xlfn.XLOOKUP(S384,'Tabla Articulos'!B:B,'Tabla Articulos'!E:E)</f>
        <v/>
      </c>
      <c r="R384" s="96">
        <f>O384*Q384</f>
        <v/>
      </c>
      <c r="S384" s="97">
        <f>TRIM(E384)</f>
        <v/>
      </c>
    </row>
    <row r="385" hidden="1">
      <c r="A385" s="22" t="n">
        <v>6</v>
      </c>
      <c r="B385" t="inlineStr">
        <is>
          <t xml:space="preserve">CDM03 - MORENO 3              </t>
        </is>
      </c>
      <c r="C385" t="inlineStr">
        <is>
          <t xml:space="preserve">GRUPO L.                      </t>
        </is>
      </c>
      <c r="E385" t="inlineStr">
        <is>
          <t xml:space="preserve">BAZ001310           </t>
        </is>
      </c>
      <c r="F385" t="n">
        <v>9003760</v>
      </c>
      <c r="G385" t="inlineStr">
        <is>
          <t xml:space="preserve">CONTENED RECT 29.5X17X6.6CM2.4LT   </t>
        </is>
      </c>
      <c r="H385" t="inlineStr">
        <is>
          <t xml:space="preserve">UNIDAD              </t>
        </is>
      </c>
      <c r="I385" t="n">
        <v>75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75</v>
      </c>
      <c r="P385" s="96">
        <f>_xlfn.XLOOKUP(Tabla5[[#This Row],[EAN CORREGIDO]],'Tabla Articulos'!B:B,'Tabla Articulos'!D:D)</f>
        <v/>
      </c>
      <c r="Q385" s="96">
        <f>_xlfn.XLOOKUP(S385,'Tabla Articulos'!B:B,'Tabla Articulos'!E:E)</f>
        <v/>
      </c>
      <c r="R385" s="96">
        <f>O385*Q385</f>
        <v/>
      </c>
      <c r="S385" s="97">
        <f>TRIM(E385)</f>
        <v/>
      </c>
    </row>
    <row r="386" hidden="1">
      <c r="A386" s="22" t="n">
        <v>1</v>
      </c>
      <c r="B386" t="inlineStr">
        <is>
          <t xml:space="preserve">CD MORENO                     </t>
        </is>
      </c>
      <c r="C386" t="inlineStr">
        <is>
          <t xml:space="preserve">GRUPO L.                      </t>
        </is>
      </c>
      <c r="D386" t="inlineStr">
        <is>
          <t>AJO MOLIDO</t>
        </is>
      </c>
      <c r="E386" t="inlineStr">
        <is>
          <t xml:space="preserve">7790150411391       </t>
        </is>
      </c>
      <c r="F386" t="n">
        <v>4024426</v>
      </c>
      <c r="G386" t="inlineStr">
        <is>
          <t xml:space="preserve">AJO TRITURADO X50G ALICANTE        </t>
        </is>
      </c>
      <c r="H386" t="inlineStr">
        <is>
          <t xml:space="preserve">UNIDAD              </t>
        </is>
      </c>
      <c r="I386" t="n">
        <v>22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22</v>
      </c>
      <c r="P386" s="96">
        <f>_xlfn.XLOOKUP(Tabla5[[#This Row],[EAN CORREGIDO]],'Tabla Articulos'!B:B,'Tabla Articulos'!D:D)</f>
        <v/>
      </c>
      <c r="Q386" s="96">
        <f>_xlfn.XLOOKUP(S386,'Tabla Articulos'!B:B,'Tabla Articulos'!E:E)</f>
        <v/>
      </c>
      <c r="R386" s="96">
        <f>O386*Q386</f>
        <v/>
      </c>
      <c r="S386" s="97">
        <f>TRIM(E386)</f>
        <v/>
      </c>
    </row>
    <row r="387" hidden="1">
      <c r="A387" s="22" t="n">
        <v>6</v>
      </c>
      <c r="B387" t="inlineStr">
        <is>
          <t xml:space="preserve">CDM03 - MORENO 3              </t>
        </is>
      </c>
      <c r="C387" t="inlineStr">
        <is>
          <t xml:space="preserve">GRUPO L.                      </t>
        </is>
      </c>
      <c r="E387" t="inlineStr">
        <is>
          <t xml:space="preserve">BAZ001224           </t>
        </is>
      </c>
      <c r="F387" t="n">
        <v>9003850</v>
      </c>
      <c r="G387" t="inlineStr">
        <is>
          <t xml:space="preserve">SARTEN MANG PLANCHU CHAPAN°26      </t>
        </is>
      </c>
      <c r="H387" t="inlineStr">
        <is>
          <t xml:space="preserve">UNIDAD              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4</v>
      </c>
      <c r="P387" s="96">
        <f>_xlfn.XLOOKUP(Tabla5[[#This Row],[EAN CORREGIDO]],'Tabla Articulos'!B:B,'Tabla Articulos'!D:D)</f>
        <v/>
      </c>
      <c r="Q387" s="96">
        <f>_xlfn.XLOOKUP(S387,'Tabla Articulos'!B:B,'Tabla Articulos'!E:E)</f>
        <v/>
      </c>
      <c r="R387" s="96">
        <f>O387*Q387</f>
        <v/>
      </c>
      <c r="S387" s="97">
        <f>TRIM(E387)</f>
        <v/>
      </c>
    </row>
    <row r="388" hidden="1">
      <c r="A388" s="22" t="n">
        <v>5</v>
      </c>
      <c r="B388" t="inlineStr">
        <is>
          <t xml:space="preserve">CDM02 - MORENO 2              </t>
        </is>
      </c>
      <c r="C388" t="inlineStr">
        <is>
          <t xml:space="preserve">GRUPO L.                      </t>
        </is>
      </c>
      <c r="D388" s="11" t="inlineStr">
        <is>
          <t>CURCUMA</t>
        </is>
      </c>
      <c r="E388" t="inlineStr">
        <is>
          <t xml:space="preserve">7793875313032       </t>
        </is>
      </c>
      <c r="F388" t="n">
        <v>4020755</v>
      </c>
      <c r="G388" t="inlineStr">
        <is>
          <t xml:space="preserve">CURCUMA x 250G AROMA Y SABORES     </t>
        </is>
      </c>
      <c r="H388" t="inlineStr">
        <is>
          <t xml:space="preserve">UNIDAD              </t>
        </is>
      </c>
      <c r="I388" t="n">
        <v>21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21</v>
      </c>
      <c r="P388" s="96">
        <f>_xlfn.XLOOKUP(Tabla5[[#This Row],[EAN CORREGIDO]],'Tabla Articulos'!B:B,'Tabla Articulos'!D:D)</f>
        <v/>
      </c>
      <c r="Q388" s="96">
        <f>_xlfn.XLOOKUP(S388,'Tabla Articulos'!B:B,'Tabla Articulos'!E:E)</f>
        <v/>
      </c>
      <c r="R388" s="96">
        <f>O388*Q388</f>
        <v/>
      </c>
      <c r="S388" s="97">
        <f>TRIM(E388)</f>
        <v/>
      </c>
    </row>
    <row r="389" hidden="1">
      <c r="A389" s="22" t="n">
        <v>1</v>
      </c>
      <c r="B389" t="inlineStr">
        <is>
          <t xml:space="preserve">CD MORENO                     </t>
        </is>
      </c>
      <c r="C389" t="inlineStr">
        <is>
          <t xml:space="preserve">GRUPO L.                      </t>
        </is>
      </c>
      <c r="D389" s="11" t="inlineStr">
        <is>
          <t>CURCUMA</t>
        </is>
      </c>
      <c r="E389" t="inlineStr">
        <is>
          <t xml:space="preserve">7793875313032       </t>
        </is>
      </c>
      <c r="F389" t="n">
        <v>4020755</v>
      </c>
      <c r="G389" t="inlineStr">
        <is>
          <t xml:space="preserve">CURCUMA x 250G AROMA Y SABORES     </t>
        </is>
      </c>
      <c r="H389" t="inlineStr">
        <is>
          <t xml:space="preserve">UNIDAD              </t>
        </is>
      </c>
      <c r="I389" t="n">
        <v>142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142</v>
      </c>
      <c r="P389" s="96">
        <f>_xlfn.XLOOKUP(Tabla5[[#This Row],[EAN CORREGIDO]],'Tabla Articulos'!B:B,'Tabla Articulos'!D:D)</f>
        <v/>
      </c>
      <c r="Q389" s="96">
        <f>_xlfn.XLOOKUP(S389,'Tabla Articulos'!B:B,'Tabla Articulos'!E:E)</f>
        <v/>
      </c>
      <c r="R389" s="96">
        <f>O389*Q389</f>
        <v/>
      </c>
      <c r="S389" s="97">
        <f>TRIM(E389)</f>
        <v/>
      </c>
    </row>
    <row r="390" hidden="1">
      <c r="A390" s="22" t="n">
        <v>6</v>
      </c>
      <c r="B390" t="inlineStr">
        <is>
          <t xml:space="preserve">CDM03 - MORENO 3              </t>
        </is>
      </c>
      <c r="C390" t="inlineStr">
        <is>
          <t xml:space="preserve">GRUPO L.                      </t>
        </is>
      </c>
      <c r="E390" t="inlineStr">
        <is>
          <t xml:space="preserve">UNIF000370          </t>
        </is>
      </c>
      <c r="F390" t="n">
        <v>9003634</v>
      </c>
      <c r="G390" t="inlineStr">
        <is>
          <t xml:space="preserve">SWEETER GRIS LANA GL SUP LIMP L    </t>
        </is>
      </c>
      <c r="H390" t="inlineStr">
        <is>
          <t xml:space="preserve">UNIDAD              </t>
        </is>
      </c>
      <c r="I390" t="n">
        <v>16</v>
      </c>
      <c r="J390" t="n">
        <v>0</v>
      </c>
      <c r="K390" t="n">
        <v>0</v>
      </c>
      <c r="L390" t="n">
        <v>1</v>
      </c>
      <c r="M390" t="n">
        <v>1</v>
      </c>
      <c r="N390" t="n">
        <v>0</v>
      </c>
      <c r="O390" t="n">
        <v>14</v>
      </c>
      <c r="P390" s="96">
        <f>_xlfn.XLOOKUP(Tabla5[[#This Row],[EAN CORREGIDO]],'Tabla Articulos'!B:B,'Tabla Articulos'!D:D)</f>
        <v/>
      </c>
      <c r="Q390" s="96">
        <f>_xlfn.XLOOKUP(S390,'Tabla Articulos'!B:B,'Tabla Articulos'!E:E)</f>
        <v/>
      </c>
      <c r="R390" s="96">
        <f>O390*Q390</f>
        <v/>
      </c>
      <c r="S390" s="97">
        <f>TRIM(E390)</f>
        <v/>
      </c>
    </row>
    <row r="391" hidden="1">
      <c r="A391" s="22" t="n">
        <v>1</v>
      </c>
      <c r="B391" t="inlineStr">
        <is>
          <t xml:space="preserve">CD MORENO                     </t>
        </is>
      </c>
      <c r="C391" t="inlineStr">
        <is>
          <t xml:space="preserve">GRUPO L.                      </t>
        </is>
      </c>
      <c r="D391" s="11" t="inlineStr">
        <is>
          <t>PANADERIA CONGELADA</t>
        </is>
      </c>
      <c r="E391" t="inlineStr">
        <is>
          <t xml:space="preserve">7798041132483       </t>
        </is>
      </c>
      <c r="F391" t="n">
        <v>4018524</v>
      </c>
      <c r="G391" t="inlineStr">
        <is>
          <t xml:space="preserve">LEMON PIE X9U SELYGEL              </t>
        </is>
      </c>
      <c r="H391" t="inlineStr">
        <is>
          <t xml:space="preserve">UNIDAD              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3</v>
      </c>
      <c r="P391" s="96">
        <f>_xlfn.XLOOKUP(Tabla5[[#This Row],[EAN CORREGIDO]],'Tabla Articulos'!B:B,'Tabla Articulos'!D:D)</f>
        <v/>
      </c>
      <c r="Q391" s="96">
        <f>_xlfn.XLOOKUP(S391,'Tabla Articulos'!B:B,'Tabla Articulos'!E:E)</f>
        <v/>
      </c>
      <c r="R391" s="96">
        <f>O391*Q391</f>
        <v/>
      </c>
      <c r="S391" s="97">
        <f>TRIM(E391)</f>
        <v/>
      </c>
    </row>
    <row r="392" hidden="1">
      <c r="A392" s="22" t="n">
        <v>6</v>
      </c>
      <c r="B392" t="inlineStr">
        <is>
          <t xml:space="preserve">CDM03 - MORENO 3              </t>
        </is>
      </c>
      <c r="C392" t="inlineStr">
        <is>
          <t xml:space="preserve">GRUPO L.                      </t>
        </is>
      </c>
      <c r="E392" t="inlineStr">
        <is>
          <t xml:space="preserve">UNIF000368          </t>
        </is>
      </c>
      <c r="F392" t="n">
        <v>9003632</v>
      </c>
      <c r="G392" t="inlineStr">
        <is>
          <t xml:space="preserve">SWEETER GRIS LANA GL SUP LIMP S    </t>
        </is>
      </c>
      <c r="H392" t="inlineStr">
        <is>
          <t xml:space="preserve">UNIDAD              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4</v>
      </c>
      <c r="P392" s="96">
        <f>_xlfn.XLOOKUP(Tabla5[[#This Row],[EAN CORREGIDO]],'Tabla Articulos'!B:B,'Tabla Articulos'!D:D)</f>
        <v/>
      </c>
      <c r="Q392" s="96">
        <f>_xlfn.XLOOKUP(S392,'Tabla Articulos'!B:B,'Tabla Articulos'!E:E)</f>
        <v/>
      </c>
      <c r="R392" s="96">
        <f>O392*Q392</f>
        <v/>
      </c>
      <c r="S392" s="97">
        <f>TRIM(E392)</f>
        <v/>
      </c>
    </row>
    <row r="393" hidden="1">
      <c r="A393" s="22" t="n">
        <v>5</v>
      </c>
      <c r="B393" t="inlineStr">
        <is>
          <t xml:space="preserve">CDM02 - MORENO 2              </t>
        </is>
      </c>
      <c r="C393" t="inlineStr">
        <is>
          <t xml:space="preserve">GRUPO L.                      </t>
        </is>
      </c>
      <c r="D393" s="11" t="inlineStr">
        <is>
          <t>FIDEOS GUISEROS</t>
        </is>
      </c>
      <c r="E393" t="inlineStr">
        <is>
          <t xml:space="preserve">7790070336149       </t>
        </is>
      </c>
      <c r="F393" t="n">
        <v>4019420</v>
      </c>
      <c r="G393" t="inlineStr">
        <is>
          <t xml:space="preserve">FIDEO GUIS MOSTA X500G LUCCHETTI   </t>
        </is>
      </c>
      <c r="H393" t="inlineStr">
        <is>
          <t xml:space="preserve">UNIDAD              </t>
        </is>
      </c>
      <c r="I393" t="n">
        <v>245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245</v>
      </c>
      <c r="P393" s="96">
        <f>_xlfn.XLOOKUP(Tabla5[[#This Row],[EAN CORREGIDO]],'Tabla Articulos'!B:B,'Tabla Articulos'!D:D)</f>
        <v/>
      </c>
      <c r="Q393" s="96">
        <f>_xlfn.XLOOKUP(S393,'Tabla Articulos'!B:B,'Tabla Articulos'!E:E)</f>
        <v/>
      </c>
      <c r="R393" s="96">
        <f>O393*Q393</f>
        <v/>
      </c>
      <c r="S393" s="97">
        <f>TRIM(E393)</f>
        <v/>
      </c>
    </row>
    <row r="394" hidden="1">
      <c r="A394" s="22" t="n">
        <v>1</v>
      </c>
      <c r="B394" t="inlineStr">
        <is>
          <t xml:space="preserve">CD MORENO                     </t>
        </is>
      </c>
      <c r="C394" t="inlineStr">
        <is>
          <t xml:space="preserve">GRUPO L.                      </t>
        </is>
      </c>
      <c r="D394" s="11" t="inlineStr">
        <is>
          <t>HUEVO</t>
        </is>
      </c>
      <c r="E394" t="inlineStr">
        <is>
          <t xml:space="preserve">7790212030066       </t>
        </is>
      </c>
      <c r="F394" t="n">
        <v>4017623</v>
      </c>
      <c r="G394" t="inlineStr">
        <is>
          <t xml:space="preserve">HUEVOS X U GRADO A PESO MIN 50     </t>
        </is>
      </c>
      <c r="H394" t="inlineStr">
        <is>
          <t xml:space="preserve">UNIDAD              </t>
        </is>
      </c>
      <c r="I394" t="n">
        <v>37469</v>
      </c>
      <c r="J394" t="n">
        <v>0</v>
      </c>
      <c r="K394" t="n">
        <v>0</v>
      </c>
      <c r="L394" t="n">
        <v>8701</v>
      </c>
      <c r="M394" t="n">
        <v>8701</v>
      </c>
      <c r="N394" t="n">
        <v>0</v>
      </c>
      <c r="O394" t="n">
        <v>20067</v>
      </c>
      <c r="P394" s="96">
        <f>_xlfn.XLOOKUP(Tabla5[[#This Row],[EAN CORREGIDO]],'Tabla Articulos'!B:B,'Tabla Articulos'!D:D)</f>
        <v/>
      </c>
      <c r="Q394" s="96">
        <f>_xlfn.XLOOKUP(S394,'Tabla Articulos'!B:B,'Tabla Articulos'!E:E)</f>
        <v/>
      </c>
      <c r="R394" s="96">
        <f>O394*Q394</f>
        <v/>
      </c>
      <c r="S394" s="97">
        <f>TRIM(E394)</f>
        <v/>
      </c>
    </row>
    <row r="395" hidden="1">
      <c r="A395" s="22" t="n">
        <v>5</v>
      </c>
      <c r="B395" t="inlineStr">
        <is>
          <t xml:space="preserve">CDM02 - MORENO 2              </t>
        </is>
      </c>
      <c r="C395" t="inlineStr">
        <is>
          <t xml:space="preserve">GRUPO L.                      </t>
        </is>
      </c>
      <c r="D395" s="11" t="inlineStr">
        <is>
          <t>BATATA PROCESADA</t>
        </is>
      </c>
      <c r="E395" t="inlineStr">
        <is>
          <t xml:space="preserve">7790216012638       </t>
        </is>
      </c>
      <c r="F395" t="n">
        <v>4017991</v>
      </c>
      <c r="G395" t="inlineStr">
        <is>
          <t xml:space="preserve">BATATA PROCESADA X KG              </t>
        </is>
      </c>
      <c r="H395" t="inlineStr">
        <is>
          <t xml:space="preserve">Kgs                 </t>
        </is>
      </c>
      <c r="I395" t="n">
        <v>90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90</v>
      </c>
      <c r="P395" s="96">
        <f>_xlfn.XLOOKUP(Tabla5[[#This Row],[EAN CORREGIDO]],'Tabla Articulos'!B:B,'Tabla Articulos'!D:D)</f>
        <v/>
      </c>
      <c r="Q395" s="96">
        <f>_xlfn.XLOOKUP(S395,'Tabla Articulos'!B:B,'Tabla Articulos'!E:E)</f>
        <v/>
      </c>
      <c r="R395" s="96">
        <f>O395*Q395</f>
        <v/>
      </c>
      <c r="S395" s="97">
        <f>TRIM(E395)</f>
        <v/>
      </c>
    </row>
    <row r="396" hidden="1">
      <c r="A396" s="22" t="n">
        <v>6</v>
      </c>
      <c r="B396" t="inlineStr">
        <is>
          <t xml:space="preserve">CDM03 - MORENO 3              </t>
        </is>
      </c>
      <c r="C396" t="inlineStr">
        <is>
          <t xml:space="preserve">GRUPO L.                      </t>
        </is>
      </c>
      <c r="E396" t="inlineStr">
        <is>
          <t xml:space="preserve">UNIF000562          </t>
        </is>
      </c>
      <c r="F396" t="n">
        <v>9003100</v>
      </c>
      <c r="G396" t="inlineStr">
        <is>
          <t xml:space="preserve">REMERA GRIS MANGA CORTA S          </t>
        </is>
      </c>
      <c r="H396" t="inlineStr">
        <is>
          <t xml:space="preserve">UNIDAD              </t>
        </is>
      </c>
      <c r="I396" t="n">
        <v>15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15</v>
      </c>
      <c r="P396" s="96">
        <f>_xlfn.XLOOKUP(Tabla5[[#This Row],[EAN CORREGIDO]],'Tabla Articulos'!B:B,'Tabla Articulos'!D:D)</f>
        <v/>
      </c>
      <c r="Q396" s="96">
        <f>_xlfn.XLOOKUP(S396,'Tabla Articulos'!B:B,'Tabla Articulos'!E:E)</f>
        <v/>
      </c>
      <c r="R396" s="96">
        <f>O396*Q396</f>
        <v/>
      </c>
      <c r="S396" s="97">
        <f>TRIM(E396)</f>
        <v/>
      </c>
    </row>
    <row r="397" hidden="1">
      <c r="A397" s="22" t="n">
        <v>6</v>
      </c>
      <c r="B397" t="inlineStr">
        <is>
          <t xml:space="preserve">CDM03 - MORENO 3              </t>
        </is>
      </c>
      <c r="C397" t="inlineStr">
        <is>
          <t xml:space="preserve">GRUPO L.                      </t>
        </is>
      </c>
      <c r="D397" t="inlineStr">
        <is>
          <t>DISCO LIMPIEZA</t>
        </is>
      </c>
      <c r="E397" t="inlineStr">
        <is>
          <t xml:space="preserve">LIM000505           </t>
        </is>
      </c>
      <c r="F397" t="n">
        <v>2006349</v>
      </c>
      <c r="G397" t="inlineStr">
        <is>
          <t xml:space="preserve">PA#O NEGRO P/PISO 17 XUN           </t>
        </is>
      </c>
      <c r="H397" t="inlineStr">
        <is>
          <t xml:space="preserve">PALLET              </t>
        </is>
      </c>
      <c r="I397" t="n">
        <v>369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369</v>
      </c>
      <c r="P397" s="96">
        <f>_xlfn.XLOOKUP(Tabla5[[#This Row],[EAN CORREGIDO]],'Tabla Articulos'!B:B,'Tabla Articulos'!D:D)</f>
        <v/>
      </c>
      <c r="Q397" s="96">
        <f>_xlfn.XLOOKUP(S397,'Tabla Articulos'!B:B,'Tabla Articulos'!E:E)</f>
        <v/>
      </c>
      <c r="R397" s="96">
        <f>O397*Q397</f>
        <v/>
      </c>
      <c r="S397" s="97">
        <f>TRIM(E397)</f>
        <v/>
      </c>
    </row>
    <row r="398" hidden="1">
      <c r="A398" s="22" t="n">
        <v>1</v>
      </c>
      <c r="B398" t="inlineStr">
        <is>
          <t xml:space="preserve">CD MORENO                     </t>
        </is>
      </c>
      <c r="C398" t="inlineStr">
        <is>
          <t xml:space="preserve">GRUPO L.                      </t>
        </is>
      </c>
      <c r="D398" s="11" t="inlineStr">
        <is>
          <t>MEDALLONES DE MERLUZA</t>
        </is>
      </c>
      <c r="E398" t="inlineStr">
        <is>
          <t xml:space="preserve">779405803176        </t>
        </is>
      </c>
      <c r="F398" t="n">
        <v>4022871</v>
      </c>
      <c r="G398" t="inlineStr">
        <is>
          <t xml:space="preserve">MED MERLUZA EMP CJX6KG ARTICO      </t>
        </is>
      </c>
      <c r="H398" t="inlineStr">
        <is>
          <t xml:space="preserve">UNIDAD              </t>
        </is>
      </c>
      <c r="I398" t="n">
        <v>44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44</v>
      </c>
      <c r="P398" s="96">
        <f>_xlfn.XLOOKUP(Tabla5[[#This Row],[EAN CORREGIDO]],'Tabla Articulos'!B:B,'Tabla Articulos'!D:D)</f>
        <v/>
      </c>
      <c r="Q398" s="96">
        <f>_xlfn.XLOOKUP(S398,'Tabla Articulos'!B:B,'Tabla Articulos'!E:E)</f>
        <v/>
      </c>
      <c r="R398" s="96">
        <f>O398*Q398</f>
        <v/>
      </c>
      <c r="S398" s="97">
        <f>TRIM(E398)</f>
        <v/>
      </c>
    </row>
    <row r="399" hidden="1">
      <c r="A399" s="22" t="n">
        <v>5</v>
      </c>
      <c r="B399" t="inlineStr">
        <is>
          <t xml:space="preserve">CDM02 - MORENO 2              </t>
        </is>
      </c>
      <c r="C399" t="inlineStr">
        <is>
          <t xml:space="preserve">GRUPO L.                      </t>
        </is>
      </c>
      <c r="D399" t="inlineStr">
        <is>
          <t>GARBANZOS REMOJADOS</t>
        </is>
      </c>
      <c r="E399" t="inlineStr">
        <is>
          <t xml:space="preserve">7792290278797       </t>
        </is>
      </c>
      <c r="F399" t="n">
        <v>4019718</v>
      </c>
      <c r="G399" t="inlineStr">
        <is>
          <t xml:space="preserve">GARBANZOS X340G MONTENEVI          </t>
        </is>
      </c>
      <c r="H399" t="inlineStr">
        <is>
          <t xml:space="preserve">UNIDAD              </t>
        </is>
      </c>
      <c r="I399" t="n">
        <v>1677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1677</v>
      </c>
      <c r="P399" s="96">
        <f>_xlfn.XLOOKUP(Tabla5[[#This Row],[EAN CORREGIDO]],'Tabla Articulos'!B:B,'Tabla Articulos'!D:D)</f>
        <v/>
      </c>
      <c r="Q399" s="96">
        <f>_xlfn.XLOOKUP(S399,'Tabla Articulos'!B:B,'Tabla Articulos'!E:E)</f>
        <v/>
      </c>
      <c r="R399" s="96">
        <f>O399*Q399</f>
        <v/>
      </c>
      <c r="S399" s="97">
        <f>TRIM(E399)</f>
        <v/>
      </c>
    </row>
    <row r="400" hidden="1">
      <c r="A400" s="22" t="n">
        <v>6</v>
      </c>
      <c r="B400" t="inlineStr">
        <is>
          <t xml:space="preserve">CDM03 - MORENO 3              </t>
        </is>
      </c>
      <c r="C400" t="inlineStr">
        <is>
          <t xml:space="preserve">GRUPO L.                      </t>
        </is>
      </c>
      <c r="E400" t="inlineStr">
        <is>
          <t xml:space="preserve">UNIF000109          </t>
        </is>
      </c>
      <c r="F400" t="n">
        <v>9003422</v>
      </c>
      <c r="G400" t="inlineStr">
        <is>
          <t xml:space="preserve">PANTALON CARGO S. LOGO NEGRO 54    </t>
        </is>
      </c>
      <c r="H400" t="inlineStr">
        <is>
          <t xml:space="preserve">UNIDAD              </t>
        </is>
      </c>
      <c r="I400" t="n">
        <v>30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30</v>
      </c>
      <c r="P400" s="96">
        <f>_xlfn.XLOOKUP(Tabla5[[#This Row],[EAN CORREGIDO]],'Tabla Articulos'!B:B,'Tabla Articulos'!D:D)</f>
        <v/>
      </c>
      <c r="Q400" s="96">
        <f>_xlfn.XLOOKUP(S400,'Tabla Articulos'!B:B,'Tabla Articulos'!E:E)</f>
        <v/>
      </c>
      <c r="R400" s="96">
        <f>O400*Q400</f>
        <v/>
      </c>
      <c r="S400" s="97">
        <f>TRIM(E400)</f>
        <v/>
      </c>
    </row>
    <row r="401" hidden="1">
      <c r="A401" s="22" t="n">
        <v>1</v>
      </c>
      <c r="B401" t="inlineStr">
        <is>
          <t xml:space="preserve">CD MORENO                     </t>
        </is>
      </c>
      <c r="C401" t="inlineStr">
        <is>
          <t xml:space="preserve">GRUPO L.                      </t>
        </is>
      </c>
      <c r="D401" t="inlineStr">
        <is>
          <t>GALLE DULCES CELIACO</t>
        </is>
      </c>
      <c r="E401" t="inlineStr">
        <is>
          <t xml:space="preserve">7798082000492       </t>
        </is>
      </c>
      <c r="F401" t="n">
        <v>4020359</v>
      </c>
      <c r="G401" t="inlineStr">
        <is>
          <t>RUEDITAS DE VAINILLA CEL X 180 G NA</t>
        </is>
      </c>
      <c r="H401" t="inlineStr">
        <is>
          <t xml:space="preserve">UNIDAD              </t>
        </is>
      </c>
      <c r="I401" t="n">
        <v>192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192</v>
      </c>
      <c r="P401" s="96">
        <f>_xlfn.XLOOKUP(Tabla5[[#This Row],[EAN CORREGIDO]],'Tabla Articulos'!B:B,'Tabla Articulos'!D:D)</f>
        <v/>
      </c>
      <c r="Q401" s="96">
        <f>_xlfn.XLOOKUP(S401,'Tabla Articulos'!B:B,'Tabla Articulos'!E:E)</f>
        <v/>
      </c>
      <c r="R401" s="96">
        <f>O401*Q401</f>
        <v/>
      </c>
      <c r="S401" s="97">
        <f>TRIM(E401)</f>
        <v/>
      </c>
    </row>
    <row r="402" hidden="1">
      <c r="A402" s="22" t="n">
        <v>5</v>
      </c>
      <c r="B402" t="inlineStr">
        <is>
          <t xml:space="preserve">CDM02 - MORENO 2              </t>
        </is>
      </c>
      <c r="C402" t="inlineStr">
        <is>
          <t xml:space="preserve">GRUPO L.                      </t>
        </is>
      </c>
      <c r="D402" t="inlineStr">
        <is>
          <t>VINAGRE INDIV</t>
        </is>
      </c>
      <c r="E402" t="inlineStr">
        <is>
          <t xml:space="preserve">7798011976485       </t>
        </is>
      </c>
      <c r="F402" t="n">
        <v>4020710</v>
      </c>
      <c r="G402" t="inlineStr">
        <is>
          <t xml:space="preserve">VINAGRE IND X8CC X198U ABEDUL      </t>
        </is>
      </c>
      <c r="H402" t="inlineStr">
        <is>
          <t xml:space="preserve">UNIDAD              </t>
        </is>
      </c>
      <c r="I402" t="n">
        <v>67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67</v>
      </c>
      <c r="P402" s="96">
        <f>_xlfn.XLOOKUP(Tabla5[[#This Row],[EAN CORREGIDO]],'Tabla Articulos'!B:B,'Tabla Articulos'!D:D)</f>
        <v/>
      </c>
      <c r="Q402" s="96">
        <f>_xlfn.XLOOKUP(S402,'Tabla Articulos'!B:B,'Tabla Articulos'!E:E)</f>
        <v/>
      </c>
      <c r="R402" s="96">
        <f>O402*Q402</f>
        <v/>
      </c>
      <c r="S402" s="97">
        <f>TRIM(E402)</f>
        <v/>
      </c>
    </row>
    <row r="403" hidden="1">
      <c r="A403" s="22" t="n">
        <v>1</v>
      </c>
      <c r="B403" t="inlineStr">
        <is>
          <t xml:space="preserve">CD MORENO                     </t>
        </is>
      </c>
      <c r="C403" t="inlineStr">
        <is>
          <t xml:space="preserve">GRUPO L.                      </t>
        </is>
      </c>
      <c r="D403" s="11" t="inlineStr">
        <is>
          <t>VINAGRE INDIV</t>
        </is>
      </c>
      <c r="E403" t="inlineStr">
        <is>
          <t xml:space="preserve">7798011976485       </t>
        </is>
      </c>
      <c r="F403" t="n">
        <v>4020710</v>
      </c>
      <c r="G403" t="inlineStr">
        <is>
          <t xml:space="preserve">VINAGRE IND X8CC X198U ABEDUL      </t>
        </is>
      </c>
      <c r="H403" t="inlineStr">
        <is>
          <t xml:space="preserve">UNIDAD              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s="96">
        <f>_xlfn.XLOOKUP(Tabla5[[#This Row],[EAN CORREGIDO]],'Tabla Articulos'!B:B,'Tabla Articulos'!D:D)</f>
        <v/>
      </c>
      <c r="Q403" s="96">
        <f>_xlfn.XLOOKUP(S403,'Tabla Articulos'!B:B,'Tabla Articulos'!E:E)</f>
        <v/>
      </c>
      <c r="R403" s="96">
        <f>O403*Q403</f>
        <v/>
      </c>
      <c r="S403" s="97">
        <f>TRIM(E403)</f>
        <v/>
      </c>
    </row>
    <row r="404" hidden="1">
      <c r="A404" s="22" t="n">
        <v>6</v>
      </c>
      <c r="B404" t="inlineStr">
        <is>
          <t xml:space="preserve">CDM03 - MORENO 3              </t>
        </is>
      </c>
      <c r="C404" t="inlineStr">
        <is>
          <t xml:space="preserve">GRUPO L.                      </t>
        </is>
      </c>
      <c r="E404" t="inlineStr">
        <is>
          <t xml:space="preserve">BAZ001261           </t>
        </is>
      </c>
      <c r="F404" t="n">
        <v>9003862</v>
      </c>
      <c r="G404" t="inlineStr">
        <is>
          <t xml:space="preserve">MAXI TERMOS 6LT 292X270X255        </t>
        </is>
      </c>
      <c r="H404" t="inlineStr">
        <is>
          <t xml:space="preserve">UNIDAD              </t>
        </is>
      </c>
      <c r="I404" t="n">
        <v>23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23</v>
      </c>
      <c r="P404" s="96">
        <f>_xlfn.XLOOKUP(Tabla5[[#This Row],[EAN CORREGIDO]],'Tabla Articulos'!B:B,'Tabla Articulos'!D:D)</f>
        <v/>
      </c>
      <c r="Q404" s="96">
        <f>_xlfn.XLOOKUP(S404,'Tabla Articulos'!B:B,'Tabla Articulos'!E:E)</f>
        <v/>
      </c>
      <c r="R404" s="96">
        <f>O404*Q404</f>
        <v/>
      </c>
      <c r="S404" s="97">
        <f>TRIM(E404)</f>
        <v/>
      </c>
    </row>
    <row r="405" hidden="1">
      <c r="A405" s="22" t="n">
        <v>1</v>
      </c>
      <c r="B405" t="inlineStr">
        <is>
          <t xml:space="preserve">CD MORENO                     </t>
        </is>
      </c>
      <c r="C405" t="inlineStr">
        <is>
          <t xml:space="preserve">GRUPO L.                      </t>
        </is>
      </c>
      <c r="D405" s="11" t="inlineStr">
        <is>
          <t>NARANJA 90-100</t>
        </is>
      </c>
      <c r="E405" t="inlineStr">
        <is>
          <t xml:space="preserve">7790216020107       </t>
        </is>
      </c>
      <c r="F405" t="n">
        <v>4018061</v>
      </c>
      <c r="G405" t="inlineStr">
        <is>
          <t xml:space="preserve">FRUTA NARANJA 90-110 XKG           </t>
        </is>
      </c>
      <c r="H405" t="inlineStr">
        <is>
          <t xml:space="preserve">Kgs                 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s="96">
        <f>_xlfn.XLOOKUP(Tabla5[[#This Row],[EAN CORREGIDO]],'Tabla Articulos'!B:B,'Tabla Articulos'!D:D)</f>
        <v/>
      </c>
      <c r="Q405" s="96">
        <f>_xlfn.XLOOKUP(S405,'Tabla Articulos'!B:B,'Tabla Articulos'!E:E)</f>
        <v/>
      </c>
      <c r="R405" s="96">
        <f>O405*Q405</f>
        <v/>
      </c>
      <c r="S405" s="97">
        <f>TRIM(E405)</f>
        <v/>
      </c>
    </row>
    <row r="406" hidden="1">
      <c r="A406" s="22" t="n">
        <v>1</v>
      </c>
      <c r="B406" t="inlineStr">
        <is>
          <t xml:space="preserve">CD MORENO                     </t>
        </is>
      </c>
      <c r="C406" t="inlineStr">
        <is>
          <t xml:space="preserve">GRUPO L.                      </t>
        </is>
      </c>
      <c r="D406" s="11" t="inlineStr">
        <is>
          <t>JUGO INDIVIDUAL MANZANA</t>
        </is>
      </c>
      <c r="E406" t="inlineStr">
        <is>
          <t xml:space="preserve">7798290580083       </t>
        </is>
      </c>
      <c r="F406" t="n">
        <v>4017223</v>
      </c>
      <c r="G406" t="inlineStr">
        <is>
          <t xml:space="preserve">JUGO MANZANA X200CC TUTTI          </t>
        </is>
      </c>
      <c r="H406" t="inlineStr">
        <is>
          <t xml:space="preserve">UNIDAD              </t>
        </is>
      </c>
      <c r="I406" t="n">
        <v>2149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2149</v>
      </c>
      <c r="P406" s="96">
        <f>_xlfn.XLOOKUP(Tabla5[[#This Row],[EAN CORREGIDO]],'Tabla Articulos'!B:B,'Tabla Articulos'!D:D)</f>
        <v/>
      </c>
      <c r="Q406" s="96">
        <f>_xlfn.XLOOKUP(S406,'Tabla Articulos'!B:B,'Tabla Articulos'!E:E)</f>
        <v/>
      </c>
      <c r="R406" s="96">
        <f>O406*Q406</f>
        <v/>
      </c>
      <c r="S406" s="97">
        <f>TRIM(E406)</f>
        <v/>
      </c>
    </row>
    <row r="407" hidden="1">
      <c r="A407" s="22" t="n">
        <v>6</v>
      </c>
      <c r="B407" t="inlineStr">
        <is>
          <t xml:space="preserve">CDM03 - MORENO 3              </t>
        </is>
      </c>
      <c r="C407" t="inlineStr">
        <is>
          <t xml:space="preserve">GRUPO L.                      </t>
        </is>
      </c>
      <c r="E407" t="inlineStr">
        <is>
          <t xml:space="preserve">UNIF000016          </t>
        </is>
      </c>
      <c r="F407" t="n">
        <v>9003047</v>
      </c>
      <c r="G407" t="inlineStr">
        <is>
          <t xml:space="preserve">CHAQ AMB PULCRUS ESC V L           </t>
        </is>
      </c>
      <c r="H407" t="inlineStr">
        <is>
          <t xml:space="preserve">UNIDAD              </t>
        </is>
      </c>
      <c r="I407" t="n">
        <v>75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75</v>
      </c>
      <c r="P407" s="96">
        <f>_xlfn.XLOOKUP(Tabla5[[#This Row],[EAN CORREGIDO]],'Tabla Articulos'!B:B,'Tabla Articulos'!D:D)</f>
        <v/>
      </c>
      <c r="Q407" s="96">
        <f>_xlfn.XLOOKUP(S407,'Tabla Articulos'!B:B,'Tabla Articulos'!E:E)</f>
        <v/>
      </c>
      <c r="R407" s="96">
        <f>O407*Q407</f>
        <v/>
      </c>
      <c r="S407" s="97">
        <f>TRIM(E407)</f>
        <v/>
      </c>
    </row>
    <row r="408" hidden="1">
      <c r="A408" s="22" t="n">
        <v>5</v>
      </c>
      <c r="B408" t="inlineStr">
        <is>
          <t xml:space="preserve">CDM02 - MORENO 2              </t>
        </is>
      </c>
      <c r="C408" t="inlineStr">
        <is>
          <t xml:space="preserve">GRUPO L.                      </t>
        </is>
      </c>
      <c r="D408" t="inlineStr">
        <is>
          <t>GELATINA CEREZA</t>
        </is>
      </c>
      <c r="E408" t="inlineStr">
        <is>
          <t xml:space="preserve">7790530850192       </t>
        </is>
      </c>
      <c r="F408" t="n">
        <v>4019577</v>
      </c>
      <c r="G408" t="inlineStr">
        <is>
          <t xml:space="preserve">GELATINA CEREZA X 1 KG BEDIAL      </t>
        </is>
      </c>
      <c r="H408" t="inlineStr">
        <is>
          <t xml:space="preserve">UNIDAD              </t>
        </is>
      </c>
      <c r="I408" t="n">
        <v>53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53</v>
      </c>
      <c r="P408" s="96">
        <f>_xlfn.XLOOKUP(Tabla5[[#This Row],[EAN CORREGIDO]],'Tabla Articulos'!B:B,'Tabla Articulos'!D:D)</f>
        <v/>
      </c>
      <c r="Q408" s="96">
        <f>_xlfn.XLOOKUP(S408,'Tabla Articulos'!B:B,'Tabla Articulos'!E:E)</f>
        <v/>
      </c>
      <c r="R408" s="96">
        <f>O408*Q408</f>
        <v/>
      </c>
      <c r="S408" s="97">
        <f>TRIM(E408)</f>
        <v/>
      </c>
    </row>
    <row r="409" hidden="1">
      <c r="A409" s="22" t="n">
        <v>6</v>
      </c>
      <c r="B409" t="inlineStr">
        <is>
          <t xml:space="preserve">CDM03 - MORENO 3              </t>
        </is>
      </c>
      <c r="C409" t="inlineStr">
        <is>
          <t xml:space="preserve">GRUPO L.                      </t>
        </is>
      </c>
      <c r="E409" t="inlineStr">
        <is>
          <t xml:space="preserve">UNIF000387          </t>
        </is>
      </c>
      <c r="F409" t="n">
        <v>9003454</v>
      </c>
      <c r="G409" t="inlineStr">
        <is>
          <t xml:space="preserve">PANTALON NAUTICO-JEAN 5            </t>
        </is>
      </c>
      <c r="H409" t="inlineStr">
        <is>
          <t xml:space="preserve">UNIDAD              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5</v>
      </c>
      <c r="P409" s="96">
        <f>_xlfn.XLOOKUP(Tabla5[[#This Row],[EAN CORREGIDO]],'Tabla Articulos'!B:B,'Tabla Articulos'!D:D)</f>
        <v/>
      </c>
      <c r="Q409" s="96">
        <f>_xlfn.XLOOKUP(S409,'Tabla Articulos'!B:B,'Tabla Articulos'!E:E)</f>
        <v/>
      </c>
      <c r="R409" s="96">
        <f>O409*Q409</f>
        <v/>
      </c>
      <c r="S409" s="97">
        <f>TRIM(E409)</f>
        <v/>
      </c>
    </row>
    <row r="410" hidden="1">
      <c r="A410" s="22" t="n">
        <v>6</v>
      </c>
      <c r="B410" t="inlineStr">
        <is>
          <t xml:space="preserve">CDM03 - MORENO 3              </t>
        </is>
      </c>
      <c r="C410" t="inlineStr">
        <is>
          <t xml:space="preserve">GRUPO L.                      </t>
        </is>
      </c>
      <c r="E410" t="inlineStr">
        <is>
          <t xml:space="preserve">BAZ001275           </t>
        </is>
      </c>
      <c r="F410" t="n">
        <v>9003865</v>
      </c>
      <c r="G410" t="inlineStr">
        <is>
          <t xml:space="preserve">ASADERA CHAP ENLOZ REF 50 X 70     </t>
        </is>
      </c>
      <c r="H410" t="inlineStr">
        <is>
          <t xml:space="preserve">UNIDAD              </t>
        </is>
      </c>
      <c r="I410" t="n">
        <v>222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222</v>
      </c>
      <c r="P410" s="96">
        <f>_xlfn.XLOOKUP(Tabla5[[#This Row],[EAN CORREGIDO]],'Tabla Articulos'!B:B,'Tabla Articulos'!D:D)</f>
        <v/>
      </c>
      <c r="Q410" s="96">
        <f>_xlfn.XLOOKUP(S410,'Tabla Articulos'!B:B,'Tabla Articulos'!E:E)</f>
        <v/>
      </c>
      <c r="R410" s="96">
        <f>O410*Q410</f>
        <v/>
      </c>
      <c r="S410" s="97">
        <f>TRIM(E410)</f>
        <v/>
      </c>
    </row>
    <row r="411" hidden="1">
      <c r="A411" s="22" t="n">
        <v>6</v>
      </c>
      <c r="B411" t="inlineStr">
        <is>
          <t xml:space="preserve">CDM03 - MORENO 3              </t>
        </is>
      </c>
      <c r="C411" t="inlineStr">
        <is>
          <t xml:space="preserve">GRUPO L.                      </t>
        </is>
      </c>
      <c r="E411" t="inlineStr">
        <is>
          <t xml:space="preserve">UNIF000557          </t>
        </is>
      </c>
      <c r="F411" t="n">
        <v>9003095</v>
      </c>
      <c r="G411" t="inlineStr">
        <is>
          <t xml:space="preserve">PANTALON JEAN 50                   </t>
        </is>
      </c>
      <c r="H411" t="inlineStr">
        <is>
          <t xml:space="preserve">UNIDAD              </t>
        </is>
      </c>
      <c r="I411" t="n">
        <v>17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17</v>
      </c>
      <c r="P411" s="96">
        <f>_xlfn.XLOOKUP(Tabla5[[#This Row],[EAN CORREGIDO]],'Tabla Articulos'!B:B,'Tabla Articulos'!D:D)</f>
        <v/>
      </c>
      <c r="Q411" s="96">
        <f>_xlfn.XLOOKUP(S411,'Tabla Articulos'!B:B,'Tabla Articulos'!E:E)</f>
        <v/>
      </c>
      <c r="R411" s="96">
        <f>O411*Q411</f>
        <v/>
      </c>
      <c r="S411" s="97">
        <f>TRIM(E411)</f>
        <v/>
      </c>
    </row>
    <row r="412" hidden="1">
      <c r="A412" s="22" t="n">
        <v>6</v>
      </c>
      <c r="B412" t="inlineStr">
        <is>
          <t xml:space="preserve">CDM03 - MORENO 3              </t>
        </is>
      </c>
      <c r="C412" t="inlineStr">
        <is>
          <t xml:space="preserve">GRUPO L.                      </t>
        </is>
      </c>
      <c r="E412" t="inlineStr">
        <is>
          <t xml:space="preserve">BAZ001303           </t>
        </is>
      </c>
      <c r="F412" t="n">
        <v>9003814</v>
      </c>
      <c r="G412" t="inlineStr">
        <is>
          <t xml:space="preserve">SARTEN M/ PLANCHU CHAPA N°40       </t>
        </is>
      </c>
      <c r="H412" t="inlineStr">
        <is>
          <t xml:space="preserve">UNIDAD              </t>
        </is>
      </c>
      <c r="I412" t="n">
        <v>13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13</v>
      </c>
      <c r="P412" s="96">
        <f>_xlfn.XLOOKUP(Tabla5[[#This Row],[EAN CORREGIDO]],'Tabla Articulos'!B:B,'Tabla Articulos'!D:D)</f>
        <v/>
      </c>
      <c r="Q412" s="96">
        <f>_xlfn.XLOOKUP(S412,'Tabla Articulos'!B:B,'Tabla Articulos'!E:E)</f>
        <v/>
      </c>
      <c r="R412" s="96">
        <f>O412*Q412</f>
        <v/>
      </c>
      <c r="S412" s="97">
        <f>TRIM(E412)</f>
        <v/>
      </c>
    </row>
    <row r="413" hidden="1">
      <c r="A413" s="22" t="n">
        <v>6</v>
      </c>
      <c r="B413" t="inlineStr">
        <is>
          <t xml:space="preserve">CDM03 - MORENO 3              </t>
        </is>
      </c>
      <c r="C413" t="inlineStr">
        <is>
          <t xml:space="preserve">GRUPO L.                      </t>
        </is>
      </c>
      <c r="E413" t="inlineStr">
        <is>
          <t xml:space="preserve">UNIF000046          </t>
        </is>
      </c>
      <c r="F413" t="n">
        <v>9003299</v>
      </c>
      <c r="G413" t="inlineStr">
        <is>
          <t xml:space="preserve">BUZO AZUL MARINO PULCRUS S         </t>
        </is>
      </c>
      <c r="H413" t="inlineStr">
        <is>
          <t xml:space="preserve">UNIDAD              </t>
        </is>
      </c>
      <c r="I413" t="n">
        <v>128</v>
      </c>
      <c r="J413" t="n">
        <v>0</v>
      </c>
      <c r="K413" t="n">
        <v>0</v>
      </c>
      <c r="L413" t="n">
        <v>45</v>
      </c>
      <c r="M413" t="n">
        <v>45</v>
      </c>
      <c r="N413" t="n">
        <v>0</v>
      </c>
      <c r="O413" t="n">
        <v>38</v>
      </c>
      <c r="P413" s="96">
        <f>_xlfn.XLOOKUP(Tabla5[[#This Row],[EAN CORREGIDO]],'Tabla Articulos'!B:B,'Tabla Articulos'!D:D)</f>
        <v/>
      </c>
      <c r="Q413" s="96">
        <f>_xlfn.XLOOKUP(S413,'Tabla Articulos'!B:B,'Tabla Articulos'!E:E)</f>
        <v/>
      </c>
      <c r="R413" s="96">
        <f>O413*Q413</f>
        <v/>
      </c>
      <c r="S413" s="97">
        <f>TRIM(E413)</f>
        <v/>
      </c>
    </row>
    <row r="414" hidden="1">
      <c r="A414" s="22" t="n">
        <v>1</v>
      </c>
      <c r="B414" t="inlineStr">
        <is>
          <t xml:space="preserve">CD MORENO                     </t>
        </is>
      </c>
      <c r="C414" t="inlineStr">
        <is>
          <t xml:space="preserve">GRUPO L.                      </t>
        </is>
      </c>
      <c r="D414" s="11" t="inlineStr">
        <is>
          <t>OBLEAS</t>
        </is>
      </c>
      <c r="E414" t="inlineStr">
        <is>
          <t xml:space="preserve">7793123160289       </t>
        </is>
      </c>
      <c r="F414" t="n">
        <v>4049170</v>
      </c>
      <c r="G414" t="inlineStr">
        <is>
          <t xml:space="preserve">OBLEA SAB DDL X100GR OBLITA        </t>
        </is>
      </c>
      <c r="H414" t="inlineStr">
        <is>
          <t xml:space="preserve">UNIDAD              </t>
        </is>
      </c>
      <c r="I414" t="n">
        <v>7011</v>
      </c>
      <c r="J414" t="n">
        <v>0</v>
      </c>
      <c r="K414" t="n">
        <v>0</v>
      </c>
      <c r="L414" t="n">
        <v>361</v>
      </c>
      <c r="M414" t="n">
        <v>361</v>
      </c>
      <c r="N414" t="n">
        <v>0</v>
      </c>
      <c r="O414" t="n">
        <v>6289</v>
      </c>
      <c r="P414" s="96">
        <f>_xlfn.XLOOKUP(Tabla5[[#This Row],[EAN CORREGIDO]],'Tabla Articulos'!B:B,'Tabla Articulos'!D:D)</f>
        <v/>
      </c>
      <c r="Q414" s="96">
        <f>_xlfn.XLOOKUP(S414,'Tabla Articulos'!B:B,'Tabla Articulos'!E:E)</f>
        <v/>
      </c>
      <c r="R414" s="96">
        <f>O414*Q414</f>
        <v/>
      </c>
      <c r="S414" s="97">
        <f>TRIM(E414)</f>
        <v/>
      </c>
    </row>
    <row r="415" hidden="1">
      <c r="A415" s="22" t="n">
        <v>1</v>
      </c>
      <c r="B415" t="inlineStr">
        <is>
          <t xml:space="preserve">CD MORENO                     </t>
        </is>
      </c>
      <c r="C415" t="inlineStr">
        <is>
          <t xml:space="preserve">GRUPO L.                      </t>
        </is>
      </c>
      <c r="D415" s="11" t="inlineStr">
        <is>
          <t>VINO BLANCO</t>
        </is>
      </c>
      <c r="E415" t="inlineStr">
        <is>
          <t xml:space="preserve">7798039590229       </t>
        </is>
      </c>
      <c r="F415" t="n">
        <v>4017360</v>
      </c>
      <c r="G415" t="inlineStr">
        <is>
          <t xml:space="preserve">VINO BLANCO X750CC TOCORNAL	       </t>
        </is>
      </c>
      <c r="H415" t="inlineStr">
        <is>
          <t xml:space="preserve">UNIDAD              </t>
        </is>
      </c>
      <c r="I415" t="n">
        <v>195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195</v>
      </c>
      <c r="P415" s="96">
        <f>_xlfn.XLOOKUP(Tabla5[[#This Row],[EAN CORREGIDO]],'Tabla Articulos'!B:B,'Tabla Articulos'!D:D)</f>
        <v/>
      </c>
      <c r="Q415" s="96">
        <f>_xlfn.XLOOKUP(S415,'Tabla Articulos'!B:B,'Tabla Articulos'!E:E)</f>
        <v/>
      </c>
      <c r="R415" s="96">
        <f>O415*Q415</f>
        <v/>
      </c>
      <c r="S415" s="97">
        <f>TRIM(E415)</f>
        <v/>
      </c>
    </row>
    <row r="416" hidden="1">
      <c r="A416" s="22" t="n">
        <v>6</v>
      </c>
      <c r="B416" t="inlineStr">
        <is>
          <t xml:space="preserve">CDM03 - MORENO 3              </t>
        </is>
      </c>
      <c r="C416" t="inlineStr">
        <is>
          <t xml:space="preserve">GRUPO L.                      </t>
        </is>
      </c>
      <c r="D416" t="inlineStr">
        <is>
          <t>TRAPOS DE PISO</t>
        </is>
      </c>
      <c r="E416" t="inlineStr">
        <is>
          <t xml:space="preserve">LIM000337           </t>
        </is>
      </c>
      <c r="F416" t="n">
        <v>2006932</v>
      </c>
      <c r="G416" t="inlineStr">
        <is>
          <t xml:space="preserve">PA#O BLANCO P/PISO 33 CM XUN       </t>
        </is>
      </c>
      <c r="H416" t="inlineStr">
        <is>
          <t xml:space="preserve">UNIDAD              </t>
        </is>
      </c>
      <c r="I416" t="n">
        <v>15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15</v>
      </c>
      <c r="P416" s="96">
        <f>_xlfn.XLOOKUP(Tabla5[[#This Row],[EAN CORREGIDO]],'Tabla Articulos'!B:B,'Tabla Articulos'!D:D)</f>
        <v/>
      </c>
      <c r="Q416" s="96">
        <f>_xlfn.XLOOKUP(S416,'Tabla Articulos'!B:B,'Tabla Articulos'!E:E)</f>
        <v/>
      </c>
      <c r="R416" s="96">
        <f>O416*Q416</f>
        <v/>
      </c>
      <c r="S416" s="97">
        <f>TRIM(E416)</f>
        <v/>
      </c>
    </row>
    <row r="417" hidden="1">
      <c r="A417" s="22" t="n">
        <v>6</v>
      </c>
      <c r="B417" t="inlineStr">
        <is>
          <t xml:space="preserve">CDM03 - MORENO 3              </t>
        </is>
      </c>
      <c r="C417" t="inlineStr">
        <is>
          <t xml:space="preserve">GRUPO L.                      </t>
        </is>
      </c>
      <c r="D417" t="inlineStr">
        <is>
          <t>BOLSAS ARRANQUE</t>
        </is>
      </c>
      <c r="E417" t="inlineStr">
        <is>
          <t xml:space="preserve">7794459001383       </t>
        </is>
      </c>
      <c r="F417" t="n">
        <v>2016598</v>
      </c>
      <c r="G417" t="inlineStr">
        <is>
          <t xml:space="preserve">ROLLO ARRAN. 15 X 20 X12U 750GR    </t>
        </is>
      </c>
      <c r="H417" t="inlineStr">
        <is>
          <t xml:space="preserve">UNIDAD              </t>
        </is>
      </c>
      <c r="I417" t="n">
        <v>19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19</v>
      </c>
      <c r="P417" s="96">
        <f>_xlfn.XLOOKUP(Tabla5[[#This Row],[EAN CORREGIDO]],'Tabla Articulos'!B:B,'Tabla Articulos'!D:D)</f>
        <v/>
      </c>
      <c r="Q417" s="96">
        <f>_xlfn.XLOOKUP(S417,'Tabla Articulos'!B:B,'Tabla Articulos'!E:E)</f>
        <v/>
      </c>
      <c r="R417" s="96">
        <f>O417*Q417</f>
        <v/>
      </c>
      <c r="S417" s="97">
        <f>TRIM(E417)</f>
        <v/>
      </c>
    </row>
    <row r="418" hidden="1">
      <c r="A418" s="22" t="n">
        <v>6</v>
      </c>
      <c r="B418" t="inlineStr">
        <is>
          <t xml:space="preserve">CDM03 - MORENO 3              </t>
        </is>
      </c>
      <c r="C418" t="inlineStr">
        <is>
          <t xml:space="preserve">GRUPO L.                      </t>
        </is>
      </c>
      <c r="D418" t="inlineStr">
        <is>
          <t>DETERGENTE DESENGRASANTE</t>
        </is>
      </c>
      <c r="E418" t="inlineStr">
        <is>
          <t xml:space="preserve">7792798664288       </t>
        </is>
      </c>
      <c r="F418" t="n">
        <v>2006815</v>
      </c>
      <c r="G418" t="inlineStr">
        <is>
          <t xml:space="preserve">LAVAVAJILLAS X5LT BASIK            </t>
        </is>
      </c>
      <c r="H418" t="inlineStr">
        <is>
          <t xml:space="preserve">UNIDAD              </t>
        </is>
      </c>
      <c r="I418" t="n">
        <v>1045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1045</v>
      </c>
      <c r="P418" s="96">
        <f>_xlfn.XLOOKUP(Tabla5[[#This Row],[EAN CORREGIDO]],'Tabla Articulos'!B:B,'Tabla Articulos'!D:D)</f>
        <v/>
      </c>
      <c r="Q418" s="96">
        <f>_xlfn.XLOOKUP(S418,'Tabla Articulos'!B:B,'Tabla Articulos'!E:E)</f>
        <v/>
      </c>
      <c r="R418" s="96">
        <f>O418*Q418</f>
        <v/>
      </c>
      <c r="S418" s="97">
        <f>TRIM(E418)</f>
        <v/>
      </c>
    </row>
    <row r="419" hidden="1">
      <c r="A419" s="22" t="n">
        <v>6</v>
      </c>
      <c r="B419" t="inlineStr">
        <is>
          <t xml:space="preserve">CDM03 - MORENO 3              </t>
        </is>
      </c>
      <c r="C419" t="inlineStr">
        <is>
          <t xml:space="preserve">GRUPO L.                      </t>
        </is>
      </c>
      <c r="D419" t="inlineStr">
        <is>
          <t>SOPAPA</t>
        </is>
      </c>
      <c r="E419" t="inlineStr">
        <is>
          <t xml:space="preserve">LIM000003           </t>
        </is>
      </c>
      <c r="F419" t="n">
        <v>2006319</v>
      </c>
      <c r="G419" t="inlineStr">
        <is>
          <t xml:space="preserve">SOPAPA GOMA XU                     </t>
        </is>
      </c>
      <c r="H419" t="inlineStr">
        <is>
          <t xml:space="preserve">UNIDAD              </t>
        </is>
      </c>
      <c r="I419" t="n">
        <v>12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12</v>
      </c>
      <c r="P419" s="96">
        <f>_xlfn.XLOOKUP(Tabla5[[#This Row],[EAN CORREGIDO]],'Tabla Articulos'!B:B,'Tabla Articulos'!D:D)</f>
        <v/>
      </c>
      <c r="Q419" s="96">
        <f>_xlfn.XLOOKUP(S419,'Tabla Articulos'!B:B,'Tabla Articulos'!E:E)</f>
        <v/>
      </c>
      <c r="R419" s="96">
        <f>O419*Q419</f>
        <v/>
      </c>
      <c r="S419" s="97">
        <f>TRIM(E419)</f>
        <v/>
      </c>
    </row>
    <row r="420" hidden="1">
      <c r="A420" s="22" t="n">
        <v>5</v>
      </c>
      <c r="B420" t="inlineStr">
        <is>
          <t xml:space="preserve">CDM02 - MORENO 2              </t>
        </is>
      </c>
      <c r="C420" t="inlineStr">
        <is>
          <t xml:space="preserve">GRUPO L.                      </t>
        </is>
      </c>
      <c r="D420" t="inlineStr">
        <is>
          <t>BUDIN S/TACC</t>
        </is>
      </c>
      <c r="E420" t="inlineStr">
        <is>
          <t xml:space="preserve">7798079230680       </t>
        </is>
      </c>
      <c r="F420" t="n">
        <v>4076393</v>
      </c>
      <c r="G420" t="inlineStr">
        <is>
          <t xml:space="preserve">BUDIN VAIN 200GR STACC STA MARIA   </t>
        </is>
      </c>
      <c r="H420" t="inlineStr">
        <is>
          <t xml:space="preserve">UNIDAD              </t>
        </is>
      </c>
      <c r="I420" t="n">
        <v>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8</v>
      </c>
      <c r="P420" s="96">
        <f>_xlfn.XLOOKUP(Tabla5[[#This Row],[EAN CORREGIDO]],'Tabla Articulos'!B:B,'Tabla Articulos'!D:D)</f>
        <v/>
      </c>
      <c r="Q420" s="96">
        <f>_xlfn.XLOOKUP(S420,'Tabla Articulos'!B:B,'Tabla Articulos'!E:E)</f>
        <v/>
      </c>
      <c r="R420" s="96">
        <f>O420*Q420</f>
        <v/>
      </c>
      <c r="S420" s="97">
        <f>TRIM(E420)</f>
        <v/>
      </c>
    </row>
    <row r="421" hidden="1">
      <c r="A421" s="22" t="n">
        <v>1</v>
      </c>
      <c r="B421" t="inlineStr">
        <is>
          <t xml:space="preserve">CD MORENO                     </t>
        </is>
      </c>
      <c r="C421" t="inlineStr">
        <is>
          <t xml:space="preserve">GRUPO L.                      </t>
        </is>
      </c>
      <c r="D421" s="11" t="inlineStr">
        <is>
          <t>QUESO BARRA</t>
        </is>
      </c>
      <c r="E421" t="inlineStr">
        <is>
          <t xml:space="preserve">7798047760270       </t>
        </is>
      </c>
      <c r="F421" t="n">
        <v>4018366</v>
      </c>
      <c r="G421" t="inlineStr">
        <is>
          <t xml:space="preserve">QUESO BARRA DAMBO XKG TONUTTI      </t>
        </is>
      </c>
      <c r="H421" t="inlineStr">
        <is>
          <t xml:space="preserve">Kgs                 </t>
        </is>
      </c>
      <c r="I421" t="n">
        <v>4755.39</v>
      </c>
      <c r="J421" t="n">
        <v>0</v>
      </c>
      <c r="K421" t="n">
        <v>0</v>
      </c>
      <c r="L421" t="n">
        <v>232.9</v>
      </c>
      <c r="M421" t="n">
        <v>232.9</v>
      </c>
      <c r="N421" t="n">
        <v>0</v>
      </c>
      <c r="O421" t="n">
        <v>4289.59</v>
      </c>
      <c r="P421" s="96">
        <f>_xlfn.XLOOKUP(Tabla5[[#This Row],[EAN CORREGIDO]],'Tabla Articulos'!B:B,'Tabla Articulos'!D:D)</f>
        <v/>
      </c>
      <c r="Q421" s="96">
        <f>_xlfn.XLOOKUP(S421,'Tabla Articulos'!B:B,'Tabla Articulos'!E:E)</f>
        <v/>
      </c>
      <c r="R421" s="96">
        <f>O421*Q421</f>
        <v/>
      </c>
      <c r="S421" s="97">
        <f>TRIM(E421)</f>
        <v/>
      </c>
    </row>
    <row r="422" hidden="1">
      <c r="A422" s="22" t="n">
        <v>6</v>
      </c>
      <c r="B422" t="inlineStr">
        <is>
          <t xml:space="preserve">CDM03 - MORENO 3              </t>
        </is>
      </c>
      <c r="C422" t="inlineStr">
        <is>
          <t xml:space="preserve">GRUPO L.                      </t>
        </is>
      </c>
      <c r="E422" t="inlineStr">
        <is>
          <t xml:space="preserve">UNIF000685          </t>
        </is>
      </c>
      <c r="F422" t="n">
        <v>9004068</v>
      </c>
      <c r="G422" t="inlineStr">
        <is>
          <t xml:space="preserve">CAMPE. TRUCK NARAN 2XL ELEVARE     </t>
        </is>
      </c>
      <c r="H422" t="inlineStr">
        <is>
          <t xml:space="preserve">UNIDAD              </t>
        </is>
      </c>
      <c r="I422" t="n">
        <v>22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22</v>
      </c>
      <c r="P422" s="96">
        <f>_xlfn.XLOOKUP(Tabla5[[#This Row],[EAN CORREGIDO]],'Tabla Articulos'!B:B,'Tabla Articulos'!D:D)</f>
        <v/>
      </c>
      <c r="Q422" s="96">
        <f>_xlfn.XLOOKUP(S422,'Tabla Articulos'!B:B,'Tabla Articulos'!E:E)</f>
        <v/>
      </c>
      <c r="R422" s="96">
        <f>O422*Q422</f>
        <v/>
      </c>
      <c r="S422" s="97">
        <f>TRIM(E422)</f>
        <v/>
      </c>
    </row>
    <row r="423" hidden="1">
      <c r="A423" s="22" t="n">
        <v>5</v>
      </c>
      <c r="B423" t="inlineStr">
        <is>
          <t xml:space="preserve">CDM02 - MORENO 2              </t>
        </is>
      </c>
      <c r="C423" t="inlineStr">
        <is>
          <t xml:space="preserve">GRUPO L.                      </t>
        </is>
      </c>
      <c r="D423" t="inlineStr">
        <is>
          <t>ARROZ 00000</t>
        </is>
      </c>
      <c r="E423" t="inlineStr">
        <is>
          <t xml:space="preserve">7793650000010       </t>
        </is>
      </c>
      <c r="F423" t="n">
        <v>4020054</v>
      </c>
      <c r="G423" t="inlineStr">
        <is>
          <t xml:space="preserve">ARROZ 00000 S/TACC X1KG CAROGRAN   </t>
        </is>
      </c>
      <c r="H423" t="inlineStr">
        <is>
          <t xml:space="preserve">UNIDAD              </t>
        </is>
      </c>
      <c r="I423" t="n">
        <v>56799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56799</v>
      </c>
      <c r="P423" s="96">
        <f>_xlfn.XLOOKUP(Tabla5[[#This Row],[EAN CORREGIDO]],'Tabla Articulos'!B:B,'Tabla Articulos'!D:D)</f>
        <v/>
      </c>
      <c r="Q423" s="96">
        <f>_xlfn.XLOOKUP(S423,'Tabla Articulos'!B:B,'Tabla Articulos'!E:E)</f>
        <v/>
      </c>
      <c r="R423" s="96">
        <f>O423*Q423</f>
        <v/>
      </c>
      <c r="S423" s="97">
        <f>TRIM(E423)</f>
        <v/>
      </c>
    </row>
    <row r="424" hidden="1">
      <c r="A424" s="22" t="n">
        <v>1</v>
      </c>
      <c r="B424" t="inlineStr">
        <is>
          <t xml:space="preserve">CD MORENO                     </t>
        </is>
      </c>
      <c r="C424" t="inlineStr">
        <is>
          <t xml:space="preserve">GRUPO L.                      </t>
        </is>
      </c>
      <c r="D424" s="11" t="inlineStr">
        <is>
          <t>ARROZ 00000</t>
        </is>
      </c>
      <c r="E424" t="inlineStr">
        <is>
          <t xml:space="preserve">7793650000010       </t>
        </is>
      </c>
      <c r="F424" t="n">
        <v>4020054</v>
      </c>
      <c r="G424" t="inlineStr">
        <is>
          <t xml:space="preserve">ARROZ 00000 S/TACC X1KG CAROGRAN   </t>
        </is>
      </c>
      <c r="H424" t="inlineStr">
        <is>
          <t xml:space="preserve">UNIDAD              </t>
        </is>
      </c>
      <c r="I424" t="n">
        <v>5886</v>
      </c>
      <c r="J424" t="n">
        <v>600</v>
      </c>
      <c r="K424" t="n">
        <v>0</v>
      </c>
      <c r="L424" t="n">
        <v>329</v>
      </c>
      <c r="M424" t="n">
        <v>329</v>
      </c>
      <c r="N424" t="n">
        <v>63</v>
      </c>
      <c r="O424" t="n">
        <v>5765</v>
      </c>
      <c r="P424" s="96">
        <f>_xlfn.XLOOKUP(Tabla5[[#This Row],[EAN CORREGIDO]],'Tabla Articulos'!B:B,'Tabla Articulos'!D:D)</f>
        <v/>
      </c>
      <c r="Q424" s="96">
        <f>_xlfn.XLOOKUP(S424,'Tabla Articulos'!B:B,'Tabla Articulos'!E:E)</f>
        <v/>
      </c>
      <c r="R424" s="96">
        <f>O424*Q424</f>
        <v/>
      </c>
      <c r="S424" s="97">
        <f>TRIM(E424)</f>
        <v/>
      </c>
    </row>
    <row r="425" hidden="1">
      <c r="A425" s="22" t="n">
        <v>1</v>
      </c>
      <c r="B425" t="inlineStr">
        <is>
          <t xml:space="preserve">CD MORENO                     </t>
        </is>
      </c>
      <c r="C425" t="inlineStr">
        <is>
          <t xml:space="preserve">GRUPO L.                      </t>
        </is>
      </c>
      <c r="D425" t="inlineStr">
        <is>
          <t>GALLE DULCE VAINILLA</t>
        </is>
      </c>
      <c r="E425" t="inlineStr">
        <is>
          <t xml:space="preserve">7791376000970       </t>
        </is>
      </c>
      <c r="F425" t="n">
        <v>4022888</v>
      </c>
      <c r="G425" t="inlineStr">
        <is>
          <t xml:space="preserve">GALL ANILLOS VAIN 250GR GOLCI      </t>
        </is>
      </c>
      <c r="H425" t="inlineStr">
        <is>
          <t xml:space="preserve">UNIDAD              </t>
        </is>
      </c>
      <c r="I425" t="n">
        <v>5502</v>
      </c>
      <c r="J425" t="n">
        <v>15000</v>
      </c>
      <c r="K425" t="n">
        <v>0</v>
      </c>
      <c r="L425" t="n">
        <v>1059</v>
      </c>
      <c r="M425" t="n">
        <v>1059</v>
      </c>
      <c r="N425" t="n">
        <v>0</v>
      </c>
      <c r="O425" t="n">
        <v>18384</v>
      </c>
      <c r="P425" s="96">
        <f>_xlfn.XLOOKUP(Tabla5[[#This Row],[EAN CORREGIDO]],'Tabla Articulos'!B:B,'Tabla Articulos'!D:D)</f>
        <v/>
      </c>
      <c r="Q425" s="96">
        <f>_xlfn.XLOOKUP(S425,'Tabla Articulos'!B:B,'Tabla Articulos'!E:E)</f>
        <v/>
      </c>
      <c r="R425" s="96">
        <f>O425*Q425</f>
        <v/>
      </c>
      <c r="S425" s="97">
        <f>TRIM(E425)</f>
        <v/>
      </c>
    </row>
    <row r="426" hidden="1">
      <c r="A426" s="22" t="n">
        <v>5</v>
      </c>
      <c r="B426" t="inlineStr">
        <is>
          <t xml:space="preserve">CDM02 - MORENO 2              </t>
        </is>
      </c>
      <c r="C426" t="inlineStr">
        <is>
          <t xml:space="preserve">GRUPO L.                      </t>
        </is>
      </c>
      <c r="D426" t="inlineStr">
        <is>
          <t>GALLE DULCE VAINILLA</t>
        </is>
      </c>
      <c r="E426" t="inlineStr">
        <is>
          <t xml:space="preserve">7791376000970       </t>
        </is>
      </c>
      <c r="F426" t="n">
        <v>4022888</v>
      </c>
      <c r="G426" t="inlineStr">
        <is>
          <t xml:space="preserve">GALL ANILLOS VAIN 250GR GOLCI      </t>
        </is>
      </c>
      <c r="H426" t="inlineStr">
        <is>
          <t xml:space="preserve">UNIDAD              </t>
        </is>
      </c>
      <c r="I426" t="n">
        <v>20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20</v>
      </c>
      <c r="P426" s="96">
        <f>_xlfn.XLOOKUP(Tabla5[[#This Row],[EAN CORREGIDO]],'Tabla Articulos'!B:B,'Tabla Articulos'!D:D)</f>
        <v/>
      </c>
      <c r="Q426" s="96">
        <f>_xlfn.XLOOKUP(S426,'Tabla Articulos'!B:B,'Tabla Articulos'!E:E)</f>
        <v/>
      </c>
      <c r="R426" s="96">
        <f>O426*Q426</f>
        <v/>
      </c>
      <c r="S426" s="97">
        <f>TRIM(E426)</f>
        <v/>
      </c>
    </row>
    <row r="427" hidden="1">
      <c r="A427" s="22" t="n">
        <v>6</v>
      </c>
      <c r="B427" t="inlineStr">
        <is>
          <t xml:space="preserve">CDM03 - MORENO 3              </t>
        </is>
      </c>
      <c r="C427" t="inlineStr">
        <is>
          <t xml:space="preserve">GRUPO L.                      </t>
        </is>
      </c>
      <c r="E427" t="inlineStr">
        <is>
          <t xml:space="preserve">UNIF000149          </t>
        </is>
      </c>
      <c r="F427" t="n">
        <v>9003566</v>
      </c>
      <c r="G427" t="inlineStr">
        <is>
          <t xml:space="preserve">CAMI.3/4 BLAN SALUD MUJ 6 C.GOUR   </t>
        </is>
      </c>
      <c r="H427" t="inlineStr">
        <is>
          <t xml:space="preserve">UNIDAD              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2</v>
      </c>
      <c r="P427" s="96">
        <f>_xlfn.XLOOKUP(Tabla5[[#This Row],[EAN CORREGIDO]],'Tabla Articulos'!B:B,'Tabla Articulos'!D:D)</f>
        <v/>
      </c>
      <c r="Q427" s="96">
        <f>_xlfn.XLOOKUP(S427,'Tabla Articulos'!B:B,'Tabla Articulos'!E:E)</f>
        <v/>
      </c>
      <c r="R427" s="96">
        <f>O427*Q427</f>
        <v/>
      </c>
      <c r="S427" s="97">
        <f>TRIM(E427)</f>
        <v/>
      </c>
    </row>
    <row r="428" hidden="1">
      <c r="A428" s="22" t="n">
        <v>5</v>
      </c>
      <c r="B428" t="inlineStr">
        <is>
          <t xml:space="preserve">CDM02 - MORENO 2              </t>
        </is>
      </c>
      <c r="C428" t="inlineStr">
        <is>
          <t xml:space="preserve">GRUPO L.                      </t>
        </is>
      </c>
      <c r="D428" t="inlineStr">
        <is>
          <t>QUINOA</t>
        </is>
      </c>
      <c r="E428" t="inlineStr">
        <is>
          <t xml:space="preserve">7798186164847       </t>
        </is>
      </c>
      <c r="F428" t="n">
        <v>4024240</v>
      </c>
      <c r="G428" t="inlineStr">
        <is>
          <t xml:space="preserve">SEMILLA QUINOA X1KG NOGALES.ARG    </t>
        </is>
      </c>
      <c r="H428" t="inlineStr">
        <is>
          <t xml:space="preserve">UNIDAD              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s="96">
        <f>_xlfn.XLOOKUP(Tabla5[[#This Row],[EAN CORREGIDO]],'Tabla Articulos'!B:B,'Tabla Articulos'!D:D)</f>
        <v/>
      </c>
      <c r="Q428" s="96">
        <f>_xlfn.XLOOKUP(S428,'Tabla Articulos'!B:B,'Tabla Articulos'!E:E)</f>
        <v/>
      </c>
      <c r="R428" s="96">
        <f>O428*Q428</f>
        <v/>
      </c>
      <c r="S428" s="97">
        <f>TRIM(E428)</f>
        <v/>
      </c>
    </row>
    <row r="429" hidden="1">
      <c r="A429" s="22" t="n">
        <v>6</v>
      </c>
      <c r="B429" t="inlineStr">
        <is>
          <t xml:space="preserve">CDM03 - MORENO 3              </t>
        </is>
      </c>
      <c r="C429" t="inlineStr">
        <is>
          <t xml:space="preserve">GRUPO L.                      </t>
        </is>
      </c>
      <c r="D429" s="11" t="n"/>
      <c r="E429" t="inlineStr">
        <is>
          <t xml:space="preserve">UNIF000076          </t>
        </is>
      </c>
      <c r="F429" t="n">
        <v>9003537</v>
      </c>
      <c r="G429" t="inlineStr">
        <is>
          <t xml:space="preserve">CAMISA BLANCA LISA 44 S. LOGO      </t>
        </is>
      </c>
      <c r="H429" t="inlineStr">
        <is>
          <t xml:space="preserve">UNIDAD              </t>
        </is>
      </c>
      <c r="I429" t="n">
        <v>69</v>
      </c>
      <c r="J429" t="n">
        <v>0</v>
      </c>
      <c r="K429" t="n">
        <v>0</v>
      </c>
      <c r="L429" t="n">
        <v>1</v>
      </c>
      <c r="M429" t="n">
        <v>1</v>
      </c>
      <c r="N429" t="n">
        <v>0</v>
      </c>
      <c r="O429" t="n">
        <v>67</v>
      </c>
      <c r="P429" s="96">
        <f>_xlfn.XLOOKUP(Tabla5[[#This Row],[EAN CORREGIDO]],'Tabla Articulos'!B:B,'Tabla Articulos'!D:D)</f>
        <v/>
      </c>
      <c r="Q429" s="96">
        <f>_xlfn.XLOOKUP(S429,'Tabla Articulos'!B:B,'Tabla Articulos'!E:E)</f>
        <v/>
      </c>
      <c r="R429" s="96">
        <f>O429*Q429</f>
        <v/>
      </c>
      <c r="S429" s="97">
        <f>TRIM(E429)</f>
        <v/>
      </c>
    </row>
    <row r="430" hidden="1">
      <c r="A430" s="22" t="n">
        <v>1</v>
      </c>
      <c r="B430" t="inlineStr">
        <is>
          <t xml:space="preserve">CD MORENO                     </t>
        </is>
      </c>
      <c r="C430" t="inlineStr">
        <is>
          <t xml:space="preserve">GRUPO L.                      </t>
        </is>
      </c>
      <c r="D430" t="inlineStr">
        <is>
          <t>COPOS MAIZ CHOCOLATE</t>
        </is>
      </c>
      <c r="E430" t="inlineStr">
        <is>
          <t xml:space="preserve">7790045827306       </t>
        </is>
      </c>
      <c r="F430" t="n">
        <v>4023839</v>
      </c>
      <c r="G430" t="inlineStr">
        <is>
          <t xml:space="preserve">CER CHOC BALONCITOS X3KG GRANIX    </t>
        </is>
      </c>
      <c r="H430" t="inlineStr">
        <is>
          <t xml:space="preserve">UNIDAD              </t>
        </is>
      </c>
      <c r="I430" t="n">
        <v>15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15</v>
      </c>
      <c r="P430" s="96">
        <f>_xlfn.XLOOKUP(Tabla5[[#This Row],[EAN CORREGIDO]],'Tabla Articulos'!B:B,'Tabla Articulos'!D:D)</f>
        <v/>
      </c>
      <c r="Q430" s="96">
        <f>_xlfn.XLOOKUP(S430,'Tabla Articulos'!B:B,'Tabla Articulos'!E:E)</f>
        <v/>
      </c>
      <c r="R430" s="96">
        <f>O430*Q430</f>
        <v/>
      </c>
      <c r="S430" s="97">
        <f>TRIM(E430)</f>
        <v/>
      </c>
    </row>
    <row r="431" hidden="1">
      <c r="A431" s="22" t="n">
        <v>1</v>
      </c>
      <c r="B431" t="inlineStr">
        <is>
          <t xml:space="preserve">CD MORENO                     </t>
        </is>
      </c>
      <c r="C431" t="inlineStr">
        <is>
          <t xml:space="preserve">GRUPO L.                      </t>
        </is>
      </c>
      <c r="D431" t="inlineStr">
        <is>
          <t>JAMON CRUDO</t>
        </is>
      </c>
      <c r="E431" t="inlineStr">
        <is>
          <t xml:space="preserve">7790013877013       </t>
        </is>
      </c>
      <c r="F431" t="n">
        <v>4017703</v>
      </c>
      <c r="G431" t="inlineStr">
        <is>
          <t xml:space="preserve">JAMON CRUDO XKG CAMPO AUSTRAL      </t>
        </is>
      </c>
      <c r="H431" t="inlineStr">
        <is>
          <t xml:space="preserve">Kgs                 </t>
        </is>
      </c>
      <c r="I431" t="n">
        <v>5.32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5.32</v>
      </c>
      <c r="P431" s="96">
        <f>_xlfn.XLOOKUP(Tabla5[[#This Row],[EAN CORREGIDO]],'Tabla Articulos'!B:B,'Tabla Articulos'!D:D)</f>
        <v/>
      </c>
      <c r="Q431" s="96">
        <f>_xlfn.XLOOKUP(S431,'Tabla Articulos'!B:B,'Tabla Articulos'!E:E)</f>
        <v/>
      </c>
      <c r="R431" s="96">
        <f>O431*Q431</f>
        <v/>
      </c>
      <c r="S431" s="97">
        <f>TRIM(E431)</f>
        <v/>
      </c>
    </row>
    <row r="432" hidden="1">
      <c r="A432" s="22" t="n">
        <v>6</v>
      </c>
      <c r="B432" t="inlineStr">
        <is>
          <t xml:space="preserve">CDM03 - MORENO 3              </t>
        </is>
      </c>
      <c r="C432" t="inlineStr">
        <is>
          <t xml:space="preserve">GRUPO L.                      </t>
        </is>
      </c>
      <c r="D432" s="11" t="inlineStr">
        <is>
          <t>LIMPIADOR DESINFECTANTE VIODEX</t>
        </is>
      </c>
      <c r="E432" t="inlineStr">
        <is>
          <t xml:space="preserve">7798057860861       </t>
        </is>
      </c>
      <c r="F432" t="n">
        <v>2006332</v>
      </c>
      <c r="G432" t="inlineStr">
        <is>
          <t xml:space="preserve">LIMP DES.AMON FORDW 5L X4U JONHS   </t>
        </is>
      </c>
      <c r="H432" t="inlineStr">
        <is>
          <t xml:space="preserve">UNIDAD              </t>
        </is>
      </c>
      <c r="I432" t="n">
        <v>9</v>
      </c>
      <c r="J432" t="n">
        <v>10</v>
      </c>
      <c r="K432" t="n">
        <v>0</v>
      </c>
      <c r="L432" t="n">
        <v>0</v>
      </c>
      <c r="M432" t="n">
        <v>0</v>
      </c>
      <c r="N432" t="n">
        <v>0</v>
      </c>
      <c r="O432" t="n">
        <v>19</v>
      </c>
      <c r="P432" s="96">
        <f>_xlfn.XLOOKUP(Tabla5[[#This Row],[EAN CORREGIDO]],'Tabla Articulos'!B:B,'Tabla Articulos'!D:D)</f>
        <v/>
      </c>
      <c r="Q432" s="96">
        <f>_xlfn.XLOOKUP(S432,'Tabla Articulos'!B:B,'Tabla Articulos'!E:E)</f>
        <v/>
      </c>
      <c r="R432" s="96">
        <f>O432*Q432</f>
        <v/>
      </c>
      <c r="S432" s="97">
        <f>TRIM(E432)</f>
        <v/>
      </c>
    </row>
    <row r="433" hidden="1">
      <c r="A433" s="22" t="n">
        <v>5</v>
      </c>
      <c r="B433" t="inlineStr">
        <is>
          <t xml:space="preserve">CDM02 - MORENO 2              </t>
        </is>
      </c>
      <c r="C433" t="inlineStr">
        <is>
          <t xml:space="preserve">GRUPO L.                      </t>
        </is>
      </c>
      <c r="D433" s="11" t="inlineStr">
        <is>
          <t>CHOCOLATE TAZA</t>
        </is>
      </c>
      <c r="E433" t="inlineStr">
        <is>
          <t xml:space="preserve">7790407031273       </t>
        </is>
      </c>
      <c r="F433" t="n">
        <v>4019613</v>
      </c>
      <c r="G433" t="inlineStr">
        <is>
          <t xml:space="preserve">CHOCOLATE TAZA X 150G AGUILA       </t>
        </is>
      </c>
      <c r="H433" t="inlineStr">
        <is>
          <t xml:space="preserve">UNIDAD              </t>
        </is>
      </c>
      <c r="I433" t="n">
        <v>45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45</v>
      </c>
      <c r="P433" s="96">
        <f>_xlfn.XLOOKUP(Tabla5[[#This Row],[EAN CORREGIDO]],'Tabla Articulos'!B:B,'Tabla Articulos'!D:D)</f>
        <v/>
      </c>
      <c r="Q433" s="96">
        <f>_xlfn.XLOOKUP(S433,'Tabla Articulos'!B:B,'Tabla Articulos'!E:E)</f>
        <v/>
      </c>
      <c r="R433" s="96">
        <f>O433*Q433</f>
        <v/>
      </c>
      <c r="S433" s="97">
        <f>TRIM(E433)</f>
        <v/>
      </c>
    </row>
    <row r="434" hidden="1">
      <c r="A434" s="22" t="n">
        <v>5</v>
      </c>
      <c r="B434" t="inlineStr">
        <is>
          <t xml:space="preserve">CDM02 - MORENO 2              </t>
        </is>
      </c>
      <c r="C434" t="inlineStr">
        <is>
          <t xml:space="preserve">GRUPO L.                      </t>
        </is>
      </c>
      <c r="D434" t="inlineStr">
        <is>
          <t>LECHE POLVO ENTERA</t>
        </is>
      </c>
      <c r="E434" t="inlineStr">
        <is>
          <t xml:space="preserve">7798113472694       </t>
        </is>
      </c>
      <c r="F434" t="n">
        <v>4021622</v>
      </c>
      <c r="G434" t="inlineStr">
        <is>
          <t xml:space="preserve">LECHE POLVO ENT X400G SANTA ELEN   </t>
        </is>
      </c>
      <c r="H434" t="inlineStr">
        <is>
          <t xml:space="preserve">UNIDAD              </t>
        </is>
      </c>
      <c r="I434" t="n">
        <v>1875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1875</v>
      </c>
      <c r="P434" s="96">
        <f>_xlfn.XLOOKUP(Tabla5[[#This Row],[EAN CORREGIDO]],'Tabla Articulos'!B:B,'Tabla Articulos'!D:D)</f>
        <v/>
      </c>
      <c r="Q434" s="96">
        <f>_xlfn.XLOOKUP(S434,'Tabla Articulos'!B:B,'Tabla Articulos'!E:E)</f>
        <v/>
      </c>
      <c r="R434" s="96">
        <f>O434*Q434</f>
        <v/>
      </c>
      <c r="S434" s="97">
        <f>TRIM(E434)</f>
        <v/>
      </c>
    </row>
    <row r="435" hidden="1">
      <c r="A435" s="22" t="n">
        <v>6</v>
      </c>
      <c r="B435" t="inlineStr">
        <is>
          <t xml:space="preserve">CDM03 - MORENO 3              </t>
        </is>
      </c>
      <c r="C435" t="inlineStr">
        <is>
          <t xml:space="preserve">GRUPO L.                      </t>
        </is>
      </c>
      <c r="E435" t="inlineStr">
        <is>
          <t xml:space="preserve">UNIF000009          </t>
        </is>
      </c>
      <c r="F435" t="n">
        <v>9003040</v>
      </c>
      <c r="G435" t="inlineStr">
        <is>
          <t xml:space="preserve">AMBO A. MAR. GL SUP ESC V M        </t>
        </is>
      </c>
      <c r="H435" t="inlineStr">
        <is>
          <t xml:space="preserve">UNIDAD              </t>
        </is>
      </c>
      <c r="I435" t="n">
        <v>10</v>
      </c>
      <c r="J435" t="n">
        <v>140</v>
      </c>
      <c r="K435" t="n">
        <v>0</v>
      </c>
      <c r="L435" t="n">
        <v>0</v>
      </c>
      <c r="M435" t="n">
        <v>0</v>
      </c>
      <c r="N435" t="n">
        <v>0</v>
      </c>
      <c r="O435" t="n">
        <v>150</v>
      </c>
      <c r="P435" s="96">
        <f>_xlfn.XLOOKUP(Tabla5[[#This Row],[EAN CORREGIDO]],'Tabla Articulos'!B:B,'Tabla Articulos'!D:D)</f>
        <v/>
      </c>
      <c r="Q435" s="96">
        <f>_xlfn.XLOOKUP(S435,'Tabla Articulos'!B:B,'Tabla Articulos'!E:E)</f>
        <v/>
      </c>
      <c r="R435" s="96">
        <f>O435*Q435</f>
        <v/>
      </c>
      <c r="S435" s="97">
        <f>TRIM(E435)</f>
        <v/>
      </c>
    </row>
    <row r="436" hidden="1">
      <c r="A436" s="22" t="n">
        <v>1</v>
      </c>
      <c r="B436" t="inlineStr">
        <is>
          <t xml:space="preserve">CD MORENO                     </t>
        </is>
      </c>
      <c r="C436" t="inlineStr">
        <is>
          <t xml:space="preserve">GRUPO L.                      </t>
        </is>
      </c>
      <c r="D436" s="11" t="inlineStr">
        <is>
          <t>PAN RALLADO</t>
        </is>
      </c>
      <c r="E436" t="inlineStr">
        <is>
          <t xml:space="preserve">7790199603399       </t>
        </is>
      </c>
      <c r="F436" t="n">
        <v>4019562</v>
      </c>
      <c r="G436" t="inlineStr">
        <is>
          <t xml:space="preserve">PAN RALLADO X 5K MORIXE            </t>
        </is>
      </c>
      <c r="H436" t="inlineStr">
        <is>
          <t xml:space="preserve">UNIDAD              </t>
        </is>
      </c>
      <c r="I436" t="n">
        <v>160</v>
      </c>
      <c r="J436" t="n">
        <v>0</v>
      </c>
      <c r="K436" t="n">
        <v>0</v>
      </c>
      <c r="L436" t="n">
        <v>2</v>
      </c>
      <c r="M436" t="n">
        <v>2</v>
      </c>
      <c r="N436" t="n">
        <v>0</v>
      </c>
      <c r="O436" t="n">
        <v>156</v>
      </c>
      <c r="P436" s="96">
        <f>_xlfn.XLOOKUP(Tabla5[[#This Row],[EAN CORREGIDO]],'Tabla Articulos'!B:B,'Tabla Articulos'!D:D)</f>
        <v/>
      </c>
      <c r="Q436" s="96">
        <f>_xlfn.XLOOKUP(S436,'Tabla Articulos'!B:B,'Tabla Articulos'!E:E)</f>
        <v/>
      </c>
      <c r="R436" s="96">
        <f>O436*Q436</f>
        <v/>
      </c>
      <c r="S436" s="97">
        <f>TRIM(E436)</f>
        <v/>
      </c>
    </row>
    <row r="437" hidden="1">
      <c r="A437" s="22" t="n">
        <v>5</v>
      </c>
      <c r="B437" t="inlineStr">
        <is>
          <t xml:space="preserve">CDM02 - MORENO 2              </t>
        </is>
      </c>
      <c r="C437" t="inlineStr">
        <is>
          <t xml:space="preserve">GRUPO L.                      </t>
        </is>
      </c>
      <c r="D437" t="inlineStr">
        <is>
          <t>PAN RALLADO</t>
        </is>
      </c>
      <c r="E437" t="inlineStr">
        <is>
          <t xml:space="preserve">7790199603399       </t>
        </is>
      </c>
      <c r="F437" t="n">
        <v>4019562</v>
      </c>
      <c r="G437" t="inlineStr">
        <is>
          <t xml:space="preserve">PAN RALLADO X 5K MORIXE            </t>
        </is>
      </c>
      <c r="H437" t="inlineStr">
        <is>
          <t xml:space="preserve">UNIDAD              </t>
        </is>
      </c>
      <c r="I437" t="n">
        <v>66</v>
      </c>
      <c r="J437" t="n">
        <v>0</v>
      </c>
      <c r="K437" t="n">
        <v>0</v>
      </c>
      <c r="L437" t="n">
        <v>16</v>
      </c>
      <c r="M437" t="n">
        <v>16</v>
      </c>
      <c r="N437" t="n">
        <v>0</v>
      </c>
      <c r="O437" t="n">
        <v>34</v>
      </c>
      <c r="P437" s="96">
        <f>_xlfn.XLOOKUP(Tabla5[[#This Row],[EAN CORREGIDO]],'Tabla Articulos'!B:B,'Tabla Articulos'!D:D)</f>
        <v/>
      </c>
      <c r="Q437" s="96">
        <f>_xlfn.XLOOKUP(S437,'Tabla Articulos'!B:B,'Tabla Articulos'!E:E)</f>
        <v/>
      </c>
      <c r="R437" s="96">
        <f>O437*Q437</f>
        <v/>
      </c>
      <c r="S437" s="97">
        <f>TRIM(E437)</f>
        <v/>
      </c>
    </row>
    <row r="438" hidden="1">
      <c r="A438" s="22" t="n">
        <v>1</v>
      </c>
      <c r="B438" t="inlineStr">
        <is>
          <t xml:space="preserve">CD MORENO                     </t>
        </is>
      </c>
      <c r="C438" t="inlineStr">
        <is>
          <t xml:space="preserve">GRUPO L.                      </t>
        </is>
      </c>
      <c r="D438" s="11" t="inlineStr">
        <is>
          <t>DULCE BATATA</t>
        </is>
      </c>
      <c r="E438" t="inlineStr">
        <is>
          <t xml:space="preserve">7791113001543       </t>
        </is>
      </c>
      <c r="F438" t="n">
        <v>4020481</v>
      </c>
      <c r="G438" t="inlineStr">
        <is>
          <t xml:space="preserve">DULCE BATATA X 500 G EMETH         </t>
        </is>
      </c>
      <c r="H438" t="inlineStr">
        <is>
          <t xml:space="preserve">UNIDAD              </t>
        </is>
      </c>
      <c r="I438" t="n">
        <v>7038</v>
      </c>
      <c r="J438" t="n">
        <v>0</v>
      </c>
      <c r="K438" t="n">
        <v>0</v>
      </c>
      <c r="L438" t="n">
        <v>472</v>
      </c>
      <c r="M438" t="n">
        <v>472</v>
      </c>
      <c r="N438" t="n">
        <v>0</v>
      </c>
      <c r="O438" t="n">
        <v>6094</v>
      </c>
      <c r="P438" s="96">
        <f>_xlfn.XLOOKUP(Tabla5[[#This Row],[EAN CORREGIDO]],'Tabla Articulos'!B:B,'Tabla Articulos'!D:D)</f>
        <v/>
      </c>
      <c r="Q438" s="96">
        <f>_xlfn.XLOOKUP(S438,'Tabla Articulos'!B:B,'Tabla Articulos'!E:E)</f>
        <v/>
      </c>
      <c r="R438" s="96">
        <f>O438*Q438</f>
        <v/>
      </c>
      <c r="S438" s="97">
        <f>TRIM(E438)</f>
        <v/>
      </c>
    </row>
    <row r="439" hidden="1">
      <c r="A439" s="22" t="n">
        <v>6</v>
      </c>
      <c r="B439" t="inlineStr">
        <is>
          <t xml:space="preserve">CDM03 - MORENO 3              </t>
        </is>
      </c>
      <c r="C439" t="inlineStr">
        <is>
          <t xml:space="preserve">GRUPO L.                      </t>
        </is>
      </c>
      <c r="D439" t="inlineStr">
        <is>
          <t>SECADOR DE GOMA</t>
        </is>
      </c>
      <c r="E439" t="inlineStr">
        <is>
          <t xml:space="preserve">LIM000503           </t>
        </is>
      </c>
      <c r="F439" t="n">
        <v>2006285</v>
      </c>
      <c r="G439" t="inlineStr">
        <is>
          <t xml:space="preserve">SECADOR DE PISO X 40CM DOBLE GOMA	 </t>
        </is>
      </c>
      <c r="H439" t="inlineStr">
        <is>
          <t xml:space="preserve">UNIDAD              </t>
        </is>
      </c>
      <c r="I439" t="n">
        <v>300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300</v>
      </c>
      <c r="P439" s="96">
        <f>_xlfn.XLOOKUP(Tabla5[[#This Row],[EAN CORREGIDO]],'Tabla Articulos'!B:B,'Tabla Articulos'!D:D)</f>
        <v/>
      </c>
      <c r="Q439" s="96">
        <f>_xlfn.XLOOKUP(S439,'Tabla Articulos'!B:B,'Tabla Articulos'!E:E)</f>
        <v/>
      </c>
      <c r="R439" s="96">
        <f>O439*Q439</f>
        <v/>
      </c>
      <c r="S439" s="97">
        <f>TRIM(E439)</f>
        <v/>
      </c>
    </row>
    <row r="440" hidden="1">
      <c r="A440" s="22" t="n">
        <v>1</v>
      </c>
      <c r="B440" t="inlineStr">
        <is>
          <t xml:space="preserve">CD MORENO                     </t>
        </is>
      </c>
      <c r="C440" t="inlineStr">
        <is>
          <t xml:space="preserve">GRUPO L.                      </t>
        </is>
      </c>
      <c r="D440" t="inlineStr">
        <is>
          <t>CARAMELOS MASTICABLES</t>
        </is>
      </c>
      <c r="E440" t="inlineStr">
        <is>
          <t xml:space="preserve">7793024006136       </t>
        </is>
      </c>
      <c r="F440" t="n">
        <v>4024117</v>
      </c>
      <c r="G440" t="inlineStr">
        <is>
          <t xml:space="preserve">CARAMELO MAST DDL 150UN OSI OSI    </t>
        </is>
      </c>
      <c r="H440" t="inlineStr">
        <is>
          <t xml:space="preserve">UNIDAD              </t>
        </is>
      </c>
      <c r="I440" t="n">
        <v>17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17</v>
      </c>
      <c r="P440" s="96">
        <f>_xlfn.XLOOKUP(Tabla5[[#This Row],[EAN CORREGIDO]],'Tabla Articulos'!B:B,'Tabla Articulos'!D:D)</f>
        <v/>
      </c>
      <c r="Q440" s="96">
        <f>_xlfn.XLOOKUP(S440,'Tabla Articulos'!B:B,'Tabla Articulos'!E:E)</f>
        <v/>
      </c>
      <c r="R440" s="96">
        <f>O440*Q440</f>
        <v/>
      </c>
      <c r="S440" s="97">
        <f>TRIM(E440)</f>
        <v/>
      </c>
    </row>
    <row r="441" hidden="1">
      <c r="A441" s="22" t="n">
        <v>6</v>
      </c>
      <c r="B441" t="inlineStr">
        <is>
          <t xml:space="preserve">CDM03 - MORENO 3              </t>
        </is>
      </c>
      <c r="C441" t="inlineStr">
        <is>
          <t xml:space="preserve">GRUPO L.                      </t>
        </is>
      </c>
      <c r="D441" s="11" t="inlineStr">
        <is>
          <t>ESCOBA PLASTICA</t>
        </is>
      </c>
      <c r="E441" t="inlineStr">
        <is>
          <t xml:space="preserve">LIM000040           </t>
        </is>
      </c>
      <c r="F441" t="n">
        <v>2006315</v>
      </c>
      <c r="G441" t="inlineStr">
        <is>
          <t xml:space="preserve">ESCOBA PLASTICA X UNIDAD           </t>
        </is>
      </c>
      <c r="H441" t="inlineStr">
        <is>
          <t xml:space="preserve">UNIDAD              </t>
        </is>
      </c>
      <c r="I441" t="n">
        <v>729</v>
      </c>
      <c r="J441" t="n">
        <v>0</v>
      </c>
      <c r="K441" t="n">
        <v>0</v>
      </c>
      <c r="L441" t="n">
        <v>147</v>
      </c>
      <c r="M441" t="n">
        <v>147</v>
      </c>
      <c r="N441" t="n">
        <v>0</v>
      </c>
      <c r="O441" t="n">
        <v>435</v>
      </c>
      <c r="P441" s="96">
        <f>_xlfn.XLOOKUP(Tabla5[[#This Row],[EAN CORREGIDO]],'Tabla Articulos'!B:B,'Tabla Articulos'!D:D)</f>
        <v/>
      </c>
      <c r="Q441" s="96">
        <f>_xlfn.XLOOKUP(S441,'Tabla Articulos'!B:B,'Tabla Articulos'!E:E)</f>
        <v/>
      </c>
      <c r="R441" s="96">
        <f>O441*Q441</f>
        <v/>
      </c>
      <c r="S441" s="97">
        <f>TRIM(E441)</f>
        <v/>
      </c>
    </row>
    <row r="442" hidden="1">
      <c r="A442" s="22" t="n">
        <v>1</v>
      </c>
      <c r="B442" t="inlineStr">
        <is>
          <t xml:space="preserve">CD MORENO                     </t>
        </is>
      </c>
      <c r="C442" t="inlineStr">
        <is>
          <t xml:space="preserve">GRUPO L.                      </t>
        </is>
      </c>
      <c r="D442" t="inlineStr">
        <is>
          <t>QUESO FRESCO</t>
        </is>
      </c>
      <c r="E442" t="inlineStr">
        <is>
          <t xml:space="preserve">7798001560267       </t>
        </is>
      </c>
      <c r="F442" t="n">
        <v>4022195</v>
      </c>
      <c r="G442" t="inlineStr">
        <is>
          <t xml:space="preserve">QUESO CREMOSO CREMIGAL KG          </t>
        </is>
      </c>
      <c r="H442" t="inlineStr">
        <is>
          <t xml:space="preserve">Kgs                 </t>
        </is>
      </c>
      <c r="I442" t="n">
        <v>781.02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781.02</v>
      </c>
      <c r="P442" s="96">
        <f>_xlfn.XLOOKUP(Tabla5[[#This Row],[EAN CORREGIDO]],'Tabla Articulos'!B:B,'Tabla Articulos'!D:D)</f>
        <v/>
      </c>
      <c r="Q442" s="96">
        <f>_xlfn.XLOOKUP(S442,'Tabla Articulos'!B:B,'Tabla Articulos'!E:E)</f>
        <v/>
      </c>
      <c r="R442" s="96">
        <f>O442*Q442</f>
        <v/>
      </c>
      <c r="S442" s="97">
        <f>TRIM(E442)</f>
        <v/>
      </c>
    </row>
    <row r="443" hidden="1">
      <c r="A443" s="22" t="n">
        <v>1</v>
      </c>
      <c r="B443" t="inlineStr">
        <is>
          <t xml:space="preserve">CD MORENO                     </t>
        </is>
      </c>
      <c r="C443" t="inlineStr">
        <is>
          <t xml:space="preserve">GRUPO L.                      </t>
        </is>
      </c>
      <c r="D443" t="inlineStr">
        <is>
          <t>LECHE POLVO NUT PRE 2</t>
        </is>
      </c>
      <c r="E443" t="inlineStr">
        <is>
          <t xml:space="preserve">7795323001973       </t>
        </is>
      </c>
      <c r="F443" t="n">
        <v>4018362</v>
      </c>
      <c r="G443" t="inlineStr">
        <is>
          <t xml:space="preserve">LECHE POLVO x 400G NUTRI PRE2      </t>
        </is>
      </c>
      <c r="H443" t="inlineStr">
        <is>
          <t xml:space="preserve">UNIDAD              </t>
        </is>
      </c>
      <c r="I443" t="n">
        <v>17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17</v>
      </c>
      <c r="P443" s="96">
        <f>_xlfn.XLOOKUP(Tabla5[[#This Row],[EAN CORREGIDO]],'Tabla Articulos'!B:B,'Tabla Articulos'!D:D)</f>
        <v/>
      </c>
      <c r="Q443" s="96">
        <f>_xlfn.XLOOKUP(S443,'Tabla Articulos'!B:B,'Tabla Articulos'!E:E)</f>
        <v/>
      </c>
      <c r="R443" s="96">
        <f>O443*Q443</f>
        <v/>
      </c>
      <c r="S443" s="97">
        <f>TRIM(E443)</f>
        <v/>
      </c>
    </row>
    <row r="444" hidden="1">
      <c r="A444" s="22" t="n">
        <v>6</v>
      </c>
      <c r="B444" t="inlineStr">
        <is>
          <t xml:space="preserve">CDM03 - MORENO 3              </t>
        </is>
      </c>
      <c r="C444" t="inlineStr">
        <is>
          <t xml:space="preserve">GRUPO L.                      </t>
        </is>
      </c>
      <c r="E444" t="inlineStr">
        <is>
          <t xml:space="preserve">UNIF000641          </t>
        </is>
      </c>
      <c r="F444" t="n">
        <v>9003971</v>
      </c>
      <c r="G444" t="inlineStr">
        <is>
          <t xml:space="preserve">BUZO A. MAR. FRISA CGOUR M         </t>
        </is>
      </c>
      <c r="H444" t="inlineStr">
        <is>
          <t xml:space="preserve">UNIDAD              </t>
        </is>
      </c>
      <c r="I444" t="n">
        <v>15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15</v>
      </c>
      <c r="P444" s="96">
        <f>_xlfn.XLOOKUP(Tabla5[[#This Row],[EAN CORREGIDO]],'Tabla Articulos'!B:B,'Tabla Articulos'!D:D)</f>
        <v/>
      </c>
      <c r="Q444" s="96">
        <f>_xlfn.XLOOKUP(S444,'Tabla Articulos'!B:B,'Tabla Articulos'!E:E)</f>
        <v/>
      </c>
      <c r="R444" s="96">
        <f>O444*Q444</f>
        <v/>
      </c>
      <c r="S444" s="97">
        <f>TRIM(E444)</f>
        <v/>
      </c>
    </row>
    <row r="445" hidden="1">
      <c r="A445" s="22" t="n">
        <v>6</v>
      </c>
      <c r="B445" t="inlineStr">
        <is>
          <t xml:space="preserve">CDM03 - MORENO 3              </t>
        </is>
      </c>
      <c r="C445" t="inlineStr">
        <is>
          <t xml:space="preserve">GRUPO L.                      </t>
        </is>
      </c>
      <c r="D445" t="inlineStr">
        <is>
          <t>SECADORES PISO</t>
        </is>
      </c>
      <c r="E445" t="inlineStr">
        <is>
          <t xml:space="preserve">7795864000800       </t>
        </is>
      </c>
      <c r="F445" t="n">
        <v>2006284</v>
      </c>
      <c r="G445" t="inlineStr">
        <is>
          <t xml:space="preserve">SECADOR GOMA 80CM ROJO SG	         </t>
        </is>
      </c>
      <c r="H445" t="inlineStr">
        <is>
          <t xml:space="preserve">UNIDAD              </t>
        </is>
      </c>
      <c r="I445" t="n">
        <v>1436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1436</v>
      </c>
      <c r="P445" s="96">
        <f>_xlfn.XLOOKUP(Tabla5[[#This Row],[EAN CORREGIDO]],'Tabla Articulos'!B:B,'Tabla Articulos'!D:D)</f>
        <v/>
      </c>
      <c r="Q445" s="96">
        <f>_xlfn.XLOOKUP(S445,'Tabla Articulos'!B:B,'Tabla Articulos'!E:E)</f>
        <v/>
      </c>
      <c r="R445" s="96">
        <f>O445*Q445</f>
        <v/>
      </c>
      <c r="S445" s="97">
        <f>TRIM(E445)</f>
        <v/>
      </c>
    </row>
    <row r="446" hidden="1">
      <c r="A446" s="22" t="n">
        <v>1</v>
      </c>
      <c r="B446" t="inlineStr">
        <is>
          <t xml:space="preserve">CD MORENO                     </t>
        </is>
      </c>
      <c r="C446" t="inlineStr">
        <is>
          <t xml:space="preserve">GRUPO L.                      </t>
        </is>
      </c>
      <c r="D446" t="inlineStr">
        <is>
          <t>PAPAS BASTON CONGELADAS</t>
        </is>
      </c>
      <c r="E446" t="inlineStr">
        <is>
          <t xml:space="preserve">7797906000526       </t>
        </is>
      </c>
      <c r="F446" t="n">
        <v>4017970</v>
      </c>
      <c r="G446" t="inlineStr">
        <is>
          <t xml:space="preserve">PAPAS FRITAS CORTE TRAD.X2.5KG MC  </t>
        </is>
      </c>
      <c r="H446" t="inlineStr">
        <is>
          <t xml:space="preserve">UNIDAD              </t>
        </is>
      </c>
      <c r="I446" t="n">
        <v>51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51</v>
      </c>
      <c r="P446" s="96">
        <f>_xlfn.XLOOKUP(Tabla5[[#This Row],[EAN CORREGIDO]],'Tabla Articulos'!B:B,'Tabla Articulos'!D:D)</f>
        <v/>
      </c>
      <c r="Q446" s="96">
        <f>_xlfn.XLOOKUP(S446,'Tabla Articulos'!B:B,'Tabla Articulos'!E:E)</f>
        <v/>
      </c>
      <c r="R446" s="96">
        <f>O446*Q446</f>
        <v/>
      </c>
      <c r="S446" s="97">
        <f>TRIM(E446)</f>
        <v/>
      </c>
    </row>
    <row r="447" hidden="1">
      <c r="A447" s="22" t="n">
        <v>5</v>
      </c>
      <c r="B447" t="inlineStr">
        <is>
          <t xml:space="preserve">CDM02 - MORENO 2              </t>
        </is>
      </c>
      <c r="C447" t="inlineStr">
        <is>
          <t xml:space="preserve">GRUPO L.                      </t>
        </is>
      </c>
      <c r="D447" s="11" t="inlineStr">
        <is>
          <t>ACEITUNA VERDE S/C</t>
        </is>
      </c>
      <c r="E447" t="inlineStr">
        <is>
          <t xml:space="preserve">7790199603054       </t>
        </is>
      </c>
      <c r="F447" t="n">
        <v>4024515</v>
      </c>
      <c r="G447" t="inlineStr">
        <is>
          <t xml:space="preserve">ACEITUNAS VDE DESC X300GR MORIXE   </t>
        </is>
      </c>
      <c r="H447" t="inlineStr">
        <is>
          <t xml:space="preserve">UNIDAD              </t>
        </is>
      </c>
      <c r="I447" t="n">
        <v>1185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1185</v>
      </c>
      <c r="P447" s="96">
        <f>_xlfn.XLOOKUP(Tabla5[[#This Row],[EAN CORREGIDO]],'Tabla Articulos'!B:B,'Tabla Articulos'!D:D)</f>
        <v/>
      </c>
      <c r="Q447" s="96">
        <f>_xlfn.XLOOKUP(S447,'Tabla Articulos'!B:B,'Tabla Articulos'!E:E)</f>
        <v/>
      </c>
      <c r="R447" s="96">
        <f>O447*Q447</f>
        <v/>
      </c>
      <c r="S447" s="97">
        <f>TRIM(E447)</f>
        <v/>
      </c>
    </row>
    <row r="448" hidden="1">
      <c r="A448" s="22" t="n">
        <v>1</v>
      </c>
      <c r="B448" t="inlineStr">
        <is>
          <t xml:space="preserve">CD MORENO                     </t>
        </is>
      </c>
      <c r="C448" t="inlineStr">
        <is>
          <t xml:space="preserve">GRUPO L.                      </t>
        </is>
      </c>
      <c r="D448" t="inlineStr">
        <is>
          <t>QUESO UNTABLE INDIV</t>
        </is>
      </c>
      <c r="E448" t="inlineStr">
        <is>
          <t xml:space="preserve">17790787960696      </t>
        </is>
      </c>
      <c r="F448" t="n">
        <v>4018347</v>
      </c>
      <c r="G448" t="inlineStr">
        <is>
          <t xml:space="preserve">QUESO UNTABLE IND X108U ILOLAY     </t>
        </is>
      </c>
      <c r="H448" t="inlineStr">
        <is>
          <t xml:space="preserve">UNIDAD              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s="96">
        <f>_xlfn.XLOOKUP(Tabla5[[#This Row],[EAN CORREGIDO]],'Tabla Articulos'!B:B,'Tabla Articulos'!D:D)</f>
        <v/>
      </c>
      <c r="Q448" s="96">
        <f>_xlfn.XLOOKUP(S448,'Tabla Articulos'!B:B,'Tabla Articulos'!E:E)</f>
        <v/>
      </c>
      <c r="R448" s="96">
        <f>O448*Q448</f>
        <v/>
      </c>
      <c r="S448" s="97">
        <f>TRIM(E448)</f>
        <v/>
      </c>
    </row>
    <row r="449" hidden="1">
      <c r="A449" s="22" t="n">
        <v>5</v>
      </c>
      <c r="B449" t="inlineStr">
        <is>
          <t xml:space="preserve">CDM02 - MORENO 2              </t>
        </is>
      </c>
      <c r="C449" t="inlineStr">
        <is>
          <t xml:space="preserve">GRUPO L.                      </t>
        </is>
      </c>
      <c r="D449" t="inlineStr">
        <is>
          <t>HARINA 000</t>
        </is>
      </c>
      <c r="E449" t="inlineStr">
        <is>
          <t xml:space="preserve">7790199000013       </t>
        </is>
      </c>
      <c r="F449" t="n">
        <v>4019341</v>
      </c>
      <c r="G449" t="inlineStr">
        <is>
          <t xml:space="preserve">HARINA 000 X 1 KG MORIXE           </t>
        </is>
      </c>
      <c r="H449" t="inlineStr">
        <is>
          <t xml:space="preserve">UNIDAD              </t>
        </is>
      </c>
      <c r="I449" t="n">
        <v>3923</v>
      </c>
      <c r="J449" t="n">
        <v>0</v>
      </c>
      <c r="K449" t="n">
        <v>2090</v>
      </c>
      <c r="L449" t="n">
        <v>0</v>
      </c>
      <c r="M449" t="n">
        <v>0</v>
      </c>
      <c r="N449" t="n">
        <v>0</v>
      </c>
      <c r="O449" t="n">
        <v>1833</v>
      </c>
      <c r="P449" s="96">
        <f>_xlfn.XLOOKUP(Tabla5[[#This Row],[EAN CORREGIDO]],'Tabla Articulos'!B:B,'Tabla Articulos'!D:D)</f>
        <v/>
      </c>
      <c r="Q449" s="96">
        <f>_xlfn.XLOOKUP(S449,'Tabla Articulos'!B:B,'Tabla Articulos'!E:E)</f>
        <v/>
      </c>
      <c r="R449" s="96">
        <f>O449*Q449</f>
        <v/>
      </c>
      <c r="S449" s="97">
        <f>TRIM(E449)</f>
        <v/>
      </c>
    </row>
    <row r="450" hidden="1">
      <c r="A450" s="22" t="n">
        <v>1</v>
      </c>
      <c r="B450" t="inlineStr">
        <is>
          <t xml:space="preserve">CD MORENO                     </t>
        </is>
      </c>
      <c r="C450" t="inlineStr">
        <is>
          <t xml:space="preserve">GRUPO L.                      </t>
        </is>
      </c>
      <c r="D450" t="inlineStr">
        <is>
          <t>NUEZ MOSCADA</t>
        </is>
      </c>
      <c r="E450" t="inlineStr">
        <is>
          <t xml:space="preserve">7790530280449       </t>
        </is>
      </c>
      <c r="F450" t="n">
        <v>4019385</v>
      </c>
      <c r="G450" t="inlineStr">
        <is>
          <t xml:space="preserve">NUEZ MOSCADA MOL X 25 G BEDIAL     </t>
        </is>
      </c>
      <c r="H450" t="inlineStr">
        <is>
          <t xml:space="preserve">UNIDAD              </t>
        </is>
      </c>
      <c r="I450" t="n">
        <v>51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51</v>
      </c>
      <c r="P450" s="96">
        <f>_xlfn.XLOOKUP(Tabla5[[#This Row],[EAN CORREGIDO]],'Tabla Articulos'!B:B,'Tabla Articulos'!D:D)</f>
        <v/>
      </c>
      <c r="Q450" s="96">
        <f>_xlfn.XLOOKUP(S450,'Tabla Articulos'!B:B,'Tabla Articulos'!E:E)</f>
        <v/>
      </c>
      <c r="R450" s="96">
        <f>O450*Q450</f>
        <v/>
      </c>
      <c r="S450" s="97">
        <f>TRIM(E450)</f>
        <v/>
      </c>
    </row>
    <row r="451" hidden="1">
      <c r="A451" s="22" t="n">
        <v>1</v>
      </c>
      <c r="B451" t="inlineStr">
        <is>
          <t xml:space="preserve">CD MORENO                     </t>
        </is>
      </c>
      <c r="C451" t="inlineStr">
        <is>
          <t xml:space="preserve">GRUPO L.                      </t>
        </is>
      </c>
      <c r="D451" t="inlineStr">
        <is>
          <t>PERA</t>
        </is>
      </c>
      <c r="E451" t="inlineStr">
        <is>
          <t xml:space="preserve">7790216020066       </t>
        </is>
      </c>
      <c r="F451" t="n">
        <v>4017993</v>
      </c>
      <c r="G451" t="inlineStr">
        <is>
          <t xml:space="preserve">FRUTA PERA X U                     </t>
        </is>
      </c>
      <c r="H451" t="inlineStr">
        <is>
          <t xml:space="preserve">UNIDAD              </t>
        </is>
      </c>
      <c r="I451" t="n">
        <v>1772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1772</v>
      </c>
      <c r="P451" s="96">
        <f>_xlfn.XLOOKUP(Tabla5[[#This Row],[EAN CORREGIDO]],'Tabla Articulos'!B:B,'Tabla Articulos'!D:D)</f>
        <v/>
      </c>
      <c r="Q451" s="96">
        <f>_xlfn.XLOOKUP(S451,'Tabla Articulos'!B:B,'Tabla Articulos'!E:E)</f>
        <v/>
      </c>
      <c r="R451" s="96">
        <f>O451*Q451</f>
        <v/>
      </c>
      <c r="S451" s="97">
        <f>TRIM(E451)</f>
        <v/>
      </c>
    </row>
    <row r="452" hidden="1">
      <c r="A452" s="22" t="n">
        <v>6</v>
      </c>
      <c r="B452" t="inlineStr">
        <is>
          <t xml:space="preserve">CDM03 - MORENO 3              </t>
        </is>
      </c>
      <c r="C452" t="inlineStr">
        <is>
          <t xml:space="preserve">GRUPO L.                      </t>
        </is>
      </c>
      <c r="D452" s="11" t="n"/>
      <c r="E452" t="inlineStr">
        <is>
          <t xml:space="preserve">UNIF000451          </t>
        </is>
      </c>
      <c r="F452" t="n">
        <v>9003612</v>
      </c>
      <c r="G452" t="inlineStr">
        <is>
          <t xml:space="preserve">CAMP. A. MAR. TRUCKER ELEVARE L    </t>
        </is>
      </c>
      <c r="H452" t="inlineStr">
        <is>
          <t xml:space="preserve">UNIDAD              </t>
        </is>
      </c>
      <c r="I452" t="n">
        <v>30</v>
      </c>
      <c r="J452" t="n">
        <v>0</v>
      </c>
      <c r="K452" t="n">
        <v>0</v>
      </c>
      <c r="L452" t="n">
        <v>10</v>
      </c>
      <c r="M452" t="n">
        <v>10</v>
      </c>
      <c r="N452" t="n">
        <v>0</v>
      </c>
      <c r="O452" t="n">
        <v>10</v>
      </c>
      <c r="P452" s="96">
        <f>_xlfn.XLOOKUP(Tabla5[[#This Row],[EAN CORREGIDO]],'Tabla Articulos'!B:B,'Tabla Articulos'!D:D)</f>
        <v/>
      </c>
      <c r="Q452" s="96">
        <f>_xlfn.XLOOKUP(S452,'Tabla Articulos'!B:B,'Tabla Articulos'!E:E)</f>
        <v/>
      </c>
      <c r="R452" s="96">
        <f>O452*Q452</f>
        <v/>
      </c>
      <c r="S452" s="97">
        <f>TRIM(E452)</f>
        <v/>
      </c>
    </row>
    <row r="453" hidden="1">
      <c r="A453" s="22" t="n">
        <v>6</v>
      </c>
      <c r="B453" t="inlineStr">
        <is>
          <t xml:space="preserve">CDM03 - MORENO 3              </t>
        </is>
      </c>
      <c r="C453" t="inlineStr">
        <is>
          <t xml:space="preserve">GRUPO L.                      </t>
        </is>
      </c>
      <c r="E453" t="inlineStr">
        <is>
          <t xml:space="preserve">UNIF000377          </t>
        </is>
      </c>
      <c r="F453" t="n">
        <v>9003641</v>
      </c>
      <c r="G453" t="inlineStr">
        <is>
          <t xml:space="preserve">SWEATER NEGRO-LANA 2XL             </t>
        </is>
      </c>
      <c r="H453" t="inlineStr">
        <is>
          <t xml:space="preserve">UNIDAD              </t>
        </is>
      </c>
      <c r="I453" t="n">
        <v>14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14</v>
      </c>
      <c r="P453" s="96">
        <f>_xlfn.XLOOKUP(Tabla5[[#This Row],[EAN CORREGIDO]],'Tabla Articulos'!B:B,'Tabla Articulos'!D:D)</f>
        <v/>
      </c>
      <c r="Q453" s="96">
        <f>_xlfn.XLOOKUP(S453,'Tabla Articulos'!B:B,'Tabla Articulos'!E:E)</f>
        <v/>
      </c>
      <c r="R453" s="96">
        <f>O453*Q453</f>
        <v/>
      </c>
      <c r="S453" s="97">
        <f>TRIM(E453)</f>
        <v/>
      </c>
    </row>
    <row r="454" hidden="1">
      <c r="A454" s="22" t="n">
        <v>6</v>
      </c>
      <c r="B454" t="inlineStr">
        <is>
          <t xml:space="preserve">CDM03 - MORENO 3              </t>
        </is>
      </c>
      <c r="C454" t="inlineStr">
        <is>
          <t xml:space="preserve">GRUPO L.                      </t>
        </is>
      </c>
      <c r="E454" t="inlineStr">
        <is>
          <t xml:space="preserve">UNIF000100          </t>
        </is>
      </c>
      <c r="F454" t="n">
        <v>9003413</v>
      </c>
      <c r="G454" t="inlineStr">
        <is>
          <t xml:space="preserve">PANTALON CARGO A. MARINO 42        </t>
        </is>
      </c>
      <c r="H454" t="inlineStr">
        <is>
          <t xml:space="preserve">UNIDAD              </t>
        </is>
      </c>
      <c r="I454" t="n">
        <v>18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18</v>
      </c>
      <c r="P454" s="96">
        <f>_xlfn.XLOOKUP(Tabla5[[#This Row],[EAN CORREGIDO]],'Tabla Articulos'!B:B,'Tabla Articulos'!D:D)</f>
        <v/>
      </c>
      <c r="Q454" s="96">
        <f>_xlfn.XLOOKUP(S454,'Tabla Articulos'!B:B,'Tabla Articulos'!E:E)</f>
        <v/>
      </c>
      <c r="R454" s="96">
        <f>O454*Q454</f>
        <v/>
      </c>
      <c r="S454" s="97">
        <f>TRIM(E454)</f>
        <v/>
      </c>
    </row>
    <row r="455" hidden="1">
      <c r="A455" s="22" t="n">
        <v>1</v>
      </c>
      <c r="B455" t="inlineStr">
        <is>
          <t xml:space="preserve">CD MORENO                     </t>
        </is>
      </c>
      <c r="C455" t="inlineStr">
        <is>
          <t xml:space="preserve">GRUPO L.                      </t>
        </is>
      </c>
      <c r="D455" t="inlineStr">
        <is>
          <t>JUGO LIMON</t>
        </is>
      </c>
      <c r="E455" t="inlineStr">
        <is>
          <t xml:space="preserve">7798071200483       </t>
        </is>
      </c>
      <c r="F455" t="n">
        <v>4021571</v>
      </c>
      <c r="G455" t="inlineStr">
        <is>
          <t xml:space="preserve">JUGO DE LIMON X 5LT ABRA           </t>
        </is>
      </c>
      <c r="H455" t="inlineStr">
        <is>
          <t xml:space="preserve">UNIDAD              </t>
        </is>
      </c>
      <c r="I455" t="n">
        <v>147</v>
      </c>
      <c r="J455" t="n">
        <v>100</v>
      </c>
      <c r="K455" t="n">
        <v>100</v>
      </c>
      <c r="L455" t="n">
        <v>0</v>
      </c>
      <c r="M455" t="n">
        <v>0</v>
      </c>
      <c r="N455" t="n">
        <v>0</v>
      </c>
      <c r="O455" t="n">
        <v>147</v>
      </c>
      <c r="P455" s="96">
        <f>_xlfn.XLOOKUP(Tabla5[[#This Row],[EAN CORREGIDO]],'Tabla Articulos'!B:B,'Tabla Articulos'!D:D)</f>
        <v/>
      </c>
      <c r="Q455" s="96">
        <f>_xlfn.XLOOKUP(S455,'Tabla Articulos'!B:B,'Tabla Articulos'!E:E)</f>
        <v/>
      </c>
      <c r="R455" s="96">
        <f>O455*Q455</f>
        <v/>
      </c>
      <c r="S455" s="97">
        <f>TRIM(E455)</f>
        <v/>
      </c>
    </row>
    <row r="456" hidden="1">
      <c r="A456" s="22" t="n">
        <v>5</v>
      </c>
      <c r="B456" t="inlineStr">
        <is>
          <t xml:space="preserve">CDM02 - MORENO 2              </t>
        </is>
      </c>
      <c r="C456" t="inlineStr">
        <is>
          <t xml:space="preserve">GRUPO L.                      </t>
        </is>
      </c>
      <c r="D456" t="inlineStr">
        <is>
          <t>JUGO LIMON</t>
        </is>
      </c>
      <c r="E456" t="inlineStr">
        <is>
          <t xml:space="preserve">7798071200483       </t>
        </is>
      </c>
      <c r="F456" t="n">
        <v>4021571</v>
      </c>
      <c r="G456" t="inlineStr">
        <is>
          <t xml:space="preserve">JUGO DE LIMON X 5LT ABRA           </t>
        </is>
      </c>
      <c r="H456" t="inlineStr">
        <is>
          <t xml:space="preserve">UNIDAD              </t>
        </is>
      </c>
      <c r="I456" t="n">
        <v>55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55</v>
      </c>
      <c r="P456" s="96">
        <f>_xlfn.XLOOKUP(Tabla5[[#This Row],[EAN CORREGIDO]],'Tabla Articulos'!B:B,'Tabla Articulos'!D:D)</f>
        <v/>
      </c>
      <c r="Q456" s="96">
        <f>_xlfn.XLOOKUP(S456,'Tabla Articulos'!B:B,'Tabla Articulos'!E:E)</f>
        <v/>
      </c>
      <c r="R456" s="96">
        <f>O456*Q456</f>
        <v/>
      </c>
      <c r="S456" s="97">
        <f>TRIM(E456)</f>
        <v/>
      </c>
    </row>
    <row r="457" hidden="1">
      <c r="A457" s="22" t="n">
        <v>6</v>
      </c>
      <c r="B457" t="inlineStr">
        <is>
          <t xml:space="preserve">CDM03 - MORENO 3              </t>
        </is>
      </c>
      <c r="C457" t="inlineStr">
        <is>
          <t xml:space="preserve">GRUPO L.                      </t>
        </is>
      </c>
      <c r="E457" t="inlineStr">
        <is>
          <t xml:space="preserve">UNIF000319          </t>
        </is>
      </c>
      <c r="F457" t="n">
        <v>9003193</v>
      </c>
      <c r="G457" t="inlineStr">
        <is>
          <t xml:space="preserve">REMERA-AZUL MARINO C/REDONDO 2XL   </t>
        </is>
      </c>
      <c r="H457" t="inlineStr">
        <is>
          <t xml:space="preserve">UNIDAD              </t>
        </is>
      </c>
      <c r="I457" t="n">
        <v>17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17</v>
      </c>
      <c r="P457" s="96">
        <f>_xlfn.XLOOKUP(Tabla5[[#This Row],[EAN CORREGIDO]],'Tabla Articulos'!B:B,'Tabla Articulos'!D:D)</f>
        <v/>
      </c>
      <c r="Q457" s="96">
        <f>_xlfn.XLOOKUP(S457,'Tabla Articulos'!B:B,'Tabla Articulos'!E:E)</f>
        <v/>
      </c>
      <c r="R457" s="96">
        <f>O457*Q457</f>
        <v/>
      </c>
      <c r="S457" s="97">
        <f>TRIM(E457)</f>
        <v/>
      </c>
    </row>
    <row r="458" hidden="1">
      <c r="A458" s="22" t="n">
        <v>6</v>
      </c>
      <c r="B458" t="inlineStr">
        <is>
          <t xml:space="preserve">CDM03 - MORENO 3              </t>
        </is>
      </c>
      <c r="C458" t="inlineStr">
        <is>
          <t xml:space="preserve">GRUPO L.                      </t>
        </is>
      </c>
      <c r="E458" t="inlineStr">
        <is>
          <t xml:space="preserve">UNIF000460          </t>
        </is>
      </c>
      <c r="F458" t="n">
        <v>9003621</v>
      </c>
      <c r="G458" t="inlineStr">
        <is>
          <t xml:space="preserve">CAMPERA TRUCKER BLANCO 2XL NUTRI   </t>
        </is>
      </c>
      <c r="H458" t="inlineStr">
        <is>
          <t xml:space="preserve">UNIDAD              </t>
        </is>
      </c>
      <c r="I458" t="n">
        <v>35</v>
      </c>
      <c r="J458" t="n">
        <v>50</v>
      </c>
      <c r="K458" t="n">
        <v>0</v>
      </c>
      <c r="L458" t="n">
        <v>0</v>
      </c>
      <c r="M458" t="n">
        <v>0</v>
      </c>
      <c r="N458" t="n">
        <v>0</v>
      </c>
      <c r="O458" t="n">
        <v>85</v>
      </c>
      <c r="P458" s="96">
        <f>_xlfn.XLOOKUP(Tabla5[[#This Row],[EAN CORREGIDO]],'Tabla Articulos'!B:B,'Tabla Articulos'!D:D)</f>
        <v/>
      </c>
      <c r="Q458" s="96">
        <f>_xlfn.XLOOKUP(S458,'Tabla Articulos'!B:B,'Tabla Articulos'!E:E)</f>
        <v/>
      </c>
      <c r="R458" s="96">
        <f>O458*Q458</f>
        <v/>
      </c>
      <c r="S458" s="97">
        <f>TRIM(E458)</f>
        <v/>
      </c>
    </row>
    <row r="459" hidden="1">
      <c r="A459" s="22" t="n">
        <v>1</v>
      </c>
      <c r="B459" t="inlineStr">
        <is>
          <t xml:space="preserve">CD MORENO                     </t>
        </is>
      </c>
      <c r="C459" t="inlineStr">
        <is>
          <t xml:space="preserve">GRUPO L.                      </t>
        </is>
      </c>
      <c r="D459" t="inlineStr">
        <is>
          <t>CALDO CUBOS GALLINA</t>
        </is>
      </c>
      <c r="E459" t="inlineStr">
        <is>
          <t xml:space="preserve">7790989004306       </t>
        </is>
      </c>
      <c r="F459" t="n">
        <v>4019863</v>
      </c>
      <c r="G459" t="inlineStr">
        <is>
          <t xml:space="preserve">CALDO GALLINA X12U LA MERE MIC     </t>
        </is>
      </c>
      <c r="H459" t="inlineStr">
        <is>
          <t xml:space="preserve">UNIDAD              </t>
        </is>
      </c>
      <c r="I459" t="n">
        <v>31669</v>
      </c>
      <c r="J459" t="n">
        <v>0</v>
      </c>
      <c r="K459" t="n">
        <v>0</v>
      </c>
      <c r="L459" t="n">
        <v>1216</v>
      </c>
      <c r="M459" t="n">
        <v>1216</v>
      </c>
      <c r="N459" t="n">
        <v>0</v>
      </c>
      <c r="O459" t="n">
        <v>29237</v>
      </c>
      <c r="P459" s="96">
        <f>_xlfn.XLOOKUP(Tabla5[[#This Row],[EAN CORREGIDO]],'Tabla Articulos'!B:B,'Tabla Articulos'!D:D)</f>
        <v/>
      </c>
      <c r="Q459" s="96">
        <f>_xlfn.XLOOKUP(S459,'Tabla Articulos'!B:B,'Tabla Articulos'!E:E)</f>
        <v/>
      </c>
      <c r="R459" s="96">
        <f>O459*Q459</f>
        <v/>
      </c>
      <c r="S459" s="97">
        <f>TRIM(E459)</f>
        <v/>
      </c>
    </row>
    <row r="460" hidden="1">
      <c r="A460" s="22" t="n">
        <v>1</v>
      </c>
      <c r="B460" t="inlineStr">
        <is>
          <t xml:space="preserve">CD MORENO                     </t>
        </is>
      </c>
      <c r="C460" t="inlineStr">
        <is>
          <t xml:space="preserve">GRUPO L.                      </t>
        </is>
      </c>
      <c r="D460" s="11" t="inlineStr">
        <is>
          <t>QUESO POR SALUT S/SAL</t>
        </is>
      </c>
      <c r="E460" t="inlineStr">
        <is>
          <t xml:space="preserve">7790000000764       </t>
        </is>
      </c>
      <c r="F460" t="n">
        <v>4076948</v>
      </c>
      <c r="G460" t="inlineStr">
        <is>
          <t>QUESO P/SALUD S/SAL DESC XKG LUZ AZ</t>
        </is>
      </c>
      <c r="H460" t="inlineStr">
        <is>
          <t xml:space="preserve">Kgs                 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8</v>
      </c>
      <c r="P460" s="96">
        <f>_xlfn.XLOOKUP(Tabla5[[#This Row],[EAN CORREGIDO]],'Tabla Articulos'!B:B,'Tabla Articulos'!D:D)</f>
        <v/>
      </c>
      <c r="Q460" s="96">
        <f>_xlfn.XLOOKUP(S460,'Tabla Articulos'!B:B,'Tabla Articulos'!E:E)</f>
        <v/>
      </c>
      <c r="R460" s="96">
        <f>O460*Q460</f>
        <v/>
      </c>
      <c r="S460" s="97">
        <f>TRIM(E460)</f>
        <v/>
      </c>
    </row>
    <row r="461" hidden="1">
      <c r="A461" s="22" t="n">
        <v>6</v>
      </c>
      <c r="B461" t="inlineStr">
        <is>
          <t xml:space="preserve">CDM03 - MORENO 3              </t>
        </is>
      </c>
      <c r="C461" t="inlineStr">
        <is>
          <t xml:space="preserve">GRUPO L.                      </t>
        </is>
      </c>
      <c r="E461" t="inlineStr">
        <is>
          <t xml:space="preserve">UNIF000055          </t>
        </is>
      </c>
      <c r="F461" t="n">
        <v>9003308</v>
      </c>
      <c r="G461" t="inlineStr">
        <is>
          <t xml:space="preserve">BUZO A. MAR. FRISA GL SUP L        </t>
        </is>
      </c>
      <c r="H461" t="inlineStr">
        <is>
          <t xml:space="preserve">UNIDAD              </t>
        </is>
      </c>
      <c r="I461" t="n">
        <v>0</v>
      </c>
      <c r="J461" t="n">
        <v>150</v>
      </c>
      <c r="K461" t="n">
        <v>0</v>
      </c>
      <c r="L461" t="n">
        <v>0</v>
      </c>
      <c r="M461" t="n">
        <v>0</v>
      </c>
      <c r="N461" t="n">
        <v>0</v>
      </c>
      <c r="O461" t="n">
        <v>150</v>
      </c>
      <c r="P461" s="96">
        <f>_xlfn.XLOOKUP(Tabla5[[#This Row],[EAN CORREGIDO]],'Tabla Articulos'!B:B,'Tabla Articulos'!D:D)</f>
        <v/>
      </c>
      <c r="Q461" s="96">
        <f>_xlfn.XLOOKUP(S461,'Tabla Articulos'!B:B,'Tabla Articulos'!E:E)</f>
        <v/>
      </c>
      <c r="R461" s="96">
        <f>O461*Q461</f>
        <v/>
      </c>
      <c r="S461" s="97">
        <f>TRIM(E461)</f>
        <v/>
      </c>
    </row>
    <row r="462" hidden="1">
      <c r="A462" s="22" t="n">
        <v>6</v>
      </c>
      <c r="B462" t="inlineStr">
        <is>
          <t xml:space="preserve">CDM03 - MORENO 3              </t>
        </is>
      </c>
      <c r="C462" t="inlineStr">
        <is>
          <t xml:space="preserve">GRUPO L.                      </t>
        </is>
      </c>
      <c r="E462" t="inlineStr">
        <is>
          <t xml:space="preserve">UNIF000082          </t>
        </is>
      </c>
      <c r="F462" t="n">
        <v>9003543</v>
      </c>
      <c r="G462" t="inlineStr">
        <is>
          <t xml:space="preserve">CAMISA BLANCA LISA 56 S. LOGO      </t>
        </is>
      </c>
      <c r="H462" t="inlineStr">
        <is>
          <t xml:space="preserve">UNIDAD              </t>
        </is>
      </c>
      <c r="I462" t="n">
        <v>10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10</v>
      </c>
      <c r="P462" s="96">
        <f>_xlfn.XLOOKUP(Tabla5[[#This Row],[EAN CORREGIDO]],'Tabla Articulos'!B:B,'Tabla Articulos'!D:D)</f>
        <v/>
      </c>
      <c r="Q462" s="96">
        <f>_xlfn.XLOOKUP(S462,'Tabla Articulos'!B:B,'Tabla Articulos'!E:E)</f>
        <v/>
      </c>
      <c r="R462" s="96">
        <f>O462*Q462</f>
        <v/>
      </c>
      <c r="S462" s="97">
        <f>TRIM(E462)</f>
        <v/>
      </c>
    </row>
    <row r="463" hidden="1">
      <c r="A463" s="22" t="n">
        <v>5</v>
      </c>
      <c r="B463" t="inlineStr">
        <is>
          <t xml:space="preserve">CDM02 - MORENO 2              </t>
        </is>
      </c>
      <c r="C463" t="inlineStr">
        <is>
          <t xml:space="preserve">GRUPO L.                      </t>
        </is>
      </c>
      <c r="D463" t="inlineStr">
        <is>
          <t>DURAZNO LIGHT LATA</t>
        </is>
      </c>
      <c r="E463" t="inlineStr">
        <is>
          <t xml:space="preserve">7798132920404       </t>
        </is>
      </c>
      <c r="F463" t="n">
        <v>4020454</v>
      </c>
      <c r="G463" t="inlineStr">
        <is>
          <t xml:space="preserve">DURAZNO LIGHT X820G ALCO	          </t>
        </is>
      </c>
      <c r="H463" t="inlineStr">
        <is>
          <t xml:space="preserve">UNIDAD              </t>
        </is>
      </c>
      <c r="I463" t="n">
        <v>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8</v>
      </c>
      <c r="P463" s="96">
        <f>_xlfn.XLOOKUP(Tabla5[[#This Row],[EAN CORREGIDO]],'Tabla Articulos'!B:B,'Tabla Articulos'!D:D)</f>
        <v/>
      </c>
      <c r="Q463" s="96">
        <f>_xlfn.XLOOKUP(S463,'Tabla Articulos'!B:B,'Tabla Articulos'!E:E)</f>
        <v/>
      </c>
      <c r="R463" s="96">
        <f>O463*Q463</f>
        <v/>
      </c>
      <c r="S463" s="97">
        <f>TRIM(E463)</f>
        <v/>
      </c>
    </row>
    <row r="464" hidden="1">
      <c r="A464" s="22" t="n">
        <v>6</v>
      </c>
      <c r="B464" t="inlineStr">
        <is>
          <t xml:space="preserve">CDM03 - MORENO 3              </t>
        </is>
      </c>
      <c r="C464" t="inlineStr">
        <is>
          <t xml:space="preserve">GRUPO L.                      </t>
        </is>
      </c>
      <c r="E464" t="inlineStr">
        <is>
          <t xml:space="preserve">UNIF000493          </t>
        </is>
      </c>
      <c r="F464" t="n">
        <v>9003581</v>
      </c>
      <c r="G464" t="inlineStr">
        <is>
          <t xml:space="preserve">CAMI GRIS CAMAR. RET. T44 C GOUR   </t>
        </is>
      </c>
      <c r="H464" t="inlineStr">
        <is>
          <t xml:space="preserve">UNIDAD              </t>
        </is>
      </c>
      <c r="I464" t="n">
        <v>21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21</v>
      </c>
      <c r="P464" s="96">
        <f>_xlfn.XLOOKUP(Tabla5[[#This Row],[EAN CORREGIDO]],'Tabla Articulos'!B:B,'Tabla Articulos'!D:D)</f>
        <v/>
      </c>
      <c r="Q464" s="96">
        <f>_xlfn.XLOOKUP(S464,'Tabla Articulos'!B:B,'Tabla Articulos'!E:E)</f>
        <v/>
      </c>
      <c r="R464" s="96">
        <f>O464*Q464</f>
        <v/>
      </c>
      <c r="S464" s="97">
        <f>TRIM(E464)</f>
        <v/>
      </c>
    </row>
    <row r="465" hidden="1">
      <c r="A465" s="22" t="n">
        <v>6</v>
      </c>
      <c r="B465" t="inlineStr">
        <is>
          <t xml:space="preserve">CDM03 - MORENO 3              </t>
        </is>
      </c>
      <c r="C465" t="inlineStr">
        <is>
          <t xml:space="preserve">GRUPO L.                      </t>
        </is>
      </c>
      <c r="E465" t="inlineStr">
        <is>
          <t xml:space="preserve">UNIF000609          </t>
        </is>
      </c>
      <c r="F465" t="n">
        <v>9003147</v>
      </c>
      <c r="G465" t="inlineStr">
        <is>
          <t xml:space="preserve">GUARDAPOLV C LOGO C GOUR TALLE L   </t>
        </is>
      </c>
      <c r="H465" t="inlineStr">
        <is>
          <t xml:space="preserve">UNIDAD              </t>
        </is>
      </c>
      <c r="I465" t="n">
        <v>64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64</v>
      </c>
      <c r="P465" s="96">
        <f>_xlfn.XLOOKUP(Tabla5[[#This Row],[EAN CORREGIDO]],'Tabla Articulos'!B:B,'Tabla Articulos'!D:D)</f>
        <v/>
      </c>
      <c r="Q465" s="96">
        <f>_xlfn.XLOOKUP(S465,'Tabla Articulos'!B:B,'Tabla Articulos'!E:E)</f>
        <v/>
      </c>
      <c r="R465" s="96">
        <f>O465*Q465</f>
        <v/>
      </c>
      <c r="S465" s="97">
        <f>TRIM(E465)</f>
        <v/>
      </c>
    </row>
    <row r="466" hidden="1">
      <c r="A466" s="22" t="n">
        <v>6</v>
      </c>
      <c r="B466" t="inlineStr">
        <is>
          <t xml:space="preserve">CDM03 - MORENO 3              </t>
        </is>
      </c>
      <c r="C466" t="inlineStr">
        <is>
          <t xml:space="preserve">GRUPO L.                      </t>
        </is>
      </c>
      <c r="E466" t="inlineStr">
        <is>
          <t xml:space="preserve">UNIF000200          </t>
        </is>
      </c>
      <c r="F466" t="n">
        <v>9003440</v>
      </c>
      <c r="G466" t="inlineStr">
        <is>
          <t xml:space="preserve">PANTA. CARGO NEGRO 54 GL SUPPORT   </t>
        </is>
      </c>
      <c r="H466" t="inlineStr">
        <is>
          <t xml:space="preserve">UNIDAD              </t>
        </is>
      </c>
      <c r="I466" t="n">
        <v>51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51</v>
      </c>
      <c r="P466" s="96">
        <f>_xlfn.XLOOKUP(Tabla5[[#This Row],[EAN CORREGIDO]],'Tabla Articulos'!B:B,'Tabla Articulos'!D:D)</f>
        <v/>
      </c>
      <c r="Q466" s="96">
        <f>_xlfn.XLOOKUP(S466,'Tabla Articulos'!B:B,'Tabla Articulos'!E:E)</f>
        <v/>
      </c>
      <c r="R466" s="96">
        <f>O466*Q466</f>
        <v/>
      </c>
      <c r="S466" s="97">
        <f>TRIM(E466)</f>
        <v/>
      </c>
    </row>
    <row r="467" hidden="1">
      <c r="A467" s="22" t="n">
        <v>6</v>
      </c>
      <c r="B467" t="inlineStr">
        <is>
          <t xml:space="preserve">CDM03 - MORENO 3              </t>
        </is>
      </c>
      <c r="C467" t="inlineStr">
        <is>
          <t xml:space="preserve">GRUPO L.                      </t>
        </is>
      </c>
      <c r="D467" s="11" t="inlineStr">
        <is>
          <t>DESENGRASANTE</t>
        </is>
      </c>
      <c r="E467" t="inlineStr">
        <is>
          <t xml:space="preserve">7798188650515       </t>
        </is>
      </c>
      <c r="F467" t="n">
        <v>2006715</v>
      </c>
      <c r="G467" t="inlineStr">
        <is>
          <t>DESENGRASANTE RAPID PLUS X 5 L SENA</t>
        </is>
      </c>
      <c r="H467" t="inlineStr">
        <is>
          <t xml:space="preserve">UNIDAD              </t>
        </is>
      </c>
      <c r="I467" t="n">
        <v>57</v>
      </c>
      <c r="J467" t="n">
        <v>0</v>
      </c>
      <c r="K467" t="n">
        <v>0</v>
      </c>
      <c r="L467" t="n">
        <v>2</v>
      </c>
      <c r="M467" t="n">
        <v>2</v>
      </c>
      <c r="N467" t="n">
        <v>0</v>
      </c>
      <c r="O467" t="n">
        <v>53</v>
      </c>
      <c r="P467" s="96">
        <f>_xlfn.XLOOKUP(Tabla5[[#This Row],[EAN CORREGIDO]],'Tabla Articulos'!B:B,'Tabla Articulos'!D:D)</f>
        <v/>
      </c>
      <c r="Q467" s="96">
        <f>_xlfn.XLOOKUP(S467,'Tabla Articulos'!B:B,'Tabla Articulos'!E:E)</f>
        <v/>
      </c>
      <c r="R467" s="96">
        <f>O467*Q467</f>
        <v/>
      </c>
      <c r="S467" s="97">
        <f>TRIM(E467)</f>
        <v/>
      </c>
    </row>
    <row r="468" hidden="1">
      <c r="A468" s="22" t="n">
        <v>6</v>
      </c>
      <c r="B468" t="inlineStr">
        <is>
          <t xml:space="preserve">CDM03 - MORENO 3              </t>
        </is>
      </c>
      <c r="C468" t="inlineStr">
        <is>
          <t xml:space="preserve">GRUPO L.                      </t>
        </is>
      </c>
      <c r="E468" t="inlineStr">
        <is>
          <t xml:space="preserve">UNIF000412          </t>
        </is>
      </c>
      <c r="F468" t="n">
        <v>9003272</v>
      </c>
      <c r="G468" t="inlineStr">
        <is>
          <t xml:space="preserve">BUZO BLANCO NUTRIRE FRISA M        </t>
        </is>
      </c>
      <c r="H468" t="inlineStr">
        <is>
          <t xml:space="preserve">UNIDAD              </t>
        </is>
      </c>
      <c r="I468" t="n">
        <v>19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19</v>
      </c>
      <c r="P468" s="96">
        <f>_xlfn.XLOOKUP(Tabla5[[#This Row],[EAN CORREGIDO]],'Tabla Articulos'!B:B,'Tabla Articulos'!D:D)</f>
        <v/>
      </c>
      <c r="Q468" s="96">
        <f>_xlfn.XLOOKUP(S468,'Tabla Articulos'!B:B,'Tabla Articulos'!E:E)</f>
        <v/>
      </c>
      <c r="R468" s="96">
        <f>O468*Q468</f>
        <v/>
      </c>
      <c r="S468" s="97">
        <f>TRIM(E468)</f>
        <v/>
      </c>
    </row>
    <row r="469" hidden="1">
      <c r="A469" s="22" t="n">
        <v>6</v>
      </c>
      <c r="B469" t="inlineStr">
        <is>
          <t xml:space="preserve">CDM03 - MORENO 3              </t>
        </is>
      </c>
      <c r="C469" t="inlineStr">
        <is>
          <t xml:space="preserve">GRUPO L.                      </t>
        </is>
      </c>
      <c r="E469" t="inlineStr">
        <is>
          <t xml:space="preserve">UNIF000391          </t>
        </is>
      </c>
      <c r="F469" t="n">
        <v>9003510</v>
      </c>
      <c r="G469" t="inlineStr">
        <is>
          <t xml:space="preserve">PANTALON DE VESTIR NEGRO 3         </t>
        </is>
      </c>
      <c r="H469" t="inlineStr">
        <is>
          <t xml:space="preserve">UNIDAD              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s="96">
        <f>_xlfn.XLOOKUP(Tabla5[[#This Row],[EAN CORREGIDO]],'Tabla Articulos'!B:B,'Tabla Articulos'!D:D)</f>
        <v/>
      </c>
      <c r="Q469" s="96">
        <f>_xlfn.XLOOKUP(S469,'Tabla Articulos'!B:B,'Tabla Articulos'!E:E)</f>
        <v/>
      </c>
      <c r="R469" s="96">
        <f>O469*Q469</f>
        <v/>
      </c>
      <c r="S469" s="97">
        <f>TRIM(E469)</f>
        <v/>
      </c>
    </row>
    <row r="470" hidden="1">
      <c r="A470" s="22" t="n">
        <v>1</v>
      </c>
      <c r="B470" t="inlineStr">
        <is>
          <t xml:space="preserve">CD MORENO                     </t>
        </is>
      </c>
      <c r="C470" t="inlineStr">
        <is>
          <t xml:space="preserve">GRUPO L.                      </t>
        </is>
      </c>
      <c r="D470" t="inlineStr">
        <is>
          <t>YOGUR ENTERO FRUTILLA</t>
        </is>
      </c>
      <c r="E470" t="inlineStr">
        <is>
          <t xml:space="preserve">7790787960514       </t>
        </is>
      </c>
      <c r="F470" t="n">
        <v>4018316</v>
      </c>
      <c r="G470" t="inlineStr">
        <is>
          <t xml:space="preserve">YOGUR ENT FRUTILLA X900G ILOLAY    </t>
        </is>
      </c>
      <c r="H470" t="inlineStr">
        <is>
          <t xml:space="preserve">UNIDAD              </t>
        </is>
      </c>
      <c r="I470" t="n">
        <v>34</v>
      </c>
      <c r="J470" t="n">
        <v>0</v>
      </c>
      <c r="K470" t="n">
        <v>0</v>
      </c>
      <c r="L470" t="n">
        <v>12</v>
      </c>
      <c r="M470" t="n">
        <v>12</v>
      </c>
      <c r="N470" t="n">
        <v>0</v>
      </c>
      <c r="O470" t="n">
        <v>10</v>
      </c>
      <c r="P470" s="96">
        <f>_xlfn.XLOOKUP(Tabla5[[#This Row],[EAN CORREGIDO]],'Tabla Articulos'!B:B,'Tabla Articulos'!D:D)</f>
        <v/>
      </c>
      <c r="Q470" s="96">
        <f>_xlfn.XLOOKUP(S470,'Tabla Articulos'!B:B,'Tabla Articulos'!E:E)</f>
        <v/>
      </c>
      <c r="R470" s="96">
        <f>O470*Q470</f>
        <v/>
      </c>
      <c r="S470" s="97">
        <f>TRIM(E470)</f>
        <v/>
      </c>
    </row>
    <row r="471" hidden="1">
      <c r="A471" s="22" t="n">
        <v>6</v>
      </c>
      <c r="B471" t="inlineStr">
        <is>
          <t xml:space="preserve">CDM03 - MORENO 3              </t>
        </is>
      </c>
      <c r="C471" t="inlineStr">
        <is>
          <t xml:space="preserve">GRUPO L.                      </t>
        </is>
      </c>
      <c r="D471" s="11" t="inlineStr">
        <is>
          <t>VASO PLASTICO</t>
        </is>
      </c>
      <c r="E471" t="inlineStr">
        <is>
          <t xml:space="preserve">7790000000675       </t>
        </is>
      </c>
      <c r="F471" t="n">
        <v>2011433</v>
      </c>
      <c r="G471" t="inlineStr">
        <is>
          <t xml:space="preserve">VASO 14OZ POLIP B.CAFE X50U ETISOL </t>
        </is>
      </c>
      <c r="H471" t="inlineStr">
        <is>
          <t xml:space="preserve">UNIDAD              </t>
        </is>
      </c>
      <c r="I471" t="n">
        <v>0</v>
      </c>
      <c r="J471" t="n">
        <v>200</v>
      </c>
      <c r="K471" t="n">
        <v>0</v>
      </c>
      <c r="L471" t="n">
        <v>0</v>
      </c>
      <c r="M471" t="n">
        <v>0</v>
      </c>
      <c r="N471" t="n">
        <v>0</v>
      </c>
      <c r="O471" t="n">
        <v>200</v>
      </c>
      <c r="P471" s="96">
        <f>_xlfn.XLOOKUP(Tabla5[[#This Row],[EAN CORREGIDO]],'Tabla Articulos'!B:B,'Tabla Articulos'!D:D)</f>
        <v/>
      </c>
      <c r="Q471" s="96">
        <f>_xlfn.XLOOKUP(S471,'Tabla Articulos'!B:B,'Tabla Articulos'!E:E)</f>
        <v/>
      </c>
      <c r="R471" s="96">
        <f>O471*Q471</f>
        <v/>
      </c>
      <c r="S471" s="97">
        <f>TRIM(E471)</f>
        <v/>
      </c>
    </row>
    <row r="472" hidden="1">
      <c r="A472" s="22" t="n">
        <v>6</v>
      </c>
      <c r="B472" t="inlineStr">
        <is>
          <t xml:space="preserve">CDM03 - MORENO 3              </t>
        </is>
      </c>
      <c r="C472" t="inlineStr">
        <is>
          <t xml:space="preserve">GRUPO L.                      </t>
        </is>
      </c>
      <c r="D472" t="inlineStr">
        <is>
          <t>TAPA BOWL ECOLOGICA</t>
        </is>
      </c>
      <c r="E472" t="inlineStr">
        <is>
          <t xml:space="preserve">7790000000250       </t>
        </is>
      </c>
      <c r="F472" t="n">
        <v>2007133</v>
      </c>
      <c r="G472" t="inlineStr">
        <is>
          <t xml:space="preserve">TAPA BOWL COMP 17X7 960C X600U     </t>
        </is>
      </c>
      <c r="H472" t="inlineStr">
        <is>
          <t xml:space="preserve">UNIDAD              </t>
        </is>
      </c>
      <c r="I472" t="n">
        <v>15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15</v>
      </c>
      <c r="P472" s="96">
        <f>_xlfn.XLOOKUP(Tabla5[[#This Row],[EAN CORREGIDO]],'Tabla Articulos'!B:B,'Tabla Articulos'!D:D)</f>
        <v/>
      </c>
      <c r="Q472" s="96">
        <f>_xlfn.XLOOKUP(S472,'Tabla Articulos'!B:B,'Tabla Articulos'!E:E)</f>
        <v/>
      </c>
      <c r="R472" s="96">
        <f>O472*Q472</f>
        <v/>
      </c>
      <c r="S472" s="97">
        <f>TRIM(E472)</f>
        <v/>
      </c>
    </row>
    <row r="473" hidden="1">
      <c r="A473" s="22" t="n">
        <v>1</v>
      </c>
      <c r="B473" t="inlineStr">
        <is>
          <t xml:space="preserve">CD MORENO                     </t>
        </is>
      </c>
      <c r="C473" t="inlineStr">
        <is>
          <t xml:space="preserve">GRUPO L.                      </t>
        </is>
      </c>
      <c r="D473" s="11" t="inlineStr">
        <is>
          <t>LECHUGA MORADA</t>
        </is>
      </c>
      <c r="E473" t="inlineStr">
        <is>
          <t xml:space="preserve">7790216012652       </t>
        </is>
      </c>
      <c r="F473" t="n">
        <v>4018033</v>
      </c>
      <c r="G473" t="inlineStr">
        <is>
          <t xml:space="preserve">LECHUGA MORADA X KGS               </t>
        </is>
      </c>
      <c r="H473" t="inlineStr">
        <is>
          <t xml:space="preserve">Kgs                 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3</v>
      </c>
      <c r="P473" s="96">
        <f>_xlfn.XLOOKUP(Tabla5[[#This Row],[EAN CORREGIDO]],'Tabla Articulos'!B:B,'Tabla Articulos'!D:D)</f>
        <v/>
      </c>
      <c r="Q473" s="96">
        <f>_xlfn.XLOOKUP(S473,'Tabla Articulos'!B:B,'Tabla Articulos'!E:E)</f>
        <v/>
      </c>
      <c r="R473" s="96">
        <f>O473*Q473</f>
        <v/>
      </c>
      <c r="S473" s="97">
        <f>TRIM(E473)</f>
        <v/>
      </c>
    </row>
    <row r="474" hidden="1">
      <c r="A474" s="22" t="n">
        <v>6</v>
      </c>
      <c r="B474" t="inlineStr">
        <is>
          <t xml:space="preserve">CDM03 - MORENO 3              </t>
        </is>
      </c>
      <c r="C474" t="inlineStr">
        <is>
          <t xml:space="preserve">GRUPO L.                      </t>
        </is>
      </c>
      <c r="E474" t="inlineStr">
        <is>
          <t xml:space="preserve">UNIF000360          </t>
        </is>
      </c>
      <c r="F474" t="n">
        <v>9003405</v>
      </c>
      <c r="G474" t="inlineStr">
        <is>
          <t xml:space="preserve">DELANT JEANS AZUL (NEG T COLON)    </t>
        </is>
      </c>
      <c r="H474" t="inlineStr">
        <is>
          <t xml:space="preserve">UNIDAD              </t>
        </is>
      </c>
      <c r="I474" t="n">
        <v>200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200</v>
      </c>
      <c r="P474" s="96">
        <f>_xlfn.XLOOKUP(Tabla5[[#This Row],[EAN CORREGIDO]],'Tabla Articulos'!B:B,'Tabla Articulos'!D:D)</f>
        <v/>
      </c>
      <c r="Q474" s="96">
        <f>_xlfn.XLOOKUP(S474,'Tabla Articulos'!B:B,'Tabla Articulos'!E:E)</f>
        <v/>
      </c>
      <c r="R474" s="96">
        <f>O474*Q474</f>
        <v/>
      </c>
      <c r="S474" s="97">
        <f>TRIM(E474)</f>
        <v/>
      </c>
    </row>
    <row r="475" hidden="1">
      <c r="A475" s="22" t="n">
        <v>5</v>
      </c>
      <c r="B475" t="inlineStr">
        <is>
          <t xml:space="preserve">CDM02 - MORENO 2              </t>
        </is>
      </c>
      <c r="C475" t="inlineStr">
        <is>
          <t xml:space="preserve">GRUPO L.                      </t>
        </is>
      </c>
      <c r="D475" t="inlineStr">
        <is>
          <t>ACEITE OLIVA IND</t>
        </is>
      </c>
      <c r="E475" t="inlineStr">
        <is>
          <t xml:space="preserve">7798011976478       </t>
        </is>
      </c>
      <c r="F475" t="n">
        <v>4020278</v>
      </c>
      <c r="G475" t="inlineStr">
        <is>
          <t xml:space="preserve">ACEITE OLIVA IND X198U ABEDUL      </t>
        </is>
      </c>
      <c r="H475" t="inlineStr">
        <is>
          <t xml:space="preserve">UNIDAD              </t>
        </is>
      </c>
      <c r="I475" t="n">
        <v>28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28</v>
      </c>
      <c r="P475" s="96">
        <f>_xlfn.XLOOKUP(Tabla5[[#This Row],[EAN CORREGIDO]],'Tabla Articulos'!B:B,'Tabla Articulos'!D:D)</f>
        <v/>
      </c>
      <c r="Q475" s="96">
        <f>_xlfn.XLOOKUP(S475,'Tabla Articulos'!B:B,'Tabla Articulos'!E:E)</f>
        <v/>
      </c>
      <c r="R475" s="96">
        <f>O475*Q475</f>
        <v/>
      </c>
      <c r="S475" s="97">
        <f>TRIM(E475)</f>
        <v/>
      </c>
    </row>
    <row r="476" hidden="1">
      <c r="A476" s="22" t="n">
        <v>1</v>
      </c>
      <c r="B476" t="inlineStr">
        <is>
          <t xml:space="preserve">CD MORENO                     </t>
        </is>
      </c>
      <c r="C476" t="inlineStr">
        <is>
          <t xml:space="preserve">GRUPO L.                      </t>
        </is>
      </c>
      <c r="D476" t="inlineStr">
        <is>
          <t>COCTAIL COMUN</t>
        </is>
      </c>
      <c r="E476" t="inlineStr">
        <is>
          <t xml:space="preserve">7790696002176       </t>
        </is>
      </c>
      <c r="F476" t="n">
        <v>4076789</v>
      </c>
      <c r="G476" t="inlineStr">
        <is>
          <t xml:space="preserve">COCTEL DE FRUTAS X820G ABETO       </t>
        </is>
      </c>
      <c r="H476" t="inlineStr">
        <is>
          <t xml:space="preserve">UNIDAD              </t>
        </is>
      </c>
      <c r="I476" t="n">
        <v>1312</v>
      </c>
      <c r="J476" t="n">
        <v>0</v>
      </c>
      <c r="K476" t="n">
        <v>0</v>
      </c>
      <c r="L476" t="n">
        <v>24</v>
      </c>
      <c r="M476" t="n">
        <v>24</v>
      </c>
      <c r="N476" t="n">
        <v>0</v>
      </c>
      <c r="O476" t="n">
        <v>1264</v>
      </c>
      <c r="P476" s="96">
        <f>_xlfn.XLOOKUP(Tabla5[[#This Row],[EAN CORREGIDO]],'Tabla Articulos'!B:B,'Tabla Articulos'!D:D)</f>
        <v/>
      </c>
      <c r="Q476" s="96">
        <f>_xlfn.XLOOKUP(S476,'Tabla Articulos'!B:B,'Tabla Articulos'!E:E)</f>
        <v/>
      </c>
      <c r="R476" s="96">
        <f>O476*Q476</f>
        <v/>
      </c>
      <c r="S476" s="97">
        <f>TRIM(E476)</f>
        <v/>
      </c>
    </row>
    <row r="477" hidden="1">
      <c r="A477" s="22" t="n">
        <v>5</v>
      </c>
      <c r="B477" t="inlineStr">
        <is>
          <t xml:space="preserve">CDM02 - MORENO 2              </t>
        </is>
      </c>
      <c r="C477" t="inlineStr">
        <is>
          <t xml:space="preserve">GRUPO L.                      </t>
        </is>
      </c>
      <c r="D477" t="inlineStr">
        <is>
          <t>COCTAIL COMUN</t>
        </is>
      </c>
      <c r="E477" t="inlineStr">
        <is>
          <t xml:space="preserve">7790696002176       </t>
        </is>
      </c>
      <c r="F477" t="n">
        <v>4076789</v>
      </c>
      <c r="G477" t="inlineStr">
        <is>
          <t xml:space="preserve">COCTEL DE FRUTAS X820G ABETO       </t>
        </is>
      </c>
      <c r="H477" t="inlineStr">
        <is>
          <t xml:space="preserve">UNIDAD              </t>
        </is>
      </c>
      <c r="I477" t="n">
        <v>960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960</v>
      </c>
      <c r="P477" s="96">
        <f>_xlfn.XLOOKUP(Tabla5[[#This Row],[EAN CORREGIDO]],'Tabla Articulos'!B:B,'Tabla Articulos'!D:D)</f>
        <v/>
      </c>
      <c r="Q477" s="96">
        <f>_xlfn.XLOOKUP(S477,'Tabla Articulos'!B:B,'Tabla Articulos'!E:E)</f>
        <v/>
      </c>
      <c r="R477" s="96">
        <f>O477*Q477</f>
        <v/>
      </c>
      <c r="S477" s="97">
        <f>TRIM(E477)</f>
        <v/>
      </c>
    </row>
    <row r="478" hidden="1">
      <c r="A478" s="22" t="n">
        <v>1</v>
      </c>
      <c r="B478" t="inlineStr">
        <is>
          <t xml:space="preserve">CD MORENO                     </t>
        </is>
      </c>
      <c r="C478" t="inlineStr">
        <is>
          <t xml:space="preserve">GRUPO L.                      </t>
        </is>
      </c>
      <c r="D478" t="inlineStr">
        <is>
          <t>CARNE ENTERA</t>
        </is>
      </c>
      <c r="E478" t="inlineStr">
        <is>
          <t xml:space="preserve">7790212031247       </t>
        </is>
      </c>
      <c r="F478" t="n">
        <v>4021326</v>
      </c>
      <c r="G478" t="inlineStr">
        <is>
          <t xml:space="preserve">TAPA DE ASADO X KG                 </t>
        </is>
      </c>
      <c r="H478" t="inlineStr">
        <is>
          <t xml:space="preserve">Kgs                 </t>
        </is>
      </c>
      <c r="I478" t="n">
        <v>273.01</v>
      </c>
      <c r="J478" t="n">
        <v>0</v>
      </c>
      <c r="K478" t="n">
        <v>0</v>
      </c>
      <c r="L478" t="n">
        <v>48</v>
      </c>
      <c r="M478" t="n">
        <v>48</v>
      </c>
      <c r="N478" t="n">
        <v>20</v>
      </c>
      <c r="O478" t="n">
        <v>157.01</v>
      </c>
      <c r="P478" s="96">
        <f>_xlfn.XLOOKUP(Tabla5[[#This Row],[EAN CORREGIDO]],'Tabla Articulos'!B:B,'Tabla Articulos'!D:D)</f>
        <v/>
      </c>
      <c r="Q478" s="96">
        <f>_xlfn.XLOOKUP(S478,'Tabla Articulos'!B:B,'Tabla Articulos'!E:E)</f>
        <v/>
      </c>
      <c r="R478" s="96">
        <f>O478*Q478</f>
        <v/>
      </c>
      <c r="S478" s="97">
        <f>TRIM(E478)</f>
        <v/>
      </c>
    </row>
    <row r="479" hidden="1">
      <c r="A479" s="22" t="n">
        <v>5</v>
      </c>
      <c r="B479" t="inlineStr">
        <is>
          <t xml:space="preserve">CDM02 - MORENO 2              </t>
        </is>
      </c>
      <c r="C479" t="inlineStr">
        <is>
          <t xml:space="preserve">GRUPO L.                      </t>
        </is>
      </c>
      <c r="D479" t="inlineStr">
        <is>
          <t>MAYONESA INDIVIDUAL</t>
        </is>
      </c>
      <c r="E479" t="inlineStr">
        <is>
          <t xml:space="preserve">67794000006036      </t>
        </is>
      </c>
      <c r="F479" t="n">
        <v>4023605</v>
      </c>
      <c r="G479" t="inlineStr">
        <is>
          <t xml:space="preserve">MAYONESA X196UN HELLMANNS          </t>
        </is>
      </c>
      <c r="H479" t="inlineStr">
        <is>
          <t xml:space="preserve">UNIDAD              </t>
        </is>
      </c>
      <c r="I479" t="n">
        <v>137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137</v>
      </c>
      <c r="P479" s="96">
        <f>_xlfn.XLOOKUP(Tabla5[[#This Row],[EAN CORREGIDO]],'Tabla Articulos'!B:B,'Tabla Articulos'!D:D)</f>
        <v/>
      </c>
      <c r="Q479" s="96">
        <f>_xlfn.XLOOKUP(S479,'Tabla Articulos'!B:B,'Tabla Articulos'!E:E)</f>
        <v/>
      </c>
      <c r="R479" s="96">
        <f>O479*Q479</f>
        <v/>
      </c>
      <c r="S479" s="97">
        <f>TRIM(E479)</f>
        <v/>
      </c>
    </row>
    <row r="480" hidden="1">
      <c r="A480" s="22" t="n">
        <v>6</v>
      </c>
      <c r="B480" t="inlineStr">
        <is>
          <t xml:space="preserve">CDM03 - MORENO 3              </t>
        </is>
      </c>
      <c r="C480" t="inlineStr">
        <is>
          <t xml:space="preserve">GRUPO L.                      </t>
        </is>
      </c>
      <c r="E480" t="inlineStr">
        <is>
          <t xml:space="preserve">UNIF000522          </t>
        </is>
      </c>
      <c r="F480" t="n">
        <v>9003401</v>
      </c>
      <c r="G480" t="inlineStr">
        <is>
          <t xml:space="preserve">CONJ. PRIMERA PIEL TALLE L S.LOG   </t>
        </is>
      </c>
      <c r="H480" t="inlineStr">
        <is>
          <t xml:space="preserve">UNIDAD              </t>
        </is>
      </c>
      <c r="I480" t="n">
        <v>151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151</v>
      </c>
      <c r="P480" s="96">
        <f>_xlfn.XLOOKUP(Tabla5[[#This Row],[EAN CORREGIDO]],'Tabla Articulos'!B:B,'Tabla Articulos'!D:D)</f>
        <v/>
      </c>
      <c r="Q480" s="96">
        <f>_xlfn.XLOOKUP(S480,'Tabla Articulos'!B:B,'Tabla Articulos'!E:E)</f>
        <v/>
      </c>
      <c r="R480" s="96">
        <f>O480*Q480</f>
        <v/>
      </c>
      <c r="S480" s="97">
        <f>TRIM(E480)</f>
        <v/>
      </c>
    </row>
    <row r="481" hidden="1">
      <c r="A481" s="22" t="n">
        <v>6</v>
      </c>
      <c r="B481" t="inlineStr">
        <is>
          <t xml:space="preserve">CDM03 - MORENO 3              </t>
        </is>
      </c>
      <c r="C481" t="inlineStr">
        <is>
          <t xml:space="preserve">GRUPO L.                      </t>
        </is>
      </c>
      <c r="E481" t="inlineStr">
        <is>
          <t xml:space="preserve">UNIF000297          </t>
        </is>
      </c>
      <c r="F481" t="n">
        <v>9003347</v>
      </c>
      <c r="G481" t="inlineStr">
        <is>
          <t xml:space="preserve">CHOMBA PIQ A.FRANCIA B CAFE H L    </t>
        </is>
      </c>
      <c r="H481" t="inlineStr">
        <is>
          <t xml:space="preserve">UNIDAD              </t>
        </is>
      </c>
      <c r="I481" t="n">
        <v>12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12</v>
      </c>
      <c r="P481" s="96">
        <f>_xlfn.XLOOKUP(Tabla5[[#This Row],[EAN CORREGIDO]],'Tabla Articulos'!B:B,'Tabla Articulos'!D:D)</f>
        <v/>
      </c>
      <c r="Q481" s="96">
        <f>_xlfn.XLOOKUP(S481,'Tabla Articulos'!B:B,'Tabla Articulos'!E:E)</f>
        <v/>
      </c>
      <c r="R481" s="96">
        <f>O481*Q481</f>
        <v/>
      </c>
      <c r="S481" s="97">
        <f>TRIM(E481)</f>
        <v/>
      </c>
    </row>
    <row r="482" hidden="1">
      <c r="A482" s="22" t="n">
        <v>6</v>
      </c>
      <c r="B482" t="inlineStr">
        <is>
          <t xml:space="preserve">CDM03 - MORENO 3              </t>
        </is>
      </c>
      <c r="C482" t="inlineStr">
        <is>
          <t xml:space="preserve">GRUPO L.                      </t>
        </is>
      </c>
      <c r="E482" t="inlineStr">
        <is>
          <t xml:space="preserve">BAZ001308           </t>
        </is>
      </c>
      <c r="F482" t="n">
        <v>9003875</v>
      </c>
      <c r="G482" t="inlineStr">
        <is>
          <t xml:space="preserve">PLATO PLAYO PORC VERB RECT 21C     </t>
        </is>
      </c>
      <c r="H482" t="inlineStr">
        <is>
          <t xml:space="preserve">UNIDAD              </t>
        </is>
      </c>
      <c r="I482" t="n">
        <v>765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765</v>
      </c>
      <c r="P482" s="96">
        <f>_xlfn.XLOOKUP(Tabla5[[#This Row],[EAN CORREGIDO]],'Tabla Articulos'!B:B,'Tabla Articulos'!D:D)</f>
        <v/>
      </c>
      <c r="Q482" s="96">
        <f>_xlfn.XLOOKUP(S482,'Tabla Articulos'!B:B,'Tabla Articulos'!E:E)</f>
        <v/>
      </c>
      <c r="R482" s="96">
        <f>O482*Q482</f>
        <v/>
      </c>
      <c r="S482" s="97">
        <f>TRIM(E482)</f>
        <v/>
      </c>
    </row>
    <row r="483" hidden="1">
      <c r="A483" s="22" t="n">
        <v>6</v>
      </c>
      <c r="B483" t="inlineStr">
        <is>
          <t xml:space="preserve">CDM03 - MORENO 3              </t>
        </is>
      </c>
      <c r="C483" t="inlineStr">
        <is>
          <t xml:space="preserve">GRUPO L.                      </t>
        </is>
      </c>
      <c r="D483" t="inlineStr">
        <is>
          <t>ALCOHOL LIQ</t>
        </is>
      </c>
      <c r="E483" t="inlineStr">
        <is>
          <t xml:space="preserve">7798188651017       </t>
        </is>
      </c>
      <c r="F483" t="n">
        <v>2006575</v>
      </c>
      <c r="G483" t="inlineStr">
        <is>
          <t xml:space="preserve">ALCOHOL X5LT AL 70% THAMES         </t>
        </is>
      </c>
      <c r="H483" t="inlineStr">
        <is>
          <t xml:space="preserve">UNIDAD              </t>
        </is>
      </c>
      <c r="I483" t="n">
        <v>44</v>
      </c>
      <c r="J483" t="n">
        <v>0</v>
      </c>
      <c r="K483" t="n">
        <v>0</v>
      </c>
      <c r="L483" t="n">
        <v>6</v>
      </c>
      <c r="M483" t="n">
        <v>8</v>
      </c>
      <c r="N483" t="n">
        <v>0</v>
      </c>
      <c r="O483" t="n">
        <v>30</v>
      </c>
      <c r="P483" s="96">
        <f>_xlfn.XLOOKUP(Tabla5[[#This Row],[EAN CORREGIDO]],'Tabla Articulos'!B:B,'Tabla Articulos'!D:D)</f>
        <v/>
      </c>
      <c r="Q483" s="96">
        <f>_xlfn.XLOOKUP(S483,'Tabla Articulos'!B:B,'Tabla Articulos'!E:E)</f>
        <v/>
      </c>
      <c r="R483" s="96">
        <f>O483*Q483</f>
        <v/>
      </c>
      <c r="S483" s="97">
        <f>TRIM(E483)</f>
        <v/>
      </c>
    </row>
    <row r="484" hidden="1">
      <c r="A484" s="22" t="n">
        <v>6</v>
      </c>
      <c r="B484" t="inlineStr">
        <is>
          <t xml:space="preserve">CDM03 - MORENO 3              </t>
        </is>
      </c>
      <c r="C484" t="inlineStr">
        <is>
          <t xml:space="preserve">GRUPO L.                      </t>
        </is>
      </c>
      <c r="E484" t="inlineStr">
        <is>
          <t xml:space="preserve">A1607C25T4          </t>
        </is>
      </c>
      <c r="F484" t="n">
        <v>9003026</v>
      </c>
      <c r="G484" t="inlineStr">
        <is>
          <t xml:space="preserve">ZAPATO SEG. NEG. 37 ATT CHUBUT     </t>
        </is>
      </c>
      <c r="H484" t="inlineStr">
        <is>
          <t xml:space="preserve">UNIDAD              </t>
        </is>
      </c>
      <c r="I484" t="n">
        <v>9</v>
      </c>
      <c r="J484" t="n">
        <v>50</v>
      </c>
      <c r="K484" t="n">
        <v>0</v>
      </c>
      <c r="L484" t="n">
        <v>16</v>
      </c>
      <c r="M484" t="n">
        <v>16</v>
      </c>
      <c r="N484" t="n">
        <v>0</v>
      </c>
      <c r="O484" t="n">
        <v>27</v>
      </c>
      <c r="P484" s="96">
        <f>_xlfn.XLOOKUP(Tabla5[[#This Row],[EAN CORREGIDO]],'Tabla Articulos'!B:B,'Tabla Articulos'!D:D)</f>
        <v/>
      </c>
      <c r="Q484" s="96">
        <f>_xlfn.XLOOKUP(S484,'Tabla Articulos'!B:B,'Tabla Articulos'!E:E)</f>
        <v/>
      </c>
      <c r="R484" s="96">
        <f>O484*Q484</f>
        <v/>
      </c>
      <c r="S484" s="97">
        <f>TRIM(E484)</f>
        <v/>
      </c>
    </row>
    <row r="485" hidden="1">
      <c r="A485" s="22" t="n">
        <v>6</v>
      </c>
      <c r="B485" t="inlineStr">
        <is>
          <t xml:space="preserve">CDM03 - MORENO 3              </t>
        </is>
      </c>
      <c r="C485" t="inlineStr">
        <is>
          <t xml:space="preserve">GRUPO L.                      </t>
        </is>
      </c>
      <c r="E485" t="inlineStr">
        <is>
          <t xml:space="preserve">UNIF000158          </t>
        </is>
      </c>
      <c r="F485" t="n">
        <v>9003575</v>
      </c>
      <c r="G485" t="inlineStr">
        <is>
          <t xml:space="preserve">CAMI. BLAN.M. LARG 46 GL SUP       </t>
        </is>
      </c>
      <c r="H485" t="inlineStr">
        <is>
          <t xml:space="preserve">UNIDAD              </t>
        </is>
      </c>
      <c r="I485" t="n">
        <v>19</v>
      </c>
      <c r="J485" t="n">
        <v>0</v>
      </c>
      <c r="K485" t="n">
        <v>0</v>
      </c>
      <c r="L485" t="n">
        <v>2</v>
      </c>
      <c r="M485" t="n">
        <v>2</v>
      </c>
      <c r="N485" t="n">
        <v>0</v>
      </c>
      <c r="O485" t="n">
        <v>15</v>
      </c>
      <c r="P485" s="96">
        <f>_xlfn.XLOOKUP(Tabla5[[#This Row],[EAN CORREGIDO]],'Tabla Articulos'!B:B,'Tabla Articulos'!D:D)</f>
        <v/>
      </c>
      <c r="Q485" s="96">
        <f>_xlfn.XLOOKUP(S485,'Tabla Articulos'!B:B,'Tabla Articulos'!E:E)</f>
        <v/>
      </c>
      <c r="R485" s="96">
        <f>O485*Q485</f>
        <v/>
      </c>
      <c r="S485" s="97">
        <f>TRIM(E485)</f>
        <v/>
      </c>
    </row>
    <row r="486" hidden="1">
      <c r="A486" s="22" t="n">
        <v>6</v>
      </c>
      <c r="B486" t="inlineStr">
        <is>
          <t xml:space="preserve">CDM03 - MORENO 3              </t>
        </is>
      </c>
      <c r="C486" t="inlineStr">
        <is>
          <t xml:space="preserve">GRUPO L.                      </t>
        </is>
      </c>
      <c r="D486" s="11" t="inlineStr">
        <is>
          <t>PAPEL HIGIENICO</t>
        </is>
      </c>
      <c r="E486" t="inlineStr">
        <is>
          <t xml:space="preserve">7793253004440       </t>
        </is>
      </c>
      <c r="F486" t="n">
        <v>2006457</v>
      </c>
      <c r="G486" t="inlineStr">
        <is>
          <t xml:space="preserve">PAPEL HIG BCO PREM 8UX300MTX3.9KG  </t>
        </is>
      </c>
      <c r="H486" t="inlineStr">
        <is>
          <t xml:space="preserve">UNIDAD              </t>
        </is>
      </c>
      <c r="I486" t="n">
        <v>1188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1188</v>
      </c>
      <c r="P486" s="96">
        <f>_xlfn.XLOOKUP(Tabla5[[#This Row],[EAN CORREGIDO]],'Tabla Articulos'!B:B,'Tabla Articulos'!D:D)</f>
        <v/>
      </c>
      <c r="Q486" s="96">
        <f>_xlfn.XLOOKUP(S486,'Tabla Articulos'!B:B,'Tabla Articulos'!E:E)</f>
        <v/>
      </c>
      <c r="R486" s="96">
        <f>O486*Q486</f>
        <v/>
      </c>
      <c r="S486" s="97">
        <f>TRIM(E486)</f>
        <v/>
      </c>
    </row>
    <row r="487" hidden="1">
      <c r="A487" s="22" t="n">
        <v>6</v>
      </c>
      <c r="B487" t="inlineStr">
        <is>
          <t xml:space="preserve">CDM03 - MORENO 3              </t>
        </is>
      </c>
      <c r="C487" t="inlineStr">
        <is>
          <t xml:space="preserve">GRUPO L.                      </t>
        </is>
      </c>
      <c r="E487" t="inlineStr">
        <is>
          <t xml:space="preserve">BAZ001192           </t>
        </is>
      </c>
      <c r="F487" t="n">
        <v>9003843</v>
      </c>
      <c r="G487" t="inlineStr">
        <is>
          <t xml:space="preserve">CUCHARON DE ACERO INOX N° 14       </t>
        </is>
      </c>
      <c r="H487" t="inlineStr">
        <is>
          <t xml:space="preserve">UNIDAD              </t>
        </is>
      </c>
      <c r="I487" t="n">
        <v>31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31</v>
      </c>
      <c r="P487" s="96">
        <f>_xlfn.XLOOKUP(Tabla5[[#This Row],[EAN CORREGIDO]],'Tabla Articulos'!B:B,'Tabla Articulos'!D:D)</f>
        <v/>
      </c>
      <c r="Q487" s="96">
        <f>_xlfn.XLOOKUP(S487,'Tabla Articulos'!B:B,'Tabla Articulos'!E:E)</f>
        <v/>
      </c>
      <c r="R487" s="96">
        <f>O487*Q487</f>
        <v/>
      </c>
      <c r="S487" s="97">
        <f>TRIM(E487)</f>
        <v/>
      </c>
    </row>
    <row r="488" hidden="1">
      <c r="A488" s="22" t="n">
        <v>6</v>
      </c>
      <c r="B488" t="inlineStr">
        <is>
          <t xml:space="preserve">CDM03 - MORENO 3              </t>
        </is>
      </c>
      <c r="C488" t="inlineStr">
        <is>
          <t xml:space="preserve">GRUPO L.                      </t>
        </is>
      </c>
      <c r="E488" t="inlineStr">
        <is>
          <t xml:space="preserve">BAZ001287           </t>
        </is>
      </c>
      <c r="F488" t="n">
        <v>9003771</v>
      </c>
      <c r="G488" t="inlineStr">
        <is>
          <t xml:space="preserve">PINZA GASTRO 23CM PLUS 1.20 MM     </t>
        </is>
      </c>
      <c r="H488" t="inlineStr">
        <is>
          <t xml:space="preserve">UNIDAD              </t>
        </is>
      </c>
      <c r="I488" t="n">
        <v>54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54</v>
      </c>
      <c r="P488" s="96">
        <f>_xlfn.XLOOKUP(Tabla5[[#This Row],[EAN CORREGIDO]],'Tabla Articulos'!B:B,'Tabla Articulos'!D:D)</f>
        <v/>
      </c>
      <c r="Q488" s="96">
        <f>_xlfn.XLOOKUP(S488,'Tabla Articulos'!B:B,'Tabla Articulos'!E:E)</f>
        <v/>
      </c>
      <c r="R488" s="96">
        <f>O488*Q488</f>
        <v/>
      </c>
      <c r="S488" s="97">
        <f>TRIM(E488)</f>
        <v/>
      </c>
    </row>
    <row r="489" hidden="1">
      <c r="A489" s="22" t="n">
        <v>6</v>
      </c>
      <c r="B489" t="inlineStr">
        <is>
          <t xml:space="preserve">CDM03 - MORENO 3              </t>
        </is>
      </c>
      <c r="C489" t="inlineStr">
        <is>
          <t xml:space="preserve">GRUPO L.                      </t>
        </is>
      </c>
      <c r="E489" t="inlineStr">
        <is>
          <t xml:space="preserve">UNIF000040          </t>
        </is>
      </c>
      <c r="F489" t="n">
        <v>9003293</v>
      </c>
      <c r="G489" t="inlineStr">
        <is>
          <t xml:space="preserve">BUZO AZUL ELEVARE M                </t>
        </is>
      </c>
      <c r="H489" t="inlineStr">
        <is>
          <t xml:space="preserve">UNIDAD              </t>
        </is>
      </c>
      <c r="I489" t="n">
        <v>53</v>
      </c>
      <c r="J489" t="n">
        <v>60</v>
      </c>
      <c r="K489" t="n">
        <v>0</v>
      </c>
      <c r="L489" t="n">
        <v>2</v>
      </c>
      <c r="M489" t="n">
        <v>2</v>
      </c>
      <c r="N489" t="n">
        <v>0</v>
      </c>
      <c r="O489" t="n">
        <v>109</v>
      </c>
      <c r="P489" s="96">
        <f>_xlfn.XLOOKUP(Tabla5[[#This Row],[EAN CORREGIDO]],'Tabla Articulos'!B:B,'Tabla Articulos'!D:D)</f>
        <v/>
      </c>
      <c r="Q489" s="96">
        <f>_xlfn.XLOOKUP(S489,'Tabla Articulos'!B:B,'Tabla Articulos'!E:E)</f>
        <v/>
      </c>
      <c r="R489" s="96">
        <f>O489*Q489</f>
        <v/>
      </c>
      <c r="S489" s="97">
        <f>TRIM(E489)</f>
        <v/>
      </c>
    </row>
    <row r="490" hidden="1">
      <c r="A490" s="22" t="n">
        <v>6</v>
      </c>
      <c r="B490" t="inlineStr">
        <is>
          <t xml:space="preserve">CDM03 - MORENO 3              </t>
        </is>
      </c>
      <c r="C490" t="inlineStr">
        <is>
          <t xml:space="preserve">GRUPO L.                      </t>
        </is>
      </c>
      <c r="E490" t="inlineStr">
        <is>
          <t xml:space="preserve">7796322010898       </t>
        </is>
      </c>
      <c r="F490" t="n">
        <v>2011455</v>
      </c>
      <c r="G490" t="inlineStr">
        <is>
          <t xml:space="preserve">GL BALERINA AZUL XUN               </t>
        </is>
      </c>
      <c r="H490" t="inlineStr">
        <is>
          <t xml:space="preserve">UNIDAD              </t>
        </is>
      </c>
      <c r="I490" t="n">
        <v>3401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3401</v>
      </c>
      <c r="P490" s="96">
        <f>_xlfn.XLOOKUP(Tabla5[[#This Row],[EAN CORREGIDO]],'Tabla Articulos'!B:B,'Tabla Articulos'!D:D)</f>
        <v/>
      </c>
      <c r="Q490" s="96">
        <f>_xlfn.XLOOKUP(S490,'Tabla Articulos'!B:B,'Tabla Articulos'!E:E)</f>
        <v/>
      </c>
      <c r="R490" s="96">
        <f>O490*Q490</f>
        <v/>
      </c>
      <c r="S490" s="97">
        <f>TRIM(E490)</f>
        <v/>
      </c>
    </row>
    <row r="491" hidden="1">
      <c r="A491" s="22" t="n">
        <v>6</v>
      </c>
      <c r="B491" t="inlineStr">
        <is>
          <t xml:space="preserve">CDM03 - MORENO 3              </t>
        </is>
      </c>
      <c r="C491" t="inlineStr">
        <is>
          <t xml:space="preserve">GRUPO L.                      </t>
        </is>
      </c>
      <c r="E491" t="inlineStr">
        <is>
          <t xml:space="preserve">LIM000422           </t>
        </is>
      </c>
      <c r="F491" t="n">
        <v>2006922</v>
      </c>
      <c r="G491" t="inlineStr">
        <is>
          <t xml:space="preserve">ARMAZON P/MOPA DE BARRIDO 60 C     </t>
        </is>
      </c>
      <c r="H491" t="inlineStr">
        <is>
          <t xml:space="preserve">UNIDAD              </t>
        </is>
      </c>
      <c r="I491" t="n">
        <v>37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37</v>
      </c>
      <c r="P491" s="96">
        <f>_xlfn.XLOOKUP(Tabla5[[#This Row],[EAN CORREGIDO]],'Tabla Articulos'!B:B,'Tabla Articulos'!D:D)</f>
        <v/>
      </c>
      <c r="Q491" s="96">
        <f>_xlfn.XLOOKUP(S491,'Tabla Articulos'!B:B,'Tabla Articulos'!E:E)</f>
        <v/>
      </c>
      <c r="R491" s="96">
        <f>O491*Q491</f>
        <v/>
      </c>
      <c r="S491" s="97">
        <f>TRIM(E491)</f>
        <v/>
      </c>
    </row>
    <row r="492" hidden="1">
      <c r="A492" s="22" t="n">
        <v>6</v>
      </c>
      <c r="B492" t="inlineStr">
        <is>
          <t xml:space="preserve">CDM03 - MORENO 3              </t>
        </is>
      </c>
      <c r="C492" t="inlineStr">
        <is>
          <t xml:space="preserve">GRUPO L.                      </t>
        </is>
      </c>
      <c r="E492" t="inlineStr">
        <is>
          <t xml:space="preserve">BAZ001158           </t>
        </is>
      </c>
      <c r="F492" t="n">
        <v>9003832</v>
      </c>
      <c r="G492" t="inlineStr">
        <is>
          <t xml:space="preserve">PLA PLAYO VERBANO RECT 25 CHEF G   </t>
        </is>
      </c>
      <c r="H492" t="inlineStr">
        <is>
          <t xml:space="preserve">UNIDAD              </t>
        </is>
      </c>
      <c r="I492" t="n">
        <v>1365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1365</v>
      </c>
      <c r="P492" s="96">
        <f>_xlfn.XLOOKUP(Tabla5[[#This Row],[EAN CORREGIDO]],'Tabla Articulos'!B:B,'Tabla Articulos'!D:D)</f>
        <v/>
      </c>
      <c r="Q492" s="96">
        <f>_xlfn.XLOOKUP(S492,'Tabla Articulos'!B:B,'Tabla Articulos'!E:E)</f>
        <v/>
      </c>
      <c r="R492" s="96">
        <f>O492*Q492</f>
        <v/>
      </c>
      <c r="S492" s="97">
        <f>TRIM(E492)</f>
        <v/>
      </c>
    </row>
    <row r="493" hidden="1">
      <c r="A493" s="22" t="n">
        <v>1</v>
      </c>
      <c r="B493" t="inlineStr">
        <is>
          <t xml:space="preserve">CD MORENO                     </t>
        </is>
      </c>
      <c r="C493" t="inlineStr">
        <is>
          <t xml:space="preserve">GRUPO L.                      </t>
        </is>
      </c>
      <c r="D493" s="11" t="inlineStr">
        <is>
          <t xml:space="preserve">REPOLLO COLORADO  </t>
        </is>
      </c>
      <c r="E493" t="inlineStr">
        <is>
          <t xml:space="preserve">7790216012656       </t>
        </is>
      </c>
      <c r="F493" t="n">
        <v>4018034</v>
      </c>
      <c r="G493" t="inlineStr">
        <is>
          <t xml:space="preserve">REPOLLO COLORADO X KG              </t>
        </is>
      </c>
      <c r="H493" t="inlineStr">
        <is>
          <t xml:space="preserve">Kgs                 </t>
        </is>
      </c>
      <c r="I493" t="n">
        <v>28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28</v>
      </c>
      <c r="P493" s="96">
        <f>_xlfn.XLOOKUP(Tabla5[[#This Row],[EAN CORREGIDO]],'Tabla Articulos'!B:B,'Tabla Articulos'!D:D)</f>
        <v/>
      </c>
      <c r="Q493" s="96">
        <f>_xlfn.XLOOKUP(S493,'Tabla Articulos'!B:B,'Tabla Articulos'!E:E)</f>
        <v/>
      </c>
      <c r="R493" s="96">
        <f>O493*Q493</f>
        <v/>
      </c>
      <c r="S493" s="97">
        <f>TRIM(E493)</f>
        <v/>
      </c>
    </row>
    <row r="494" hidden="1">
      <c r="A494" s="22" t="n">
        <v>6</v>
      </c>
      <c r="B494" t="inlineStr">
        <is>
          <t xml:space="preserve">CDM03 - MORENO 3              </t>
        </is>
      </c>
      <c r="C494" t="inlineStr">
        <is>
          <t xml:space="preserve">GRUPO L.                      </t>
        </is>
      </c>
      <c r="E494" t="inlineStr">
        <is>
          <t xml:space="preserve">7790000000508       </t>
        </is>
      </c>
      <c r="F494" t="n">
        <v>2007542</v>
      </c>
      <c r="G494" t="inlineStr">
        <is>
          <t xml:space="preserve">SUJETA MOPA XUN MPROPIA            </t>
        </is>
      </c>
      <c r="H494" t="inlineStr">
        <is>
          <t xml:space="preserve">UNIDAD              </t>
        </is>
      </c>
      <c r="I494" t="n">
        <v>15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15</v>
      </c>
      <c r="P494" s="96">
        <f>_xlfn.XLOOKUP(Tabla5[[#This Row],[EAN CORREGIDO]],'Tabla Articulos'!B:B,'Tabla Articulos'!D:D)</f>
        <v/>
      </c>
      <c r="Q494" s="96">
        <f>_xlfn.XLOOKUP(S494,'Tabla Articulos'!B:B,'Tabla Articulos'!E:E)</f>
        <v/>
      </c>
      <c r="R494" s="96">
        <f>O494*Q494</f>
        <v/>
      </c>
      <c r="S494" s="97">
        <f>TRIM(E494)</f>
        <v/>
      </c>
    </row>
    <row r="495" hidden="1">
      <c r="A495" s="22" t="n">
        <v>6</v>
      </c>
      <c r="B495" t="inlineStr">
        <is>
          <t xml:space="preserve">CDM03 - MORENO 3              </t>
        </is>
      </c>
      <c r="C495" t="inlineStr">
        <is>
          <t xml:space="preserve">GRUPO L.                      </t>
        </is>
      </c>
      <c r="E495" t="inlineStr">
        <is>
          <t xml:space="preserve">UNIF000203          </t>
        </is>
      </c>
      <c r="F495" t="n">
        <v>9003443</v>
      </c>
      <c r="G495" t="inlineStr">
        <is>
          <t xml:space="preserve">PANTA. CARGO NEGRO 60 GL SUPPORT   </t>
        </is>
      </c>
      <c r="H495" t="inlineStr">
        <is>
          <t xml:space="preserve">UNIDAD              </t>
        </is>
      </c>
      <c r="I495" t="n">
        <v>27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27</v>
      </c>
      <c r="P495" s="96">
        <f>_xlfn.XLOOKUP(Tabla5[[#This Row],[EAN CORREGIDO]],'Tabla Articulos'!B:B,'Tabla Articulos'!D:D)</f>
        <v/>
      </c>
      <c r="Q495" s="96">
        <f>_xlfn.XLOOKUP(S495,'Tabla Articulos'!B:B,'Tabla Articulos'!E:E)</f>
        <v/>
      </c>
      <c r="R495" s="96">
        <f>O495*Q495</f>
        <v/>
      </c>
      <c r="S495" s="97">
        <f>TRIM(E495)</f>
        <v/>
      </c>
    </row>
    <row r="496" hidden="1">
      <c r="A496" s="22" t="n">
        <v>5</v>
      </c>
      <c r="B496" t="inlineStr">
        <is>
          <t xml:space="preserve">CDM02 - MORENO 2              </t>
        </is>
      </c>
      <c r="C496" t="inlineStr">
        <is>
          <t xml:space="preserve">GRUPO L.                      </t>
        </is>
      </c>
      <c r="D496" t="inlineStr">
        <is>
          <t>LECHE LV ENTERA</t>
        </is>
      </c>
      <c r="E496" t="inlineStr">
        <is>
          <t xml:space="preserve">7791058000731       </t>
        </is>
      </c>
      <c r="F496" t="n">
        <v>4018179</v>
      </c>
      <c r="G496" t="inlineStr">
        <is>
          <t xml:space="preserve">LECHE ENTERA LV X 1 L MANFREY      </t>
        </is>
      </c>
      <c r="H496" t="inlineStr">
        <is>
          <t xml:space="preserve">UNIDAD              </t>
        </is>
      </c>
      <c r="I496" t="n">
        <v>108447</v>
      </c>
      <c r="J496" t="n">
        <v>25920</v>
      </c>
      <c r="K496" t="n">
        <v>0</v>
      </c>
      <c r="L496" t="n">
        <v>92</v>
      </c>
      <c r="M496" t="n">
        <v>92</v>
      </c>
      <c r="N496" t="n">
        <v>0</v>
      </c>
      <c r="O496" t="n">
        <v>134183</v>
      </c>
      <c r="P496" s="96">
        <f>_xlfn.XLOOKUP(Tabla5[[#This Row],[EAN CORREGIDO]],'Tabla Articulos'!B:B,'Tabla Articulos'!D:D)</f>
        <v/>
      </c>
      <c r="Q496" s="96">
        <f>_xlfn.XLOOKUP(S496,'Tabla Articulos'!B:B,'Tabla Articulos'!E:E)</f>
        <v/>
      </c>
      <c r="R496" s="96">
        <f>O496*Q496</f>
        <v/>
      </c>
      <c r="S496" s="97">
        <f>TRIM(E496)</f>
        <v/>
      </c>
    </row>
    <row r="497" hidden="1">
      <c r="A497" s="22" t="n">
        <v>1</v>
      </c>
      <c r="B497" t="inlineStr">
        <is>
          <t xml:space="preserve">CD MORENO                     </t>
        </is>
      </c>
      <c r="C497" t="inlineStr">
        <is>
          <t xml:space="preserve">GRUPO L.                      </t>
        </is>
      </c>
      <c r="D497" s="11" t="inlineStr">
        <is>
          <t>LECHE LV ENTERA</t>
        </is>
      </c>
      <c r="E497" t="inlineStr">
        <is>
          <t xml:space="preserve">7791058000731       </t>
        </is>
      </c>
      <c r="F497" t="n">
        <v>4018179</v>
      </c>
      <c r="G497" t="inlineStr">
        <is>
          <t xml:space="preserve">LECHE ENTERA LV X 1 L MANFREY      </t>
        </is>
      </c>
      <c r="H497" t="inlineStr">
        <is>
          <t xml:space="preserve">UNIDAD              </t>
        </is>
      </c>
      <c r="I497" t="n">
        <v>36941</v>
      </c>
      <c r="J497" t="n">
        <v>1089</v>
      </c>
      <c r="K497" t="n">
        <v>0</v>
      </c>
      <c r="L497" t="n">
        <v>67</v>
      </c>
      <c r="M497" t="n">
        <v>67</v>
      </c>
      <c r="N497" t="n">
        <v>0</v>
      </c>
      <c r="O497" t="n">
        <v>37896</v>
      </c>
      <c r="P497" s="96">
        <f>_xlfn.XLOOKUP(Tabla5[[#This Row],[EAN CORREGIDO]],'Tabla Articulos'!B:B,'Tabla Articulos'!D:D)</f>
        <v/>
      </c>
      <c r="Q497" s="96">
        <f>_xlfn.XLOOKUP(S497,'Tabla Articulos'!B:B,'Tabla Articulos'!E:E)</f>
        <v/>
      </c>
      <c r="R497" s="96">
        <f>O497*Q497</f>
        <v/>
      </c>
      <c r="S497" s="97">
        <f>TRIM(E497)</f>
        <v/>
      </c>
    </row>
    <row r="498" hidden="1">
      <c r="A498" s="22" t="n">
        <v>5</v>
      </c>
      <c r="B498" t="inlineStr">
        <is>
          <t xml:space="preserve">CDM02 - MORENO 2              </t>
        </is>
      </c>
      <c r="C498" t="inlineStr">
        <is>
          <t xml:space="preserve">GRUPO L.                      </t>
        </is>
      </c>
      <c r="D498" t="inlineStr">
        <is>
          <t xml:space="preserve">AJO </t>
        </is>
      </c>
      <c r="E498" t="inlineStr">
        <is>
          <t xml:space="preserve">7790616077936       </t>
        </is>
      </c>
      <c r="F498" t="n">
        <v>4018090</v>
      </c>
      <c r="G498" t="inlineStr">
        <is>
          <t xml:space="preserve">AJO XKG                            </t>
        </is>
      </c>
      <c r="H498" t="inlineStr">
        <is>
          <t xml:space="preserve">Kgs                 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2</v>
      </c>
      <c r="P498" s="96">
        <f>_xlfn.XLOOKUP(Tabla5[[#This Row],[EAN CORREGIDO]],'Tabla Articulos'!B:B,'Tabla Articulos'!D:D)</f>
        <v/>
      </c>
      <c r="Q498" s="96">
        <f>_xlfn.XLOOKUP(S498,'Tabla Articulos'!B:B,'Tabla Articulos'!E:E)</f>
        <v/>
      </c>
      <c r="R498" s="96">
        <f>O498*Q498</f>
        <v/>
      </c>
      <c r="S498" s="97">
        <f>TRIM(E498)</f>
        <v/>
      </c>
    </row>
    <row r="499" hidden="1">
      <c r="A499" s="22" t="n">
        <v>6</v>
      </c>
      <c r="B499" t="inlineStr">
        <is>
          <t xml:space="preserve">CDM03 - MORENO 3              </t>
        </is>
      </c>
      <c r="C499" t="inlineStr">
        <is>
          <t xml:space="preserve">GRUPO L.                      </t>
        </is>
      </c>
      <c r="E499" t="inlineStr">
        <is>
          <t xml:space="preserve">5001650             </t>
        </is>
      </c>
      <c r="F499" t="n">
        <v>5001650</v>
      </c>
      <c r="G499" t="inlineStr">
        <is>
          <t xml:space="preserve">CHALECO REFLECTIVO NARANJA         </t>
        </is>
      </c>
      <c r="H499" t="inlineStr">
        <is>
          <t xml:space="preserve">UNIDAD              </t>
        </is>
      </c>
      <c r="I499" t="n">
        <v>208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208</v>
      </c>
      <c r="P499" s="96">
        <f>_xlfn.XLOOKUP(Tabla5[[#This Row],[EAN CORREGIDO]],'Tabla Articulos'!B:B,'Tabla Articulos'!D:D)</f>
        <v/>
      </c>
      <c r="Q499" s="96">
        <f>_xlfn.XLOOKUP(S499,'Tabla Articulos'!B:B,'Tabla Articulos'!E:E)</f>
        <v/>
      </c>
      <c r="R499" s="96">
        <f>O499*Q499</f>
        <v/>
      </c>
      <c r="S499" s="97">
        <f>TRIM(E499)</f>
        <v/>
      </c>
    </row>
    <row r="500" hidden="1">
      <c r="A500" s="22" t="n">
        <v>6</v>
      </c>
      <c r="B500" t="inlineStr">
        <is>
          <t xml:space="preserve">CDM03 - MORENO 3              </t>
        </is>
      </c>
      <c r="C500" t="inlineStr">
        <is>
          <t xml:space="preserve">GRUPO L.                      </t>
        </is>
      </c>
      <c r="D500" t="inlineStr">
        <is>
          <t>BAND ALUMINIO R5</t>
        </is>
      </c>
      <c r="E500" t="inlineStr">
        <is>
          <t xml:space="preserve">7790321020066       </t>
        </is>
      </c>
      <c r="F500" t="n">
        <v>2006795</v>
      </c>
      <c r="G500" t="inlineStr">
        <is>
          <t xml:space="preserve">BAND ALUM R5/F2100 X 600 U VASSOI  </t>
        </is>
      </c>
      <c r="H500" t="inlineStr">
        <is>
          <t xml:space="preserve">UNIDAD              </t>
        </is>
      </c>
      <c r="I500" t="n">
        <v>457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457</v>
      </c>
      <c r="P500" s="96">
        <f>_xlfn.XLOOKUP(Tabla5[[#This Row],[EAN CORREGIDO]],'Tabla Articulos'!B:B,'Tabla Articulos'!D:D)</f>
        <v/>
      </c>
      <c r="Q500" s="96">
        <f>_xlfn.XLOOKUP(S500,'Tabla Articulos'!B:B,'Tabla Articulos'!E:E)</f>
        <v/>
      </c>
      <c r="R500" s="96">
        <f>O500*Q500</f>
        <v/>
      </c>
      <c r="S500" s="97">
        <f>TRIM(E500)</f>
        <v/>
      </c>
    </row>
    <row r="501" hidden="1">
      <c r="A501" s="22" t="n">
        <v>5</v>
      </c>
      <c r="B501" t="inlineStr">
        <is>
          <t xml:space="preserve">CDM02 - MORENO 2              </t>
        </is>
      </c>
      <c r="C501" t="inlineStr">
        <is>
          <t xml:space="preserve">GRUPO L.                      </t>
        </is>
      </c>
      <c r="D501" s="11" t="inlineStr">
        <is>
          <t>ARVEJA PARTIDA</t>
        </is>
      </c>
      <c r="E501" t="inlineStr">
        <is>
          <t xml:space="preserve">7798144480569       </t>
        </is>
      </c>
      <c r="F501" t="n">
        <v>4049072</v>
      </c>
      <c r="G501" t="inlineStr">
        <is>
          <t xml:space="preserve">ARVEJAS SECAS 400GR ETNIA          </t>
        </is>
      </c>
      <c r="H501" t="inlineStr">
        <is>
          <t xml:space="preserve">UNIDAD              </t>
        </is>
      </c>
      <c r="I501" t="n">
        <v>29573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29573</v>
      </c>
      <c r="P501" s="96">
        <f>_xlfn.XLOOKUP(Tabla5[[#This Row],[EAN CORREGIDO]],'Tabla Articulos'!B:B,'Tabla Articulos'!D:D)</f>
        <v/>
      </c>
      <c r="Q501" s="96">
        <f>_xlfn.XLOOKUP(S501,'Tabla Articulos'!B:B,'Tabla Articulos'!E:E)</f>
        <v/>
      </c>
      <c r="R501" s="96">
        <f>O501*Q501</f>
        <v/>
      </c>
      <c r="S501" s="97">
        <f>TRIM(E501)</f>
        <v/>
      </c>
    </row>
    <row r="502" hidden="1">
      <c r="A502" s="22" t="n">
        <v>1</v>
      </c>
      <c r="B502" t="inlineStr">
        <is>
          <t xml:space="preserve">CD MORENO                     </t>
        </is>
      </c>
      <c r="C502" t="inlineStr">
        <is>
          <t xml:space="preserve">GRUPO L.                      </t>
        </is>
      </c>
      <c r="D502" t="inlineStr">
        <is>
          <t>HUEVO</t>
        </is>
      </c>
      <c r="E502" t="inlineStr">
        <is>
          <t xml:space="preserve">7790000000618       </t>
        </is>
      </c>
      <c r="F502" t="n">
        <v>4048918</v>
      </c>
      <c r="G502" t="inlineStr">
        <is>
          <t xml:space="preserve">HUEVO FRESCO X180U                 </t>
        </is>
      </c>
      <c r="H502" t="inlineStr">
        <is>
          <t xml:space="preserve">UNIDAD              </t>
        </is>
      </c>
      <c r="I502" t="n">
        <v>4</v>
      </c>
      <c r="J502" t="n">
        <v>0</v>
      </c>
      <c r="K502" t="n">
        <v>0</v>
      </c>
      <c r="L502" t="n">
        <v>1</v>
      </c>
      <c r="M502" t="n">
        <v>1</v>
      </c>
      <c r="N502" t="n">
        <v>0</v>
      </c>
      <c r="O502" t="n">
        <v>2</v>
      </c>
      <c r="P502" s="96">
        <f>_xlfn.XLOOKUP(Tabla5[[#This Row],[EAN CORREGIDO]],'Tabla Articulos'!B:B,'Tabla Articulos'!D:D)</f>
        <v/>
      </c>
      <c r="Q502" s="96">
        <f>_xlfn.XLOOKUP(S502,'Tabla Articulos'!B:B,'Tabla Articulos'!E:E)</f>
        <v/>
      </c>
      <c r="R502" s="96">
        <f>O502*Q502</f>
        <v/>
      </c>
      <c r="S502" s="97">
        <f>TRIM(E502)</f>
        <v/>
      </c>
    </row>
    <row r="503" hidden="1">
      <c r="A503" s="22" t="n">
        <v>5</v>
      </c>
      <c r="B503" t="inlineStr">
        <is>
          <t xml:space="preserve">CDM02 - MORENO 2              </t>
        </is>
      </c>
      <c r="C503" t="inlineStr">
        <is>
          <t xml:space="preserve">GRUPO L.                      </t>
        </is>
      </c>
      <c r="D503" s="11" t="inlineStr">
        <is>
          <t>CAJAS CARTON</t>
        </is>
      </c>
      <c r="E503" t="inlineStr">
        <is>
          <t xml:space="preserve">7795323141172       </t>
        </is>
      </c>
      <c r="F503" t="n">
        <v>2006279</v>
      </c>
      <c r="G503" t="inlineStr">
        <is>
          <t xml:space="preserve">CAJA 30X28X26 LOGO LANUS 2024      </t>
        </is>
      </c>
      <c r="H503" t="inlineStr">
        <is>
          <t xml:space="preserve">UNIDAD              </t>
        </is>
      </c>
      <c r="I503" t="n">
        <v>16576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16576</v>
      </c>
      <c r="P503" s="96">
        <f>_xlfn.XLOOKUP(Tabla5[[#This Row],[EAN CORREGIDO]],'Tabla Articulos'!B:B,'Tabla Articulos'!D:D)</f>
        <v/>
      </c>
      <c r="Q503" s="96">
        <f>_xlfn.XLOOKUP(S503,'Tabla Articulos'!B:B,'Tabla Articulos'!E:E)</f>
        <v/>
      </c>
      <c r="R503" s="96">
        <f>O503*Q503</f>
        <v/>
      </c>
      <c r="S503" s="97">
        <f>TRIM(E503)</f>
        <v/>
      </c>
    </row>
    <row r="504" hidden="1">
      <c r="A504" s="22" t="n">
        <v>6</v>
      </c>
      <c r="B504" t="inlineStr">
        <is>
          <t xml:space="preserve">CDM03 - MORENO 3              </t>
        </is>
      </c>
      <c r="C504" t="inlineStr">
        <is>
          <t xml:space="preserve">GRUPO L.                      </t>
        </is>
      </c>
      <c r="D504" t="inlineStr">
        <is>
          <t>DISPENSER JABON</t>
        </is>
      </c>
      <c r="E504" t="inlineStr">
        <is>
          <t xml:space="preserve">BAZ000376           </t>
        </is>
      </c>
      <c r="F504" t="n">
        <v>5003011</v>
      </c>
      <c r="G504" t="inlineStr">
        <is>
          <t xml:space="preserve">DISPENSER JABON LIQUIDO X UN       </t>
        </is>
      </c>
      <c r="H504" t="inlineStr">
        <is>
          <t xml:space="preserve">UNIDAD              </t>
        </is>
      </c>
      <c r="I504" t="n">
        <v>35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35</v>
      </c>
      <c r="P504" s="96">
        <f>_xlfn.XLOOKUP(Tabla5[[#This Row],[EAN CORREGIDO]],'Tabla Articulos'!B:B,'Tabla Articulos'!D:D)</f>
        <v/>
      </c>
      <c r="Q504" s="96">
        <f>_xlfn.XLOOKUP(S504,'Tabla Articulos'!B:B,'Tabla Articulos'!E:E)</f>
        <v/>
      </c>
      <c r="R504" s="96">
        <f>O504*Q504</f>
        <v/>
      </c>
      <c r="S504" s="97">
        <f>TRIM(E504)</f>
        <v/>
      </c>
    </row>
    <row r="505" hidden="1">
      <c r="A505" s="22" t="n">
        <v>1</v>
      </c>
      <c r="B505" t="inlineStr">
        <is>
          <t xml:space="preserve">CD MORENO                     </t>
        </is>
      </c>
      <c r="C505" t="inlineStr">
        <is>
          <t xml:space="preserve">GRUPO L.                      </t>
        </is>
      </c>
      <c r="D505" t="inlineStr">
        <is>
          <t>PULPA PERA</t>
        </is>
      </c>
      <c r="E505" t="inlineStr">
        <is>
          <t xml:space="preserve">7798262020234       </t>
        </is>
      </c>
      <c r="F505" t="n">
        <v>4023926</v>
      </c>
      <c r="G505" t="inlineStr">
        <is>
          <t xml:space="preserve">JUGO PERA PULPA X110CC ZUMMY       </t>
        </is>
      </c>
      <c r="H505" t="inlineStr">
        <is>
          <t xml:space="preserve">UNIDAD              </t>
        </is>
      </c>
      <c r="I505" t="n">
        <v>65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65</v>
      </c>
      <c r="P505" s="96">
        <f>_xlfn.XLOOKUP(Tabla5[[#This Row],[EAN CORREGIDO]],'Tabla Articulos'!B:B,'Tabla Articulos'!D:D)</f>
        <v/>
      </c>
      <c r="Q505" s="96">
        <f>_xlfn.XLOOKUP(S505,'Tabla Articulos'!B:B,'Tabla Articulos'!E:E)</f>
        <v/>
      </c>
      <c r="R505" s="96">
        <f>O505*Q505</f>
        <v/>
      </c>
      <c r="S505" s="97">
        <f>TRIM(E505)</f>
        <v/>
      </c>
    </row>
    <row r="506" hidden="1">
      <c r="A506" s="22" t="n">
        <v>6</v>
      </c>
      <c r="B506" t="inlineStr">
        <is>
          <t xml:space="preserve">CDM03 - MORENO 3              </t>
        </is>
      </c>
      <c r="C506" t="inlineStr">
        <is>
          <t xml:space="preserve">GRUPO L.                      </t>
        </is>
      </c>
      <c r="D506" s="11" t="n"/>
      <c r="E506" t="inlineStr">
        <is>
          <t xml:space="preserve">7790000000680       </t>
        </is>
      </c>
      <c r="F506" t="n">
        <v>2011465</v>
      </c>
      <c r="G506" t="inlineStr">
        <is>
          <t xml:space="preserve">GL GUANTE MOTEADO                  </t>
        </is>
      </c>
      <c r="H506" t="inlineStr">
        <is>
          <t xml:space="preserve">UNIDAD              </t>
        </is>
      </c>
      <c r="I506" t="n">
        <v>1911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1911</v>
      </c>
      <c r="P506" s="96">
        <f>_xlfn.XLOOKUP(Tabla5[[#This Row],[EAN CORREGIDO]],'Tabla Articulos'!B:B,'Tabla Articulos'!D:D)</f>
        <v/>
      </c>
      <c r="Q506" s="96">
        <f>_xlfn.XLOOKUP(S506,'Tabla Articulos'!B:B,'Tabla Articulos'!E:E)</f>
        <v/>
      </c>
      <c r="R506" s="96">
        <f>O506*Q506</f>
        <v/>
      </c>
      <c r="S506" s="97">
        <f>TRIM(E506)</f>
        <v/>
      </c>
    </row>
    <row r="507" hidden="1">
      <c r="A507" s="22" t="n">
        <v>6</v>
      </c>
      <c r="B507" t="inlineStr">
        <is>
          <t xml:space="preserve">CDM03 - MORENO 3              </t>
        </is>
      </c>
      <c r="C507" t="inlineStr">
        <is>
          <t xml:space="preserve">GRUPO L.                      </t>
        </is>
      </c>
      <c r="E507" t="inlineStr">
        <is>
          <t xml:space="preserve">BAZ001370           </t>
        </is>
      </c>
      <c r="F507" t="n">
        <v>9003809</v>
      </c>
      <c r="G507" t="inlineStr">
        <is>
          <t xml:space="preserve">TAPA G/N AC INOX 1/2 325/265 MM    </t>
        </is>
      </c>
      <c r="H507" t="inlineStr">
        <is>
          <t xml:space="preserve">UNIDAD              </t>
        </is>
      </c>
      <c r="I507" t="n">
        <v>13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13</v>
      </c>
      <c r="P507" s="96">
        <f>_xlfn.XLOOKUP(Tabla5[[#This Row],[EAN CORREGIDO]],'Tabla Articulos'!B:B,'Tabla Articulos'!D:D)</f>
        <v/>
      </c>
      <c r="Q507" s="96">
        <f>_xlfn.XLOOKUP(S507,'Tabla Articulos'!B:B,'Tabla Articulos'!E:E)</f>
        <v/>
      </c>
      <c r="R507" s="96">
        <f>O507*Q507</f>
        <v/>
      </c>
      <c r="S507" s="97">
        <f>TRIM(E507)</f>
        <v/>
      </c>
    </row>
    <row r="508" hidden="1">
      <c r="A508" s="22" t="n">
        <v>6</v>
      </c>
      <c r="B508" t="inlineStr">
        <is>
          <t xml:space="preserve">CDM03 - MORENO 3              </t>
        </is>
      </c>
      <c r="C508" t="inlineStr">
        <is>
          <t xml:space="preserve">GRUPO L.                      </t>
        </is>
      </c>
      <c r="E508" t="inlineStr">
        <is>
          <t xml:space="preserve">UNIF000495          </t>
        </is>
      </c>
      <c r="F508" t="n">
        <v>9003583</v>
      </c>
      <c r="G508" t="inlineStr">
        <is>
          <t xml:space="preserve">CAMI GRIS CAMAR. RET. T48 C GOUR   </t>
        </is>
      </c>
      <c r="H508" t="inlineStr">
        <is>
          <t xml:space="preserve">UNIDAD              </t>
        </is>
      </c>
      <c r="I508" t="n">
        <v>17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17</v>
      </c>
      <c r="P508" s="96">
        <f>_xlfn.XLOOKUP(Tabla5[[#This Row],[EAN CORREGIDO]],'Tabla Articulos'!B:B,'Tabla Articulos'!D:D)</f>
        <v/>
      </c>
      <c r="Q508" s="96">
        <f>_xlfn.XLOOKUP(S508,'Tabla Articulos'!B:B,'Tabla Articulos'!E:E)</f>
        <v/>
      </c>
      <c r="R508" s="96">
        <f>O508*Q508</f>
        <v/>
      </c>
      <c r="S508" s="97">
        <f>TRIM(E508)</f>
        <v/>
      </c>
    </row>
    <row r="509" hidden="1">
      <c r="A509" s="22" t="n">
        <v>6</v>
      </c>
      <c r="B509" t="inlineStr">
        <is>
          <t xml:space="preserve">CDM03 - MORENO 3              </t>
        </is>
      </c>
      <c r="C509" t="inlineStr">
        <is>
          <t xml:space="preserve">GRUPO L.                      </t>
        </is>
      </c>
      <c r="E509" t="inlineStr">
        <is>
          <t xml:space="preserve">UNIF000463          </t>
        </is>
      </c>
      <c r="F509" t="n">
        <v>9003235</v>
      </c>
      <c r="G509" t="inlineStr">
        <is>
          <t xml:space="preserve">PANTALON GRAF S. LOGO VERD 42      </t>
        </is>
      </c>
      <c r="H509" t="inlineStr">
        <is>
          <t xml:space="preserve">UNIDAD              </t>
        </is>
      </c>
      <c r="I509" t="n">
        <v>19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19</v>
      </c>
      <c r="P509" s="96">
        <f>_xlfn.XLOOKUP(Tabla5[[#This Row],[EAN CORREGIDO]],'Tabla Articulos'!B:B,'Tabla Articulos'!D:D)</f>
        <v/>
      </c>
      <c r="Q509" s="96">
        <f>_xlfn.XLOOKUP(S509,'Tabla Articulos'!B:B,'Tabla Articulos'!E:E)</f>
        <v/>
      </c>
      <c r="R509" s="96">
        <f>O509*Q509</f>
        <v/>
      </c>
      <c r="S509" s="97">
        <f>TRIM(E509)</f>
        <v/>
      </c>
    </row>
    <row r="510" hidden="1">
      <c r="A510" s="22" t="n">
        <v>6</v>
      </c>
      <c r="B510" t="inlineStr">
        <is>
          <t xml:space="preserve">CDM03 - MORENO 3              </t>
        </is>
      </c>
      <c r="C510" t="inlineStr">
        <is>
          <t xml:space="preserve">GRUPO L.                      </t>
        </is>
      </c>
      <c r="D510" s="11" t="n"/>
      <c r="E510" t="inlineStr">
        <is>
          <t xml:space="preserve">UNIF000262          </t>
        </is>
      </c>
      <c r="F510" t="n">
        <v>9003357</v>
      </c>
      <c r="G510" t="inlineStr">
        <is>
          <t xml:space="preserve">PANTALON GABAR. NEG. 54 S. LOGO    </t>
        </is>
      </c>
      <c r="H510" t="inlineStr">
        <is>
          <t xml:space="preserve">UNIDAD              </t>
        </is>
      </c>
      <c r="I510" t="n">
        <v>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9</v>
      </c>
      <c r="P510" s="96">
        <f>_xlfn.XLOOKUP(Tabla5[[#This Row],[EAN CORREGIDO]],'Tabla Articulos'!B:B,'Tabla Articulos'!D:D)</f>
        <v/>
      </c>
      <c r="Q510" s="96">
        <f>_xlfn.XLOOKUP(S510,'Tabla Articulos'!B:B,'Tabla Articulos'!E:E)</f>
        <v/>
      </c>
      <c r="R510" s="96">
        <f>O510*Q510</f>
        <v/>
      </c>
      <c r="S510" s="97">
        <f>TRIM(E510)</f>
        <v/>
      </c>
    </row>
    <row r="511" hidden="1">
      <c r="A511" s="22" t="n">
        <v>5</v>
      </c>
      <c r="B511" t="inlineStr">
        <is>
          <t xml:space="preserve">CDM02 - MORENO 2              </t>
        </is>
      </c>
      <c r="C511" t="inlineStr">
        <is>
          <t xml:space="preserve">GRUPO L.                      </t>
        </is>
      </c>
      <c r="D511" t="inlineStr">
        <is>
          <t>SESAMO BLANCO</t>
        </is>
      </c>
      <c r="E511" t="inlineStr">
        <is>
          <t xml:space="preserve">7793323002341       </t>
        </is>
      </c>
      <c r="F511" t="n">
        <v>4020615</v>
      </c>
      <c r="G511" t="inlineStr">
        <is>
          <t xml:space="preserve">SESAMO BLANCO X1KG DICOMERE        </t>
        </is>
      </c>
      <c r="H511" t="inlineStr">
        <is>
          <t xml:space="preserve">UNIDAD              </t>
        </is>
      </c>
      <c r="I511" t="n">
        <v>60</v>
      </c>
      <c r="J511" t="n">
        <v>0</v>
      </c>
      <c r="K511" t="n">
        <v>0</v>
      </c>
      <c r="L511" t="n">
        <v>2</v>
      </c>
      <c r="M511" t="n">
        <v>2</v>
      </c>
      <c r="N511" t="n">
        <v>0</v>
      </c>
      <c r="O511" t="n">
        <v>56</v>
      </c>
      <c r="P511" s="96">
        <f>_xlfn.XLOOKUP(Tabla5[[#This Row],[EAN CORREGIDO]],'Tabla Articulos'!B:B,'Tabla Articulos'!D:D)</f>
        <v/>
      </c>
      <c r="Q511" s="96">
        <f>_xlfn.XLOOKUP(S511,'Tabla Articulos'!B:B,'Tabla Articulos'!E:E)</f>
        <v/>
      </c>
      <c r="R511" s="96">
        <f>O511*Q511</f>
        <v/>
      </c>
      <c r="S511" s="97">
        <f>TRIM(E511)</f>
        <v/>
      </c>
    </row>
    <row r="512" hidden="1">
      <c r="A512" s="22" t="n">
        <v>5</v>
      </c>
      <c r="B512" t="inlineStr">
        <is>
          <t xml:space="preserve">CDM02 - MORENO 2              </t>
        </is>
      </c>
      <c r="C512" t="inlineStr">
        <is>
          <t xml:space="preserve">GRUPO L.                      </t>
        </is>
      </c>
      <c r="D512" t="inlineStr">
        <is>
          <t>MAYONESA</t>
        </is>
      </c>
      <c r="E512" t="inlineStr">
        <is>
          <t xml:space="preserve">7798138553330       </t>
        </is>
      </c>
      <c r="F512" t="n">
        <v>4022542</v>
      </c>
      <c r="G512" t="inlineStr">
        <is>
          <t xml:space="preserve">MAYONESA 500GR MOLTO DISP          </t>
        </is>
      </c>
      <c r="H512" t="inlineStr">
        <is>
          <t xml:space="preserve">UNIDAD              </t>
        </is>
      </c>
      <c r="I512" t="n">
        <v>580</v>
      </c>
      <c r="J512" t="n">
        <v>0</v>
      </c>
      <c r="K512" t="n">
        <v>576</v>
      </c>
      <c r="L512" t="n">
        <v>0</v>
      </c>
      <c r="M512" t="n">
        <v>0</v>
      </c>
      <c r="N512" t="n">
        <v>0</v>
      </c>
      <c r="O512" t="n">
        <v>4</v>
      </c>
      <c r="P512" s="96">
        <f>_xlfn.XLOOKUP(Tabla5[[#This Row],[EAN CORREGIDO]],'Tabla Articulos'!B:B,'Tabla Articulos'!D:D)</f>
        <v/>
      </c>
      <c r="Q512" s="96">
        <f>_xlfn.XLOOKUP(S512,'Tabla Articulos'!B:B,'Tabla Articulos'!E:E)</f>
        <v/>
      </c>
      <c r="R512" s="96">
        <f>O512*Q512</f>
        <v/>
      </c>
      <c r="S512" s="97">
        <f>TRIM(E512)</f>
        <v/>
      </c>
    </row>
    <row r="513" hidden="1">
      <c r="A513" s="22" t="n">
        <v>1</v>
      </c>
      <c r="B513" t="inlineStr">
        <is>
          <t xml:space="preserve">CD MORENO                     </t>
        </is>
      </c>
      <c r="C513" t="inlineStr">
        <is>
          <t xml:space="preserve">GRUPO L.                      </t>
        </is>
      </c>
      <c r="D513" t="inlineStr">
        <is>
          <t>MAYONESA</t>
        </is>
      </c>
      <c r="E513" t="inlineStr">
        <is>
          <t xml:space="preserve">7798138553330       </t>
        </is>
      </c>
      <c r="F513" t="n">
        <v>4022542</v>
      </c>
      <c r="G513" t="inlineStr">
        <is>
          <t xml:space="preserve">MAYONESA 500GR MOLTO DISP          </t>
        </is>
      </c>
      <c r="H513" t="inlineStr">
        <is>
          <t xml:space="preserve">UNIDAD              </t>
        </is>
      </c>
      <c r="I513" t="n">
        <v>3150</v>
      </c>
      <c r="J513" t="n">
        <v>0</v>
      </c>
      <c r="K513" t="n">
        <v>1500</v>
      </c>
      <c r="L513" t="n">
        <v>0</v>
      </c>
      <c r="M513" t="n">
        <v>0</v>
      </c>
      <c r="N513" t="n">
        <v>0</v>
      </c>
      <c r="O513" t="n">
        <v>1650</v>
      </c>
      <c r="P513" s="96">
        <f>_xlfn.XLOOKUP(Tabla5[[#This Row],[EAN CORREGIDO]],'Tabla Articulos'!B:B,'Tabla Articulos'!D:D)</f>
        <v/>
      </c>
      <c r="Q513" s="96">
        <f>_xlfn.XLOOKUP(S513,'Tabla Articulos'!B:B,'Tabla Articulos'!E:E)</f>
        <v/>
      </c>
      <c r="R513" s="96">
        <f>O513*Q513</f>
        <v/>
      </c>
      <c r="S513" s="97">
        <f>TRIM(E513)</f>
        <v/>
      </c>
    </row>
    <row r="514" hidden="1">
      <c r="A514" s="22" t="n">
        <v>6</v>
      </c>
      <c r="B514" t="inlineStr">
        <is>
          <t xml:space="preserve">CDM03 - MORENO 3              </t>
        </is>
      </c>
      <c r="C514" t="inlineStr">
        <is>
          <t xml:space="preserve">GRUPO L.                      </t>
        </is>
      </c>
      <c r="E514" t="inlineStr">
        <is>
          <t xml:space="preserve">BAZ001220           </t>
        </is>
      </c>
      <c r="F514" t="n">
        <v>9003766</v>
      </c>
      <c r="G514" t="inlineStr">
        <is>
          <t xml:space="preserve">PLAT POST BCO VERBANO CHEF G       </t>
        </is>
      </c>
      <c r="H514" t="inlineStr">
        <is>
          <t xml:space="preserve">UNIDAD              </t>
        </is>
      </c>
      <c r="I514" t="n">
        <v>10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10</v>
      </c>
      <c r="P514" s="96">
        <f>_xlfn.XLOOKUP(Tabla5[[#This Row],[EAN CORREGIDO]],'Tabla Articulos'!B:B,'Tabla Articulos'!D:D)</f>
        <v/>
      </c>
      <c r="Q514" s="96">
        <f>_xlfn.XLOOKUP(S514,'Tabla Articulos'!B:B,'Tabla Articulos'!E:E)</f>
        <v/>
      </c>
      <c r="R514" s="96">
        <f>O514*Q514</f>
        <v/>
      </c>
      <c r="S514" s="97">
        <f>TRIM(E514)</f>
        <v/>
      </c>
    </row>
    <row r="515" hidden="1">
      <c r="A515" s="22" t="n">
        <v>1</v>
      </c>
      <c r="B515" t="inlineStr">
        <is>
          <t xml:space="preserve">CD MORENO                     </t>
        </is>
      </c>
      <c r="C515" t="inlineStr">
        <is>
          <t xml:space="preserve">GRUPO L.                      </t>
        </is>
      </c>
      <c r="D515" t="inlineStr">
        <is>
          <t>DULCE DE LECHE</t>
        </is>
      </c>
      <c r="E515" t="inlineStr">
        <is>
          <t xml:space="preserve">7798058690108       </t>
        </is>
      </c>
      <c r="F515" t="n">
        <v>4020508</v>
      </c>
      <c r="G515" t="inlineStr">
        <is>
          <t>DULCE DE LECHE X 400 G EL QUEBRACHA</t>
        </is>
      </c>
      <c r="H515" t="inlineStr">
        <is>
          <t xml:space="preserve">UNIDAD              </t>
        </is>
      </c>
      <c r="I515" t="n">
        <v>12378</v>
      </c>
      <c r="J515" t="n">
        <v>0</v>
      </c>
      <c r="K515" t="n">
        <v>0</v>
      </c>
      <c r="L515" t="n">
        <v>1872</v>
      </c>
      <c r="M515" t="n">
        <v>1872</v>
      </c>
      <c r="N515" t="n">
        <v>0</v>
      </c>
      <c r="O515" t="n">
        <v>8634</v>
      </c>
      <c r="P515" s="96">
        <f>_xlfn.XLOOKUP(Tabla5[[#This Row],[EAN CORREGIDO]],'Tabla Articulos'!B:B,'Tabla Articulos'!D:D)</f>
        <v/>
      </c>
      <c r="Q515" s="96">
        <f>_xlfn.XLOOKUP(S515,'Tabla Articulos'!B:B,'Tabla Articulos'!E:E)</f>
        <v/>
      </c>
      <c r="R515" s="96">
        <f>O515*Q515</f>
        <v/>
      </c>
      <c r="S515" s="97">
        <f>TRIM(E515)</f>
        <v/>
      </c>
    </row>
    <row r="516" hidden="1">
      <c r="A516" s="22" t="n">
        <v>1</v>
      </c>
      <c r="B516" t="inlineStr">
        <is>
          <t xml:space="preserve">CD MORENO                     </t>
        </is>
      </c>
      <c r="C516" t="inlineStr">
        <is>
          <t xml:space="preserve">GRUPO L.                      </t>
        </is>
      </c>
      <c r="D516" t="inlineStr">
        <is>
          <t>GELATINA ANANA</t>
        </is>
      </c>
      <c r="E516" t="inlineStr">
        <is>
          <t xml:space="preserve">7791113002168       </t>
        </is>
      </c>
      <c r="F516" t="n">
        <v>4020153</v>
      </c>
      <c r="G516" t="inlineStr">
        <is>
          <t xml:space="preserve">GELATINA ANANA X70GR EMETH         </t>
        </is>
      </c>
      <c r="H516" t="inlineStr">
        <is>
          <t xml:space="preserve">UNIDAD              </t>
        </is>
      </c>
      <c r="I516" t="n">
        <v>1002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1002</v>
      </c>
      <c r="P516" s="96">
        <f>_xlfn.XLOOKUP(Tabla5[[#This Row],[EAN CORREGIDO]],'Tabla Articulos'!B:B,'Tabla Articulos'!D:D)</f>
        <v/>
      </c>
      <c r="Q516" s="96">
        <f>_xlfn.XLOOKUP(S516,'Tabla Articulos'!B:B,'Tabla Articulos'!E:E)</f>
        <v/>
      </c>
      <c r="R516" s="96">
        <f>O516*Q516</f>
        <v/>
      </c>
      <c r="S516" s="97">
        <f>TRIM(E516)</f>
        <v/>
      </c>
    </row>
    <row r="517" hidden="1">
      <c r="A517" s="22" t="n">
        <v>6</v>
      </c>
      <c r="B517" t="inlineStr">
        <is>
          <t xml:space="preserve">CDM03 - MORENO 3              </t>
        </is>
      </c>
      <c r="C517" t="inlineStr">
        <is>
          <t xml:space="preserve">GRUPO L.                      </t>
        </is>
      </c>
      <c r="E517" t="inlineStr">
        <is>
          <t xml:space="preserve">UNIF000224          </t>
        </is>
      </c>
      <c r="F517" t="n">
        <v>9003492</v>
      </c>
      <c r="G517" t="inlineStr">
        <is>
          <t xml:space="preserve">PANTAL CARG NEGRO VER. 44 GL SUP   </t>
        </is>
      </c>
      <c r="H517" t="inlineStr">
        <is>
          <t xml:space="preserve">UNIDAD              </t>
        </is>
      </c>
      <c r="I517" t="n">
        <v>32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32</v>
      </c>
      <c r="P517" s="96">
        <f>_xlfn.XLOOKUP(Tabla5[[#This Row],[EAN CORREGIDO]],'Tabla Articulos'!B:B,'Tabla Articulos'!D:D)</f>
        <v/>
      </c>
      <c r="Q517" s="96">
        <f>_xlfn.XLOOKUP(S517,'Tabla Articulos'!B:B,'Tabla Articulos'!E:E)</f>
        <v/>
      </c>
      <c r="R517" s="96">
        <f>O517*Q517</f>
        <v/>
      </c>
      <c r="S517" s="97">
        <f>TRIM(E517)</f>
        <v/>
      </c>
    </row>
    <row r="518" hidden="1">
      <c r="A518" s="22" t="n">
        <v>1</v>
      </c>
      <c r="B518" t="inlineStr">
        <is>
          <t xml:space="preserve">CD MORENO                     </t>
        </is>
      </c>
      <c r="C518" t="inlineStr">
        <is>
          <t xml:space="preserve">GRUPO L.                      </t>
        </is>
      </c>
      <c r="D518" t="inlineStr">
        <is>
          <t>POLENTA</t>
        </is>
      </c>
      <c r="E518" t="inlineStr">
        <is>
          <t xml:space="preserve">7791476022001       </t>
        </is>
      </c>
      <c r="F518" t="n">
        <v>4022762</v>
      </c>
      <c r="G518" t="inlineStr">
        <is>
          <t xml:space="preserve">POLENTA COCC RAPIDA 500GR EGRAN    </t>
        </is>
      </c>
      <c r="H518" t="inlineStr">
        <is>
          <t xml:space="preserve">UNIDAD              </t>
        </is>
      </c>
      <c r="I518" t="n">
        <v>1773</v>
      </c>
      <c r="J518" t="n">
        <v>0</v>
      </c>
      <c r="K518" t="n">
        <v>1761</v>
      </c>
      <c r="L518" t="n">
        <v>0</v>
      </c>
      <c r="M518" t="n">
        <v>0</v>
      </c>
      <c r="N518" t="n">
        <v>0</v>
      </c>
      <c r="O518" t="n">
        <v>12</v>
      </c>
      <c r="P518" s="96">
        <f>_xlfn.XLOOKUP(Tabla5[[#This Row],[EAN CORREGIDO]],'Tabla Articulos'!B:B,'Tabla Articulos'!D:D)</f>
        <v/>
      </c>
      <c r="Q518" s="96">
        <f>_xlfn.XLOOKUP(S518,'Tabla Articulos'!B:B,'Tabla Articulos'!E:E)</f>
        <v/>
      </c>
      <c r="R518" s="96">
        <f>O518*Q518</f>
        <v/>
      </c>
      <c r="S518" s="97">
        <f>TRIM(E518)</f>
        <v/>
      </c>
    </row>
    <row r="519" hidden="1">
      <c r="A519" s="22" t="n">
        <v>6</v>
      </c>
      <c r="B519" t="inlineStr">
        <is>
          <t xml:space="preserve">CDM03 - MORENO 3              </t>
        </is>
      </c>
      <c r="C519" t="inlineStr">
        <is>
          <t xml:space="preserve">GRUPO L.                      </t>
        </is>
      </c>
      <c r="D519" s="11" t="n"/>
      <c r="E519" t="inlineStr">
        <is>
          <t xml:space="preserve">UNIF000367          </t>
        </is>
      </c>
      <c r="F519" t="n">
        <v>9003172</v>
      </c>
      <c r="G519" t="inlineStr">
        <is>
          <t xml:space="preserve">BANDANA NEGRA C GOURM              </t>
        </is>
      </c>
      <c r="H519" t="inlineStr">
        <is>
          <t xml:space="preserve">UNIDAD              </t>
        </is>
      </c>
      <c r="I519" t="n">
        <v>76</v>
      </c>
      <c r="J519" t="n">
        <v>0</v>
      </c>
      <c r="K519" t="n">
        <v>0</v>
      </c>
      <c r="L519" t="n">
        <v>8</v>
      </c>
      <c r="M519" t="n">
        <v>8</v>
      </c>
      <c r="N519" t="n">
        <v>0</v>
      </c>
      <c r="O519" t="n">
        <v>60</v>
      </c>
      <c r="P519" s="96">
        <f>_xlfn.XLOOKUP(Tabla5[[#This Row],[EAN CORREGIDO]],'Tabla Articulos'!B:B,'Tabla Articulos'!D:D)</f>
        <v/>
      </c>
      <c r="Q519" s="96">
        <f>_xlfn.XLOOKUP(S519,'Tabla Articulos'!B:B,'Tabla Articulos'!E:E)</f>
        <v/>
      </c>
      <c r="R519" s="96">
        <f>O519*Q519</f>
        <v/>
      </c>
      <c r="S519" s="97">
        <f>TRIM(E519)</f>
        <v/>
      </c>
    </row>
    <row r="520" hidden="1">
      <c r="A520" s="22" t="n">
        <v>1</v>
      </c>
      <c r="B520" t="inlineStr">
        <is>
          <t xml:space="preserve">CD MORENO                     </t>
        </is>
      </c>
      <c r="C520" t="inlineStr">
        <is>
          <t xml:space="preserve">GRUPO L.                      </t>
        </is>
      </c>
      <c r="D520" s="11" t="inlineStr">
        <is>
          <t>ALMENDRA</t>
        </is>
      </c>
      <c r="E520" t="inlineStr">
        <is>
          <t xml:space="preserve">7793323002471       </t>
        </is>
      </c>
      <c r="F520" t="n">
        <v>4020616</v>
      </c>
      <c r="G520" t="inlineStr">
        <is>
          <t xml:space="preserve">ALMENDRA GUARA x1kg DICOMERE       </t>
        </is>
      </c>
      <c r="H520" t="inlineStr">
        <is>
          <t xml:space="preserve">UNIDAD              </t>
        </is>
      </c>
      <c r="I520" t="n">
        <v>35</v>
      </c>
      <c r="J520" t="n">
        <v>6</v>
      </c>
      <c r="K520" t="n">
        <v>0</v>
      </c>
      <c r="L520" t="n">
        <v>0</v>
      </c>
      <c r="M520" t="n">
        <v>0</v>
      </c>
      <c r="N520" t="n">
        <v>0</v>
      </c>
      <c r="O520" t="n">
        <v>41</v>
      </c>
      <c r="P520" s="96">
        <f>_xlfn.XLOOKUP(Tabla5[[#This Row],[EAN CORREGIDO]],'Tabla Articulos'!B:B,'Tabla Articulos'!D:D)</f>
        <v/>
      </c>
      <c r="Q520" s="96">
        <f>_xlfn.XLOOKUP(S520,'Tabla Articulos'!B:B,'Tabla Articulos'!E:E)</f>
        <v/>
      </c>
      <c r="R520" s="96">
        <f>O520*Q520</f>
        <v/>
      </c>
      <c r="S520" s="97">
        <f>TRIM(E520)</f>
        <v/>
      </c>
    </row>
    <row r="521" hidden="1">
      <c r="A521" s="22" t="n">
        <v>5</v>
      </c>
      <c r="B521" t="inlineStr">
        <is>
          <t xml:space="preserve">CDM02 - MORENO 2              </t>
        </is>
      </c>
      <c r="C521" t="inlineStr">
        <is>
          <t xml:space="preserve">GRUPO L.                      </t>
        </is>
      </c>
      <c r="D521" t="inlineStr">
        <is>
          <t>ALMENDRA</t>
        </is>
      </c>
      <c r="E521" t="inlineStr">
        <is>
          <t xml:space="preserve">7793323002471       </t>
        </is>
      </c>
      <c r="F521" t="n">
        <v>4020616</v>
      </c>
      <c r="G521" t="inlineStr">
        <is>
          <t xml:space="preserve">ALMENDRA GUARA x1kg DICOMERE       </t>
        </is>
      </c>
      <c r="H521" t="inlineStr">
        <is>
          <t xml:space="preserve">UNIDAD              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3</v>
      </c>
      <c r="P521" s="96">
        <f>_xlfn.XLOOKUP(Tabla5[[#This Row],[EAN CORREGIDO]],'Tabla Articulos'!B:B,'Tabla Articulos'!D:D)</f>
        <v/>
      </c>
      <c r="Q521" s="96">
        <f>_xlfn.XLOOKUP(S521,'Tabla Articulos'!B:B,'Tabla Articulos'!E:E)</f>
        <v/>
      </c>
      <c r="R521" s="96">
        <f>O521*Q521</f>
        <v/>
      </c>
      <c r="S521" s="97">
        <f>TRIM(E521)</f>
        <v/>
      </c>
    </row>
    <row r="522" hidden="1">
      <c r="A522" s="22" t="n">
        <v>5</v>
      </c>
      <c r="B522" t="inlineStr">
        <is>
          <t xml:space="preserve">CDM02 - MORENO 2              </t>
        </is>
      </c>
      <c r="C522" t="inlineStr">
        <is>
          <t xml:space="preserve">GRUPO L.                      </t>
        </is>
      </c>
      <c r="D522" s="11" t="inlineStr">
        <is>
          <t>JUGO DE LIMON INDIV</t>
        </is>
      </c>
      <c r="E522" t="inlineStr">
        <is>
          <t xml:space="preserve">7798011976508       </t>
        </is>
      </c>
      <c r="F522" t="n">
        <v>4020301</v>
      </c>
      <c r="G522" t="inlineStr">
        <is>
          <t xml:space="preserve">JUGO LIMON 8CC X 198 U. ABEDUL     </t>
        </is>
      </c>
      <c r="H522" t="inlineStr">
        <is>
          <t xml:space="preserve">UNIDAD              </t>
        </is>
      </c>
      <c r="I522" t="n">
        <v>184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184</v>
      </c>
      <c r="P522" s="96">
        <f>_xlfn.XLOOKUP(Tabla5[[#This Row],[EAN CORREGIDO]],'Tabla Articulos'!B:B,'Tabla Articulos'!D:D)</f>
        <v/>
      </c>
      <c r="Q522" s="96">
        <f>_xlfn.XLOOKUP(S522,'Tabla Articulos'!B:B,'Tabla Articulos'!E:E)</f>
        <v/>
      </c>
      <c r="R522" s="96">
        <f>O522*Q522</f>
        <v/>
      </c>
      <c r="S522" s="97">
        <f>TRIM(E522)</f>
        <v/>
      </c>
    </row>
    <row r="523" hidden="1">
      <c r="A523" s="22" t="n">
        <v>6</v>
      </c>
      <c r="B523" t="inlineStr">
        <is>
          <t xml:space="preserve">CDM03 - MORENO 3              </t>
        </is>
      </c>
      <c r="C523" t="inlineStr">
        <is>
          <t xml:space="preserve">GRUPO L.                      </t>
        </is>
      </c>
      <c r="E523" t="inlineStr">
        <is>
          <t xml:space="preserve">100ND37             </t>
        </is>
      </c>
      <c r="F523" t="n">
        <v>9004404</v>
      </c>
      <c r="G523" t="inlineStr">
        <is>
          <t xml:space="preserve">GL ZAPATO SEG. NEG. 37 GAMAX       </t>
        </is>
      </c>
      <c r="H523" t="inlineStr">
        <is>
          <t xml:space="preserve">UNIDAD              </t>
        </is>
      </c>
      <c r="I523" t="n">
        <v>0</v>
      </c>
      <c r="J523" t="n">
        <v>15</v>
      </c>
      <c r="K523" t="n">
        <v>0</v>
      </c>
      <c r="L523" t="n">
        <v>6</v>
      </c>
      <c r="M523" t="n">
        <v>6</v>
      </c>
      <c r="N523" t="n">
        <v>0</v>
      </c>
      <c r="O523" t="n">
        <v>3</v>
      </c>
      <c r="P523" s="96">
        <f>_xlfn.XLOOKUP(Tabla5[[#This Row],[EAN CORREGIDO]],'Tabla Articulos'!B:B,'Tabla Articulos'!D:D)</f>
        <v/>
      </c>
      <c r="Q523" s="96">
        <f>_xlfn.XLOOKUP(S523,'Tabla Articulos'!B:B,'Tabla Articulos'!E:E)</f>
        <v/>
      </c>
      <c r="R523" s="96">
        <f>O523*Q523</f>
        <v/>
      </c>
      <c r="S523" s="97">
        <f>TRIM(E523)</f>
        <v/>
      </c>
    </row>
    <row r="524">
      <c r="A524" s="22" t="n">
        <v>6</v>
      </c>
      <c r="B524" t="inlineStr">
        <is>
          <t xml:space="preserve">CDM03 - MORENO 3              </t>
        </is>
      </c>
      <c r="C524" t="inlineStr">
        <is>
          <t xml:space="preserve">GRUPO L.                      </t>
        </is>
      </c>
      <c r="E524" t="inlineStr">
        <is>
          <t xml:space="preserve">UNIF000290          </t>
        </is>
      </c>
      <c r="F524" t="n">
        <v>9003667</v>
      </c>
      <c r="G524" t="inlineStr">
        <is>
          <t xml:space="preserve">CAMPERA TRUCK.AZ. CINT. REFRAC L   </t>
        </is>
      </c>
      <c r="H524" t="inlineStr">
        <is>
          <t xml:space="preserve">UNIDAD              </t>
        </is>
      </c>
      <c r="I524" t="n">
        <v>20</v>
      </c>
      <c r="J524" t="n">
        <v>130</v>
      </c>
      <c r="K524" t="n">
        <v>0</v>
      </c>
      <c r="L524" t="n">
        <v>1</v>
      </c>
      <c r="M524" t="n">
        <v>1</v>
      </c>
      <c r="N524" t="n">
        <v>0</v>
      </c>
      <c r="O524" t="n">
        <v>148</v>
      </c>
      <c r="P524" s="96">
        <f>_xlfn.XLOOKUP(Tabla5[[#This Row],[EAN CORREGIDO]],'Tabla Articulos'!B:B,'Tabla Articulos'!D:D)</f>
        <v/>
      </c>
      <c r="Q524" s="96">
        <f>_xlfn.XLOOKUP(S524,'Tabla Articulos'!B:B,'Tabla Articulos'!E:E)</f>
        <v/>
      </c>
      <c r="R524" s="96">
        <f>O524*Q524</f>
        <v/>
      </c>
      <c r="S524" s="97">
        <f>TRIM(E524)</f>
        <v/>
      </c>
    </row>
    <row r="525" hidden="1">
      <c r="A525" s="22" t="n">
        <v>6</v>
      </c>
      <c r="B525" t="inlineStr">
        <is>
          <t xml:space="preserve">CDM03 - MORENO 3              </t>
        </is>
      </c>
      <c r="C525" t="inlineStr">
        <is>
          <t xml:space="preserve">GRUPO L.                      </t>
        </is>
      </c>
      <c r="E525" t="inlineStr">
        <is>
          <t xml:space="preserve">UNIF000228          </t>
        </is>
      </c>
      <c r="F525" t="n">
        <v>9003496</v>
      </c>
      <c r="G525" t="inlineStr">
        <is>
          <t xml:space="preserve">PANTAL CARG NEGRO VER. 52 GL SUP   </t>
        </is>
      </c>
      <c r="H525" t="inlineStr">
        <is>
          <t xml:space="preserve">UNIDAD              </t>
        </is>
      </c>
      <c r="I525" t="n">
        <v>9</v>
      </c>
      <c r="J525" t="n">
        <v>15</v>
      </c>
      <c r="K525" t="n">
        <v>0</v>
      </c>
      <c r="L525" t="n">
        <v>0</v>
      </c>
      <c r="M525" t="n">
        <v>0</v>
      </c>
      <c r="N525" t="n">
        <v>0</v>
      </c>
      <c r="O525" t="n">
        <v>24</v>
      </c>
      <c r="P525" s="96">
        <f>_xlfn.XLOOKUP(Tabla5[[#This Row],[EAN CORREGIDO]],'Tabla Articulos'!B:B,'Tabla Articulos'!D:D)</f>
        <v/>
      </c>
      <c r="Q525" s="96">
        <f>_xlfn.XLOOKUP(S525,'Tabla Articulos'!B:B,'Tabla Articulos'!E:E)</f>
        <v/>
      </c>
      <c r="R525" s="96">
        <f>O525*Q525</f>
        <v/>
      </c>
      <c r="S525" s="97">
        <f>TRIM(E525)</f>
        <v/>
      </c>
    </row>
    <row r="526" hidden="1">
      <c r="A526" s="22" t="n">
        <v>6</v>
      </c>
      <c r="B526" t="inlineStr">
        <is>
          <t xml:space="preserve">CDM03 - MORENO 3              </t>
        </is>
      </c>
      <c r="C526" t="inlineStr">
        <is>
          <t xml:space="preserve">GRUPO L.                      </t>
        </is>
      </c>
      <c r="D526" s="11" t="n"/>
      <c r="E526" t="inlineStr">
        <is>
          <t xml:space="preserve">UNIF000202          </t>
        </is>
      </c>
      <c r="F526" t="n">
        <v>9003442</v>
      </c>
      <c r="G526" t="inlineStr">
        <is>
          <t xml:space="preserve">PANTA. CARGO NEGRO 58 GL SUPPORT   </t>
        </is>
      </c>
      <c r="H526" t="inlineStr">
        <is>
          <t xml:space="preserve">UNIDAD              </t>
        </is>
      </c>
      <c r="I526" t="n">
        <v>18</v>
      </c>
      <c r="J526" t="n">
        <v>0</v>
      </c>
      <c r="K526" t="n">
        <v>0</v>
      </c>
      <c r="L526" t="n">
        <v>1</v>
      </c>
      <c r="M526" t="n">
        <v>1</v>
      </c>
      <c r="N526" t="n">
        <v>0</v>
      </c>
      <c r="O526" t="n">
        <v>16</v>
      </c>
      <c r="P526" s="96">
        <f>_xlfn.XLOOKUP(Tabla5[[#This Row],[EAN CORREGIDO]],'Tabla Articulos'!B:B,'Tabla Articulos'!D:D)</f>
        <v/>
      </c>
      <c r="Q526" s="96">
        <f>_xlfn.XLOOKUP(S526,'Tabla Articulos'!B:B,'Tabla Articulos'!E:E)</f>
        <v/>
      </c>
      <c r="R526" s="96">
        <f>O526*Q526</f>
        <v/>
      </c>
      <c r="S526" s="97">
        <f>TRIM(E526)</f>
        <v/>
      </c>
    </row>
    <row r="527" hidden="1">
      <c r="A527" s="22" t="n">
        <v>6</v>
      </c>
      <c r="B527" t="inlineStr">
        <is>
          <t xml:space="preserve">CDM03 - MORENO 3              </t>
        </is>
      </c>
      <c r="C527" t="inlineStr">
        <is>
          <t xml:space="preserve">GRUPO L.                      </t>
        </is>
      </c>
      <c r="D527" s="11" t="n"/>
      <c r="E527" t="inlineStr">
        <is>
          <t xml:space="preserve">UNIF000502          </t>
        </is>
      </c>
      <c r="F527" t="n">
        <v>9003385</v>
      </c>
      <c r="G527" t="inlineStr">
        <is>
          <t xml:space="preserve">CAMPERA POLAR NEGRA S C. GOUR      </t>
        </is>
      </c>
      <c r="H527" t="inlineStr">
        <is>
          <t xml:space="preserve">UNIDAD              </t>
        </is>
      </c>
      <c r="I527" t="n">
        <v>53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53</v>
      </c>
      <c r="P527" s="96">
        <f>_xlfn.XLOOKUP(Tabla5[[#This Row],[EAN CORREGIDO]],'Tabla Articulos'!B:B,'Tabla Articulos'!D:D)</f>
        <v/>
      </c>
      <c r="Q527" s="96">
        <f>_xlfn.XLOOKUP(S527,'Tabla Articulos'!B:B,'Tabla Articulos'!E:E)</f>
        <v/>
      </c>
      <c r="R527" s="96">
        <f>O527*Q527</f>
        <v/>
      </c>
      <c r="S527" s="97">
        <f>TRIM(E527)</f>
        <v/>
      </c>
    </row>
    <row r="528" hidden="1">
      <c r="A528" s="22" t="n">
        <v>1</v>
      </c>
      <c r="B528" t="inlineStr">
        <is>
          <t xml:space="preserve">CD MORENO                     </t>
        </is>
      </c>
      <c r="C528" t="inlineStr">
        <is>
          <t xml:space="preserve">GRUPO L.                      </t>
        </is>
      </c>
      <c r="D528" s="11" t="inlineStr">
        <is>
          <t>PAN RALLADO</t>
        </is>
      </c>
      <c r="E528" t="inlineStr">
        <is>
          <t xml:space="preserve">7792590003150       </t>
        </is>
      </c>
      <c r="F528" t="n">
        <v>4020695</v>
      </c>
      <c r="G528" t="inlineStr">
        <is>
          <t xml:space="preserve">PAN RALLADO X500GR CASERITA        </t>
        </is>
      </c>
      <c r="H528" t="inlineStr">
        <is>
          <t xml:space="preserve">UNIDAD              </t>
        </is>
      </c>
      <c r="I528" t="n">
        <v>10723</v>
      </c>
      <c r="J528" t="n">
        <v>0</v>
      </c>
      <c r="K528" t="n">
        <v>46</v>
      </c>
      <c r="L528" t="n">
        <v>0</v>
      </c>
      <c r="M528" t="n">
        <v>0</v>
      </c>
      <c r="N528" t="n">
        <v>0</v>
      </c>
      <c r="O528" t="n">
        <v>10677</v>
      </c>
      <c r="P528" s="96">
        <f>_xlfn.XLOOKUP(Tabla5[[#This Row],[EAN CORREGIDO]],'Tabla Articulos'!B:B,'Tabla Articulos'!D:D)</f>
        <v/>
      </c>
      <c r="Q528" s="96">
        <f>_xlfn.XLOOKUP(S528,'Tabla Articulos'!B:B,'Tabla Articulos'!E:E)</f>
        <v/>
      </c>
      <c r="R528" s="96">
        <f>O528*Q528</f>
        <v/>
      </c>
      <c r="S528" s="97">
        <f>TRIM(E528)</f>
        <v/>
      </c>
    </row>
    <row r="529" hidden="1">
      <c r="A529" s="22" t="n">
        <v>5</v>
      </c>
      <c r="B529" t="inlineStr">
        <is>
          <t xml:space="preserve">CDM02 - MORENO 2              </t>
        </is>
      </c>
      <c r="C529" t="inlineStr">
        <is>
          <t xml:space="preserve">GRUPO L.                      </t>
        </is>
      </c>
      <c r="D529" t="inlineStr">
        <is>
          <t>PAN RALLADO</t>
        </is>
      </c>
      <c r="E529" t="inlineStr">
        <is>
          <t xml:space="preserve">7792590003150       </t>
        </is>
      </c>
      <c r="F529" t="n">
        <v>4020695</v>
      </c>
      <c r="G529" t="inlineStr">
        <is>
          <t xml:space="preserve">PAN RALLADO X500GR CASERITA        </t>
        </is>
      </c>
      <c r="H529" t="inlineStr">
        <is>
          <t xml:space="preserve">UNIDAD              </t>
        </is>
      </c>
      <c r="I529" t="n">
        <v>18</v>
      </c>
      <c r="J529" t="n">
        <v>0</v>
      </c>
      <c r="K529" t="n">
        <v>18</v>
      </c>
      <c r="L529" t="n">
        <v>0</v>
      </c>
      <c r="M529" t="n">
        <v>0</v>
      </c>
      <c r="N529" t="n">
        <v>0</v>
      </c>
      <c r="O529" t="n">
        <v>0</v>
      </c>
      <c r="P529" s="96">
        <f>_xlfn.XLOOKUP(Tabla5[[#This Row],[EAN CORREGIDO]],'Tabla Articulos'!B:B,'Tabla Articulos'!D:D)</f>
        <v/>
      </c>
      <c r="Q529" s="96">
        <f>_xlfn.XLOOKUP(S529,'Tabla Articulos'!B:B,'Tabla Articulos'!E:E)</f>
        <v/>
      </c>
      <c r="R529" s="96">
        <f>O529*Q529</f>
        <v/>
      </c>
      <c r="S529" s="97">
        <f>TRIM(E529)</f>
        <v/>
      </c>
    </row>
    <row r="530" hidden="1">
      <c r="A530" s="22" t="n">
        <v>1</v>
      </c>
      <c r="B530" t="inlineStr">
        <is>
          <t xml:space="preserve">CD MORENO                     </t>
        </is>
      </c>
      <c r="C530" t="inlineStr">
        <is>
          <t xml:space="preserve">GRUPO L.                      </t>
        </is>
      </c>
      <c r="D530" t="inlineStr">
        <is>
          <t>OREGANO</t>
        </is>
      </c>
      <c r="E530" t="inlineStr">
        <is>
          <t xml:space="preserve">7793875360289       </t>
        </is>
      </c>
      <c r="F530" t="n">
        <v>4020060</v>
      </c>
      <c r="G530" t="inlineStr">
        <is>
          <t xml:space="preserve">OREGANO X 1 KG AROMAS              </t>
        </is>
      </c>
      <c r="H530" t="inlineStr">
        <is>
          <t xml:space="preserve">UNIDAD              </t>
        </is>
      </c>
      <c r="I530" t="n">
        <v>1381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1381</v>
      </c>
      <c r="P530" s="96">
        <f>_xlfn.XLOOKUP(Tabla5[[#This Row],[EAN CORREGIDO]],'Tabla Articulos'!B:B,'Tabla Articulos'!D:D)</f>
        <v/>
      </c>
      <c r="Q530" s="96">
        <f>_xlfn.XLOOKUP(S530,'Tabla Articulos'!B:B,'Tabla Articulos'!E:E)</f>
        <v/>
      </c>
      <c r="R530" s="96">
        <f>O530*Q530</f>
        <v/>
      </c>
      <c r="S530" s="97">
        <f>TRIM(E530)</f>
        <v/>
      </c>
    </row>
    <row r="531" hidden="1">
      <c r="A531" s="22" t="n">
        <v>6</v>
      </c>
      <c r="B531" t="inlineStr">
        <is>
          <t xml:space="preserve">CDM03 - MORENO 3              </t>
        </is>
      </c>
      <c r="C531" t="inlineStr">
        <is>
          <t xml:space="preserve">GRUPO L.                      </t>
        </is>
      </c>
      <c r="E531" t="inlineStr">
        <is>
          <t xml:space="preserve">UNIF000516          </t>
        </is>
      </c>
      <c r="F531" t="n">
        <v>9003399</v>
      </c>
      <c r="G531" t="inlineStr">
        <is>
          <t xml:space="preserve">CAMPERA POLAR NEGRA 4XL GL. SUP    </t>
        </is>
      </c>
      <c r="H531" t="inlineStr">
        <is>
          <t xml:space="preserve">UNIDAD              </t>
        </is>
      </c>
      <c r="I531" t="n">
        <v>26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26</v>
      </c>
      <c r="P531" s="96">
        <f>_xlfn.XLOOKUP(Tabla5[[#This Row],[EAN CORREGIDO]],'Tabla Articulos'!B:B,'Tabla Articulos'!D:D)</f>
        <v/>
      </c>
      <c r="Q531" s="96">
        <f>_xlfn.XLOOKUP(S531,'Tabla Articulos'!B:B,'Tabla Articulos'!E:E)</f>
        <v/>
      </c>
      <c r="R531" s="96">
        <f>O531*Q531</f>
        <v/>
      </c>
      <c r="S531" s="97">
        <f>TRIM(E531)</f>
        <v/>
      </c>
    </row>
    <row r="532" hidden="1">
      <c r="A532" s="22" t="n">
        <v>1</v>
      </c>
      <c r="B532" t="inlineStr">
        <is>
          <t xml:space="preserve">CD MORENO                     </t>
        </is>
      </c>
      <c r="C532" t="inlineStr">
        <is>
          <t xml:space="preserve">GRUPO L.                      </t>
        </is>
      </c>
      <c r="D532" t="inlineStr">
        <is>
          <t>SALSA DE SOJA</t>
        </is>
      </c>
      <c r="E532" t="inlineStr">
        <is>
          <t xml:space="preserve">7798048981018       </t>
        </is>
      </c>
      <c r="F532" t="n">
        <v>4020563</v>
      </c>
      <c r="G532" t="inlineStr">
        <is>
          <t xml:space="preserve">SALSA DE SOJA X 1L FUMEIGA         </t>
        </is>
      </c>
      <c r="H532" t="inlineStr">
        <is>
          <t xml:space="preserve">UNIDAD              </t>
        </is>
      </c>
      <c r="I532" t="n">
        <v>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</v>
      </c>
      <c r="P532" s="96">
        <f>_xlfn.XLOOKUP(Tabla5[[#This Row],[EAN CORREGIDO]],'Tabla Articulos'!B:B,'Tabla Articulos'!D:D)</f>
        <v/>
      </c>
      <c r="Q532" s="96">
        <f>_xlfn.XLOOKUP(S532,'Tabla Articulos'!B:B,'Tabla Articulos'!E:E)</f>
        <v/>
      </c>
      <c r="R532" s="96">
        <f>O532*Q532</f>
        <v/>
      </c>
      <c r="S532" s="97">
        <f>TRIM(E532)</f>
        <v/>
      </c>
    </row>
    <row r="533" hidden="1">
      <c r="A533" s="22" t="n">
        <v>5</v>
      </c>
      <c r="B533" t="inlineStr">
        <is>
          <t xml:space="preserve">CDM02 - MORENO 2              </t>
        </is>
      </c>
      <c r="C533" t="inlineStr">
        <is>
          <t xml:space="preserve">GRUPO L.                      </t>
        </is>
      </c>
      <c r="D533" t="inlineStr">
        <is>
          <t>HARINA 000</t>
        </is>
      </c>
      <c r="E533" t="inlineStr">
        <is>
          <t xml:space="preserve">7792590000159       </t>
        </is>
      </c>
      <c r="F533" t="n">
        <v>4019981</v>
      </c>
      <c r="G533" t="inlineStr">
        <is>
          <t xml:space="preserve">HARINA 000 XKG CASERITA            </t>
        </is>
      </c>
      <c r="H533" t="inlineStr">
        <is>
          <t xml:space="preserve">UNIDAD              </t>
        </is>
      </c>
      <c r="I533" t="n">
        <v>172372</v>
      </c>
      <c r="J533" t="n">
        <v>0</v>
      </c>
      <c r="K533" t="n">
        <v>0</v>
      </c>
      <c r="L533" t="n">
        <v>61</v>
      </c>
      <c r="M533" t="n">
        <v>63</v>
      </c>
      <c r="N533" t="n">
        <v>0</v>
      </c>
      <c r="O533" t="n">
        <v>172248</v>
      </c>
      <c r="P533" s="96">
        <f>_xlfn.XLOOKUP(Tabla5[[#This Row],[EAN CORREGIDO]],'Tabla Articulos'!B:B,'Tabla Articulos'!D:D)</f>
        <v/>
      </c>
      <c r="Q533" s="96">
        <f>_xlfn.XLOOKUP(S533,'Tabla Articulos'!B:B,'Tabla Articulos'!E:E)</f>
        <v/>
      </c>
      <c r="R533" s="96">
        <f>O533*Q533</f>
        <v/>
      </c>
      <c r="S533" s="97">
        <f>TRIM(E533)</f>
        <v/>
      </c>
    </row>
    <row r="534" hidden="1">
      <c r="A534" s="22" t="n">
        <v>1</v>
      </c>
      <c r="B534" t="inlineStr">
        <is>
          <t xml:space="preserve">CD MORENO                     </t>
        </is>
      </c>
      <c r="C534" t="inlineStr">
        <is>
          <t xml:space="preserve">GRUPO L.                      </t>
        </is>
      </c>
      <c r="D534" t="inlineStr">
        <is>
          <t>HARINA 000</t>
        </is>
      </c>
      <c r="E534" t="inlineStr">
        <is>
          <t xml:space="preserve">7792590000159       </t>
        </is>
      </c>
      <c r="F534" t="n">
        <v>4019981</v>
      </c>
      <c r="G534" t="inlineStr">
        <is>
          <t xml:space="preserve">HARINA 000 XKG CASERITA            </t>
        </is>
      </c>
      <c r="H534" t="inlineStr">
        <is>
          <t xml:space="preserve">UNIDAD              </t>
        </is>
      </c>
      <c r="I534" t="n">
        <v>2009</v>
      </c>
      <c r="J534" t="n">
        <v>0</v>
      </c>
      <c r="K534" t="n">
        <v>0</v>
      </c>
      <c r="L534" t="n">
        <v>151</v>
      </c>
      <c r="M534" t="n">
        <v>151</v>
      </c>
      <c r="N534" t="n">
        <v>0</v>
      </c>
      <c r="O534" t="n">
        <v>1707</v>
      </c>
      <c r="P534" s="96">
        <f>_xlfn.XLOOKUP(Tabla5[[#This Row],[EAN CORREGIDO]],'Tabla Articulos'!B:B,'Tabla Articulos'!D:D)</f>
        <v/>
      </c>
      <c r="Q534" s="96">
        <f>_xlfn.XLOOKUP(S534,'Tabla Articulos'!B:B,'Tabla Articulos'!E:E)</f>
        <v/>
      </c>
      <c r="R534" s="96">
        <f>O534*Q534</f>
        <v/>
      </c>
      <c r="S534" s="97">
        <f>TRIM(E534)</f>
        <v/>
      </c>
    </row>
    <row r="535" hidden="1">
      <c r="A535" s="22" t="n">
        <v>6</v>
      </c>
      <c r="B535" t="inlineStr">
        <is>
          <t xml:space="preserve">CDM03 - MORENO 3              </t>
        </is>
      </c>
      <c r="C535" t="inlineStr">
        <is>
          <t xml:space="preserve">GRUPO L.                      </t>
        </is>
      </c>
      <c r="E535" t="inlineStr">
        <is>
          <t xml:space="preserve">BAZ001269           </t>
        </is>
      </c>
      <c r="F535" t="n">
        <v>9003764</v>
      </c>
      <c r="G535" t="inlineStr">
        <is>
          <t xml:space="preserve">TAZA DESAYUNO PORC. TAVOLA         </t>
        </is>
      </c>
      <c r="H535" t="inlineStr">
        <is>
          <t xml:space="preserve">UNIDAD              </t>
        </is>
      </c>
      <c r="I535" t="n">
        <v>1788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1788</v>
      </c>
      <c r="P535" s="96">
        <f>_xlfn.XLOOKUP(Tabla5[[#This Row],[EAN CORREGIDO]],'Tabla Articulos'!B:B,'Tabla Articulos'!D:D)</f>
        <v/>
      </c>
      <c r="Q535" s="96">
        <f>_xlfn.XLOOKUP(S535,'Tabla Articulos'!B:B,'Tabla Articulos'!E:E)</f>
        <v/>
      </c>
      <c r="R535" s="96">
        <f>O535*Q535</f>
        <v/>
      </c>
      <c r="S535" s="97">
        <f>TRIM(E535)</f>
        <v/>
      </c>
    </row>
    <row r="536" hidden="1">
      <c r="A536" s="22" t="n">
        <v>6</v>
      </c>
      <c r="B536" t="inlineStr">
        <is>
          <t xml:space="preserve">CDM03 - MORENO 3              </t>
        </is>
      </c>
      <c r="C536" t="inlineStr">
        <is>
          <t xml:space="preserve">GRUPO L.                      </t>
        </is>
      </c>
      <c r="E536" t="inlineStr">
        <is>
          <t xml:space="preserve">UNIF000632          </t>
        </is>
      </c>
      <c r="F536" t="n">
        <v>9003170</v>
      </c>
      <c r="G536" t="inlineStr">
        <is>
          <t xml:space="preserve">FALDON GR LARGO CHEF GOUR          </t>
        </is>
      </c>
      <c r="H536" t="inlineStr">
        <is>
          <t xml:space="preserve">UNIDAD              </t>
        </is>
      </c>
      <c r="I536" t="n">
        <v>144</v>
      </c>
      <c r="J536" t="n">
        <v>400</v>
      </c>
      <c r="K536" t="n">
        <v>0</v>
      </c>
      <c r="L536" t="n">
        <v>1</v>
      </c>
      <c r="M536" t="n">
        <v>1</v>
      </c>
      <c r="N536" t="n">
        <v>0</v>
      </c>
      <c r="O536" t="n">
        <v>542</v>
      </c>
      <c r="P536" s="96">
        <f>_xlfn.XLOOKUP(Tabla5[[#This Row],[EAN CORREGIDO]],'Tabla Articulos'!B:B,'Tabla Articulos'!D:D)</f>
        <v/>
      </c>
      <c r="Q536" s="96">
        <f>_xlfn.XLOOKUP(S536,'Tabla Articulos'!B:B,'Tabla Articulos'!E:E)</f>
        <v/>
      </c>
      <c r="R536" s="96">
        <f>O536*Q536</f>
        <v/>
      </c>
      <c r="S536" s="97">
        <f>TRIM(E536)</f>
        <v/>
      </c>
    </row>
    <row r="537" hidden="1">
      <c r="A537" s="22" t="n">
        <v>1</v>
      </c>
      <c r="B537" t="inlineStr">
        <is>
          <t xml:space="preserve">CD MORENO                     </t>
        </is>
      </c>
      <c r="C537" t="inlineStr">
        <is>
          <t xml:space="preserve">GRUPO L.                      </t>
        </is>
      </c>
      <c r="D537" t="inlineStr">
        <is>
          <t>DULCE DE LECHE REPOST</t>
        </is>
      </c>
      <c r="E537" t="inlineStr">
        <is>
          <t xml:space="preserve">7798001562780       </t>
        </is>
      </c>
      <c r="F537" t="n">
        <v>4020319</v>
      </c>
      <c r="G537" t="inlineStr">
        <is>
          <t xml:space="preserve">DULCE LECHE REP X5KG CREMIGAL      </t>
        </is>
      </c>
      <c r="H537" t="inlineStr">
        <is>
          <t xml:space="preserve">UNIDAD              </t>
        </is>
      </c>
      <c r="I537" t="n">
        <v>16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16</v>
      </c>
      <c r="P537" s="96">
        <f>_xlfn.XLOOKUP(Tabla5[[#This Row],[EAN CORREGIDO]],'Tabla Articulos'!B:B,'Tabla Articulos'!D:D)</f>
        <v/>
      </c>
      <c r="Q537" s="96">
        <f>_xlfn.XLOOKUP(S537,'Tabla Articulos'!B:B,'Tabla Articulos'!E:E)</f>
        <v/>
      </c>
      <c r="R537" s="96">
        <f>O537*Q537</f>
        <v/>
      </c>
      <c r="S537" s="97">
        <f>TRIM(E537)</f>
        <v/>
      </c>
    </row>
    <row r="538" hidden="1">
      <c r="A538" s="22" t="n">
        <v>6</v>
      </c>
      <c r="B538" t="inlineStr">
        <is>
          <t xml:space="preserve">CDM03 - MORENO 3              </t>
        </is>
      </c>
      <c r="C538" t="inlineStr">
        <is>
          <t xml:space="preserve">GRUPO L.                      </t>
        </is>
      </c>
      <c r="E538" t="inlineStr">
        <is>
          <t xml:space="preserve">UNIF000439          </t>
        </is>
      </c>
      <c r="F538" t="n">
        <v>9003600</v>
      </c>
      <c r="G538" t="inlineStr">
        <is>
          <t xml:space="preserve">CAMPERA TRUCK A. MAR. 2XL G. SUP   </t>
        </is>
      </c>
      <c r="H538" t="inlineStr">
        <is>
          <t xml:space="preserve">UNIDAD              </t>
        </is>
      </c>
      <c r="I538" t="n">
        <v>88</v>
      </c>
      <c r="J538" t="n">
        <v>0</v>
      </c>
      <c r="K538" t="n">
        <v>0</v>
      </c>
      <c r="L538" t="n">
        <v>3</v>
      </c>
      <c r="M538" t="n">
        <v>3</v>
      </c>
      <c r="N538" t="n">
        <v>0</v>
      </c>
      <c r="O538" t="n">
        <v>82</v>
      </c>
      <c r="P538" s="96">
        <f>_xlfn.XLOOKUP(Tabla5[[#This Row],[EAN CORREGIDO]],'Tabla Articulos'!B:B,'Tabla Articulos'!D:D)</f>
        <v/>
      </c>
      <c r="Q538" s="96">
        <f>_xlfn.XLOOKUP(S538,'Tabla Articulos'!B:B,'Tabla Articulos'!E:E)</f>
        <v/>
      </c>
      <c r="R538" s="96">
        <f>O538*Q538</f>
        <v/>
      </c>
      <c r="S538" s="97">
        <f>TRIM(E538)</f>
        <v/>
      </c>
    </row>
    <row r="539" hidden="1">
      <c r="A539" s="22" t="n">
        <v>6</v>
      </c>
      <c r="B539" t="inlineStr">
        <is>
          <t xml:space="preserve">CDM03 - MORENO 3              </t>
        </is>
      </c>
      <c r="C539" t="inlineStr">
        <is>
          <t xml:space="preserve">GRUPO L.                      </t>
        </is>
      </c>
      <c r="E539" t="inlineStr">
        <is>
          <t xml:space="preserve">7798188650898       </t>
        </is>
      </c>
      <c r="F539" t="n">
        <v>2011526</v>
      </c>
      <c r="G539" t="inlineStr">
        <is>
          <t xml:space="preserve">DESINF. BACTER ACT HERBAL          </t>
        </is>
      </c>
      <c r="H539" t="inlineStr">
        <is>
          <t xml:space="preserve">UNIDAD              </t>
        </is>
      </c>
      <c r="I539" t="n">
        <v>20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20</v>
      </c>
      <c r="P539" s="96">
        <f>_xlfn.XLOOKUP(Tabla5[[#This Row],[EAN CORREGIDO]],'Tabla Articulos'!B:B,'Tabla Articulos'!D:D)</f>
        <v/>
      </c>
      <c r="Q539" s="96">
        <f>_xlfn.XLOOKUP(S539,'Tabla Articulos'!B:B,'Tabla Articulos'!E:E)</f>
        <v/>
      </c>
      <c r="R539" s="96">
        <f>O539*Q539</f>
        <v/>
      </c>
      <c r="S539" s="97">
        <f>TRIM(E539)</f>
        <v/>
      </c>
    </row>
    <row r="540" hidden="1">
      <c r="A540" s="22" t="n">
        <v>6</v>
      </c>
      <c r="B540" t="inlineStr">
        <is>
          <t xml:space="preserve">CDM03 - MORENO 3              </t>
        </is>
      </c>
      <c r="C540" t="inlineStr">
        <is>
          <t xml:space="preserve">GRUPO L.                      </t>
        </is>
      </c>
      <c r="D540" s="11" t="n"/>
      <c r="E540" t="inlineStr">
        <is>
          <t xml:space="preserve">UNIF000396          </t>
        </is>
      </c>
      <c r="F540" t="n">
        <v>9003515</v>
      </c>
      <c r="G540" t="inlineStr">
        <is>
          <t xml:space="preserve">PANTALON DE VESTIR NEGRO 8         </t>
        </is>
      </c>
      <c r="H540" t="inlineStr">
        <is>
          <t xml:space="preserve">UNIDAD              </t>
        </is>
      </c>
      <c r="I540" t="n">
        <v>27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27</v>
      </c>
      <c r="P540" s="96">
        <f>_xlfn.XLOOKUP(Tabla5[[#This Row],[EAN CORREGIDO]],'Tabla Articulos'!B:B,'Tabla Articulos'!D:D)</f>
        <v/>
      </c>
      <c r="Q540" s="96">
        <f>_xlfn.XLOOKUP(S540,'Tabla Articulos'!B:B,'Tabla Articulos'!E:E)</f>
        <v/>
      </c>
      <c r="R540" s="96">
        <f>O540*Q540</f>
        <v/>
      </c>
      <c r="S540" s="97">
        <f>TRIM(E540)</f>
        <v/>
      </c>
    </row>
    <row r="541" hidden="1">
      <c r="A541" s="22" t="n">
        <v>1</v>
      </c>
      <c r="B541" t="inlineStr">
        <is>
          <t xml:space="preserve">CD MORENO                     </t>
        </is>
      </c>
      <c r="C541" t="inlineStr">
        <is>
          <t xml:space="preserve">GRUPO L.                      </t>
        </is>
      </c>
      <c r="D541" s="11" t="inlineStr">
        <is>
          <t>SEMOLA</t>
        </is>
      </c>
      <c r="E541" t="inlineStr">
        <is>
          <t xml:space="preserve">7791476070118       </t>
        </is>
      </c>
      <c r="F541" t="n">
        <v>4076821</v>
      </c>
      <c r="G541" t="inlineStr">
        <is>
          <t xml:space="preserve">SEMOLA X400GR EGRAN                </t>
        </is>
      </c>
      <c r="H541" t="inlineStr">
        <is>
          <t xml:space="preserve">UNIDAD              </t>
        </is>
      </c>
      <c r="I541" t="n">
        <v>121</v>
      </c>
      <c r="J541" t="n">
        <v>0</v>
      </c>
      <c r="K541" t="n">
        <v>0</v>
      </c>
      <c r="L541" t="n">
        <v>17</v>
      </c>
      <c r="M541" t="n">
        <v>17</v>
      </c>
      <c r="N541" t="n">
        <v>0</v>
      </c>
      <c r="O541" t="n">
        <v>87</v>
      </c>
      <c r="P541" s="96">
        <f>_xlfn.XLOOKUP(Tabla5[[#This Row],[EAN CORREGIDO]],'Tabla Articulos'!B:B,'Tabla Articulos'!D:D)</f>
        <v/>
      </c>
      <c r="Q541" s="96">
        <f>_xlfn.XLOOKUP(S541,'Tabla Articulos'!B:B,'Tabla Articulos'!E:E)</f>
        <v/>
      </c>
      <c r="R541" s="96">
        <f>O541*Q541</f>
        <v/>
      </c>
      <c r="S541" s="97">
        <f>TRIM(E541)</f>
        <v/>
      </c>
    </row>
    <row r="542" hidden="1">
      <c r="A542" s="22" t="n">
        <v>6</v>
      </c>
      <c r="B542" t="inlineStr">
        <is>
          <t xml:space="preserve">CDM03 - MORENO 3              </t>
        </is>
      </c>
      <c r="C542" t="inlineStr">
        <is>
          <t xml:space="preserve">GRUPO L.                      </t>
        </is>
      </c>
      <c r="E542" t="inlineStr">
        <is>
          <t xml:space="preserve">UNIF000205          </t>
        </is>
      </c>
      <c r="F542" t="n">
        <v>9003473</v>
      </c>
      <c r="G542" t="inlineStr">
        <is>
          <t xml:space="preserve">PANTAL CARG NEGRO AZ. 42 GL SUP    </t>
        </is>
      </c>
      <c r="H542" t="inlineStr">
        <is>
          <t xml:space="preserve">UNIDAD              </t>
        </is>
      </c>
      <c r="I542" t="n">
        <v>19</v>
      </c>
      <c r="J542" t="n">
        <v>0</v>
      </c>
      <c r="K542" t="n">
        <v>0</v>
      </c>
      <c r="L542" t="n">
        <v>2</v>
      </c>
      <c r="M542" t="n">
        <v>2</v>
      </c>
      <c r="N542" t="n">
        <v>0</v>
      </c>
      <c r="O542" t="n">
        <v>15</v>
      </c>
      <c r="P542" s="96">
        <f>_xlfn.XLOOKUP(Tabla5[[#This Row],[EAN CORREGIDO]],'Tabla Articulos'!B:B,'Tabla Articulos'!D:D)</f>
        <v/>
      </c>
      <c r="Q542" s="96">
        <f>_xlfn.XLOOKUP(S542,'Tabla Articulos'!B:B,'Tabla Articulos'!E:E)</f>
        <v/>
      </c>
      <c r="R542" s="96">
        <f>O542*Q542</f>
        <v/>
      </c>
      <c r="S542" s="97">
        <f>TRIM(E542)</f>
        <v/>
      </c>
    </row>
    <row r="543" hidden="1">
      <c r="A543" s="22" t="n">
        <v>6</v>
      </c>
      <c r="B543" t="inlineStr">
        <is>
          <t xml:space="preserve">CDM03 - MORENO 3              </t>
        </is>
      </c>
      <c r="C543" t="inlineStr">
        <is>
          <t xml:space="preserve">GRUPO L.                      </t>
        </is>
      </c>
      <c r="D543" t="inlineStr">
        <is>
          <t>BOLSAS CAMISETA</t>
        </is>
      </c>
      <c r="E543" t="inlineStr">
        <is>
          <t xml:space="preserve">7790321020136       </t>
        </is>
      </c>
      <c r="F543" t="n">
        <v>2006236</v>
      </c>
      <c r="G543" t="inlineStr">
        <is>
          <t xml:space="preserve">BOLSA CAMISETA 30 X 40 X 100 U     </t>
        </is>
      </c>
      <c r="H543" t="inlineStr">
        <is>
          <t xml:space="preserve">UNIDAD              </t>
        </is>
      </c>
      <c r="I543" t="n">
        <v>560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560</v>
      </c>
      <c r="P543" s="96">
        <f>_xlfn.XLOOKUP(Tabla5[[#This Row],[EAN CORREGIDO]],'Tabla Articulos'!B:B,'Tabla Articulos'!D:D)</f>
        <v/>
      </c>
      <c r="Q543" s="96">
        <f>_xlfn.XLOOKUP(S543,'Tabla Articulos'!B:B,'Tabla Articulos'!E:E)</f>
        <v/>
      </c>
      <c r="R543" s="96">
        <f>O543*Q543</f>
        <v/>
      </c>
      <c r="S543" s="97">
        <f>TRIM(E543)</f>
        <v/>
      </c>
    </row>
    <row r="544" hidden="1">
      <c r="A544" s="22" t="n">
        <v>6</v>
      </c>
      <c r="B544" t="inlineStr">
        <is>
          <t xml:space="preserve">CDM03 - MORENO 3              </t>
        </is>
      </c>
      <c r="C544" t="inlineStr">
        <is>
          <t xml:space="preserve">GRUPO L.                      </t>
        </is>
      </c>
      <c r="D544" s="11" t="n"/>
      <c r="E544" t="inlineStr">
        <is>
          <t xml:space="preserve">UNIF000036          </t>
        </is>
      </c>
      <c r="F544" t="n">
        <v>9003283</v>
      </c>
      <c r="G544" t="inlineStr">
        <is>
          <t xml:space="preserve">BUZO A. MARINO-FRISA GRUPO L 2XL   </t>
        </is>
      </c>
      <c r="H544" t="inlineStr">
        <is>
          <t xml:space="preserve">UNIDAD              </t>
        </is>
      </c>
      <c r="I544" t="n">
        <v>29</v>
      </c>
      <c r="J544" t="n">
        <v>90</v>
      </c>
      <c r="K544" t="n">
        <v>0</v>
      </c>
      <c r="L544" t="n">
        <v>0</v>
      </c>
      <c r="M544" t="n">
        <v>0</v>
      </c>
      <c r="N544" t="n">
        <v>0</v>
      </c>
      <c r="O544" t="n">
        <v>119</v>
      </c>
      <c r="P544" s="96">
        <f>_xlfn.XLOOKUP(Tabla5[[#This Row],[EAN CORREGIDO]],'Tabla Articulos'!B:B,'Tabla Articulos'!D:D)</f>
        <v/>
      </c>
      <c r="Q544" s="96">
        <f>_xlfn.XLOOKUP(S544,'Tabla Articulos'!B:B,'Tabla Articulos'!E:E)</f>
        <v/>
      </c>
      <c r="R544" s="96">
        <f>O544*Q544</f>
        <v/>
      </c>
      <c r="S544" s="97">
        <f>TRIM(E544)</f>
        <v/>
      </c>
    </row>
    <row r="545" hidden="1">
      <c r="A545" s="22" t="n">
        <v>5</v>
      </c>
      <c r="B545" t="inlineStr">
        <is>
          <t xml:space="preserve">CDM02 - MORENO 2              </t>
        </is>
      </c>
      <c r="C545" t="inlineStr">
        <is>
          <t xml:space="preserve">GRUPO L.                      </t>
        </is>
      </c>
      <c r="D545" t="inlineStr">
        <is>
          <t>LENTEJAS REMOJADAS</t>
        </is>
      </c>
      <c r="E545" t="inlineStr">
        <is>
          <t xml:space="preserve">7798096031086       </t>
        </is>
      </c>
      <c r="F545" t="n">
        <v>4021619</v>
      </c>
      <c r="G545" t="inlineStr">
        <is>
          <t xml:space="preserve">LENTEJAS X 340GR DOÑA PUPA         </t>
        </is>
      </c>
      <c r="H545" t="inlineStr">
        <is>
          <t xml:space="preserve">UNIDAD              </t>
        </is>
      </c>
      <c r="I545" t="n">
        <v>25681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25681</v>
      </c>
      <c r="P545" s="96">
        <f>_xlfn.XLOOKUP(Tabla5[[#This Row],[EAN CORREGIDO]],'Tabla Articulos'!B:B,'Tabla Articulos'!D:D)</f>
        <v/>
      </c>
      <c r="Q545" s="96">
        <f>_xlfn.XLOOKUP(S545,'Tabla Articulos'!B:B,'Tabla Articulos'!E:E)</f>
        <v/>
      </c>
      <c r="R545" s="96">
        <f>O545*Q545</f>
        <v/>
      </c>
      <c r="S545" s="97">
        <f>TRIM(E545)</f>
        <v/>
      </c>
    </row>
    <row r="546" hidden="1">
      <c r="A546" s="22" t="n">
        <v>1</v>
      </c>
      <c r="B546" t="inlineStr">
        <is>
          <t xml:space="preserve">CD MORENO                     </t>
        </is>
      </c>
      <c r="C546" t="inlineStr">
        <is>
          <t xml:space="preserve">GRUPO L.                      </t>
        </is>
      </c>
      <c r="D546" t="inlineStr">
        <is>
          <t>LENTEJAS REMOJADAS</t>
        </is>
      </c>
      <c r="E546" t="inlineStr">
        <is>
          <t xml:space="preserve">7798096031086       </t>
        </is>
      </c>
      <c r="F546" t="n">
        <v>4021619</v>
      </c>
      <c r="G546" t="inlineStr">
        <is>
          <t xml:space="preserve">LENTEJAS X 340GR DOÑA PUPA         </t>
        </is>
      </c>
      <c r="H546" t="inlineStr">
        <is>
          <t xml:space="preserve">UNIDAD              </t>
        </is>
      </c>
      <c r="I546" t="n">
        <v>266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266</v>
      </c>
      <c r="P546" s="96">
        <f>_xlfn.XLOOKUP(Tabla5[[#This Row],[EAN CORREGIDO]],'Tabla Articulos'!B:B,'Tabla Articulos'!D:D)</f>
        <v/>
      </c>
      <c r="Q546" s="96">
        <f>_xlfn.XLOOKUP(S546,'Tabla Articulos'!B:B,'Tabla Articulos'!E:E)</f>
        <v/>
      </c>
      <c r="R546" s="96">
        <f>O546*Q546</f>
        <v/>
      </c>
      <c r="S546" s="97">
        <f>TRIM(E546)</f>
        <v/>
      </c>
    </row>
    <row r="547" hidden="1">
      <c r="A547" s="22" t="n">
        <v>1</v>
      </c>
      <c r="B547" t="inlineStr">
        <is>
          <t xml:space="preserve">CD MORENO                     </t>
        </is>
      </c>
      <c r="C547" t="inlineStr">
        <is>
          <t xml:space="preserve">GRUPO L.                      </t>
        </is>
      </c>
      <c r="D547" t="inlineStr">
        <is>
          <t>LECHE NIDINA 2</t>
        </is>
      </c>
      <c r="E547" t="inlineStr">
        <is>
          <t xml:space="preserve">8445290648136       </t>
        </is>
      </c>
      <c r="F547" t="n">
        <v>4049119</v>
      </c>
      <c r="G547" t="inlineStr">
        <is>
          <t xml:space="preserve">LECHE POLVO NIDINA2 X800G          </t>
        </is>
      </c>
      <c r="H547" t="inlineStr">
        <is>
          <t xml:space="preserve">UNIDAD              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5</v>
      </c>
      <c r="P547" s="96">
        <f>_xlfn.XLOOKUP(Tabla5[[#This Row],[EAN CORREGIDO]],'Tabla Articulos'!B:B,'Tabla Articulos'!D:D)</f>
        <v/>
      </c>
      <c r="Q547" s="96">
        <f>_xlfn.XLOOKUP(S547,'Tabla Articulos'!B:B,'Tabla Articulos'!E:E)</f>
        <v/>
      </c>
      <c r="R547" s="96">
        <f>O547*Q547</f>
        <v/>
      </c>
      <c r="S547" s="97">
        <f>TRIM(E547)</f>
        <v/>
      </c>
    </row>
    <row r="548" hidden="1">
      <c r="A548" s="22" t="n">
        <v>6</v>
      </c>
      <c r="B548" t="inlineStr">
        <is>
          <t xml:space="preserve">CDM03 - MORENO 3              </t>
        </is>
      </c>
      <c r="C548" t="inlineStr">
        <is>
          <t xml:space="preserve">GRUPO L.                      </t>
        </is>
      </c>
      <c r="D548" t="inlineStr">
        <is>
          <t>RESINITE PVC</t>
        </is>
      </c>
      <c r="E548" t="inlineStr">
        <is>
          <t xml:space="preserve">7790000000229       </t>
        </is>
      </c>
      <c r="F548" t="n">
        <v>2007185</v>
      </c>
      <c r="G548" t="inlineStr">
        <is>
          <t xml:space="preserve">FILM PVC 45 CM 4.3 KG MPROP XUN    </t>
        </is>
      </c>
      <c r="H548" t="inlineStr">
        <is>
          <t xml:space="preserve">UNIDAD              </t>
        </is>
      </c>
      <c r="I548" t="n">
        <v>300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300</v>
      </c>
      <c r="P548" s="96">
        <f>_xlfn.XLOOKUP(Tabla5[[#This Row],[EAN CORREGIDO]],'Tabla Articulos'!B:B,'Tabla Articulos'!D:D)</f>
        <v/>
      </c>
      <c r="Q548" s="96">
        <f>_xlfn.XLOOKUP(S548,'Tabla Articulos'!B:B,'Tabla Articulos'!E:E)</f>
        <v/>
      </c>
      <c r="R548" s="96">
        <f>O548*Q548</f>
        <v/>
      </c>
      <c r="S548" s="97">
        <f>TRIM(E548)</f>
        <v/>
      </c>
    </row>
    <row r="549" hidden="1">
      <c r="A549" s="22" t="n">
        <v>6</v>
      </c>
      <c r="B549" t="inlineStr">
        <is>
          <t xml:space="preserve">CDM03 - MORENO 3              </t>
        </is>
      </c>
      <c r="C549" t="inlineStr">
        <is>
          <t xml:space="preserve">GRUPO L.                      </t>
        </is>
      </c>
      <c r="E549" t="inlineStr">
        <is>
          <t xml:space="preserve">2004311             </t>
        </is>
      </c>
      <c r="F549" t="n">
        <v>2004311</v>
      </c>
      <c r="G549" t="inlineStr">
        <is>
          <t>BOLSA RESIDUO NEGRA 110X120 CM 40 M</t>
        </is>
      </c>
      <c r="H549" t="inlineStr">
        <is>
          <t xml:space="preserve">UNIDAD              </t>
        </is>
      </c>
      <c r="I549" t="n">
        <v>38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38</v>
      </c>
      <c r="P549" s="96">
        <f>_xlfn.XLOOKUP(Tabla5[[#This Row],[EAN CORREGIDO]],'Tabla Articulos'!B:B,'Tabla Articulos'!D:D)</f>
        <v/>
      </c>
      <c r="Q549" s="96">
        <f>_xlfn.XLOOKUP(S549,'Tabla Articulos'!B:B,'Tabla Articulos'!E:E)</f>
        <v/>
      </c>
      <c r="R549" s="96">
        <f>O549*Q549</f>
        <v/>
      </c>
      <c r="S549" s="97">
        <f>TRIM(E549)</f>
        <v/>
      </c>
    </row>
    <row r="550" hidden="1">
      <c r="A550" s="22" t="n">
        <v>1</v>
      </c>
      <c r="B550" t="inlineStr">
        <is>
          <t xml:space="preserve">CD MORENO                     </t>
        </is>
      </c>
      <c r="C550" t="inlineStr">
        <is>
          <t xml:space="preserve">GRUPO L.                      </t>
        </is>
      </c>
      <c r="D550" t="inlineStr">
        <is>
          <t>OREGANO</t>
        </is>
      </c>
      <c r="E550" t="inlineStr">
        <is>
          <t xml:space="preserve">7790530900538       </t>
        </is>
      </c>
      <c r="F550" t="n">
        <v>4019846</v>
      </c>
      <c r="G550" t="inlineStr">
        <is>
          <t xml:space="preserve">OREGANO X1KG BEDIAL                </t>
        </is>
      </c>
      <c r="H550" t="inlineStr">
        <is>
          <t xml:space="preserve">UNIDAD              </t>
        </is>
      </c>
      <c r="I550" t="n">
        <v>16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16</v>
      </c>
      <c r="P550" s="96">
        <f>_xlfn.XLOOKUP(Tabla5[[#This Row],[EAN CORREGIDO]],'Tabla Articulos'!B:B,'Tabla Articulos'!D:D)</f>
        <v/>
      </c>
      <c r="Q550" s="96">
        <f>_xlfn.XLOOKUP(S550,'Tabla Articulos'!B:B,'Tabla Articulos'!E:E)</f>
        <v/>
      </c>
      <c r="R550" s="96">
        <f>O550*Q550</f>
        <v/>
      </c>
      <c r="S550" s="97">
        <f>TRIM(E550)</f>
        <v/>
      </c>
    </row>
    <row r="551" hidden="1">
      <c r="A551" s="22" t="n">
        <v>5</v>
      </c>
      <c r="B551" t="inlineStr">
        <is>
          <t xml:space="preserve">CDM02 - MORENO 2              </t>
        </is>
      </c>
      <c r="C551" t="inlineStr">
        <is>
          <t xml:space="preserve">GRUPO L.                      </t>
        </is>
      </c>
      <c r="D551" t="inlineStr">
        <is>
          <t>OREGANO</t>
        </is>
      </c>
      <c r="E551" t="inlineStr">
        <is>
          <t xml:space="preserve">7790530900538       </t>
        </is>
      </c>
      <c r="F551" t="n">
        <v>4019846</v>
      </c>
      <c r="G551" t="inlineStr">
        <is>
          <t xml:space="preserve">OREGANO X1KG BEDIAL                </t>
        </is>
      </c>
      <c r="H551" t="inlineStr">
        <is>
          <t xml:space="preserve">UNIDAD              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10</v>
      </c>
      <c r="P551" s="96">
        <f>_xlfn.XLOOKUP(Tabla5[[#This Row],[EAN CORREGIDO]],'Tabla Articulos'!B:B,'Tabla Articulos'!D:D)</f>
        <v/>
      </c>
      <c r="Q551" s="96">
        <f>_xlfn.XLOOKUP(S551,'Tabla Articulos'!B:B,'Tabla Articulos'!E:E)</f>
        <v/>
      </c>
      <c r="R551" s="96">
        <f>O551*Q551</f>
        <v/>
      </c>
      <c r="S551" s="97">
        <f>TRIM(E551)</f>
        <v/>
      </c>
    </row>
    <row r="552" hidden="1">
      <c r="A552" s="22" t="n">
        <v>1</v>
      </c>
      <c r="B552" t="inlineStr">
        <is>
          <t xml:space="preserve">CD MORENO                     </t>
        </is>
      </c>
      <c r="C552" t="inlineStr">
        <is>
          <t xml:space="preserve">GRUPO L.                      </t>
        </is>
      </c>
      <c r="D552" s="11" t="inlineStr">
        <is>
          <t xml:space="preserve">PASAS </t>
        </is>
      </c>
      <c r="E552" t="inlineStr">
        <is>
          <t xml:space="preserve">0724751080400       </t>
        </is>
      </c>
      <c r="F552" t="n">
        <v>4024236</v>
      </c>
      <c r="G552" t="inlineStr">
        <is>
          <t xml:space="preserve">PASA UVA NEGRA X1KG PUERTO GOURMET </t>
        </is>
      </c>
      <c r="H552" t="inlineStr">
        <is>
          <t xml:space="preserve">UNIDAD              </t>
        </is>
      </c>
      <c r="I552" t="n">
        <v>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9</v>
      </c>
      <c r="P552" s="96">
        <f>_xlfn.XLOOKUP(Tabla5[[#This Row],[EAN CORREGIDO]],'Tabla Articulos'!B:B,'Tabla Articulos'!D:D)</f>
        <v/>
      </c>
      <c r="Q552" s="96">
        <f>_xlfn.XLOOKUP(S552,'Tabla Articulos'!B:B,'Tabla Articulos'!E:E)</f>
        <v/>
      </c>
      <c r="R552" s="96">
        <f>O552*Q552</f>
        <v/>
      </c>
      <c r="S552" s="97">
        <f>TRIM(E552)</f>
        <v/>
      </c>
    </row>
    <row r="553" hidden="1">
      <c r="A553" s="22" t="n">
        <v>1</v>
      </c>
      <c r="B553" t="inlineStr">
        <is>
          <t xml:space="preserve">CD MORENO                     </t>
        </is>
      </c>
      <c r="C553" t="inlineStr">
        <is>
          <t xml:space="preserve">GRUPO L.                      </t>
        </is>
      </c>
      <c r="D553" s="11" t="inlineStr">
        <is>
          <t>COPOS CELIACOS</t>
        </is>
      </c>
      <c r="E553" t="inlineStr">
        <is>
          <t xml:space="preserve">7790495005996       </t>
        </is>
      </c>
      <c r="F553" t="n">
        <v>4024246</v>
      </c>
      <c r="G553" t="inlineStr">
        <is>
          <t xml:space="preserve">COPOS MAIZ S/TACC X180G YING YAN   </t>
        </is>
      </c>
      <c r="H553" t="inlineStr">
        <is>
          <t xml:space="preserve">UNIDAD              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s="96">
        <f>_xlfn.XLOOKUP(Tabla5[[#This Row],[EAN CORREGIDO]],'Tabla Articulos'!B:B,'Tabla Articulos'!D:D)</f>
        <v/>
      </c>
      <c r="Q553" s="96">
        <f>_xlfn.XLOOKUP(S553,'Tabla Articulos'!B:B,'Tabla Articulos'!E:E)</f>
        <v/>
      </c>
      <c r="R553" s="96">
        <f>O553*Q553</f>
        <v/>
      </c>
      <c r="S553" s="97">
        <f>TRIM(E553)</f>
        <v/>
      </c>
    </row>
    <row r="554" hidden="1">
      <c r="A554" s="22" t="n">
        <v>6</v>
      </c>
      <c r="B554" t="inlineStr">
        <is>
          <t xml:space="preserve">CDM03 - MORENO 3              </t>
        </is>
      </c>
      <c r="C554" t="inlineStr">
        <is>
          <t xml:space="preserve">GRUPO L.                      </t>
        </is>
      </c>
      <c r="D554" t="inlineStr">
        <is>
          <t>PALA PLASTICA</t>
        </is>
      </c>
      <c r="E554" t="inlineStr">
        <is>
          <t xml:space="preserve">7798065720256       </t>
        </is>
      </c>
      <c r="F554" t="n">
        <v>2016712</v>
      </c>
      <c r="G554" t="inlineStr">
        <is>
          <t xml:space="preserve">PALA DE MANO XU                    </t>
        </is>
      </c>
      <c r="H554" t="inlineStr">
        <is>
          <t xml:space="preserve">UNIDAD              </t>
        </is>
      </c>
      <c r="I554" t="n">
        <v>520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520</v>
      </c>
      <c r="P554" s="96">
        <f>_xlfn.XLOOKUP(Tabla5[[#This Row],[EAN CORREGIDO]],'Tabla Articulos'!B:B,'Tabla Articulos'!D:D)</f>
        <v/>
      </c>
      <c r="Q554" s="96">
        <f>_xlfn.XLOOKUP(S554,'Tabla Articulos'!B:B,'Tabla Articulos'!E:E)</f>
        <v/>
      </c>
      <c r="R554" s="96">
        <f>O554*Q554</f>
        <v/>
      </c>
      <c r="S554" s="97">
        <f>TRIM(E554)</f>
        <v/>
      </c>
    </row>
    <row r="555" hidden="1">
      <c r="A555" s="22" t="n">
        <v>6</v>
      </c>
      <c r="B555" t="inlineStr">
        <is>
          <t xml:space="preserve">CDM03 - MORENO 3              </t>
        </is>
      </c>
      <c r="C555" t="inlineStr">
        <is>
          <t xml:space="preserve">GRUPO L.                      </t>
        </is>
      </c>
      <c r="D555" t="inlineStr">
        <is>
          <t>JABON ANTIBACTERIAL</t>
        </is>
      </c>
      <c r="E555" t="inlineStr">
        <is>
          <t xml:space="preserve">7798188650782       </t>
        </is>
      </c>
      <c r="F555" t="n">
        <v>2006566</v>
      </c>
      <c r="G555" t="inlineStr">
        <is>
          <t xml:space="preserve">JABON ANTIBACTERIAL X5L            </t>
        </is>
      </c>
      <c r="H555" t="inlineStr">
        <is>
          <t xml:space="preserve">UNIDAD              </t>
        </is>
      </c>
      <c r="I555" t="n">
        <v>20</v>
      </c>
      <c r="J555" t="n">
        <v>0</v>
      </c>
      <c r="K555" t="n">
        <v>0</v>
      </c>
      <c r="L555" t="n">
        <v>5</v>
      </c>
      <c r="M555" t="n">
        <v>5</v>
      </c>
      <c r="N555" t="n">
        <v>0</v>
      </c>
      <c r="O555" t="n">
        <v>10</v>
      </c>
      <c r="P555" s="96">
        <f>_xlfn.XLOOKUP(Tabla5[[#This Row],[EAN CORREGIDO]],'Tabla Articulos'!B:B,'Tabla Articulos'!D:D)</f>
        <v/>
      </c>
      <c r="Q555" s="96">
        <f>_xlfn.XLOOKUP(S555,'Tabla Articulos'!B:B,'Tabla Articulos'!E:E)</f>
        <v/>
      </c>
      <c r="R555" s="96">
        <f>O555*Q555</f>
        <v/>
      </c>
      <c r="S555" s="97">
        <f>TRIM(E555)</f>
        <v/>
      </c>
    </row>
    <row r="556" hidden="1">
      <c r="A556" s="22" t="n">
        <v>6</v>
      </c>
      <c r="B556" t="inlineStr">
        <is>
          <t xml:space="preserve">CDM03 - MORENO 3              </t>
        </is>
      </c>
      <c r="C556" t="inlineStr">
        <is>
          <t xml:space="preserve">GRUPO L.                      </t>
        </is>
      </c>
      <c r="D556" t="inlineStr">
        <is>
          <t>POTE</t>
        </is>
      </c>
      <c r="E556" t="inlineStr">
        <is>
          <t xml:space="preserve">7790000000735       </t>
        </is>
      </c>
      <c r="F556" t="n">
        <v>2016560</v>
      </c>
      <c r="G556" t="inlineStr">
        <is>
          <t xml:space="preserve">POTE NATURAL 25CC X2000UN          </t>
        </is>
      </c>
      <c r="H556" t="inlineStr">
        <is>
          <t xml:space="preserve">UNIDAD              </t>
        </is>
      </c>
      <c r="I556" t="n">
        <v>10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10</v>
      </c>
      <c r="P556" s="96">
        <f>_xlfn.XLOOKUP(Tabla5[[#This Row],[EAN CORREGIDO]],'Tabla Articulos'!B:B,'Tabla Articulos'!D:D)</f>
        <v/>
      </c>
      <c r="Q556" s="96">
        <f>_xlfn.XLOOKUP(S556,'Tabla Articulos'!B:B,'Tabla Articulos'!E:E)</f>
        <v/>
      </c>
      <c r="R556" s="96">
        <f>O556*Q556</f>
        <v/>
      </c>
      <c r="S556" s="97">
        <f>TRIM(E556)</f>
        <v/>
      </c>
    </row>
    <row r="557" hidden="1">
      <c r="A557" s="22" t="n">
        <v>6</v>
      </c>
      <c r="B557" t="inlineStr">
        <is>
          <t xml:space="preserve">CDM03 - MORENO 3              </t>
        </is>
      </c>
      <c r="C557" t="inlineStr">
        <is>
          <t xml:space="preserve">GRUPO L.                      </t>
        </is>
      </c>
      <c r="E557" t="inlineStr">
        <is>
          <t xml:space="preserve">UNIF000219          </t>
        </is>
      </c>
      <c r="F557" t="n">
        <v>9003487</v>
      </c>
      <c r="G557" t="inlineStr">
        <is>
          <t xml:space="preserve">PANTAL CARG NEGRO NAR. 52 GL SUP   </t>
        </is>
      </c>
      <c r="H557" t="inlineStr">
        <is>
          <t xml:space="preserve">UNIDAD              </t>
        </is>
      </c>
      <c r="I557" t="n">
        <v>20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20</v>
      </c>
      <c r="P557" s="96">
        <f>_xlfn.XLOOKUP(Tabla5[[#This Row],[EAN CORREGIDO]],'Tabla Articulos'!B:B,'Tabla Articulos'!D:D)</f>
        <v/>
      </c>
      <c r="Q557" s="96">
        <f>_xlfn.XLOOKUP(S557,'Tabla Articulos'!B:B,'Tabla Articulos'!E:E)</f>
        <v/>
      </c>
      <c r="R557" s="96">
        <f>O557*Q557</f>
        <v/>
      </c>
      <c r="S557" s="97">
        <f>TRIM(E557)</f>
        <v/>
      </c>
    </row>
    <row r="558" hidden="1">
      <c r="A558" s="22" t="n">
        <v>1</v>
      </c>
      <c r="B558" t="inlineStr">
        <is>
          <t xml:space="preserve">CD MORENO                     </t>
        </is>
      </c>
      <c r="C558" t="inlineStr">
        <is>
          <t xml:space="preserve">GRUPO L.                      </t>
        </is>
      </c>
      <c r="D558" t="inlineStr">
        <is>
          <t>ATUN A/A DESMEN</t>
        </is>
      </c>
      <c r="E558" t="inlineStr">
        <is>
          <t xml:space="preserve">7797470004838       </t>
        </is>
      </c>
      <c r="F558" t="n">
        <v>4020778</v>
      </c>
      <c r="G558" t="inlineStr">
        <is>
          <t xml:space="preserve">ATUN DESMEN A/A X170G EL DIQUE     </t>
        </is>
      </c>
      <c r="H558" t="inlineStr">
        <is>
          <t xml:space="preserve">UNIDAD              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2</v>
      </c>
      <c r="P558" s="96">
        <f>_xlfn.XLOOKUP(Tabla5[[#This Row],[EAN CORREGIDO]],'Tabla Articulos'!B:B,'Tabla Articulos'!D:D)</f>
        <v/>
      </c>
      <c r="Q558" s="96">
        <f>_xlfn.XLOOKUP(S558,'Tabla Articulos'!B:B,'Tabla Articulos'!E:E)</f>
        <v/>
      </c>
      <c r="R558" s="96">
        <f>O558*Q558</f>
        <v/>
      </c>
      <c r="S558" s="97">
        <f>TRIM(E558)</f>
        <v/>
      </c>
    </row>
    <row r="559" hidden="1">
      <c r="A559" s="22" t="n">
        <v>6</v>
      </c>
      <c r="B559" t="inlineStr">
        <is>
          <t xml:space="preserve">CDM03 - MORENO 3              </t>
        </is>
      </c>
      <c r="C559" t="inlineStr">
        <is>
          <t xml:space="preserve">GRUPO L.                      </t>
        </is>
      </c>
      <c r="D559" s="11" t="n"/>
      <c r="E559" t="inlineStr">
        <is>
          <t xml:space="preserve">BAZ001247           </t>
        </is>
      </c>
      <c r="F559" t="n">
        <v>9003783</v>
      </c>
      <c r="G559" t="inlineStr">
        <is>
          <t xml:space="preserve">CONT PLAST RECTANG 38X28X11CM 9L   </t>
        </is>
      </c>
      <c r="H559" t="inlineStr">
        <is>
          <t xml:space="preserve">UNIDAD              </t>
        </is>
      </c>
      <c r="I559" t="n">
        <v>60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60</v>
      </c>
      <c r="P559" s="96">
        <f>_xlfn.XLOOKUP(Tabla5[[#This Row],[EAN CORREGIDO]],'Tabla Articulos'!B:B,'Tabla Articulos'!D:D)</f>
        <v/>
      </c>
      <c r="Q559" s="96">
        <f>_xlfn.XLOOKUP(S559,'Tabla Articulos'!B:B,'Tabla Articulos'!E:E)</f>
        <v/>
      </c>
      <c r="R559" s="96">
        <f>O559*Q559</f>
        <v/>
      </c>
      <c r="S559" s="97">
        <f>TRIM(E559)</f>
        <v/>
      </c>
    </row>
    <row r="560" hidden="1">
      <c r="A560" s="22" t="n">
        <v>6</v>
      </c>
      <c r="B560" t="inlineStr">
        <is>
          <t xml:space="preserve">CDM03 - MORENO 3              </t>
        </is>
      </c>
      <c r="C560" t="inlineStr">
        <is>
          <t xml:space="preserve">GRUPO L.                      </t>
        </is>
      </c>
      <c r="D560" s="11" t="n"/>
      <c r="E560" t="inlineStr">
        <is>
          <t xml:space="preserve">UNIF000749          </t>
        </is>
      </c>
      <c r="F560" t="n">
        <v>9004203</v>
      </c>
      <c r="G560" t="inlineStr">
        <is>
          <t xml:space="preserve">CAMISA POPLIN ML BLUE CAFÉ XXL     </t>
        </is>
      </c>
      <c r="H560" t="inlineStr">
        <is>
          <t xml:space="preserve">UNIDAD              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10</v>
      </c>
      <c r="P560" s="96">
        <f>_xlfn.XLOOKUP(Tabla5[[#This Row],[EAN CORREGIDO]],'Tabla Articulos'!B:B,'Tabla Articulos'!D:D)</f>
        <v/>
      </c>
      <c r="Q560" s="96">
        <f>_xlfn.XLOOKUP(S560,'Tabla Articulos'!B:B,'Tabla Articulos'!E:E)</f>
        <v/>
      </c>
      <c r="R560" s="96">
        <f>O560*Q560</f>
        <v/>
      </c>
      <c r="S560" s="97">
        <f>TRIM(E560)</f>
        <v/>
      </c>
    </row>
    <row r="561" hidden="1">
      <c r="A561" s="22" t="n">
        <v>5</v>
      </c>
      <c r="B561" t="inlineStr">
        <is>
          <t xml:space="preserve">CDM02 - MORENO 2              </t>
        </is>
      </c>
      <c r="C561" t="inlineStr">
        <is>
          <t xml:space="preserve">GRUPO L.                      </t>
        </is>
      </c>
      <c r="D561" s="11" t="inlineStr">
        <is>
          <t>VINO TINTO</t>
        </is>
      </c>
      <c r="E561" t="inlineStr">
        <is>
          <t xml:space="preserve">7790984005162       </t>
        </is>
      </c>
      <c r="F561" t="n">
        <v>4021309</v>
      </c>
      <c r="G561" t="inlineStr">
        <is>
          <t xml:space="preserve">VINO TINTO X1LT PICO DE ORO.       </t>
        </is>
      </c>
      <c r="H561" t="inlineStr">
        <is>
          <t xml:space="preserve">UNIDAD              </t>
        </is>
      </c>
      <c r="I561" t="n">
        <v>28</v>
      </c>
      <c r="J561" t="n">
        <v>0</v>
      </c>
      <c r="K561" t="n">
        <v>0</v>
      </c>
      <c r="L561" t="n">
        <v>12</v>
      </c>
      <c r="M561" t="n">
        <v>12</v>
      </c>
      <c r="N561" t="n">
        <v>0</v>
      </c>
      <c r="O561" t="n">
        <v>4</v>
      </c>
      <c r="P561" s="96">
        <f>_xlfn.XLOOKUP(Tabla5[[#This Row],[EAN CORREGIDO]],'Tabla Articulos'!B:B,'Tabla Articulos'!D:D)</f>
        <v/>
      </c>
      <c r="Q561" s="96">
        <f>_xlfn.XLOOKUP(S561,'Tabla Articulos'!B:B,'Tabla Articulos'!E:E)</f>
        <v/>
      </c>
      <c r="R561" s="96">
        <f>O561*Q561</f>
        <v/>
      </c>
      <c r="S561" s="97">
        <f>TRIM(E561)</f>
        <v/>
      </c>
    </row>
    <row r="562" hidden="1">
      <c r="A562" s="22" t="n">
        <v>6</v>
      </c>
      <c r="B562" t="inlineStr">
        <is>
          <t xml:space="preserve">CDM03 - MORENO 3              </t>
        </is>
      </c>
      <c r="C562" t="inlineStr">
        <is>
          <t xml:space="preserve">GRUPO L.                      </t>
        </is>
      </c>
      <c r="E562" t="inlineStr">
        <is>
          <t xml:space="preserve">UNIF000378          </t>
        </is>
      </c>
      <c r="F562" t="n">
        <v>9003642</v>
      </c>
      <c r="G562" t="inlineStr">
        <is>
          <t xml:space="preserve">SWEATER NEGRO-LANA 3XL             </t>
        </is>
      </c>
      <c r="H562" t="inlineStr">
        <is>
          <t xml:space="preserve">UNIDAD              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8</v>
      </c>
      <c r="P562" s="96">
        <f>_xlfn.XLOOKUP(Tabla5[[#This Row],[EAN CORREGIDO]],'Tabla Articulos'!B:B,'Tabla Articulos'!D:D)</f>
        <v/>
      </c>
      <c r="Q562" s="96">
        <f>_xlfn.XLOOKUP(S562,'Tabla Articulos'!B:B,'Tabla Articulos'!E:E)</f>
        <v/>
      </c>
      <c r="R562" s="96">
        <f>O562*Q562</f>
        <v/>
      </c>
      <c r="S562" s="97">
        <f>TRIM(E562)</f>
        <v/>
      </c>
    </row>
    <row r="563" hidden="1">
      <c r="A563" s="22" t="n">
        <v>6</v>
      </c>
      <c r="B563" t="inlineStr">
        <is>
          <t xml:space="preserve">CDM03 - MORENO 3              </t>
        </is>
      </c>
      <c r="C563" t="inlineStr">
        <is>
          <t xml:space="preserve">GRUPO L.                      </t>
        </is>
      </c>
      <c r="D563" s="11" t="inlineStr">
        <is>
          <t>SERVILLETA INTERC S/LOGO</t>
        </is>
      </c>
      <c r="E563" t="inlineStr">
        <is>
          <t xml:space="preserve">17790250912825      </t>
        </is>
      </c>
      <c r="F563" t="n">
        <v>2006665</v>
      </c>
      <c r="G563" t="inlineStr">
        <is>
          <t xml:space="preserve">SERVILLETA ELITE 16X21 X8400U      </t>
        </is>
      </c>
      <c r="H563" t="inlineStr">
        <is>
          <t xml:space="preserve">UNIDAD              </t>
        </is>
      </c>
      <c r="I563" t="n">
        <v>30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30</v>
      </c>
      <c r="P563" s="96">
        <f>_xlfn.XLOOKUP(Tabla5[[#This Row],[EAN CORREGIDO]],'Tabla Articulos'!B:B,'Tabla Articulos'!D:D)</f>
        <v/>
      </c>
      <c r="Q563" s="96">
        <f>_xlfn.XLOOKUP(S563,'Tabla Articulos'!B:B,'Tabla Articulos'!E:E)</f>
        <v/>
      </c>
      <c r="R563" s="96">
        <f>O563*Q563</f>
        <v/>
      </c>
      <c r="S563" s="97">
        <f>TRIM(E563)</f>
        <v/>
      </c>
    </row>
    <row r="564" hidden="1">
      <c r="A564" s="22" t="n">
        <v>6</v>
      </c>
      <c r="B564" t="inlineStr">
        <is>
          <t xml:space="preserve">CDM03 - MORENO 3              </t>
        </is>
      </c>
      <c r="C564" t="inlineStr">
        <is>
          <t xml:space="preserve">GRUPO L.                      </t>
        </is>
      </c>
      <c r="E564" t="inlineStr">
        <is>
          <t xml:space="preserve">BAZ001361           </t>
        </is>
      </c>
      <c r="F564" t="n">
        <v>9003806</v>
      </c>
      <c r="G564" t="inlineStr">
        <is>
          <t xml:space="preserve">CUCHI M/PLAST MASTER MICROBAN 6"   </t>
        </is>
      </c>
      <c r="H564" t="inlineStr">
        <is>
          <t xml:space="preserve">UNIDAD              </t>
        </is>
      </c>
      <c r="I564" t="n">
        <v>40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40</v>
      </c>
      <c r="P564" s="96">
        <f>_xlfn.XLOOKUP(Tabla5[[#This Row],[EAN CORREGIDO]],'Tabla Articulos'!B:B,'Tabla Articulos'!D:D)</f>
        <v/>
      </c>
      <c r="Q564" s="96">
        <f>_xlfn.XLOOKUP(S564,'Tabla Articulos'!B:B,'Tabla Articulos'!E:E)</f>
        <v/>
      </c>
      <c r="R564" s="96">
        <f>O564*Q564</f>
        <v/>
      </c>
      <c r="S564" s="97">
        <f>TRIM(E564)</f>
        <v/>
      </c>
    </row>
    <row r="565" hidden="1">
      <c r="A565" s="22" t="n">
        <v>5</v>
      </c>
      <c r="B565" t="inlineStr">
        <is>
          <t xml:space="preserve">CDM02 - MORENO 2              </t>
        </is>
      </c>
      <c r="C565" t="inlineStr">
        <is>
          <t xml:space="preserve">GRUPO L.                      </t>
        </is>
      </c>
      <c r="D565" s="11" t="inlineStr">
        <is>
          <t>CALDO POLVO VERDURA</t>
        </is>
      </c>
      <c r="E565" t="inlineStr">
        <is>
          <t xml:space="preserve">7794000004061       </t>
        </is>
      </c>
      <c r="F565" t="n">
        <v>4020135</v>
      </c>
      <c r="G565" t="inlineStr">
        <is>
          <t xml:space="preserve">CALDO VERDURA X 950 G KNORR        </t>
        </is>
      </c>
      <c r="H565" t="inlineStr">
        <is>
          <t xml:space="preserve">UNIDAD              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2</v>
      </c>
      <c r="P565" s="96">
        <f>_xlfn.XLOOKUP(Tabla5[[#This Row],[EAN CORREGIDO]],'Tabla Articulos'!B:B,'Tabla Articulos'!D:D)</f>
        <v/>
      </c>
      <c r="Q565" s="96">
        <f>_xlfn.XLOOKUP(S565,'Tabla Articulos'!B:B,'Tabla Articulos'!E:E)</f>
        <v/>
      </c>
      <c r="R565" s="96">
        <f>O565*Q565</f>
        <v/>
      </c>
      <c r="S565" s="97">
        <f>TRIM(E565)</f>
        <v/>
      </c>
    </row>
    <row r="566" hidden="1">
      <c r="A566" s="22" t="n">
        <v>1</v>
      </c>
      <c r="B566" t="inlineStr">
        <is>
          <t xml:space="preserve">CD MORENO                     </t>
        </is>
      </c>
      <c r="C566" t="inlineStr">
        <is>
          <t xml:space="preserve">GRUPO L.                      </t>
        </is>
      </c>
      <c r="D566" t="inlineStr">
        <is>
          <t>CALDO POLVO VERDURA</t>
        </is>
      </c>
      <c r="E566" t="inlineStr">
        <is>
          <t xml:space="preserve">7794000004061       </t>
        </is>
      </c>
      <c r="F566" t="n">
        <v>4020135</v>
      </c>
      <c r="G566" t="inlineStr">
        <is>
          <t xml:space="preserve">CALDO VERDURA X 950 G KNORR        </t>
        </is>
      </c>
      <c r="H566" t="inlineStr">
        <is>
          <t xml:space="preserve">UNIDAD              </t>
        </is>
      </c>
      <c r="I566" t="n">
        <v>22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22</v>
      </c>
      <c r="P566" s="96">
        <f>_xlfn.XLOOKUP(Tabla5[[#This Row],[EAN CORREGIDO]],'Tabla Articulos'!B:B,'Tabla Articulos'!D:D)</f>
        <v/>
      </c>
      <c r="Q566" s="96">
        <f>_xlfn.XLOOKUP(S566,'Tabla Articulos'!B:B,'Tabla Articulos'!E:E)</f>
        <v/>
      </c>
      <c r="R566" s="96">
        <f>O566*Q566</f>
        <v/>
      </c>
      <c r="S566" s="97">
        <f>TRIM(E566)</f>
        <v/>
      </c>
    </row>
    <row r="567" hidden="1">
      <c r="A567" s="22" t="n">
        <v>6</v>
      </c>
      <c r="B567" t="inlineStr">
        <is>
          <t xml:space="preserve">CDM03 - MORENO 3              </t>
        </is>
      </c>
      <c r="C567" t="inlineStr">
        <is>
          <t xml:space="preserve">GRUPO L.                      </t>
        </is>
      </c>
      <c r="E567" t="inlineStr">
        <is>
          <t xml:space="preserve">UNIF000426          </t>
        </is>
      </c>
      <c r="F567" t="n">
        <v>9003269</v>
      </c>
      <c r="G567" t="inlineStr">
        <is>
          <t xml:space="preserve">CAMISA GRAFA-AZUL MARINO 58 ELEV   </t>
        </is>
      </c>
      <c r="H567" t="inlineStr">
        <is>
          <t xml:space="preserve">UNIDAD              </t>
        </is>
      </c>
      <c r="I567" t="n">
        <v>57</v>
      </c>
      <c r="J567" t="n">
        <v>20</v>
      </c>
      <c r="K567" t="n">
        <v>0</v>
      </c>
      <c r="L567" t="n">
        <v>1</v>
      </c>
      <c r="M567" t="n">
        <v>1</v>
      </c>
      <c r="N567" t="n">
        <v>0</v>
      </c>
      <c r="O567" t="n">
        <v>75</v>
      </c>
      <c r="P567" s="96">
        <f>_xlfn.XLOOKUP(Tabla5[[#This Row],[EAN CORREGIDO]],'Tabla Articulos'!B:B,'Tabla Articulos'!D:D)</f>
        <v/>
      </c>
      <c r="Q567" s="96">
        <f>_xlfn.XLOOKUP(S567,'Tabla Articulos'!B:B,'Tabla Articulos'!E:E)</f>
        <v/>
      </c>
      <c r="R567" s="96">
        <f>O567*Q567</f>
        <v/>
      </c>
      <c r="S567" s="97">
        <f>TRIM(E567)</f>
        <v/>
      </c>
    </row>
    <row r="568" hidden="1">
      <c r="A568" s="22" t="n">
        <v>6</v>
      </c>
      <c r="B568" t="inlineStr">
        <is>
          <t xml:space="preserve">CDM03 - MORENO 3              </t>
        </is>
      </c>
      <c r="C568" t="inlineStr">
        <is>
          <t xml:space="preserve">GRUPO L.                      </t>
        </is>
      </c>
      <c r="E568" t="inlineStr">
        <is>
          <t xml:space="preserve">BAZ001298           </t>
        </is>
      </c>
      <c r="F568" t="n">
        <v>9003873</v>
      </c>
      <c r="G568" t="inlineStr">
        <is>
          <t xml:space="preserve">CUCHARA DE MESA LISB INOX 2.2M     </t>
        </is>
      </c>
      <c r="H568" t="inlineStr">
        <is>
          <t xml:space="preserve">UNIDAD              </t>
        </is>
      </c>
      <c r="I568" t="n">
        <v>336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336</v>
      </c>
      <c r="P568" s="96">
        <f>_xlfn.XLOOKUP(Tabla5[[#This Row],[EAN CORREGIDO]],'Tabla Articulos'!B:B,'Tabla Articulos'!D:D)</f>
        <v/>
      </c>
      <c r="Q568" s="96">
        <f>_xlfn.XLOOKUP(S568,'Tabla Articulos'!B:B,'Tabla Articulos'!E:E)</f>
        <v/>
      </c>
      <c r="R568" s="96">
        <f>O568*Q568</f>
        <v/>
      </c>
      <c r="S568" s="97">
        <f>TRIM(E568)</f>
        <v/>
      </c>
    </row>
    <row r="569" hidden="1">
      <c r="A569" s="22" t="n">
        <v>1</v>
      </c>
      <c r="B569" t="inlineStr">
        <is>
          <t xml:space="preserve">CD MORENO                     </t>
        </is>
      </c>
      <c r="C569" t="inlineStr">
        <is>
          <t xml:space="preserve">GRUPO L.                      </t>
        </is>
      </c>
      <c r="D569" t="inlineStr">
        <is>
          <t>MEDALLONES DE POLLO</t>
        </is>
      </c>
      <c r="E569" t="inlineStr">
        <is>
          <t xml:space="preserve">7790212040029       </t>
        </is>
      </c>
      <c r="F569" t="n">
        <v>4017658</v>
      </c>
      <c r="G569" t="inlineStr">
        <is>
          <t xml:space="preserve">MEDALLON POLLO 55G X 45U	          </t>
        </is>
      </c>
      <c r="H569" t="inlineStr">
        <is>
          <t xml:space="preserve">UNIDAD              </t>
        </is>
      </c>
      <c r="I569" t="n">
        <v>53</v>
      </c>
      <c r="J569" t="n">
        <v>0</v>
      </c>
      <c r="K569" t="n">
        <v>0</v>
      </c>
      <c r="L569" t="n">
        <v>19</v>
      </c>
      <c r="M569" t="n">
        <v>19</v>
      </c>
      <c r="N569" t="n">
        <v>3</v>
      </c>
      <c r="O569" t="n">
        <v>12</v>
      </c>
      <c r="P569" s="96">
        <f>_xlfn.XLOOKUP(Tabla5[[#This Row],[EAN CORREGIDO]],'Tabla Articulos'!B:B,'Tabla Articulos'!D:D)</f>
        <v/>
      </c>
      <c r="Q569" s="96">
        <f>_xlfn.XLOOKUP(S569,'Tabla Articulos'!B:B,'Tabla Articulos'!E:E)</f>
        <v/>
      </c>
      <c r="R569" s="96">
        <f>O569*Q569</f>
        <v/>
      </c>
      <c r="S569" s="97">
        <f>TRIM(E569)</f>
        <v/>
      </c>
    </row>
    <row r="570" hidden="1">
      <c r="A570" s="22" t="n">
        <v>6</v>
      </c>
      <c r="B570" t="inlineStr">
        <is>
          <t xml:space="preserve">CDM03 - MORENO 3              </t>
        </is>
      </c>
      <c r="C570" t="inlineStr">
        <is>
          <t xml:space="preserve">GRUPO L.                      </t>
        </is>
      </c>
      <c r="D570" s="11" t="n"/>
      <c r="E570" t="inlineStr">
        <is>
          <t xml:space="preserve">2005736             </t>
        </is>
      </c>
      <c r="F570" t="n">
        <v>2005736</v>
      </c>
      <c r="G570" t="inlineStr">
        <is>
          <t>REPUESTO ENVASE P/ PULVERIZ. THAMES</t>
        </is>
      </c>
      <c r="H570" t="inlineStr">
        <is>
          <t xml:space="preserve">UNIDAD              </t>
        </is>
      </c>
      <c r="I570" t="n">
        <v>78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78</v>
      </c>
      <c r="P570" s="96">
        <f>_xlfn.XLOOKUP(Tabla5[[#This Row],[EAN CORREGIDO]],'Tabla Articulos'!B:B,'Tabla Articulos'!D:D)</f>
        <v/>
      </c>
      <c r="Q570" s="96">
        <f>_xlfn.XLOOKUP(S570,'Tabla Articulos'!B:B,'Tabla Articulos'!E:E)</f>
        <v/>
      </c>
      <c r="R570" s="96">
        <f>O570*Q570</f>
        <v/>
      </c>
      <c r="S570" s="97">
        <f>TRIM(E570)</f>
        <v/>
      </c>
    </row>
    <row r="571" hidden="1">
      <c r="A571" s="22" t="n">
        <v>6</v>
      </c>
      <c r="B571" t="inlineStr">
        <is>
          <t xml:space="preserve">CDM03 - MORENO 3              </t>
        </is>
      </c>
      <c r="C571" t="inlineStr">
        <is>
          <t xml:space="preserve">GRUPO L.                      </t>
        </is>
      </c>
      <c r="E571" t="inlineStr">
        <is>
          <t xml:space="preserve">UNIF000627          </t>
        </is>
      </c>
      <c r="F571" t="n">
        <v>9003165</v>
      </c>
      <c r="G571" t="inlineStr">
        <is>
          <t xml:space="preserve">PANTALON NAUTICO NEG S LOGO T6     </t>
        </is>
      </c>
      <c r="H571" t="inlineStr">
        <is>
          <t xml:space="preserve">UNIDAD              </t>
        </is>
      </c>
      <c r="I571" t="n">
        <v>70</v>
      </c>
      <c r="J571" t="n">
        <v>150</v>
      </c>
      <c r="K571" t="n">
        <v>0</v>
      </c>
      <c r="L571" t="n">
        <v>1</v>
      </c>
      <c r="M571" t="n">
        <v>1</v>
      </c>
      <c r="N571" t="n">
        <v>0</v>
      </c>
      <c r="O571" t="n">
        <v>218</v>
      </c>
      <c r="P571" s="96">
        <f>_xlfn.XLOOKUP(Tabla5[[#This Row],[EAN CORREGIDO]],'Tabla Articulos'!B:B,'Tabla Articulos'!D:D)</f>
        <v/>
      </c>
      <c r="Q571" s="96">
        <f>_xlfn.XLOOKUP(S571,'Tabla Articulos'!B:B,'Tabla Articulos'!E:E)</f>
        <v/>
      </c>
      <c r="R571" s="96">
        <f>O571*Q571</f>
        <v/>
      </c>
      <c r="S571" s="97">
        <f>TRIM(E571)</f>
        <v/>
      </c>
    </row>
    <row r="572" hidden="1">
      <c r="A572" s="22" t="n">
        <v>5</v>
      </c>
      <c r="B572" t="inlineStr">
        <is>
          <t xml:space="preserve">CDM02 - MORENO 2              </t>
        </is>
      </c>
      <c r="C572" t="inlineStr">
        <is>
          <t xml:space="preserve">GRUPO L.                      </t>
        </is>
      </c>
      <c r="D572" t="inlineStr">
        <is>
          <t>CAJAS CARTON</t>
        </is>
      </c>
      <c r="E572" t="inlineStr">
        <is>
          <t xml:space="preserve">7797474512684       </t>
        </is>
      </c>
      <c r="F572" t="n">
        <v>2006167</v>
      </c>
      <c r="G572" t="inlineStr">
        <is>
          <t xml:space="preserve">CAJA 300X180X280XU MESA M. PAZ     </t>
        </is>
      </c>
      <c r="H572" t="inlineStr">
        <is>
          <t xml:space="preserve">UNIDAD              </t>
        </is>
      </c>
      <c r="I572" t="n">
        <v>36138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36138</v>
      </c>
      <c r="P572" s="96">
        <f>_xlfn.XLOOKUP(Tabla5[[#This Row],[EAN CORREGIDO]],'Tabla Articulos'!B:B,'Tabla Articulos'!D:D)</f>
        <v/>
      </c>
      <c r="Q572" s="96">
        <f>_xlfn.XLOOKUP(S572,'Tabla Articulos'!B:B,'Tabla Articulos'!E:E)</f>
        <v/>
      </c>
      <c r="R572" s="96">
        <f>O572*Q572</f>
        <v/>
      </c>
      <c r="S572" s="97">
        <f>TRIM(E572)</f>
        <v/>
      </c>
    </row>
    <row r="573" hidden="1">
      <c r="A573" s="22" t="n">
        <v>6</v>
      </c>
      <c r="B573" t="inlineStr">
        <is>
          <t xml:space="preserve">CDM03 - MORENO 3              </t>
        </is>
      </c>
      <c r="C573" t="inlineStr">
        <is>
          <t xml:space="preserve">GRUPO L.                      </t>
        </is>
      </c>
      <c r="D573" s="11" t="n"/>
      <c r="E573" t="inlineStr">
        <is>
          <t xml:space="preserve">UNIF000226          </t>
        </is>
      </c>
      <c r="F573" t="n">
        <v>9003494</v>
      </c>
      <c r="G573" t="inlineStr">
        <is>
          <t xml:space="preserve">PANTAL CARG NEGRO VER. 48 GL SUP   </t>
        </is>
      </c>
      <c r="H573" t="inlineStr">
        <is>
          <t xml:space="preserve">UNIDAD              </t>
        </is>
      </c>
      <c r="I573" t="n">
        <v>7</v>
      </c>
      <c r="J573" t="n">
        <v>20</v>
      </c>
      <c r="K573" t="n">
        <v>0</v>
      </c>
      <c r="L573" t="n">
        <v>0</v>
      </c>
      <c r="M573" t="n">
        <v>0</v>
      </c>
      <c r="N573" t="n">
        <v>0</v>
      </c>
      <c r="O573" t="n">
        <v>27</v>
      </c>
      <c r="P573" s="96">
        <f>_xlfn.XLOOKUP(Tabla5[[#This Row],[EAN CORREGIDO]],'Tabla Articulos'!B:B,'Tabla Articulos'!D:D)</f>
        <v/>
      </c>
      <c r="Q573" s="96">
        <f>_xlfn.XLOOKUP(S573,'Tabla Articulos'!B:B,'Tabla Articulos'!E:E)</f>
        <v/>
      </c>
      <c r="R573" s="96">
        <f>O573*Q573</f>
        <v/>
      </c>
      <c r="S573" s="97">
        <f>TRIM(E573)</f>
        <v/>
      </c>
    </row>
    <row r="574" hidden="1">
      <c r="A574" s="22" t="n">
        <v>5</v>
      </c>
      <c r="B574" t="inlineStr">
        <is>
          <t xml:space="preserve">CDM02 - MORENO 2              </t>
        </is>
      </c>
      <c r="C574" t="inlineStr">
        <is>
          <t xml:space="preserve">GRUPO L.                      </t>
        </is>
      </c>
      <c r="D574" s="11" t="inlineStr">
        <is>
          <t>VINAGRE ALCOHOL</t>
        </is>
      </c>
      <c r="E574" t="inlineStr">
        <is>
          <t xml:space="preserve">7792378001415       </t>
        </is>
      </c>
      <c r="F574" t="n">
        <v>4019980</v>
      </c>
      <c r="G574" t="inlineStr">
        <is>
          <t xml:space="preserve">VINAGRE ALCOHOL X5LT COMENSAL      </t>
        </is>
      </c>
      <c r="H574" t="inlineStr">
        <is>
          <t xml:space="preserve">UNIDAD              </t>
        </is>
      </c>
      <c r="I574" t="n">
        <v>75</v>
      </c>
      <c r="J574" t="n">
        <v>0</v>
      </c>
      <c r="K574" t="n">
        <v>0</v>
      </c>
      <c r="L574" t="n">
        <v>1</v>
      </c>
      <c r="M574" t="n">
        <v>1</v>
      </c>
      <c r="N574" t="n">
        <v>0</v>
      </c>
      <c r="O574" t="n">
        <v>73</v>
      </c>
      <c r="P574" s="96">
        <f>_xlfn.XLOOKUP(Tabla5[[#This Row],[EAN CORREGIDO]],'Tabla Articulos'!B:B,'Tabla Articulos'!D:D)</f>
        <v/>
      </c>
      <c r="Q574" s="96">
        <f>_xlfn.XLOOKUP(S574,'Tabla Articulos'!B:B,'Tabla Articulos'!E:E)</f>
        <v/>
      </c>
      <c r="R574" s="96">
        <f>O574*Q574</f>
        <v/>
      </c>
      <c r="S574" s="97">
        <f>TRIM(E574)</f>
        <v/>
      </c>
    </row>
    <row r="575" hidden="1">
      <c r="A575" s="22" t="n">
        <v>5</v>
      </c>
      <c r="B575" t="inlineStr">
        <is>
          <t xml:space="preserve">CDM02 - MORENO 2              </t>
        </is>
      </c>
      <c r="C575" t="inlineStr">
        <is>
          <t xml:space="preserve">GRUPO L.                      </t>
        </is>
      </c>
      <c r="D575" t="inlineStr">
        <is>
          <t>MIEL</t>
        </is>
      </c>
      <c r="E575" t="inlineStr">
        <is>
          <t xml:space="preserve">7798107930056       </t>
        </is>
      </c>
      <c r="F575" t="n">
        <v>4020569</v>
      </c>
      <c r="G575" t="inlineStr">
        <is>
          <t xml:space="preserve">MIEL X500GRS PRESTIGIO	            </t>
        </is>
      </c>
      <c r="H575" t="inlineStr">
        <is>
          <t xml:space="preserve">BULTOS              </t>
        </is>
      </c>
      <c r="I575" t="n">
        <v>23</v>
      </c>
      <c r="J575" t="n">
        <v>0</v>
      </c>
      <c r="K575" t="n">
        <v>0</v>
      </c>
      <c r="L575" t="n">
        <v>6</v>
      </c>
      <c r="M575" t="n">
        <v>6</v>
      </c>
      <c r="N575" t="n">
        <v>0</v>
      </c>
      <c r="O575" t="n">
        <v>11</v>
      </c>
      <c r="P575" s="96">
        <f>_xlfn.XLOOKUP(Tabla5[[#This Row],[EAN CORREGIDO]],'Tabla Articulos'!B:B,'Tabla Articulos'!D:D)</f>
        <v/>
      </c>
      <c r="Q575" s="96">
        <f>_xlfn.XLOOKUP(S575,'Tabla Articulos'!B:B,'Tabla Articulos'!E:E)</f>
        <v/>
      </c>
      <c r="R575" s="96">
        <f>O575*Q575</f>
        <v/>
      </c>
      <c r="S575" s="97">
        <f>TRIM(E575)</f>
        <v/>
      </c>
    </row>
    <row r="576" hidden="1">
      <c r="A576" s="22" t="n">
        <v>6</v>
      </c>
      <c r="B576" t="inlineStr">
        <is>
          <t xml:space="preserve">CDM03 - MORENO 3              </t>
        </is>
      </c>
      <c r="C576" t="inlineStr">
        <is>
          <t xml:space="preserve">GRUPO L.                      </t>
        </is>
      </c>
      <c r="E576" t="inlineStr">
        <is>
          <t xml:space="preserve">UNIF000452          </t>
        </is>
      </c>
      <c r="F576" t="n">
        <v>9003613</v>
      </c>
      <c r="G576" t="inlineStr">
        <is>
          <t xml:space="preserve">CAMP. A. MAR TRUCKER ELEVARE XL    </t>
        </is>
      </c>
      <c r="H576" t="inlineStr">
        <is>
          <t xml:space="preserve">UNIDAD              </t>
        </is>
      </c>
      <c r="I576" t="n">
        <v>35</v>
      </c>
      <c r="J576" t="n">
        <v>0</v>
      </c>
      <c r="K576" t="n">
        <v>0</v>
      </c>
      <c r="L576" t="n">
        <v>13</v>
      </c>
      <c r="M576" t="n">
        <v>13</v>
      </c>
      <c r="N576" t="n">
        <v>0</v>
      </c>
      <c r="O576" t="n">
        <v>9</v>
      </c>
      <c r="P576" s="96">
        <f>_xlfn.XLOOKUP(Tabla5[[#This Row],[EAN CORREGIDO]],'Tabla Articulos'!B:B,'Tabla Articulos'!D:D)</f>
        <v/>
      </c>
      <c r="Q576" s="96">
        <f>_xlfn.XLOOKUP(S576,'Tabla Articulos'!B:B,'Tabla Articulos'!E:E)</f>
        <v/>
      </c>
      <c r="R576" s="96">
        <f>O576*Q576</f>
        <v/>
      </c>
      <c r="S576" s="97">
        <f>TRIM(E576)</f>
        <v/>
      </c>
    </row>
    <row r="577" hidden="1">
      <c r="A577" s="22" t="n">
        <v>6</v>
      </c>
      <c r="B577" t="inlineStr">
        <is>
          <t xml:space="preserve">CDM03 - MORENO 3              </t>
        </is>
      </c>
      <c r="C577" t="inlineStr">
        <is>
          <t xml:space="preserve">GRUPO L.                      </t>
        </is>
      </c>
      <c r="D577" t="inlineStr">
        <is>
          <t>PAÑO MICROFIBRA</t>
        </is>
      </c>
      <c r="E577" t="inlineStr">
        <is>
          <t xml:space="preserve">7790000000742       </t>
        </is>
      </c>
      <c r="F577" t="n">
        <v>2016582</v>
      </c>
      <c r="G577" t="inlineStr">
        <is>
          <t xml:space="preserve">MICROF. CELESTE 40X40 THAMES       </t>
        </is>
      </c>
      <c r="H577" t="inlineStr">
        <is>
          <t xml:space="preserve">UNIDAD              </t>
        </is>
      </c>
      <c r="I577" t="n">
        <v>500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500</v>
      </c>
      <c r="P577" s="96">
        <f>_xlfn.XLOOKUP(Tabla5[[#This Row],[EAN CORREGIDO]],'Tabla Articulos'!B:B,'Tabla Articulos'!D:D)</f>
        <v/>
      </c>
      <c r="Q577" s="96">
        <f>_xlfn.XLOOKUP(S577,'Tabla Articulos'!B:B,'Tabla Articulos'!E:E)</f>
        <v/>
      </c>
      <c r="R577" s="96">
        <f>O577*Q577</f>
        <v/>
      </c>
      <c r="S577" s="97">
        <f>TRIM(E577)</f>
        <v/>
      </c>
    </row>
    <row r="578" hidden="1">
      <c r="A578" s="22" t="n">
        <v>6</v>
      </c>
      <c r="B578" t="inlineStr">
        <is>
          <t xml:space="preserve">CDM03 - MORENO 3              </t>
        </is>
      </c>
      <c r="C578" t="inlineStr">
        <is>
          <t xml:space="preserve">GRUPO L.                      </t>
        </is>
      </c>
      <c r="D578" s="11" t="inlineStr">
        <is>
          <t>DESINFECTANTE</t>
        </is>
      </c>
      <c r="E578" t="inlineStr">
        <is>
          <t xml:space="preserve">7798188650683       </t>
        </is>
      </c>
      <c r="F578" t="n">
        <v>2006716</v>
      </c>
      <c r="G578" t="inlineStr">
        <is>
          <t xml:space="preserve">HIPOCLORITO DE SODIO X 5LTS THAMES </t>
        </is>
      </c>
      <c r="H578" t="inlineStr">
        <is>
          <t xml:space="preserve">UNIDAD              </t>
        </is>
      </c>
      <c r="I578" t="n">
        <v>251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251</v>
      </c>
      <c r="P578" s="96">
        <f>_xlfn.XLOOKUP(Tabla5[[#This Row],[EAN CORREGIDO]],'Tabla Articulos'!B:B,'Tabla Articulos'!D:D)</f>
        <v/>
      </c>
      <c r="Q578" s="96">
        <f>_xlfn.XLOOKUP(S578,'Tabla Articulos'!B:B,'Tabla Articulos'!E:E)</f>
        <v/>
      </c>
      <c r="R578" s="96">
        <f>O578*Q578</f>
        <v/>
      </c>
      <c r="S578" s="97">
        <f>TRIM(E578)</f>
        <v/>
      </c>
    </row>
    <row r="579" hidden="1">
      <c r="A579" s="22" t="n">
        <v>6</v>
      </c>
      <c r="B579" t="inlineStr">
        <is>
          <t xml:space="preserve">CDM03 - MORENO 3              </t>
        </is>
      </c>
      <c r="C579" t="inlineStr">
        <is>
          <t xml:space="preserve">GRUPO L.                      </t>
        </is>
      </c>
      <c r="E579" t="inlineStr">
        <is>
          <t xml:space="preserve">UNIF000185          </t>
        </is>
      </c>
      <c r="F579" t="n">
        <v>9003425</v>
      </c>
      <c r="G579" t="inlineStr">
        <is>
          <t xml:space="preserve">PANTA. CARGO A.MAR 44 GL SUPPORT   </t>
        </is>
      </c>
      <c r="H579" t="inlineStr">
        <is>
          <t xml:space="preserve">UNIDAD              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8</v>
      </c>
      <c r="P579" s="96">
        <f>_xlfn.XLOOKUP(Tabla5[[#This Row],[EAN CORREGIDO]],'Tabla Articulos'!B:B,'Tabla Articulos'!D:D)</f>
        <v/>
      </c>
      <c r="Q579" s="96">
        <f>_xlfn.XLOOKUP(S579,'Tabla Articulos'!B:B,'Tabla Articulos'!E:E)</f>
        <v/>
      </c>
      <c r="R579" s="96">
        <f>O579*Q579</f>
        <v/>
      </c>
      <c r="S579" s="97">
        <f>TRIM(E579)</f>
        <v/>
      </c>
    </row>
    <row r="580" hidden="1">
      <c r="A580" s="22" t="n">
        <v>5</v>
      </c>
      <c r="B580" t="inlineStr">
        <is>
          <t xml:space="preserve">CDM02 - MORENO 2              </t>
        </is>
      </c>
      <c r="C580" t="inlineStr">
        <is>
          <t xml:space="preserve">GRUPO L.                      </t>
        </is>
      </c>
      <c r="D580" t="inlineStr">
        <is>
          <t>AZUCAR INDIV GL SUPPORT</t>
        </is>
      </c>
      <c r="E580" t="inlineStr">
        <is>
          <t xml:space="preserve">7798011977383       </t>
        </is>
      </c>
      <c r="F580" t="n">
        <v>4022176</v>
      </c>
      <c r="G580" t="inlineStr">
        <is>
          <t xml:space="preserve">AZUCAR SOB 6.25G GL SUPPORT 800U   </t>
        </is>
      </c>
      <c r="H580" t="inlineStr">
        <is>
          <t xml:space="preserve">UNIDAD              </t>
        </is>
      </c>
      <c r="I580" t="n">
        <v>20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20</v>
      </c>
      <c r="P580" s="96">
        <f>_xlfn.XLOOKUP(Tabla5[[#This Row],[EAN CORREGIDO]],'Tabla Articulos'!B:B,'Tabla Articulos'!D:D)</f>
        <v/>
      </c>
      <c r="Q580" s="96">
        <f>_xlfn.XLOOKUP(S580,'Tabla Articulos'!B:B,'Tabla Articulos'!E:E)</f>
        <v/>
      </c>
      <c r="R580" s="96">
        <f>O580*Q580</f>
        <v/>
      </c>
      <c r="S580" s="97">
        <f>TRIM(E580)</f>
        <v/>
      </c>
    </row>
    <row r="581" hidden="1">
      <c r="A581" s="22" t="n">
        <v>1</v>
      </c>
      <c r="B581" t="inlineStr">
        <is>
          <t xml:space="preserve">CD MORENO                     </t>
        </is>
      </c>
      <c r="C581" t="inlineStr">
        <is>
          <t xml:space="preserve">GRUPO L.                      </t>
        </is>
      </c>
      <c r="D581" t="inlineStr">
        <is>
          <t>AZUCAR INDIV GL SUPPORT</t>
        </is>
      </c>
      <c r="E581" t="inlineStr">
        <is>
          <t xml:space="preserve">7798011977383       </t>
        </is>
      </c>
      <c r="F581" t="n">
        <v>4022176</v>
      </c>
      <c r="G581" t="inlineStr">
        <is>
          <t xml:space="preserve">AZUCAR SOB 6.25G GL SUPPORT 800U   </t>
        </is>
      </c>
      <c r="H581" t="inlineStr">
        <is>
          <t xml:space="preserve">UNIDAD              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5</v>
      </c>
      <c r="P581" s="96">
        <f>_xlfn.XLOOKUP(Tabla5[[#This Row],[EAN CORREGIDO]],'Tabla Articulos'!B:B,'Tabla Articulos'!D:D)</f>
        <v/>
      </c>
      <c r="Q581" s="96">
        <f>_xlfn.XLOOKUP(S581,'Tabla Articulos'!B:B,'Tabla Articulos'!E:E)</f>
        <v/>
      </c>
      <c r="R581" s="96">
        <f>O581*Q581</f>
        <v/>
      </c>
      <c r="S581" s="97">
        <f>TRIM(E581)</f>
        <v/>
      </c>
    </row>
    <row r="582" hidden="1">
      <c r="A582" s="22" t="n">
        <v>6</v>
      </c>
      <c r="B582" t="inlineStr">
        <is>
          <t xml:space="preserve">CDM03 - MORENO 3              </t>
        </is>
      </c>
      <c r="C582" t="inlineStr">
        <is>
          <t xml:space="preserve">GRUPO L.                      </t>
        </is>
      </c>
      <c r="E582" t="inlineStr">
        <is>
          <t xml:space="preserve">UNIF000485          </t>
        </is>
      </c>
      <c r="F582" t="n">
        <v>9003257</v>
      </c>
      <c r="G582" t="inlineStr">
        <is>
          <t xml:space="preserve">_ PANTAL. GRAFA S. LOGO BLANCO 5   </t>
        </is>
      </c>
      <c r="H582" t="inlineStr">
        <is>
          <t xml:space="preserve">UNIDAD              </t>
        </is>
      </c>
      <c r="I582" t="n">
        <v>59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59</v>
      </c>
      <c r="P582" s="96">
        <f>_xlfn.XLOOKUP(Tabla5[[#This Row],[EAN CORREGIDO]],'Tabla Articulos'!B:B,'Tabla Articulos'!D:D)</f>
        <v/>
      </c>
      <c r="Q582" s="96">
        <f>_xlfn.XLOOKUP(S582,'Tabla Articulos'!B:B,'Tabla Articulos'!E:E)</f>
        <v/>
      </c>
      <c r="R582" s="96">
        <f>O582*Q582</f>
        <v/>
      </c>
      <c r="S582" s="97">
        <f>TRIM(E582)</f>
        <v/>
      </c>
    </row>
    <row r="583" hidden="1">
      <c r="A583" s="22" t="n">
        <v>6</v>
      </c>
      <c r="B583" t="inlineStr">
        <is>
          <t xml:space="preserve">CDM03 - MORENO 3              </t>
        </is>
      </c>
      <c r="C583" t="inlineStr">
        <is>
          <t xml:space="preserve">GRUPO L.                      </t>
        </is>
      </c>
      <c r="D583" s="11" t="inlineStr">
        <is>
          <t>PAPEL HIGIENICO</t>
        </is>
      </c>
      <c r="E583" t="inlineStr">
        <is>
          <t xml:space="preserve">7793253004444       </t>
        </is>
      </c>
      <c r="F583" t="n">
        <v>2006658</v>
      </c>
      <c r="G583" t="inlineStr">
        <is>
          <t xml:space="preserve">PAPEL HIGIENICO S/HOJA 30MTSX48U   </t>
        </is>
      </c>
      <c r="H583" t="inlineStr">
        <is>
          <t xml:space="preserve">UNIDAD              </t>
        </is>
      </c>
      <c r="I583" t="n">
        <v>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6</v>
      </c>
      <c r="P583" s="96">
        <f>_xlfn.XLOOKUP(Tabla5[[#This Row],[EAN CORREGIDO]],'Tabla Articulos'!B:B,'Tabla Articulos'!D:D)</f>
        <v/>
      </c>
      <c r="Q583" s="96">
        <f>_xlfn.XLOOKUP(S583,'Tabla Articulos'!B:B,'Tabla Articulos'!E:E)</f>
        <v/>
      </c>
      <c r="R583" s="96">
        <f>O583*Q583</f>
        <v/>
      </c>
      <c r="S583" s="97">
        <f>TRIM(E583)</f>
        <v/>
      </c>
    </row>
    <row r="584" hidden="1">
      <c r="A584" s="22" t="n">
        <v>5</v>
      </c>
      <c r="B584" t="inlineStr">
        <is>
          <t xml:space="preserve">CDM02 - MORENO 2              </t>
        </is>
      </c>
      <c r="C584" t="inlineStr">
        <is>
          <t xml:space="preserve">GRUPO L.                      </t>
        </is>
      </c>
      <c r="D584" t="inlineStr">
        <is>
          <t>GARBANZOS S/TACC</t>
        </is>
      </c>
      <c r="E584" t="inlineStr">
        <is>
          <t xml:space="preserve">7792350067071       </t>
        </is>
      </c>
      <c r="F584" t="n">
        <v>4020044</v>
      </c>
      <c r="G584" t="inlineStr">
        <is>
          <t xml:space="preserve">GARBANZOS REMOJADOS X 300G INALPA  </t>
        </is>
      </c>
      <c r="H584" t="inlineStr">
        <is>
          <t xml:space="preserve">UNIDAD              </t>
        </is>
      </c>
      <c r="I584" t="n">
        <v>963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963</v>
      </c>
      <c r="P584" s="96">
        <f>_xlfn.XLOOKUP(Tabla5[[#This Row],[EAN CORREGIDO]],'Tabla Articulos'!B:B,'Tabla Articulos'!D:D)</f>
        <v/>
      </c>
      <c r="Q584" s="96">
        <f>_xlfn.XLOOKUP(S584,'Tabla Articulos'!B:B,'Tabla Articulos'!E:E)</f>
        <v/>
      </c>
      <c r="R584" s="96">
        <f>O584*Q584</f>
        <v/>
      </c>
      <c r="S584" s="97">
        <f>TRIM(E584)</f>
        <v/>
      </c>
    </row>
    <row r="585" hidden="1">
      <c r="A585" s="22" t="n">
        <v>1</v>
      </c>
      <c r="B585" t="inlineStr">
        <is>
          <t xml:space="preserve">CD MORENO                     </t>
        </is>
      </c>
      <c r="C585" t="inlineStr">
        <is>
          <t xml:space="preserve">GRUPO L.                      </t>
        </is>
      </c>
      <c r="D585" s="11" t="inlineStr">
        <is>
          <t>GARBANZOS S/TACC</t>
        </is>
      </c>
      <c r="E585" t="inlineStr">
        <is>
          <t xml:space="preserve">7792350067071       </t>
        </is>
      </c>
      <c r="F585" t="n">
        <v>4020044</v>
      </c>
      <c r="G585" t="inlineStr">
        <is>
          <t xml:space="preserve">GARBANZOS REMOJADOS X 300G INALPA  </t>
        </is>
      </c>
      <c r="H585" t="inlineStr">
        <is>
          <t xml:space="preserve">UNIDAD              </t>
        </is>
      </c>
      <c r="I585" t="n">
        <v>366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366</v>
      </c>
      <c r="P585" s="96">
        <f>_xlfn.XLOOKUP(Tabla5[[#This Row],[EAN CORREGIDO]],'Tabla Articulos'!B:B,'Tabla Articulos'!D:D)</f>
        <v/>
      </c>
      <c r="Q585" s="96">
        <f>_xlfn.XLOOKUP(S585,'Tabla Articulos'!B:B,'Tabla Articulos'!E:E)</f>
        <v/>
      </c>
      <c r="R585" s="96">
        <f>O585*Q585</f>
        <v/>
      </c>
      <c r="S585" s="97">
        <f>TRIM(E585)</f>
        <v/>
      </c>
    </row>
    <row r="586" hidden="1">
      <c r="A586" s="22" t="n">
        <v>6</v>
      </c>
      <c r="B586" t="inlineStr">
        <is>
          <t xml:space="preserve">CDM03 - MORENO 3              </t>
        </is>
      </c>
      <c r="C586" t="inlineStr">
        <is>
          <t xml:space="preserve">GRUPO L.                      </t>
        </is>
      </c>
      <c r="D586" s="11" t="n"/>
      <c r="E586" t="inlineStr">
        <is>
          <t xml:space="preserve">UNIF000591          </t>
        </is>
      </c>
      <c r="F586" t="n">
        <v>9003129</v>
      </c>
      <c r="G586" t="inlineStr">
        <is>
          <t xml:space="preserve">CHAQUETA CUELLO MAO T6 GL SUP.     </t>
        </is>
      </c>
      <c r="H586" t="inlineStr">
        <is>
          <t xml:space="preserve">UNIDAD              </t>
        </is>
      </c>
      <c r="I586" t="n">
        <v>123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123</v>
      </c>
      <c r="P586" s="96">
        <f>_xlfn.XLOOKUP(Tabla5[[#This Row],[EAN CORREGIDO]],'Tabla Articulos'!B:B,'Tabla Articulos'!D:D)</f>
        <v/>
      </c>
      <c r="Q586" s="96">
        <f>_xlfn.XLOOKUP(S586,'Tabla Articulos'!B:B,'Tabla Articulos'!E:E)</f>
        <v/>
      </c>
      <c r="R586" s="96">
        <f>O586*Q586</f>
        <v/>
      </c>
      <c r="S586" s="97">
        <f>TRIM(E586)</f>
        <v/>
      </c>
    </row>
    <row r="587" hidden="1">
      <c r="A587" s="22" t="n">
        <v>6</v>
      </c>
      <c r="B587" t="inlineStr">
        <is>
          <t xml:space="preserve">CDM03 - MORENO 3              </t>
        </is>
      </c>
      <c r="C587" t="inlineStr">
        <is>
          <t xml:space="preserve">GRUPO L.                      </t>
        </is>
      </c>
      <c r="D587" s="11" t="n"/>
      <c r="E587" t="inlineStr">
        <is>
          <t xml:space="preserve">UNIF000620          </t>
        </is>
      </c>
      <c r="F587" t="n">
        <v>9003158</v>
      </c>
      <c r="G587" t="inlineStr">
        <is>
          <t xml:space="preserve">GORRO ALTO CHEF C GOUR             </t>
        </is>
      </c>
      <c r="H587" t="inlineStr">
        <is>
          <t xml:space="preserve">UNIDAD              </t>
        </is>
      </c>
      <c r="I587" t="n">
        <v>25</v>
      </c>
      <c r="J587" t="n">
        <v>300</v>
      </c>
      <c r="K587" t="n">
        <v>0</v>
      </c>
      <c r="L587" t="n">
        <v>0</v>
      </c>
      <c r="M587" t="n">
        <v>0</v>
      </c>
      <c r="N587" t="n">
        <v>0</v>
      </c>
      <c r="O587" t="n">
        <v>325</v>
      </c>
      <c r="P587" s="96">
        <f>_xlfn.XLOOKUP(Tabla5[[#This Row],[EAN CORREGIDO]],'Tabla Articulos'!B:B,'Tabla Articulos'!D:D)</f>
        <v/>
      </c>
      <c r="Q587" s="96">
        <f>_xlfn.XLOOKUP(S587,'Tabla Articulos'!B:B,'Tabla Articulos'!E:E)</f>
        <v/>
      </c>
      <c r="R587" s="96">
        <f>O587*Q587</f>
        <v/>
      </c>
      <c r="S587" s="97">
        <f>TRIM(E587)</f>
        <v/>
      </c>
    </row>
    <row r="588" hidden="1">
      <c r="A588" s="22" t="n">
        <v>6</v>
      </c>
      <c r="B588" t="inlineStr">
        <is>
          <t xml:space="preserve">CDM03 - MORENO 3              </t>
        </is>
      </c>
      <c r="C588" t="inlineStr">
        <is>
          <t xml:space="preserve">GRUPO L.                      </t>
        </is>
      </c>
      <c r="E588" t="inlineStr">
        <is>
          <t xml:space="preserve">UNIF000358          </t>
        </is>
      </c>
      <c r="F588" t="n">
        <v>9003531</v>
      </c>
      <c r="G588" t="inlineStr">
        <is>
          <t xml:space="preserve">CHAQ C. MAO AY/CAM/PEON 8 C.GOUR   </t>
        </is>
      </c>
      <c r="H588" t="inlineStr">
        <is>
          <t xml:space="preserve">UNIDAD              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3</v>
      </c>
      <c r="P588" s="96">
        <f>_xlfn.XLOOKUP(Tabla5[[#This Row],[EAN CORREGIDO]],'Tabla Articulos'!B:B,'Tabla Articulos'!D:D)</f>
        <v/>
      </c>
      <c r="Q588" s="96">
        <f>_xlfn.XLOOKUP(S588,'Tabla Articulos'!B:B,'Tabla Articulos'!E:E)</f>
        <v/>
      </c>
      <c r="R588" s="96">
        <f>O588*Q588</f>
        <v/>
      </c>
      <c r="S588" s="97">
        <f>TRIM(E588)</f>
        <v/>
      </c>
    </row>
    <row r="589" hidden="1">
      <c r="A589" s="22" t="n">
        <v>5</v>
      </c>
      <c r="B589" t="inlineStr">
        <is>
          <t xml:space="preserve">CDM02 - MORENO 2              </t>
        </is>
      </c>
      <c r="C589" t="inlineStr">
        <is>
          <t xml:space="preserve">GRUPO L.                      </t>
        </is>
      </c>
      <c r="D589" t="inlineStr">
        <is>
          <t>SALSA DE SOJA</t>
        </is>
      </c>
      <c r="E589" t="inlineStr">
        <is>
          <t xml:space="preserve">7790566000264       </t>
        </is>
      </c>
      <c r="F589" t="n">
        <v>4019880</v>
      </c>
      <c r="G589" t="inlineStr">
        <is>
          <t xml:space="preserve">SALSA SOJA X 5LT HEIMEN            </t>
        </is>
      </c>
      <c r="H589" t="inlineStr">
        <is>
          <t xml:space="preserve">UNIDAD              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s="96">
        <f>_xlfn.XLOOKUP(Tabla5[[#This Row],[EAN CORREGIDO]],'Tabla Articulos'!B:B,'Tabla Articulos'!D:D)</f>
        <v/>
      </c>
      <c r="Q589" s="96">
        <f>_xlfn.XLOOKUP(S589,'Tabla Articulos'!B:B,'Tabla Articulos'!E:E)</f>
        <v/>
      </c>
      <c r="R589" s="96">
        <f>O589*Q589</f>
        <v/>
      </c>
      <c r="S589" s="97">
        <f>TRIM(E589)</f>
        <v/>
      </c>
    </row>
    <row r="590" hidden="1">
      <c r="A590" s="22" t="n">
        <v>1</v>
      </c>
      <c r="B590" t="inlineStr">
        <is>
          <t xml:space="preserve">CD MORENO                     </t>
        </is>
      </c>
      <c r="C590" t="inlineStr">
        <is>
          <t xml:space="preserve">GRUPO L.                      </t>
        </is>
      </c>
      <c r="D590" t="inlineStr">
        <is>
          <t>SALSA DE SOJA</t>
        </is>
      </c>
      <c r="E590" t="inlineStr">
        <is>
          <t xml:space="preserve">7790566000264       </t>
        </is>
      </c>
      <c r="F590" t="n">
        <v>4019880</v>
      </c>
      <c r="G590" t="inlineStr">
        <is>
          <t xml:space="preserve">SALSA SOJA X 5LT HEIMEN            </t>
        </is>
      </c>
      <c r="H590" t="inlineStr">
        <is>
          <t xml:space="preserve">UNIDAD              </t>
        </is>
      </c>
      <c r="I590" t="n">
        <v>38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38</v>
      </c>
      <c r="P590" s="96">
        <f>_xlfn.XLOOKUP(Tabla5[[#This Row],[EAN CORREGIDO]],'Tabla Articulos'!B:B,'Tabla Articulos'!D:D)</f>
        <v/>
      </c>
      <c r="Q590" s="96">
        <f>_xlfn.XLOOKUP(S590,'Tabla Articulos'!B:B,'Tabla Articulos'!E:E)</f>
        <v/>
      </c>
      <c r="R590" s="96">
        <f>O590*Q590</f>
        <v/>
      </c>
      <c r="S590" s="97">
        <f>TRIM(E590)</f>
        <v/>
      </c>
    </row>
    <row r="591" hidden="1">
      <c r="A591" s="22" t="n">
        <v>6</v>
      </c>
      <c r="B591" t="inlineStr">
        <is>
          <t xml:space="preserve">CDM03 - MORENO 3              </t>
        </is>
      </c>
      <c r="C591" t="inlineStr">
        <is>
          <t xml:space="preserve">GRUPO L.                      </t>
        </is>
      </c>
      <c r="E591" t="inlineStr">
        <is>
          <t xml:space="preserve">UNIF000294          </t>
        </is>
      </c>
      <c r="F591" t="n">
        <v>9003671</v>
      </c>
      <c r="G591" t="inlineStr">
        <is>
          <t xml:space="preserve">CAMP. TRUCK. AZ CINT. REFRAC 4XL   </t>
        </is>
      </c>
      <c r="H591" t="inlineStr">
        <is>
          <t xml:space="preserve">UNIDAD              </t>
        </is>
      </c>
      <c r="I591" t="n">
        <v>9</v>
      </c>
      <c r="J591" t="n">
        <v>50</v>
      </c>
      <c r="K591" t="n">
        <v>0</v>
      </c>
      <c r="L591" t="n">
        <v>1</v>
      </c>
      <c r="M591" t="n">
        <v>1</v>
      </c>
      <c r="N591" t="n">
        <v>0</v>
      </c>
      <c r="O591" t="n">
        <v>57</v>
      </c>
      <c r="P591" s="96">
        <f>_xlfn.XLOOKUP(Tabla5[[#This Row],[EAN CORREGIDO]],'Tabla Articulos'!B:B,'Tabla Articulos'!D:D)</f>
        <v/>
      </c>
      <c r="Q591" s="96">
        <f>_xlfn.XLOOKUP(S591,'Tabla Articulos'!B:B,'Tabla Articulos'!E:E)</f>
        <v/>
      </c>
      <c r="R591" s="96">
        <f>O591*Q591</f>
        <v/>
      </c>
      <c r="S591" s="97">
        <f>TRIM(E591)</f>
        <v/>
      </c>
    </row>
    <row r="592" hidden="1">
      <c r="A592" s="22" t="n">
        <v>5</v>
      </c>
      <c r="B592" t="inlineStr">
        <is>
          <t xml:space="preserve">CDM02 - MORENO 2              </t>
        </is>
      </c>
      <c r="C592" t="inlineStr">
        <is>
          <t xml:space="preserve">GRUPO L.                      </t>
        </is>
      </c>
      <c r="D592" t="inlineStr">
        <is>
          <t>CHOCLO GRANO AMARILLO</t>
        </is>
      </c>
      <c r="E592" t="inlineStr">
        <is>
          <t xml:space="preserve">7790580132422       </t>
        </is>
      </c>
      <c r="F592" t="n">
        <v>4024267</v>
      </c>
      <c r="G592" t="inlineStr">
        <is>
          <t xml:space="preserve">CHOCLO ENT AMARILLLO X300GR ARCO   </t>
        </is>
      </c>
      <c r="H592" t="inlineStr">
        <is>
          <t xml:space="preserve">UNIDAD              </t>
        </is>
      </c>
      <c r="I592" t="n">
        <v>16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16</v>
      </c>
      <c r="P592" s="96">
        <f>_xlfn.XLOOKUP(Tabla5[[#This Row],[EAN CORREGIDO]],'Tabla Articulos'!B:B,'Tabla Articulos'!D:D)</f>
        <v/>
      </c>
      <c r="Q592" s="96">
        <f>_xlfn.XLOOKUP(S592,'Tabla Articulos'!B:B,'Tabla Articulos'!E:E)</f>
        <v/>
      </c>
      <c r="R592" s="96">
        <f>O592*Q592</f>
        <v/>
      </c>
      <c r="S592" s="97">
        <f>TRIM(E592)</f>
        <v/>
      </c>
    </row>
    <row r="593" hidden="1">
      <c r="A593" s="22" t="n">
        <v>1</v>
      </c>
      <c r="B593" t="inlineStr">
        <is>
          <t xml:space="preserve">CD MORENO                     </t>
        </is>
      </c>
      <c r="C593" t="inlineStr">
        <is>
          <t xml:space="preserve">GRUPO L.                      </t>
        </is>
      </c>
      <c r="D593" t="inlineStr">
        <is>
          <t>REBOZADOR</t>
        </is>
      </c>
      <c r="E593" t="inlineStr">
        <is>
          <t xml:space="preserve">7798314230833       </t>
        </is>
      </c>
      <c r="F593" t="n">
        <v>4020538</v>
      </c>
      <c r="G593" t="inlineStr">
        <is>
          <t xml:space="preserve">REBOZADOR X 500G VERIZZIA          </t>
        </is>
      </c>
      <c r="H593" t="inlineStr">
        <is>
          <t xml:space="preserve">UNIDAD              </t>
        </is>
      </c>
      <c r="I593" t="n">
        <v>584</v>
      </c>
      <c r="J593" t="n">
        <v>0</v>
      </c>
      <c r="K593" t="n">
        <v>584</v>
      </c>
      <c r="L593" t="n">
        <v>0</v>
      </c>
      <c r="M593" t="n">
        <v>0</v>
      </c>
      <c r="N593" t="n">
        <v>0</v>
      </c>
      <c r="O593" t="n">
        <v>0</v>
      </c>
      <c r="P593" s="96">
        <f>_xlfn.XLOOKUP(Tabla5[[#This Row],[EAN CORREGIDO]],'Tabla Articulos'!B:B,'Tabla Articulos'!D:D)</f>
        <v/>
      </c>
      <c r="Q593" s="96">
        <f>_xlfn.XLOOKUP(S593,'Tabla Articulos'!B:B,'Tabla Articulos'!E:E)</f>
        <v/>
      </c>
      <c r="R593" s="96">
        <f>O593*Q593</f>
        <v/>
      </c>
      <c r="S593" s="97">
        <f>TRIM(E593)</f>
        <v/>
      </c>
    </row>
    <row r="594" hidden="1">
      <c r="A594" s="22" t="n">
        <v>1</v>
      </c>
      <c r="B594" t="inlineStr">
        <is>
          <t xml:space="preserve">CD MORENO                     </t>
        </is>
      </c>
      <c r="C594" t="inlineStr">
        <is>
          <t xml:space="preserve">GRUPO L.                      </t>
        </is>
      </c>
      <c r="D594" t="inlineStr">
        <is>
          <t>GALLE VAINI INDIV</t>
        </is>
      </c>
      <c r="E594" t="inlineStr">
        <is>
          <t xml:space="preserve">7798188380177       </t>
        </is>
      </c>
      <c r="F594" t="n">
        <v>4018917</v>
      </c>
      <c r="G594" t="inlineStr">
        <is>
          <t xml:space="preserve">GALLE DULCE VAINI X25G CAUTIVA	    </t>
        </is>
      </c>
      <c r="H594" t="inlineStr">
        <is>
          <t xml:space="preserve">UNIDAD              </t>
        </is>
      </c>
      <c r="I594" t="n">
        <v>14340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14340</v>
      </c>
      <c r="P594" s="96">
        <f>_xlfn.XLOOKUP(Tabla5[[#This Row],[EAN CORREGIDO]],'Tabla Articulos'!B:B,'Tabla Articulos'!D:D)</f>
        <v/>
      </c>
      <c r="Q594" s="96">
        <f>_xlfn.XLOOKUP(S594,'Tabla Articulos'!B:B,'Tabla Articulos'!E:E)</f>
        <v/>
      </c>
      <c r="R594" s="96">
        <f>O594*Q594</f>
        <v/>
      </c>
      <c r="S594" s="97">
        <f>TRIM(E594)</f>
        <v/>
      </c>
    </row>
    <row r="595" hidden="1">
      <c r="A595" s="22" t="n">
        <v>5</v>
      </c>
      <c r="B595" t="inlineStr">
        <is>
          <t xml:space="preserve">CDM02 - MORENO 2              </t>
        </is>
      </c>
      <c r="C595" t="inlineStr">
        <is>
          <t xml:space="preserve">GRUPO L.                      </t>
        </is>
      </c>
      <c r="D595" s="11" t="inlineStr">
        <is>
          <t>GALLE VAINI INDIV</t>
        </is>
      </c>
      <c r="E595" t="inlineStr">
        <is>
          <t xml:space="preserve">7798188380177       </t>
        </is>
      </c>
      <c r="F595" t="n">
        <v>4018917</v>
      </c>
      <c r="G595" t="inlineStr">
        <is>
          <t xml:space="preserve">GALLE DULCE VAINI X25G CAUTIVA	    </t>
        </is>
      </c>
      <c r="H595" t="inlineStr">
        <is>
          <t xml:space="preserve">UNIDAD              </t>
        </is>
      </c>
      <c r="I595" t="n">
        <v>46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46</v>
      </c>
      <c r="P595" s="96">
        <f>_xlfn.XLOOKUP(Tabla5[[#This Row],[EAN CORREGIDO]],'Tabla Articulos'!B:B,'Tabla Articulos'!D:D)</f>
        <v/>
      </c>
      <c r="Q595" s="96">
        <f>_xlfn.XLOOKUP(S595,'Tabla Articulos'!B:B,'Tabla Articulos'!E:E)</f>
        <v/>
      </c>
      <c r="R595" s="96">
        <f>O595*Q595</f>
        <v/>
      </c>
      <c r="S595" s="97">
        <f>TRIM(E595)</f>
        <v/>
      </c>
    </row>
    <row r="596" hidden="1">
      <c r="A596" s="22" t="n">
        <v>6</v>
      </c>
      <c r="B596" t="inlineStr">
        <is>
          <t xml:space="preserve">CDM03 - MORENO 3              </t>
        </is>
      </c>
      <c r="C596" t="inlineStr">
        <is>
          <t xml:space="preserve">GRUPO L.                      </t>
        </is>
      </c>
      <c r="D596" s="11" t="n"/>
      <c r="E596" t="inlineStr">
        <is>
          <t xml:space="preserve">UNIF000600          </t>
        </is>
      </c>
      <c r="F596" t="n">
        <v>9003138</v>
      </c>
      <c r="G596" t="inlineStr">
        <is>
          <t xml:space="preserve">CHAQ. ESCOTE V GU NUTRICION T1     </t>
        </is>
      </c>
      <c r="H596" t="inlineStr">
        <is>
          <t xml:space="preserve">UNIDAD              </t>
        </is>
      </c>
      <c r="I596" t="n">
        <v>79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79</v>
      </c>
      <c r="P596" s="96">
        <f>_xlfn.XLOOKUP(Tabla5[[#This Row],[EAN CORREGIDO]],'Tabla Articulos'!B:B,'Tabla Articulos'!D:D)</f>
        <v/>
      </c>
      <c r="Q596" s="96">
        <f>_xlfn.XLOOKUP(S596,'Tabla Articulos'!B:B,'Tabla Articulos'!E:E)</f>
        <v/>
      </c>
      <c r="R596" s="96">
        <f>O596*Q596</f>
        <v/>
      </c>
      <c r="S596" s="97">
        <f>TRIM(E596)</f>
        <v/>
      </c>
    </row>
    <row r="597" hidden="1">
      <c r="A597" s="22" t="n">
        <v>1</v>
      </c>
      <c r="B597" t="inlineStr">
        <is>
          <t xml:space="preserve">CD MORENO                     </t>
        </is>
      </c>
      <c r="C597" t="inlineStr">
        <is>
          <t xml:space="preserve">GRUPO L.                      </t>
        </is>
      </c>
      <c r="D597" t="inlineStr">
        <is>
          <t>SAL FINA INDIVIDUAL GL SUPPORT</t>
        </is>
      </c>
      <c r="E597" t="inlineStr">
        <is>
          <t xml:space="preserve">7798011977420       </t>
        </is>
      </c>
      <c r="F597" t="n">
        <v>4022180</v>
      </c>
      <c r="G597" t="inlineStr">
        <is>
          <t xml:space="preserve">SAL SOB 5GR GL SUPPORT 1000U       </t>
        </is>
      </c>
      <c r="H597" t="inlineStr">
        <is>
          <t xml:space="preserve">UNIDAD              </t>
        </is>
      </c>
      <c r="I597" t="n">
        <v>10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10</v>
      </c>
      <c r="P597" s="96">
        <f>_xlfn.XLOOKUP(Tabla5[[#This Row],[EAN CORREGIDO]],'Tabla Articulos'!B:B,'Tabla Articulos'!D:D)</f>
        <v/>
      </c>
      <c r="Q597" s="96">
        <f>_xlfn.XLOOKUP(S597,'Tabla Articulos'!B:B,'Tabla Articulos'!E:E)</f>
        <v/>
      </c>
      <c r="R597" s="96">
        <f>O597*Q597</f>
        <v/>
      </c>
      <c r="S597" s="97">
        <f>TRIM(E597)</f>
        <v/>
      </c>
    </row>
    <row r="598" hidden="1">
      <c r="A598" s="22" t="n">
        <v>6</v>
      </c>
      <c r="B598" t="inlineStr">
        <is>
          <t xml:space="preserve">CDM03 - MORENO 3              </t>
        </is>
      </c>
      <c r="C598" t="inlineStr">
        <is>
          <t xml:space="preserve">GRUPO L.                      </t>
        </is>
      </c>
      <c r="D598" s="11" t="n"/>
      <c r="E598" t="inlineStr">
        <is>
          <t xml:space="preserve">UNIF000175          </t>
        </is>
      </c>
      <c r="F598" t="n">
        <v>9003210</v>
      </c>
      <c r="G598" t="inlineStr">
        <is>
          <t xml:space="preserve">GORRO NEGRO RED CAIDO GL SUP       </t>
        </is>
      </c>
      <c r="H598" t="inlineStr">
        <is>
          <t xml:space="preserve">UNIDAD              </t>
        </is>
      </c>
      <c r="I598" t="n">
        <v>0</v>
      </c>
      <c r="J598" t="n">
        <v>300</v>
      </c>
      <c r="K598" t="n">
        <v>0</v>
      </c>
      <c r="L598" t="n">
        <v>0</v>
      </c>
      <c r="M598" t="n">
        <v>0</v>
      </c>
      <c r="N598" t="n">
        <v>0</v>
      </c>
      <c r="O598" t="n">
        <v>300</v>
      </c>
      <c r="P598" s="96">
        <f>_xlfn.XLOOKUP(Tabla5[[#This Row],[EAN CORREGIDO]],'Tabla Articulos'!B:B,'Tabla Articulos'!D:D)</f>
        <v/>
      </c>
      <c r="Q598" s="96">
        <f>_xlfn.XLOOKUP(S598,'Tabla Articulos'!B:B,'Tabla Articulos'!E:E)</f>
        <v/>
      </c>
      <c r="R598" s="96">
        <f>O598*Q598</f>
        <v/>
      </c>
      <c r="S598" s="97">
        <f>TRIM(E598)</f>
        <v/>
      </c>
    </row>
    <row r="599" hidden="1">
      <c r="A599" s="22" t="n">
        <v>1</v>
      </c>
      <c r="B599" t="inlineStr">
        <is>
          <t xml:space="preserve">CD MORENO                     </t>
        </is>
      </c>
      <c r="C599" t="inlineStr">
        <is>
          <t xml:space="preserve">GRUPO L.                      </t>
        </is>
      </c>
      <c r="D599" s="11" t="inlineStr">
        <is>
          <t>PIONONO</t>
        </is>
      </c>
      <c r="E599" t="inlineStr">
        <is>
          <t xml:space="preserve">7791473001733       </t>
        </is>
      </c>
      <c r="F599" t="n">
        <v>4018606</v>
      </c>
      <c r="G599" t="inlineStr">
        <is>
          <t xml:space="preserve">PIONONO VAINILLA X300G BON MASE    </t>
        </is>
      </c>
      <c r="H599" t="inlineStr">
        <is>
          <t xml:space="preserve">UNIDAD              </t>
        </is>
      </c>
      <c r="I599" t="n">
        <v>5440</v>
      </c>
      <c r="J599" t="n">
        <v>0</v>
      </c>
      <c r="K599" t="n">
        <v>0</v>
      </c>
      <c r="L599" t="n">
        <v>2413</v>
      </c>
      <c r="M599" t="n">
        <v>2413</v>
      </c>
      <c r="N599" t="n">
        <v>0</v>
      </c>
      <c r="O599" t="n">
        <v>614</v>
      </c>
      <c r="P599" s="96">
        <f>_xlfn.XLOOKUP(Tabla5[[#This Row],[EAN CORREGIDO]],'Tabla Articulos'!B:B,'Tabla Articulos'!D:D)</f>
        <v/>
      </c>
      <c r="Q599" s="96">
        <f>_xlfn.XLOOKUP(S599,'Tabla Articulos'!B:B,'Tabla Articulos'!E:E)</f>
        <v/>
      </c>
      <c r="R599" s="96">
        <f>O599*Q599</f>
        <v/>
      </c>
      <c r="S599" s="97">
        <f>TRIM(E599)</f>
        <v/>
      </c>
    </row>
    <row r="600" hidden="1">
      <c r="A600" s="22" t="n">
        <v>1</v>
      </c>
      <c r="B600" t="inlineStr">
        <is>
          <t xml:space="preserve">CD MORENO                     </t>
        </is>
      </c>
      <c r="C600" t="inlineStr">
        <is>
          <t xml:space="preserve">GRUPO L.                      </t>
        </is>
      </c>
      <c r="D600" s="11" t="inlineStr">
        <is>
          <t>BANANA SAE X KG</t>
        </is>
      </c>
      <c r="E600" t="inlineStr">
        <is>
          <t xml:space="preserve">7790216020082       </t>
        </is>
      </c>
      <c r="F600" t="n">
        <v>4018057</v>
      </c>
      <c r="G600" t="inlineStr">
        <is>
          <t xml:space="preserve">BANANA X KG SAE                    </t>
        </is>
      </c>
      <c r="H600" t="inlineStr">
        <is>
          <t xml:space="preserve">Kgs                 </t>
        </is>
      </c>
      <c r="I600" t="n">
        <v>3015.796</v>
      </c>
      <c r="J600" t="n">
        <v>0</v>
      </c>
      <c r="K600" t="n">
        <v>0</v>
      </c>
      <c r="L600" t="n">
        <v>525.378</v>
      </c>
      <c r="M600" t="n">
        <v>525.378</v>
      </c>
      <c r="N600" t="n">
        <v>0</v>
      </c>
      <c r="O600" t="n">
        <v>1965.04</v>
      </c>
      <c r="P600" s="96">
        <f>_xlfn.XLOOKUP(Tabla5[[#This Row],[EAN CORREGIDO]],'Tabla Articulos'!B:B,'Tabla Articulos'!D:D)</f>
        <v/>
      </c>
      <c r="Q600" s="96">
        <f>_xlfn.XLOOKUP(S600,'Tabla Articulos'!B:B,'Tabla Articulos'!E:E)</f>
        <v/>
      </c>
      <c r="R600" s="96">
        <f>O600*Q600</f>
        <v/>
      </c>
      <c r="S600" s="97">
        <f>TRIM(E600)</f>
        <v/>
      </c>
    </row>
    <row r="601" hidden="1">
      <c r="A601" s="22" t="n">
        <v>6</v>
      </c>
      <c r="B601" t="inlineStr">
        <is>
          <t xml:space="preserve">CDM03 - MORENO 3              </t>
        </is>
      </c>
      <c r="C601" t="inlineStr">
        <is>
          <t xml:space="preserve">GRUPO L.                      </t>
        </is>
      </c>
      <c r="D601" s="11" t="inlineStr">
        <is>
          <t>ESPONJA METAL</t>
        </is>
      </c>
      <c r="E601" t="inlineStr">
        <is>
          <t xml:space="preserve">7798024459241       </t>
        </is>
      </c>
      <c r="F601" t="n">
        <v>2007241</v>
      </c>
      <c r="G601" t="inlineStr">
        <is>
          <t xml:space="preserve">ESPONJA ACERO INOX MR TRAPO 15G    </t>
        </is>
      </c>
      <c r="H601" t="inlineStr">
        <is>
          <t xml:space="preserve">UNIDAD              </t>
        </is>
      </c>
      <c r="I601" t="n">
        <v>278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278</v>
      </c>
      <c r="P601" s="96">
        <f>_xlfn.XLOOKUP(Tabla5[[#This Row],[EAN CORREGIDO]],'Tabla Articulos'!B:B,'Tabla Articulos'!D:D)</f>
        <v/>
      </c>
      <c r="Q601" s="96">
        <f>_xlfn.XLOOKUP(S601,'Tabla Articulos'!B:B,'Tabla Articulos'!E:E)</f>
        <v/>
      </c>
      <c r="R601" s="96">
        <f>O601*Q601</f>
        <v/>
      </c>
      <c r="S601" s="97">
        <f>TRIM(E601)</f>
        <v/>
      </c>
    </row>
    <row r="602" hidden="1">
      <c r="A602" s="22" t="n">
        <v>1</v>
      </c>
      <c r="B602" t="inlineStr">
        <is>
          <t xml:space="preserve">CD MORENO                     </t>
        </is>
      </c>
      <c r="C602" t="inlineStr">
        <is>
          <t xml:space="preserve">GRUPO L.                      </t>
        </is>
      </c>
      <c r="D602" t="inlineStr">
        <is>
          <t>POLLO X KG</t>
        </is>
      </c>
      <c r="E602" t="inlineStr">
        <is>
          <t xml:space="preserve">7790212031229       </t>
        </is>
      </c>
      <c r="F602" t="n">
        <v>4017692</v>
      </c>
      <c r="G602" t="inlineStr">
        <is>
          <t xml:space="preserve">POLLO X KG                         </t>
        </is>
      </c>
      <c r="H602" t="inlineStr">
        <is>
          <t xml:space="preserve">Kgs                 </t>
        </is>
      </c>
      <c r="I602" t="n">
        <v>2046.15</v>
      </c>
      <c r="J602" t="n">
        <v>0</v>
      </c>
      <c r="K602" t="n">
        <v>0</v>
      </c>
      <c r="L602" t="n">
        <v>438.27</v>
      </c>
      <c r="M602" t="n">
        <v>438.27</v>
      </c>
      <c r="N602" t="n">
        <v>0</v>
      </c>
      <c r="O602" t="n">
        <v>1169.61</v>
      </c>
      <c r="P602" s="96">
        <f>_xlfn.XLOOKUP(Tabla5[[#This Row],[EAN CORREGIDO]],'Tabla Articulos'!B:B,'Tabla Articulos'!D:D)</f>
        <v/>
      </c>
      <c r="Q602" s="96">
        <f>_xlfn.XLOOKUP(S602,'Tabla Articulos'!B:B,'Tabla Articulos'!E:E)</f>
        <v/>
      </c>
      <c r="R602" s="96">
        <f>O602*Q602</f>
        <v/>
      </c>
      <c r="S602" s="97">
        <f>TRIM(E602)</f>
        <v/>
      </c>
    </row>
    <row r="603" hidden="1">
      <c r="A603" s="22" t="n">
        <v>1</v>
      </c>
      <c r="B603" t="inlineStr">
        <is>
          <t xml:space="preserve">CD MORENO                     </t>
        </is>
      </c>
      <c r="C603" t="inlineStr">
        <is>
          <t xml:space="preserve">GRUPO L.                      </t>
        </is>
      </c>
      <c r="D603" t="inlineStr">
        <is>
          <t>POSTRE FRUTILLA</t>
        </is>
      </c>
      <c r="E603" t="inlineStr">
        <is>
          <t xml:space="preserve">7790530850154       </t>
        </is>
      </c>
      <c r="F603" t="n">
        <v>4019767</v>
      </c>
      <c r="G603" t="inlineStr">
        <is>
          <t xml:space="preserve">POSTRE FRUTILLA X1KG BEDIAL        </t>
        </is>
      </c>
      <c r="H603" t="inlineStr">
        <is>
          <t xml:space="preserve">UNIDAD              </t>
        </is>
      </c>
      <c r="I603" t="n">
        <v>11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11</v>
      </c>
      <c r="P603" s="96">
        <f>_xlfn.XLOOKUP(Tabla5[[#This Row],[EAN CORREGIDO]],'Tabla Articulos'!B:B,'Tabla Articulos'!D:D)</f>
        <v/>
      </c>
      <c r="Q603" s="96">
        <f>_xlfn.XLOOKUP(S603,'Tabla Articulos'!B:B,'Tabla Articulos'!E:E)</f>
        <v/>
      </c>
      <c r="R603" s="96">
        <f>O603*Q603</f>
        <v/>
      </c>
      <c r="S603" s="97">
        <f>TRIM(E603)</f>
        <v/>
      </c>
    </row>
    <row r="604" hidden="1">
      <c r="A604" s="22" t="n">
        <v>6</v>
      </c>
      <c r="B604" t="inlineStr">
        <is>
          <t xml:space="preserve">CDM03 - MORENO 3              </t>
        </is>
      </c>
      <c r="C604" t="inlineStr">
        <is>
          <t xml:space="preserve">GRUPO L.                      </t>
        </is>
      </c>
      <c r="D604" s="11" t="n"/>
      <c r="E604" t="inlineStr">
        <is>
          <t xml:space="preserve">UNIF000488          </t>
        </is>
      </c>
      <c r="F604" t="n">
        <v>9003260</v>
      </c>
      <c r="G604" t="inlineStr">
        <is>
          <t xml:space="preserve">PANTAL. GRAFA S. LOGO BLANCO 56    </t>
        </is>
      </c>
      <c r="H604" t="inlineStr">
        <is>
          <t xml:space="preserve">UNIDAD              </t>
        </is>
      </c>
      <c r="I604" t="n">
        <v>68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68</v>
      </c>
      <c r="P604" s="96">
        <f>_xlfn.XLOOKUP(Tabla5[[#This Row],[EAN CORREGIDO]],'Tabla Articulos'!B:B,'Tabla Articulos'!D:D)</f>
        <v/>
      </c>
      <c r="Q604" s="96">
        <f>_xlfn.XLOOKUP(S604,'Tabla Articulos'!B:B,'Tabla Articulos'!E:E)</f>
        <v/>
      </c>
      <c r="R604" s="96">
        <f>O604*Q604</f>
        <v/>
      </c>
      <c r="S604" s="97">
        <f>TRIM(E604)</f>
        <v/>
      </c>
    </row>
    <row r="605" hidden="1">
      <c r="A605" s="22" t="n">
        <v>1</v>
      </c>
      <c r="B605" t="inlineStr">
        <is>
          <t xml:space="preserve">CD MORENO                     </t>
        </is>
      </c>
      <c r="C605" t="inlineStr">
        <is>
          <t xml:space="preserve">GRUPO L.                      </t>
        </is>
      </c>
      <c r="D605" t="inlineStr">
        <is>
          <t>POSTRE VAINILLA</t>
        </is>
      </c>
      <c r="E605" t="inlineStr">
        <is>
          <t xml:space="preserve">7790530850161       </t>
        </is>
      </c>
      <c r="F605" t="n">
        <v>4019487</v>
      </c>
      <c r="G605" t="inlineStr">
        <is>
          <t xml:space="preserve">POSTRE VAINILLA X1KG BEDIAL        </t>
        </is>
      </c>
      <c r="H605" t="inlineStr">
        <is>
          <t xml:space="preserve">UNIDAD              </t>
        </is>
      </c>
      <c r="I605" t="n">
        <v>860</v>
      </c>
      <c r="J605" t="n">
        <v>0</v>
      </c>
      <c r="K605" t="n">
        <v>0</v>
      </c>
      <c r="L605" t="n">
        <v>4</v>
      </c>
      <c r="M605" t="n">
        <v>4</v>
      </c>
      <c r="N605" t="n">
        <v>0</v>
      </c>
      <c r="O605" t="n">
        <v>852</v>
      </c>
      <c r="P605" s="96">
        <f>_xlfn.XLOOKUP(Tabla5[[#This Row],[EAN CORREGIDO]],'Tabla Articulos'!B:B,'Tabla Articulos'!D:D)</f>
        <v/>
      </c>
      <c r="Q605" s="96">
        <f>_xlfn.XLOOKUP(S605,'Tabla Articulos'!B:B,'Tabla Articulos'!E:E)</f>
        <v/>
      </c>
      <c r="R605" s="96">
        <f>O605*Q605</f>
        <v/>
      </c>
      <c r="S605" s="97">
        <f>TRIM(E605)</f>
        <v/>
      </c>
    </row>
    <row r="606" hidden="1">
      <c r="A606" s="22" t="n">
        <v>5</v>
      </c>
      <c r="B606" t="inlineStr">
        <is>
          <t xml:space="preserve">CDM02 - MORENO 2              </t>
        </is>
      </c>
      <c r="C606" t="inlineStr">
        <is>
          <t xml:space="preserve">GRUPO L.                      </t>
        </is>
      </c>
      <c r="D606" t="inlineStr">
        <is>
          <t>POSTRE VAINILLA</t>
        </is>
      </c>
      <c r="E606" t="inlineStr">
        <is>
          <t xml:space="preserve">7790530850161       </t>
        </is>
      </c>
      <c r="F606" t="n">
        <v>4019487</v>
      </c>
      <c r="G606" t="inlineStr">
        <is>
          <t xml:space="preserve">POSTRE VAINILLA X1KG BEDIAL        </t>
        </is>
      </c>
      <c r="H606" t="inlineStr">
        <is>
          <t xml:space="preserve">UNIDAD              </t>
        </is>
      </c>
      <c r="I606" t="n">
        <v>17</v>
      </c>
      <c r="J606" t="n">
        <v>100</v>
      </c>
      <c r="K606" t="n">
        <v>100</v>
      </c>
      <c r="L606" t="n">
        <v>5</v>
      </c>
      <c r="M606" t="n">
        <v>5</v>
      </c>
      <c r="N606" t="n">
        <v>0</v>
      </c>
      <c r="O606" t="n">
        <v>7</v>
      </c>
      <c r="P606" s="96">
        <f>_xlfn.XLOOKUP(Tabla5[[#This Row],[EAN CORREGIDO]],'Tabla Articulos'!B:B,'Tabla Articulos'!D:D)</f>
        <v/>
      </c>
      <c r="Q606" s="96">
        <f>_xlfn.XLOOKUP(S606,'Tabla Articulos'!B:B,'Tabla Articulos'!E:E)</f>
        <v/>
      </c>
      <c r="R606" s="96">
        <f>O606*Q606</f>
        <v/>
      </c>
      <c r="S606" s="97">
        <f>TRIM(E606)</f>
        <v/>
      </c>
    </row>
    <row r="607" hidden="1">
      <c r="A607" s="22" t="n">
        <v>5</v>
      </c>
      <c r="B607" t="inlineStr">
        <is>
          <t xml:space="preserve">CDM02 - MORENO 2              </t>
        </is>
      </c>
      <c r="C607" t="inlineStr">
        <is>
          <t xml:space="preserve">GRUPO L.                      </t>
        </is>
      </c>
      <c r="D607" t="inlineStr">
        <is>
          <t>MAYONESA</t>
        </is>
      </c>
      <c r="E607" t="inlineStr">
        <is>
          <t xml:space="preserve">7794000006027       </t>
        </is>
      </c>
      <c r="F607" t="n">
        <v>4049008</v>
      </c>
      <c r="G607" t="inlineStr">
        <is>
          <t xml:space="preserve">MAYONESA CLASICA 2.9KG HELLMANNS   </t>
        </is>
      </c>
      <c r="H607" t="inlineStr">
        <is>
          <t xml:space="preserve">UNIDAD              </t>
        </is>
      </c>
      <c r="I607" t="n">
        <v>36</v>
      </c>
      <c r="J607" t="n">
        <v>0</v>
      </c>
      <c r="K607" t="n">
        <v>0</v>
      </c>
      <c r="L607" t="n">
        <v>2</v>
      </c>
      <c r="M607" t="n">
        <v>2</v>
      </c>
      <c r="N607" t="n">
        <v>0</v>
      </c>
      <c r="O607" t="n">
        <v>32</v>
      </c>
      <c r="P607" s="96">
        <f>_xlfn.XLOOKUP(Tabla5[[#This Row],[EAN CORREGIDO]],'Tabla Articulos'!B:B,'Tabla Articulos'!D:D)</f>
        <v/>
      </c>
      <c r="Q607" s="96">
        <f>_xlfn.XLOOKUP(S607,'Tabla Articulos'!B:B,'Tabla Articulos'!E:E)</f>
        <v/>
      </c>
      <c r="R607" s="96">
        <f>O607*Q607</f>
        <v/>
      </c>
      <c r="S607" s="97">
        <f>TRIM(E607)</f>
        <v/>
      </c>
    </row>
    <row r="608" hidden="1">
      <c r="A608" s="22" t="n">
        <v>5</v>
      </c>
      <c r="B608" t="inlineStr">
        <is>
          <t xml:space="preserve">CDM02 - MORENO 2              </t>
        </is>
      </c>
      <c r="C608" t="inlineStr">
        <is>
          <t xml:space="preserve">GRUPO L.                      </t>
        </is>
      </c>
      <c r="D608" t="inlineStr">
        <is>
          <t>LENTEJAS SECAS</t>
        </is>
      </c>
      <c r="E608" t="inlineStr">
        <is>
          <t xml:space="preserve">7798016190152       </t>
        </is>
      </c>
      <c r="F608" t="n">
        <v>4023674</v>
      </c>
      <c r="G608" t="inlineStr">
        <is>
          <t xml:space="preserve">LENTEJA X 400 GR AGROMAR           </t>
        </is>
      </c>
      <c r="H608" t="inlineStr">
        <is>
          <t xml:space="preserve">UNIDAD              </t>
        </is>
      </c>
      <c r="I608" t="n">
        <v>30645</v>
      </c>
      <c r="J608" t="n">
        <v>0</v>
      </c>
      <c r="K608" t="n">
        <v>0</v>
      </c>
      <c r="L608" t="n">
        <v>90</v>
      </c>
      <c r="M608" t="n">
        <v>-2661</v>
      </c>
      <c r="N608" t="n">
        <v>0</v>
      </c>
      <c r="O608" t="n">
        <v>33216</v>
      </c>
      <c r="P608" s="96">
        <f>_xlfn.XLOOKUP(Tabla5[[#This Row],[EAN CORREGIDO]],'Tabla Articulos'!B:B,'Tabla Articulos'!D:D)</f>
        <v/>
      </c>
      <c r="Q608" s="96">
        <f>_xlfn.XLOOKUP(S608,'Tabla Articulos'!B:B,'Tabla Articulos'!E:E)</f>
        <v/>
      </c>
      <c r="R608" s="96">
        <f>O608*Q608</f>
        <v/>
      </c>
      <c r="S608" s="97">
        <f>TRIM(E608)</f>
        <v/>
      </c>
    </row>
    <row r="609" hidden="1">
      <c r="A609" s="22" t="n">
        <v>1</v>
      </c>
      <c r="B609" t="inlineStr">
        <is>
          <t xml:space="preserve">CD MORENO                     </t>
        </is>
      </c>
      <c r="C609" t="inlineStr">
        <is>
          <t xml:space="preserve">GRUPO L.                      </t>
        </is>
      </c>
      <c r="D609" s="11" t="inlineStr">
        <is>
          <t>LENTEJAS SECAS</t>
        </is>
      </c>
      <c r="E609" t="inlineStr">
        <is>
          <t xml:space="preserve">7798016190152       </t>
        </is>
      </c>
      <c r="F609" t="n">
        <v>4023674</v>
      </c>
      <c r="G609" t="inlineStr">
        <is>
          <t xml:space="preserve">LENTEJA X 400 GR AGROMAR           </t>
        </is>
      </c>
      <c r="H609" t="inlineStr">
        <is>
          <t xml:space="preserve">UNIDAD              </t>
        </is>
      </c>
      <c r="I609" t="n">
        <v>11154</v>
      </c>
      <c r="J609" t="n">
        <v>0</v>
      </c>
      <c r="K609" t="n">
        <v>2500</v>
      </c>
      <c r="L609" t="n">
        <v>1055</v>
      </c>
      <c r="M609" t="n">
        <v>1055</v>
      </c>
      <c r="N609" t="n">
        <v>0</v>
      </c>
      <c r="O609" t="n">
        <v>6544</v>
      </c>
      <c r="P609" s="96">
        <f>_xlfn.XLOOKUP(Tabla5[[#This Row],[EAN CORREGIDO]],'Tabla Articulos'!B:B,'Tabla Articulos'!D:D)</f>
        <v/>
      </c>
      <c r="Q609" s="96">
        <f>_xlfn.XLOOKUP(S609,'Tabla Articulos'!B:B,'Tabla Articulos'!E:E)</f>
        <v/>
      </c>
      <c r="R609" s="96">
        <f>O609*Q609</f>
        <v/>
      </c>
      <c r="S609" s="97">
        <f>TRIM(E609)</f>
        <v/>
      </c>
    </row>
    <row r="610" hidden="1">
      <c r="A610" s="22" t="n">
        <v>6</v>
      </c>
      <c r="B610" t="inlineStr">
        <is>
          <t xml:space="preserve">CDM03 - MORENO 3              </t>
        </is>
      </c>
      <c r="C610" t="inlineStr">
        <is>
          <t xml:space="preserve">GRUPO L.                      </t>
        </is>
      </c>
      <c r="D610" s="11" t="n"/>
      <c r="E610" t="inlineStr">
        <is>
          <t xml:space="preserve">UNIF000218          </t>
        </is>
      </c>
      <c r="F610" t="n">
        <v>9003486</v>
      </c>
      <c r="G610" t="inlineStr">
        <is>
          <t xml:space="preserve">PANTAL CARG NEGRO NAR. 50 GL SUP   </t>
        </is>
      </c>
      <c r="H610" t="inlineStr">
        <is>
          <t xml:space="preserve">UNIDAD              </t>
        </is>
      </c>
      <c r="I610" t="n">
        <v>18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18</v>
      </c>
      <c r="P610" s="96">
        <f>_xlfn.XLOOKUP(Tabla5[[#This Row],[EAN CORREGIDO]],'Tabla Articulos'!B:B,'Tabla Articulos'!D:D)</f>
        <v/>
      </c>
      <c r="Q610" s="96">
        <f>_xlfn.XLOOKUP(S610,'Tabla Articulos'!B:B,'Tabla Articulos'!E:E)</f>
        <v/>
      </c>
      <c r="R610" s="96">
        <f>O610*Q610</f>
        <v/>
      </c>
      <c r="S610" s="97">
        <f>TRIM(E610)</f>
        <v/>
      </c>
    </row>
    <row r="611" hidden="1">
      <c r="A611" s="22" t="n">
        <v>5</v>
      </c>
      <c r="B611" t="inlineStr">
        <is>
          <t xml:space="preserve">CDM02 - MORENO 2              </t>
        </is>
      </c>
      <c r="C611" t="inlineStr">
        <is>
          <t xml:space="preserve">GRUPO L.                      </t>
        </is>
      </c>
      <c r="D611" t="inlineStr">
        <is>
          <t>YERBA MATE</t>
        </is>
      </c>
      <c r="E611" t="inlineStr">
        <is>
          <t xml:space="preserve">7790387015324       </t>
        </is>
      </c>
      <c r="F611" t="n">
        <v>4077162</v>
      </c>
      <c r="G611" t="inlineStr">
        <is>
          <t xml:space="preserve">YERBA MAÑANITA X500G               </t>
        </is>
      </c>
      <c r="H611" t="inlineStr">
        <is>
          <t xml:space="preserve">UNIDAD              </t>
        </is>
      </c>
      <c r="I611" t="n">
        <v>497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497</v>
      </c>
      <c r="P611" s="96">
        <f>_xlfn.XLOOKUP(Tabla5[[#This Row],[EAN CORREGIDO]],'Tabla Articulos'!B:B,'Tabla Articulos'!D:D)</f>
        <v/>
      </c>
      <c r="Q611" s="96">
        <f>_xlfn.XLOOKUP(S611,'Tabla Articulos'!B:B,'Tabla Articulos'!E:E)</f>
        <v/>
      </c>
      <c r="R611" s="96">
        <f>O611*Q611</f>
        <v/>
      </c>
      <c r="S611" s="97">
        <f>TRIM(E611)</f>
        <v/>
      </c>
    </row>
    <row r="612" hidden="1">
      <c r="A612" s="22" t="n">
        <v>6</v>
      </c>
      <c r="B612" t="inlineStr">
        <is>
          <t xml:space="preserve">CDM03 - MORENO 3              </t>
        </is>
      </c>
      <c r="C612" t="inlineStr">
        <is>
          <t xml:space="preserve">GRUPO L.                      </t>
        </is>
      </c>
      <c r="D612" t="inlineStr">
        <is>
          <t>QUITA SARRO</t>
        </is>
      </c>
      <c r="E612" t="inlineStr">
        <is>
          <t xml:space="preserve">7798188650805       </t>
        </is>
      </c>
      <c r="F612" t="n">
        <v>2006336</v>
      </c>
      <c r="G612" t="inlineStr">
        <is>
          <t xml:space="preserve">DESINCRUSTANTE X 5L FUNY PLUS      </t>
        </is>
      </c>
      <c r="H612" t="inlineStr">
        <is>
          <t xml:space="preserve">UNIDAD              </t>
        </is>
      </c>
      <c r="I612" t="n">
        <v>190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190</v>
      </c>
      <c r="P612" s="96">
        <f>_xlfn.XLOOKUP(Tabla5[[#This Row],[EAN CORREGIDO]],'Tabla Articulos'!B:B,'Tabla Articulos'!D:D)</f>
        <v/>
      </c>
      <c r="Q612" s="96">
        <f>_xlfn.XLOOKUP(S612,'Tabla Articulos'!B:B,'Tabla Articulos'!E:E)</f>
        <v/>
      </c>
      <c r="R612" s="96">
        <f>O612*Q612</f>
        <v/>
      </c>
      <c r="S612" s="97">
        <f>TRIM(E612)</f>
        <v/>
      </c>
    </row>
    <row r="613" hidden="1">
      <c r="A613" s="22" t="n">
        <v>6</v>
      </c>
      <c r="B613" t="inlineStr">
        <is>
          <t xml:space="preserve">CDM03 - MORENO 3              </t>
        </is>
      </c>
      <c r="C613" t="inlineStr">
        <is>
          <t xml:space="preserve">GRUPO L.                      </t>
        </is>
      </c>
      <c r="D613" t="inlineStr">
        <is>
          <t>PASTILLA PARA INODORO</t>
        </is>
      </c>
      <c r="E613" t="inlineStr">
        <is>
          <t xml:space="preserve">LIM000149           </t>
        </is>
      </c>
      <c r="F613" t="n">
        <v>2006813</v>
      </c>
      <c r="G613" t="inlineStr">
        <is>
          <t xml:space="preserve">PASTILLA PARA INODORO              </t>
        </is>
      </c>
      <c r="H613" t="inlineStr">
        <is>
          <t xml:space="preserve">UNIDAD              </t>
        </is>
      </c>
      <c r="I613" t="n">
        <v>12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12</v>
      </c>
      <c r="P613" s="96">
        <f>_xlfn.XLOOKUP(Tabla5[[#This Row],[EAN CORREGIDO]],'Tabla Articulos'!B:B,'Tabla Articulos'!D:D)</f>
        <v/>
      </c>
      <c r="Q613" s="96">
        <f>_xlfn.XLOOKUP(S613,'Tabla Articulos'!B:B,'Tabla Articulos'!E:E)</f>
        <v/>
      </c>
      <c r="R613" s="96">
        <f>O613*Q613</f>
        <v/>
      </c>
      <c r="S613" s="97">
        <f>TRIM(E613)</f>
        <v/>
      </c>
    </row>
    <row r="614" hidden="1">
      <c r="A614" s="22" t="n">
        <v>1</v>
      </c>
      <c r="B614" t="inlineStr">
        <is>
          <t xml:space="preserve">CD MORENO                     </t>
        </is>
      </c>
      <c r="C614" t="inlineStr">
        <is>
          <t xml:space="preserve">GRUPO L.                      </t>
        </is>
      </c>
      <c r="D614" t="inlineStr">
        <is>
          <t>CARNE PICADA CERDO</t>
        </is>
      </c>
      <c r="E614" t="inlineStr">
        <is>
          <t xml:space="preserve">7790212031265       </t>
        </is>
      </c>
      <c r="F614" t="n">
        <v>4017695</v>
      </c>
      <c r="G614" t="inlineStr">
        <is>
          <t xml:space="preserve">CARNE PICADA DE CERDO XKG          </t>
        </is>
      </c>
      <c r="H614" t="inlineStr">
        <is>
          <t xml:space="preserve">Kgs                 </t>
        </is>
      </c>
      <c r="I614" t="n">
        <v>81.55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81.55</v>
      </c>
      <c r="P614" s="96">
        <f>_xlfn.XLOOKUP(Tabla5[[#This Row],[EAN CORREGIDO]],'Tabla Articulos'!B:B,'Tabla Articulos'!D:D)</f>
        <v/>
      </c>
      <c r="Q614" s="96">
        <f>_xlfn.XLOOKUP(S614,'Tabla Articulos'!B:B,'Tabla Articulos'!E:E)</f>
        <v/>
      </c>
      <c r="R614" s="96">
        <f>O614*Q614</f>
        <v/>
      </c>
      <c r="S614" s="97">
        <f>TRIM(E614)</f>
        <v/>
      </c>
    </row>
    <row r="615" hidden="1">
      <c r="A615" s="22" t="n">
        <v>6</v>
      </c>
      <c r="B615" t="inlineStr">
        <is>
          <t xml:space="preserve">CDM03 - MORENO 3              </t>
        </is>
      </c>
      <c r="C615" t="inlineStr">
        <is>
          <t xml:space="preserve">GRUPO L.                      </t>
        </is>
      </c>
      <c r="D615" s="11" t="n"/>
      <c r="E615" t="inlineStr">
        <is>
          <t xml:space="preserve">UNIF000477          </t>
        </is>
      </c>
      <c r="F615" t="n">
        <v>9003249</v>
      </c>
      <c r="G615" t="inlineStr">
        <is>
          <t xml:space="preserve">PANTAL. GRAFA S. LOGO A. MAR 52    </t>
        </is>
      </c>
      <c r="H615" t="inlineStr">
        <is>
          <t xml:space="preserve">UNIDAD              </t>
        </is>
      </c>
      <c r="I615" t="n">
        <v>111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111</v>
      </c>
      <c r="P615" s="96">
        <f>_xlfn.XLOOKUP(Tabla5[[#This Row],[EAN CORREGIDO]],'Tabla Articulos'!B:B,'Tabla Articulos'!D:D)</f>
        <v/>
      </c>
      <c r="Q615" s="96">
        <f>_xlfn.XLOOKUP(S615,'Tabla Articulos'!B:B,'Tabla Articulos'!E:E)</f>
        <v/>
      </c>
      <c r="R615" s="96">
        <f>O615*Q615</f>
        <v/>
      </c>
      <c r="S615" s="97">
        <f>TRIM(E615)</f>
        <v/>
      </c>
    </row>
    <row r="616" hidden="1">
      <c r="A616" s="22" t="n">
        <v>1</v>
      </c>
      <c r="B616" t="inlineStr">
        <is>
          <t xml:space="preserve">CD MORENO                     </t>
        </is>
      </c>
      <c r="C616" t="inlineStr">
        <is>
          <t xml:space="preserve">GRUPO L.                      </t>
        </is>
      </c>
      <c r="D616" t="inlineStr">
        <is>
          <t>PREMEZCLA BIZCOCHUELO VAINI</t>
        </is>
      </c>
      <c r="E616" t="inlineStr">
        <is>
          <t xml:space="preserve">7790971000170       </t>
        </is>
      </c>
      <c r="F616" t="n">
        <v>4023610</v>
      </c>
      <c r="G616" t="inlineStr">
        <is>
          <t xml:space="preserve">BIZCOCHUELO VAINILLA 540G RAVANA   </t>
        </is>
      </c>
      <c r="H616" t="inlineStr">
        <is>
          <t xml:space="preserve">UNIDAD              </t>
        </is>
      </c>
      <c r="I616" t="n">
        <v>103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103</v>
      </c>
      <c r="P616" s="96">
        <f>_xlfn.XLOOKUP(Tabla5[[#This Row],[EAN CORREGIDO]],'Tabla Articulos'!B:B,'Tabla Articulos'!D:D)</f>
        <v/>
      </c>
      <c r="Q616" s="96">
        <f>_xlfn.XLOOKUP(S616,'Tabla Articulos'!B:B,'Tabla Articulos'!E:E)</f>
        <v/>
      </c>
      <c r="R616" s="96">
        <f>O616*Q616</f>
        <v/>
      </c>
      <c r="S616" s="97">
        <f>TRIM(E616)</f>
        <v/>
      </c>
    </row>
    <row r="617" hidden="1">
      <c r="A617" s="22" t="n">
        <v>6</v>
      </c>
      <c r="B617" t="inlineStr">
        <is>
          <t xml:space="preserve">CDM03 - MORENO 3              </t>
        </is>
      </c>
      <c r="C617" t="inlineStr">
        <is>
          <t xml:space="preserve">GRUPO L.                      </t>
        </is>
      </c>
      <c r="E617" t="inlineStr">
        <is>
          <t xml:space="preserve">4040337562150       </t>
        </is>
      </c>
      <c r="F617" t="n">
        <v>9004123</v>
      </c>
      <c r="G617" t="inlineStr">
        <is>
          <t xml:space="preserve">PASTILLA ROJA X 100UN              </t>
        </is>
      </c>
      <c r="H617" t="inlineStr">
        <is>
          <t xml:space="preserve">UNIDAD              </t>
        </is>
      </c>
      <c r="I617" t="n">
        <v>106</v>
      </c>
      <c r="J617" t="n">
        <v>0</v>
      </c>
      <c r="K617" t="n">
        <v>0</v>
      </c>
      <c r="L617" t="n">
        <v>1</v>
      </c>
      <c r="M617" t="n">
        <v>1</v>
      </c>
      <c r="N617" t="n">
        <v>0</v>
      </c>
      <c r="O617" t="n">
        <v>104</v>
      </c>
      <c r="P617" s="96">
        <f>_xlfn.XLOOKUP(Tabla5[[#This Row],[EAN CORREGIDO]],'Tabla Articulos'!B:B,'Tabla Articulos'!D:D)</f>
        <v/>
      </c>
      <c r="Q617" s="96">
        <f>_xlfn.XLOOKUP(S617,'Tabla Articulos'!B:B,'Tabla Articulos'!E:E)</f>
        <v/>
      </c>
      <c r="R617" s="96">
        <f>O617*Q617</f>
        <v/>
      </c>
      <c r="S617" s="97">
        <f>TRIM(E617)</f>
        <v/>
      </c>
    </row>
    <row r="618" hidden="1">
      <c r="A618" s="22" t="n">
        <v>6</v>
      </c>
      <c r="B618" t="inlineStr">
        <is>
          <t xml:space="preserve">CDM03 - MORENO 3              </t>
        </is>
      </c>
      <c r="C618" t="inlineStr">
        <is>
          <t xml:space="preserve">GRUPO L.                      </t>
        </is>
      </c>
      <c r="D618" t="inlineStr">
        <is>
          <t>TOALLA INTERCALADA</t>
        </is>
      </c>
      <c r="E618" t="inlineStr">
        <is>
          <t xml:space="preserve">LIM000242           </t>
        </is>
      </c>
      <c r="F618" t="n">
        <v>2006230</v>
      </c>
      <c r="G618" t="inlineStr">
        <is>
          <t xml:space="preserve">TOALLA INTERC BCA X2500U X4.5KG    </t>
        </is>
      </c>
      <c r="H618" t="inlineStr">
        <is>
          <t xml:space="preserve">UNIDAD              </t>
        </is>
      </c>
      <c r="I618" t="n">
        <v>108</v>
      </c>
      <c r="J618" t="n">
        <v>324</v>
      </c>
      <c r="K618" t="n">
        <v>0</v>
      </c>
      <c r="L618" t="n">
        <v>0</v>
      </c>
      <c r="M618" t="n">
        <v>0</v>
      </c>
      <c r="N618" t="n">
        <v>0</v>
      </c>
      <c r="O618" t="n">
        <v>432</v>
      </c>
      <c r="P618" s="96">
        <f>_xlfn.XLOOKUP(Tabla5[[#This Row],[EAN CORREGIDO]],'Tabla Articulos'!B:B,'Tabla Articulos'!D:D)</f>
        <v/>
      </c>
      <c r="Q618" s="96">
        <f>_xlfn.XLOOKUP(S618,'Tabla Articulos'!B:B,'Tabla Articulos'!E:E)</f>
        <v/>
      </c>
      <c r="R618" s="96">
        <f>O618*Q618</f>
        <v/>
      </c>
      <c r="S618" s="97">
        <f>TRIM(E618)</f>
        <v/>
      </c>
    </row>
    <row r="619" hidden="1">
      <c r="A619" s="22" t="n">
        <v>1</v>
      </c>
      <c r="B619" t="inlineStr">
        <is>
          <t xml:space="preserve">CD MORENO                     </t>
        </is>
      </c>
      <c r="C619" t="inlineStr">
        <is>
          <t xml:space="preserve">GRUPO L.                      </t>
        </is>
      </c>
      <c r="D619" t="inlineStr">
        <is>
          <t>GALLE COCO</t>
        </is>
      </c>
      <c r="E619" t="inlineStr">
        <is>
          <t xml:space="preserve">7796236000978       </t>
        </is>
      </c>
      <c r="F619" t="n">
        <v>4018864</v>
      </c>
      <c r="G619" t="inlineStr">
        <is>
          <t xml:space="preserve">GALLE ANILLITOS COCO X400G RIEDMAR </t>
        </is>
      </c>
      <c r="H619" t="inlineStr">
        <is>
          <t xml:space="preserve">UNIDAD              </t>
        </is>
      </c>
      <c r="I619" t="n">
        <v>18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18</v>
      </c>
      <c r="P619" s="96">
        <f>_xlfn.XLOOKUP(Tabla5[[#This Row],[EAN CORREGIDO]],'Tabla Articulos'!B:B,'Tabla Articulos'!D:D)</f>
        <v/>
      </c>
      <c r="Q619" s="96">
        <f>_xlfn.XLOOKUP(S619,'Tabla Articulos'!B:B,'Tabla Articulos'!E:E)</f>
        <v/>
      </c>
      <c r="R619" s="96">
        <f>O619*Q619</f>
        <v/>
      </c>
      <c r="S619" s="97">
        <f>TRIM(E619)</f>
        <v/>
      </c>
    </row>
    <row r="620" hidden="1">
      <c r="A620" s="22" t="n">
        <v>5</v>
      </c>
      <c r="B620" t="inlineStr">
        <is>
          <t xml:space="preserve">CDM02 - MORENO 2              </t>
        </is>
      </c>
      <c r="C620" t="inlineStr">
        <is>
          <t xml:space="preserve">GRUPO L.                      </t>
        </is>
      </c>
      <c r="D620" s="11" t="inlineStr">
        <is>
          <t>CAJAS CARTON</t>
        </is>
      </c>
      <c r="E620" t="inlineStr">
        <is>
          <t xml:space="preserve">7798549612325       </t>
        </is>
      </c>
      <c r="F620" t="n">
        <v>2006168</v>
      </c>
      <c r="G620" t="inlineStr">
        <is>
          <t xml:space="preserve">CAJA CARTON 42X27X16XU             </t>
        </is>
      </c>
      <c r="H620" t="inlineStr">
        <is>
          <t xml:space="preserve">UNIDAD              </t>
        </is>
      </c>
      <c r="I620" t="n">
        <v>5100</v>
      </c>
      <c r="J620" t="n">
        <v>0</v>
      </c>
      <c r="K620" t="n">
        <v>0</v>
      </c>
      <c r="L620" t="n">
        <v>0</v>
      </c>
      <c r="M620" t="n">
        <v>1000</v>
      </c>
      <c r="N620" t="n">
        <v>0</v>
      </c>
      <c r="O620" t="n">
        <v>4100</v>
      </c>
      <c r="P620" s="96">
        <f>_xlfn.XLOOKUP(Tabla5[[#This Row],[EAN CORREGIDO]],'Tabla Articulos'!B:B,'Tabla Articulos'!D:D)</f>
        <v/>
      </c>
      <c r="Q620" s="96">
        <f>_xlfn.XLOOKUP(S620,'Tabla Articulos'!B:B,'Tabla Articulos'!E:E)</f>
        <v/>
      </c>
      <c r="R620" s="96">
        <f>O620*Q620</f>
        <v/>
      </c>
      <c r="S620" s="97">
        <f>TRIM(E620)</f>
        <v/>
      </c>
    </row>
    <row r="621" hidden="1">
      <c r="A621" s="22" t="n">
        <v>5</v>
      </c>
      <c r="B621" t="inlineStr">
        <is>
          <t xml:space="preserve">CDM02 - MORENO 2              </t>
        </is>
      </c>
      <c r="C621" t="inlineStr">
        <is>
          <t xml:space="preserve">GRUPO L.                      </t>
        </is>
      </c>
      <c r="D621" t="inlineStr">
        <is>
          <t>COMINO</t>
        </is>
      </c>
      <c r="E621" t="inlineStr">
        <is>
          <t xml:space="preserve">7793875360326       </t>
        </is>
      </c>
      <c r="F621" t="n">
        <v>4020248</v>
      </c>
      <c r="G621" t="inlineStr">
        <is>
          <t xml:space="preserve">COMINO MOLIDO X 1 KG AROMAS        </t>
        </is>
      </c>
      <c r="H621" t="inlineStr">
        <is>
          <t xml:space="preserve">UNIDAD              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2</v>
      </c>
      <c r="P621" s="96">
        <f>_xlfn.XLOOKUP(Tabla5[[#This Row],[EAN CORREGIDO]],'Tabla Articulos'!B:B,'Tabla Articulos'!D:D)</f>
        <v/>
      </c>
      <c r="Q621" s="96">
        <f>_xlfn.XLOOKUP(S621,'Tabla Articulos'!B:B,'Tabla Articulos'!E:E)</f>
        <v/>
      </c>
      <c r="R621" s="96">
        <f>O621*Q621</f>
        <v/>
      </c>
      <c r="S621" s="97">
        <f>TRIM(E621)</f>
        <v/>
      </c>
    </row>
    <row r="622" hidden="1">
      <c r="A622" s="22" t="n">
        <v>1</v>
      </c>
      <c r="B622" t="inlineStr">
        <is>
          <t xml:space="preserve">CD MORENO                     </t>
        </is>
      </c>
      <c r="C622" t="inlineStr">
        <is>
          <t xml:space="preserve">GRUPO L.                      </t>
        </is>
      </c>
      <c r="D622" s="11" t="inlineStr">
        <is>
          <t>COMINO</t>
        </is>
      </c>
      <c r="E622" t="inlineStr">
        <is>
          <t xml:space="preserve">7793875360326       </t>
        </is>
      </c>
      <c r="F622" t="n">
        <v>4020248</v>
      </c>
      <c r="G622" t="inlineStr">
        <is>
          <t xml:space="preserve">COMINO MOLIDO X 1 KG AROMAS        </t>
        </is>
      </c>
      <c r="H622" t="inlineStr">
        <is>
          <t xml:space="preserve">UNIDAD              </t>
        </is>
      </c>
      <c r="I622" t="n">
        <v>16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16</v>
      </c>
      <c r="P622" s="96">
        <f>_xlfn.XLOOKUP(Tabla5[[#This Row],[EAN CORREGIDO]],'Tabla Articulos'!B:B,'Tabla Articulos'!D:D)</f>
        <v/>
      </c>
      <c r="Q622" s="96">
        <f>_xlfn.XLOOKUP(S622,'Tabla Articulos'!B:B,'Tabla Articulos'!E:E)</f>
        <v/>
      </c>
      <c r="R622" s="96">
        <f>O622*Q622</f>
        <v/>
      </c>
      <c r="S622" s="97">
        <f>TRIM(E622)</f>
        <v/>
      </c>
    </row>
    <row r="623" hidden="1">
      <c r="A623" s="22" t="n">
        <v>6</v>
      </c>
      <c r="B623" t="inlineStr">
        <is>
          <t xml:space="preserve">CDM03 - MORENO 3              </t>
        </is>
      </c>
      <c r="C623" t="inlineStr">
        <is>
          <t xml:space="preserve">GRUPO L.                      </t>
        </is>
      </c>
      <c r="E623" t="inlineStr">
        <is>
          <t xml:space="preserve">BAZ001294           </t>
        </is>
      </c>
      <c r="F623" t="n">
        <v>9003871</v>
      </c>
      <c r="G623" t="inlineStr">
        <is>
          <t xml:space="preserve">POTE CONICO 10X10CM MELAM BCO      </t>
        </is>
      </c>
      <c r="H623" t="inlineStr">
        <is>
          <t xml:space="preserve">UNIDAD              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s="96">
        <f>_xlfn.XLOOKUP(Tabla5[[#This Row],[EAN CORREGIDO]],'Tabla Articulos'!B:B,'Tabla Articulos'!D:D)</f>
        <v/>
      </c>
      <c r="Q623" s="96">
        <f>_xlfn.XLOOKUP(S623,'Tabla Articulos'!B:B,'Tabla Articulos'!E:E)</f>
        <v/>
      </c>
      <c r="R623" s="96">
        <f>O623*Q623</f>
        <v/>
      </c>
      <c r="S623" s="97">
        <f>TRIM(E623)</f>
        <v/>
      </c>
    </row>
    <row r="624" hidden="1">
      <c r="A624" s="22" t="n">
        <v>1</v>
      </c>
      <c r="B624" t="inlineStr">
        <is>
          <t xml:space="preserve">CD MORENO                     </t>
        </is>
      </c>
      <c r="C624" t="inlineStr">
        <is>
          <t xml:space="preserve">GRUPO L.                      </t>
        </is>
      </c>
      <c r="D624" t="inlineStr">
        <is>
          <t>GELATINA ANANA</t>
        </is>
      </c>
      <c r="E624" t="inlineStr">
        <is>
          <t xml:space="preserve">7790530850185       </t>
        </is>
      </c>
      <c r="F624" t="n">
        <v>4019843</v>
      </c>
      <c r="G624" t="inlineStr">
        <is>
          <t xml:space="preserve">GELATINA ANANA X1K BEDIAL          </t>
        </is>
      </c>
      <c r="H624" t="inlineStr">
        <is>
          <t xml:space="preserve">UNIDAD              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3</v>
      </c>
      <c r="P624" s="96">
        <f>_xlfn.XLOOKUP(Tabla5[[#This Row],[EAN CORREGIDO]],'Tabla Articulos'!B:B,'Tabla Articulos'!D:D)</f>
        <v/>
      </c>
      <c r="Q624" s="96">
        <f>_xlfn.XLOOKUP(S624,'Tabla Articulos'!B:B,'Tabla Articulos'!E:E)</f>
        <v/>
      </c>
      <c r="R624" s="96">
        <f>O624*Q624</f>
        <v/>
      </c>
      <c r="S624" s="97">
        <f>TRIM(E624)</f>
        <v/>
      </c>
    </row>
    <row r="625" hidden="1">
      <c r="A625" s="22" t="n">
        <v>5</v>
      </c>
      <c r="B625" t="inlineStr">
        <is>
          <t xml:space="preserve">CDM02 - MORENO 2              </t>
        </is>
      </c>
      <c r="C625" t="inlineStr">
        <is>
          <t xml:space="preserve">GRUPO L.                      </t>
        </is>
      </c>
      <c r="D625" s="11" t="inlineStr">
        <is>
          <t>GELATINA ANANA</t>
        </is>
      </c>
      <c r="E625" t="inlineStr">
        <is>
          <t xml:space="preserve">7790530850185       </t>
        </is>
      </c>
      <c r="F625" t="n">
        <v>4019843</v>
      </c>
      <c r="G625" t="inlineStr">
        <is>
          <t xml:space="preserve">GELATINA ANANA X1K BEDIAL          </t>
        </is>
      </c>
      <c r="H625" t="inlineStr">
        <is>
          <t xml:space="preserve">UNIDAD              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6</v>
      </c>
      <c r="P625" s="96">
        <f>_xlfn.XLOOKUP(Tabla5[[#This Row],[EAN CORREGIDO]],'Tabla Articulos'!B:B,'Tabla Articulos'!D:D)</f>
        <v/>
      </c>
      <c r="Q625" s="96">
        <f>_xlfn.XLOOKUP(S625,'Tabla Articulos'!B:B,'Tabla Articulos'!E:E)</f>
        <v/>
      </c>
      <c r="R625" s="96">
        <f>O625*Q625</f>
        <v/>
      </c>
      <c r="S625" s="97">
        <f>TRIM(E625)</f>
        <v/>
      </c>
    </row>
    <row r="626" hidden="1">
      <c r="A626" s="22" t="n">
        <v>6</v>
      </c>
      <c r="B626" t="inlineStr">
        <is>
          <t xml:space="preserve">CDM03 - MORENO 3              </t>
        </is>
      </c>
      <c r="C626" t="inlineStr">
        <is>
          <t xml:space="preserve">GRUPO L.                      </t>
        </is>
      </c>
      <c r="D626" s="11" t="n"/>
      <c r="E626" t="inlineStr">
        <is>
          <t xml:space="preserve">UNIF000443          </t>
        </is>
      </c>
      <c r="F626" t="n">
        <v>9003604</v>
      </c>
      <c r="G626" t="inlineStr">
        <is>
          <t xml:space="preserve">CAMPE. TRUCKER A. MAR GRUPO L M    </t>
        </is>
      </c>
      <c r="H626" t="inlineStr">
        <is>
          <t xml:space="preserve">UNIDAD              </t>
        </is>
      </c>
      <c r="I626" t="n">
        <v>17</v>
      </c>
      <c r="J626" t="n">
        <v>100</v>
      </c>
      <c r="K626" t="n">
        <v>0</v>
      </c>
      <c r="L626" t="n">
        <v>0</v>
      </c>
      <c r="M626" t="n">
        <v>0</v>
      </c>
      <c r="N626" t="n">
        <v>0</v>
      </c>
      <c r="O626" t="n">
        <v>117</v>
      </c>
      <c r="P626" s="96">
        <f>_xlfn.XLOOKUP(Tabla5[[#This Row],[EAN CORREGIDO]],'Tabla Articulos'!B:B,'Tabla Articulos'!D:D)</f>
        <v/>
      </c>
      <c r="Q626" s="96">
        <f>_xlfn.XLOOKUP(S626,'Tabla Articulos'!B:B,'Tabla Articulos'!E:E)</f>
        <v/>
      </c>
      <c r="R626" s="96">
        <f>O626*Q626</f>
        <v/>
      </c>
      <c r="S626" s="97">
        <f>TRIM(E626)</f>
        <v/>
      </c>
    </row>
    <row r="627" hidden="1">
      <c r="A627" s="22" t="n">
        <v>1</v>
      </c>
      <c r="B627" t="inlineStr">
        <is>
          <t xml:space="preserve">CD MORENO                     </t>
        </is>
      </c>
      <c r="C627" t="inlineStr">
        <is>
          <t xml:space="preserve">GRUPO L.                      </t>
        </is>
      </c>
      <c r="D627" t="inlineStr">
        <is>
          <t>CARNE ENTERA</t>
        </is>
      </c>
      <c r="E627" t="inlineStr">
        <is>
          <t xml:space="preserve">7790212030092       </t>
        </is>
      </c>
      <c r="F627" t="n">
        <v>4021174</v>
      </c>
      <c r="G627" t="inlineStr">
        <is>
          <t xml:space="preserve">PALETA X KG                        </t>
        </is>
      </c>
      <c r="H627" t="inlineStr">
        <is>
          <t xml:space="preserve">Kgs                 </t>
        </is>
      </c>
      <c r="I627" t="n">
        <v>991.96</v>
      </c>
      <c r="J627" t="n">
        <v>0</v>
      </c>
      <c r="K627" t="n">
        <v>0</v>
      </c>
      <c r="L627" t="n">
        <v>164.4</v>
      </c>
      <c r="M627" t="n">
        <v>164.4</v>
      </c>
      <c r="N627" t="n">
        <v>4768.98</v>
      </c>
      <c r="O627" t="n">
        <v>-4105.82</v>
      </c>
      <c r="P627" s="96">
        <f>_xlfn.XLOOKUP(Tabla5[[#This Row],[EAN CORREGIDO]],'Tabla Articulos'!B:B,'Tabla Articulos'!D:D)</f>
        <v/>
      </c>
      <c r="Q627" s="96">
        <f>_xlfn.XLOOKUP(S627,'Tabla Articulos'!B:B,'Tabla Articulos'!E:E)</f>
        <v/>
      </c>
      <c r="R627" s="96">
        <f>O627*Q627</f>
        <v/>
      </c>
      <c r="S627" s="97">
        <f>TRIM(E627)</f>
        <v/>
      </c>
    </row>
    <row r="628" hidden="1">
      <c r="A628" s="22" t="n">
        <v>6</v>
      </c>
      <c r="B628" t="inlineStr">
        <is>
          <t xml:space="preserve">CDM03 - MORENO 3              </t>
        </is>
      </c>
      <c r="C628" t="inlineStr">
        <is>
          <t xml:space="preserve">GRUPO L.                      </t>
        </is>
      </c>
      <c r="E628" t="inlineStr">
        <is>
          <t xml:space="preserve">UNIF000395          </t>
        </is>
      </c>
      <c r="F628" t="n">
        <v>9003514</v>
      </c>
      <c r="G628" t="inlineStr">
        <is>
          <t xml:space="preserve">PANTALON DE VESTIR NEGRO 7         </t>
        </is>
      </c>
      <c r="H628" t="inlineStr">
        <is>
          <t xml:space="preserve">UNIDAD              </t>
        </is>
      </c>
      <c r="I628" t="n">
        <v>42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42</v>
      </c>
      <c r="P628" s="96">
        <f>_xlfn.XLOOKUP(Tabla5[[#This Row],[EAN CORREGIDO]],'Tabla Articulos'!B:B,'Tabla Articulos'!D:D)</f>
        <v/>
      </c>
      <c r="Q628" s="96">
        <f>_xlfn.XLOOKUP(S628,'Tabla Articulos'!B:B,'Tabla Articulos'!E:E)</f>
        <v/>
      </c>
      <c r="R628" s="96">
        <f>O628*Q628</f>
        <v/>
      </c>
      <c r="S628" s="97">
        <f>TRIM(E628)</f>
        <v/>
      </c>
    </row>
    <row r="629" hidden="1">
      <c r="A629" s="22" t="n">
        <v>6</v>
      </c>
      <c r="B629" t="inlineStr">
        <is>
          <t xml:space="preserve">CDM03 - MORENO 3              </t>
        </is>
      </c>
      <c r="C629" t="inlineStr">
        <is>
          <t xml:space="preserve">GRUPO L.                      </t>
        </is>
      </c>
      <c r="E629" t="inlineStr">
        <is>
          <t xml:space="preserve">UNIF000038          </t>
        </is>
      </c>
      <c r="F629" t="n">
        <v>9003291</v>
      </c>
      <c r="G629" t="inlineStr">
        <is>
          <t xml:space="preserve">BUZO AZUL MARINO GRUPO L 4XL       </t>
        </is>
      </c>
      <c r="H629" t="inlineStr">
        <is>
          <t xml:space="preserve">UNIDAD              </t>
        </is>
      </c>
      <c r="I629" t="n">
        <v>8</v>
      </c>
      <c r="J629" t="n">
        <v>60</v>
      </c>
      <c r="K629" t="n">
        <v>0</v>
      </c>
      <c r="L629" t="n">
        <v>0</v>
      </c>
      <c r="M629" t="n">
        <v>0</v>
      </c>
      <c r="N629" t="n">
        <v>0</v>
      </c>
      <c r="O629" t="n">
        <v>68</v>
      </c>
      <c r="P629" s="96">
        <f>_xlfn.XLOOKUP(Tabla5[[#This Row],[EAN CORREGIDO]],'Tabla Articulos'!B:B,'Tabla Articulos'!D:D)</f>
        <v/>
      </c>
      <c r="Q629" s="96">
        <f>_xlfn.XLOOKUP(S629,'Tabla Articulos'!B:B,'Tabla Articulos'!E:E)</f>
        <v/>
      </c>
      <c r="R629" s="96">
        <f>O629*Q629</f>
        <v/>
      </c>
      <c r="S629" s="97">
        <f>TRIM(E629)</f>
        <v/>
      </c>
    </row>
    <row r="630" hidden="1">
      <c r="A630" s="22" t="n">
        <v>6</v>
      </c>
      <c r="B630" t="inlineStr">
        <is>
          <t xml:space="preserve">CDM03 - MORENO 3              </t>
        </is>
      </c>
      <c r="C630" t="inlineStr">
        <is>
          <t xml:space="preserve">GRUPO L.                      </t>
        </is>
      </c>
      <c r="E630" t="inlineStr">
        <is>
          <t xml:space="preserve">A1607C25T10         </t>
        </is>
      </c>
      <c r="F630" t="n">
        <v>9003031</v>
      </c>
      <c r="G630" t="inlineStr">
        <is>
          <t xml:space="preserve">ZAPATO SEG. NEG. 43 ATT CHUBUT     </t>
        </is>
      </c>
      <c r="H630" t="inlineStr">
        <is>
          <t xml:space="preserve">UNIDAD              </t>
        </is>
      </c>
      <c r="I630" t="n">
        <v>50</v>
      </c>
      <c r="J630" t="n">
        <v>100</v>
      </c>
      <c r="K630" t="n">
        <v>0</v>
      </c>
      <c r="L630" t="n">
        <v>5</v>
      </c>
      <c r="M630" t="n">
        <v>5</v>
      </c>
      <c r="N630" t="n">
        <v>0</v>
      </c>
      <c r="O630" t="n">
        <v>140</v>
      </c>
      <c r="P630" s="96">
        <f>_xlfn.XLOOKUP(Tabla5[[#This Row],[EAN CORREGIDO]],'Tabla Articulos'!B:B,'Tabla Articulos'!D:D)</f>
        <v/>
      </c>
      <c r="Q630" s="96">
        <f>_xlfn.XLOOKUP(S630,'Tabla Articulos'!B:B,'Tabla Articulos'!E:E)</f>
        <v/>
      </c>
      <c r="R630" s="96">
        <f>O630*Q630</f>
        <v/>
      </c>
      <c r="S630" s="97">
        <f>TRIM(E630)</f>
        <v/>
      </c>
    </row>
    <row r="631" hidden="1">
      <c r="A631" s="22" t="n">
        <v>6</v>
      </c>
      <c r="B631" t="inlineStr">
        <is>
          <t xml:space="preserve">CDM03 - MORENO 3              </t>
        </is>
      </c>
      <c r="C631" t="inlineStr">
        <is>
          <t xml:space="preserve">GRUPO L.                      </t>
        </is>
      </c>
      <c r="D631" t="inlineStr">
        <is>
          <t>MANTEL LOGO HEALTH</t>
        </is>
      </c>
      <c r="E631" t="inlineStr">
        <is>
          <t xml:space="preserve">7790000000235       </t>
        </is>
      </c>
      <c r="F631" t="n">
        <v>2007191</v>
      </c>
      <c r="G631" t="inlineStr">
        <is>
          <t xml:space="preserve">INDIVIDIDUAL HEALTH X1000          </t>
        </is>
      </c>
      <c r="H631" t="inlineStr">
        <is>
          <t xml:space="preserve">UNIDAD              </t>
        </is>
      </c>
      <c r="I631" t="n">
        <v>300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300</v>
      </c>
      <c r="P631" s="96">
        <f>_xlfn.XLOOKUP(Tabla5[[#This Row],[EAN CORREGIDO]],'Tabla Articulos'!B:B,'Tabla Articulos'!D:D)</f>
        <v/>
      </c>
      <c r="Q631" s="96">
        <f>_xlfn.XLOOKUP(S631,'Tabla Articulos'!B:B,'Tabla Articulos'!E:E)</f>
        <v/>
      </c>
      <c r="R631" s="96">
        <f>O631*Q631</f>
        <v/>
      </c>
      <c r="S631" s="97">
        <f>TRIM(E631)</f>
        <v/>
      </c>
    </row>
    <row r="632" hidden="1">
      <c r="A632" s="22" t="n">
        <v>5</v>
      </c>
      <c r="B632" t="inlineStr">
        <is>
          <t xml:space="preserve">CDM02 - MORENO 2              </t>
        </is>
      </c>
      <c r="C632" t="inlineStr">
        <is>
          <t xml:space="preserve">GRUPO L.                      </t>
        </is>
      </c>
      <c r="D632" s="11" t="inlineStr">
        <is>
          <t>LECHE LV DESCREMADA</t>
        </is>
      </c>
      <c r="E632" t="inlineStr">
        <is>
          <t xml:space="preserve">7798338290110       </t>
        </is>
      </c>
      <c r="F632" t="n">
        <v>4021261</v>
      </c>
      <c r="G632" t="inlineStr">
        <is>
          <t xml:space="preserve">LECHE DESC LV X 1 L APOSTOLES      </t>
        </is>
      </c>
      <c r="H632" t="inlineStr">
        <is>
          <t xml:space="preserve">UNIDAD              </t>
        </is>
      </c>
      <c r="I632" t="n">
        <v>4666</v>
      </c>
      <c r="J632" t="n">
        <v>0</v>
      </c>
      <c r="K632" t="n">
        <v>0</v>
      </c>
      <c r="L632" t="n">
        <v>5</v>
      </c>
      <c r="M632" t="n">
        <v>5</v>
      </c>
      <c r="N632" t="n">
        <v>0</v>
      </c>
      <c r="O632" t="n">
        <v>4656</v>
      </c>
      <c r="P632" s="96">
        <f>_xlfn.XLOOKUP(Tabla5[[#This Row],[EAN CORREGIDO]],'Tabla Articulos'!B:B,'Tabla Articulos'!D:D)</f>
        <v/>
      </c>
      <c r="Q632" s="96">
        <f>_xlfn.XLOOKUP(S632,'Tabla Articulos'!B:B,'Tabla Articulos'!E:E)</f>
        <v/>
      </c>
      <c r="R632" s="96">
        <f>O632*Q632</f>
        <v/>
      </c>
      <c r="S632" s="97">
        <f>TRIM(E632)</f>
        <v/>
      </c>
    </row>
    <row r="633" hidden="1">
      <c r="A633" s="22" t="n">
        <v>1</v>
      </c>
      <c r="B633" t="inlineStr">
        <is>
          <t xml:space="preserve">CD MORENO                     </t>
        </is>
      </c>
      <c r="C633" t="inlineStr">
        <is>
          <t xml:space="preserve">GRUPO L.                      </t>
        </is>
      </c>
      <c r="D633" t="inlineStr">
        <is>
          <t>ACEITE GIRASOL</t>
        </is>
      </c>
      <c r="E633" t="inlineStr">
        <is>
          <t xml:space="preserve">7792180001641       </t>
        </is>
      </c>
      <c r="F633" t="n">
        <v>4020172</v>
      </c>
      <c r="G633" t="inlineStr">
        <is>
          <t xml:space="preserve">ACEITE GIRASOL X 900 CC CAÑUEL     </t>
        </is>
      </c>
      <c r="H633" t="inlineStr">
        <is>
          <t xml:space="preserve">UNIDAD              </t>
        </is>
      </c>
      <c r="I633" t="n">
        <v>443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443</v>
      </c>
      <c r="P633" s="96">
        <f>_xlfn.XLOOKUP(Tabla5[[#This Row],[EAN CORREGIDO]],'Tabla Articulos'!B:B,'Tabla Articulos'!D:D)</f>
        <v/>
      </c>
      <c r="Q633" s="96">
        <f>_xlfn.XLOOKUP(S633,'Tabla Articulos'!B:B,'Tabla Articulos'!E:E)</f>
        <v/>
      </c>
      <c r="R633" s="96">
        <f>O633*Q633</f>
        <v/>
      </c>
      <c r="S633" s="97">
        <f>TRIM(E633)</f>
        <v/>
      </c>
    </row>
    <row r="634" hidden="1">
      <c r="A634" s="22" t="n">
        <v>5</v>
      </c>
      <c r="B634" t="inlineStr">
        <is>
          <t xml:space="preserve">CDM02 - MORENO 2              </t>
        </is>
      </c>
      <c r="C634" t="inlineStr">
        <is>
          <t xml:space="preserve">GRUPO L.                      </t>
        </is>
      </c>
      <c r="D634" t="inlineStr">
        <is>
          <t>ACEITE GIRASOL</t>
        </is>
      </c>
      <c r="E634" t="inlineStr">
        <is>
          <t xml:space="preserve">7792180001641       </t>
        </is>
      </c>
      <c r="F634" t="n">
        <v>4020172</v>
      </c>
      <c r="G634" t="inlineStr">
        <is>
          <t xml:space="preserve">ACEITE GIRASOL X 900 CC CAÑUEL     </t>
        </is>
      </c>
      <c r="H634" t="inlineStr">
        <is>
          <t xml:space="preserve">UNIDAD              </t>
        </is>
      </c>
      <c r="I634" t="n">
        <v>3606</v>
      </c>
      <c r="J634" t="n">
        <v>0</v>
      </c>
      <c r="K634" t="n">
        <v>0</v>
      </c>
      <c r="L634" t="n">
        <v>43</v>
      </c>
      <c r="M634" t="n">
        <v>43</v>
      </c>
      <c r="N634" t="n">
        <v>0</v>
      </c>
      <c r="O634" t="n">
        <v>3520</v>
      </c>
      <c r="P634" s="96">
        <f>_xlfn.XLOOKUP(Tabla5[[#This Row],[EAN CORREGIDO]],'Tabla Articulos'!B:B,'Tabla Articulos'!D:D)</f>
        <v/>
      </c>
      <c r="Q634" s="96">
        <f>_xlfn.XLOOKUP(S634,'Tabla Articulos'!B:B,'Tabla Articulos'!E:E)</f>
        <v/>
      </c>
      <c r="R634" s="96">
        <f>O634*Q634</f>
        <v/>
      </c>
      <c r="S634" s="97">
        <f>TRIM(E634)</f>
        <v/>
      </c>
    </row>
    <row r="635" hidden="1">
      <c r="A635" s="22" t="n">
        <v>6</v>
      </c>
      <c r="B635" t="inlineStr">
        <is>
          <t xml:space="preserve">CDM03 - MORENO 3              </t>
        </is>
      </c>
      <c r="C635" t="inlineStr">
        <is>
          <t xml:space="preserve">GRUPO L.                      </t>
        </is>
      </c>
      <c r="D635" s="11" t="n"/>
      <c r="E635" t="inlineStr">
        <is>
          <t xml:space="preserve">UNIF000655          </t>
        </is>
      </c>
      <c r="F635" t="n">
        <v>9003991</v>
      </c>
      <c r="G635" t="inlineStr">
        <is>
          <t xml:space="preserve">PANTALON CARGO A. MARINO 44        </t>
        </is>
      </c>
      <c r="H635" t="inlineStr">
        <is>
          <t xml:space="preserve">UNIDAD              </t>
        </is>
      </c>
      <c r="I635" t="n">
        <v>15</v>
      </c>
      <c r="J635" t="n">
        <v>0</v>
      </c>
      <c r="K635" t="n">
        <v>0</v>
      </c>
      <c r="L635" t="n">
        <v>6</v>
      </c>
      <c r="M635" t="n">
        <v>6</v>
      </c>
      <c r="N635" t="n">
        <v>0</v>
      </c>
      <c r="O635" t="n">
        <v>3</v>
      </c>
      <c r="P635" s="96">
        <f>_xlfn.XLOOKUP(Tabla5[[#This Row],[EAN CORREGIDO]],'Tabla Articulos'!B:B,'Tabla Articulos'!D:D)</f>
        <v/>
      </c>
      <c r="Q635" s="96">
        <f>_xlfn.XLOOKUP(S635,'Tabla Articulos'!B:B,'Tabla Articulos'!E:E)</f>
        <v/>
      </c>
      <c r="R635" s="96">
        <f>O635*Q635</f>
        <v/>
      </c>
      <c r="S635" s="97">
        <f>TRIM(E635)</f>
        <v/>
      </c>
    </row>
    <row r="636" hidden="1">
      <c r="A636" s="22" t="n">
        <v>6</v>
      </c>
      <c r="B636" t="inlineStr">
        <is>
          <t xml:space="preserve">CDM03 - MORENO 3              </t>
        </is>
      </c>
      <c r="C636" t="inlineStr">
        <is>
          <t xml:space="preserve">GRUPO L.                      </t>
        </is>
      </c>
      <c r="D636" s="11" t="inlineStr">
        <is>
          <t>BOLSAS ARRANQUE</t>
        </is>
      </c>
      <c r="E636" t="inlineStr">
        <is>
          <t xml:space="preserve">7794459003530       </t>
        </is>
      </c>
      <c r="F636" t="n">
        <v>2016600</v>
      </c>
      <c r="G636" t="inlineStr">
        <is>
          <t xml:space="preserve">ROLLO ARRANQUE 20X30 X12U 750GR    </t>
        </is>
      </c>
      <c r="H636" t="inlineStr">
        <is>
          <t xml:space="preserve">UNIDAD              </t>
        </is>
      </c>
      <c r="I636" t="n">
        <v>20</v>
      </c>
      <c r="J636" t="n">
        <v>0</v>
      </c>
      <c r="K636" t="n">
        <v>0</v>
      </c>
      <c r="L636" t="n">
        <v>1</v>
      </c>
      <c r="M636" t="n">
        <v>1</v>
      </c>
      <c r="N636" t="n">
        <v>0</v>
      </c>
      <c r="O636" t="n">
        <v>18</v>
      </c>
      <c r="P636" s="96">
        <f>_xlfn.XLOOKUP(Tabla5[[#This Row],[EAN CORREGIDO]],'Tabla Articulos'!B:B,'Tabla Articulos'!D:D)</f>
        <v/>
      </c>
      <c r="Q636" s="96">
        <f>_xlfn.XLOOKUP(S636,'Tabla Articulos'!B:B,'Tabla Articulos'!E:E)</f>
        <v/>
      </c>
      <c r="R636" s="96">
        <f>O636*Q636</f>
        <v/>
      </c>
      <c r="S636" s="97">
        <f>TRIM(E636)</f>
        <v/>
      </c>
    </row>
    <row r="637" hidden="1">
      <c r="A637" s="22" t="n">
        <v>6</v>
      </c>
      <c r="B637" t="inlineStr">
        <is>
          <t xml:space="preserve">CDM03 - MORENO 3              </t>
        </is>
      </c>
      <c r="C637" t="inlineStr">
        <is>
          <t xml:space="preserve">GRUPO L.                      </t>
        </is>
      </c>
      <c r="E637" t="inlineStr">
        <is>
          <t xml:space="preserve">UNIF000607          </t>
        </is>
      </c>
      <c r="F637" t="n">
        <v>9003145</v>
      </c>
      <c r="G637" t="inlineStr">
        <is>
          <t xml:space="preserve">GUARDAPOLV C LOGO C GOUR TALLE S   </t>
        </is>
      </c>
      <c r="H637" t="inlineStr">
        <is>
          <t xml:space="preserve">UNIDAD              </t>
        </is>
      </c>
      <c r="I637" t="n">
        <v>37</v>
      </c>
      <c r="J637" t="n">
        <v>0</v>
      </c>
      <c r="K637" t="n">
        <v>0</v>
      </c>
      <c r="L637" t="n">
        <v>1</v>
      </c>
      <c r="M637" t="n">
        <v>1</v>
      </c>
      <c r="N637" t="n">
        <v>0</v>
      </c>
      <c r="O637" t="n">
        <v>35</v>
      </c>
      <c r="P637" s="96">
        <f>_xlfn.XLOOKUP(Tabla5[[#This Row],[EAN CORREGIDO]],'Tabla Articulos'!B:B,'Tabla Articulos'!D:D)</f>
        <v/>
      </c>
      <c r="Q637" s="96">
        <f>_xlfn.XLOOKUP(S637,'Tabla Articulos'!B:B,'Tabla Articulos'!E:E)</f>
        <v/>
      </c>
      <c r="R637" s="96">
        <f>O637*Q637</f>
        <v/>
      </c>
      <c r="S637" s="97">
        <f>TRIM(E637)</f>
        <v/>
      </c>
    </row>
    <row r="638" hidden="1">
      <c r="A638" s="22" t="n">
        <v>5</v>
      </c>
      <c r="B638" t="inlineStr">
        <is>
          <t xml:space="preserve">CDM02 - MORENO 2              </t>
        </is>
      </c>
      <c r="C638" t="inlineStr">
        <is>
          <t xml:space="preserve">GRUPO L.                      </t>
        </is>
      </c>
      <c r="D638" t="inlineStr">
        <is>
          <t>GALLE AGUA INDIV C/SAL</t>
        </is>
      </c>
      <c r="E638" t="inlineStr">
        <is>
          <t xml:space="preserve">7798128990534       </t>
        </is>
      </c>
      <c r="F638" t="n">
        <v>4018905</v>
      </c>
      <c r="G638" t="inlineStr">
        <is>
          <t xml:space="preserve">GALLET AGUA C/SAL X25 G DISMAY     </t>
        </is>
      </c>
      <c r="H638" t="inlineStr">
        <is>
          <t xml:space="preserve">UNIDAD              </t>
        </is>
      </c>
      <c r="I638" t="n">
        <v>2370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2370</v>
      </c>
      <c r="P638" s="96">
        <f>_xlfn.XLOOKUP(Tabla5[[#This Row],[EAN CORREGIDO]],'Tabla Articulos'!B:B,'Tabla Articulos'!D:D)</f>
        <v/>
      </c>
      <c r="Q638" s="96">
        <f>_xlfn.XLOOKUP(S638,'Tabla Articulos'!B:B,'Tabla Articulos'!E:E)</f>
        <v/>
      </c>
      <c r="R638" s="96">
        <f>O638*Q638</f>
        <v/>
      </c>
      <c r="S638" s="97">
        <f>TRIM(E638)</f>
        <v/>
      </c>
    </row>
    <row r="639" hidden="1">
      <c r="A639" s="22" t="n">
        <v>6</v>
      </c>
      <c r="B639" t="inlineStr">
        <is>
          <t xml:space="preserve">CDM03 - MORENO 3              </t>
        </is>
      </c>
      <c r="C639" t="inlineStr">
        <is>
          <t xml:space="preserve">GRUPO L.                      </t>
        </is>
      </c>
      <c r="E639" t="inlineStr">
        <is>
          <t xml:space="preserve">UNIF000599          </t>
        </is>
      </c>
      <c r="F639" t="n">
        <v>9003137</v>
      </c>
      <c r="G639" t="inlineStr">
        <is>
          <t xml:space="preserve">CHAQUETA CUELLO MAO T7 C GOURM     </t>
        </is>
      </c>
      <c r="H639" t="inlineStr">
        <is>
          <t xml:space="preserve">UNIDAD              </t>
        </is>
      </c>
      <c r="I639" t="n">
        <v>46</v>
      </c>
      <c r="J639" t="n">
        <v>100</v>
      </c>
      <c r="K639" t="n">
        <v>0</v>
      </c>
      <c r="L639" t="n">
        <v>0</v>
      </c>
      <c r="M639" t="n">
        <v>0</v>
      </c>
      <c r="N639" t="n">
        <v>0</v>
      </c>
      <c r="O639" t="n">
        <v>146</v>
      </c>
      <c r="P639" s="96">
        <f>_xlfn.XLOOKUP(Tabla5[[#This Row],[EAN CORREGIDO]],'Tabla Articulos'!B:B,'Tabla Articulos'!D:D)</f>
        <v/>
      </c>
      <c r="Q639" s="96">
        <f>_xlfn.XLOOKUP(S639,'Tabla Articulos'!B:B,'Tabla Articulos'!E:E)</f>
        <v/>
      </c>
      <c r="R639" s="96">
        <f>O639*Q639</f>
        <v/>
      </c>
      <c r="S639" s="97">
        <f>TRIM(E639)</f>
        <v/>
      </c>
    </row>
    <row r="640" hidden="1">
      <c r="A640" s="22" t="n">
        <v>6</v>
      </c>
      <c r="B640" t="inlineStr">
        <is>
          <t xml:space="preserve">CDM03 - MORENO 3              </t>
        </is>
      </c>
      <c r="C640" t="inlineStr">
        <is>
          <t xml:space="preserve">GRUPO L.                      </t>
        </is>
      </c>
      <c r="E640" t="inlineStr">
        <is>
          <t xml:space="preserve">BAZ001299           </t>
        </is>
      </c>
      <c r="F640" t="n">
        <v>9003874</v>
      </c>
      <c r="G640" t="inlineStr">
        <is>
          <t xml:space="preserve">CUCHILLO DE MESA MANGO PCO NEGRO   </t>
        </is>
      </c>
      <c r="H640" t="inlineStr">
        <is>
          <t xml:space="preserve">UNIDAD              </t>
        </is>
      </c>
      <c r="I640" t="n">
        <v>3601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3601</v>
      </c>
      <c r="P640" s="96">
        <f>_xlfn.XLOOKUP(Tabla5[[#This Row],[EAN CORREGIDO]],'Tabla Articulos'!B:B,'Tabla Articulos'!D:D)</f>
        <v/>
      </c>
      <c r="Q640" s="96">
        <f>_xlfn.XLOOKUP(S640,'Tabla Articulos'!B:B,'Tabla Articulos'!E:E)</f>
        <v/>
      </c>
      <c r="R640" s="96">
        <f>O640*Q640</f>
        <v/>
      </c>
      <c r="S640" s="97">
        <f>TRIM(E640)</f>
        <v/>
      </c>
    </row>
    <row r="641" hidden="1">
      <c r="A641" s="22" t="n">
        <v>5</v>
      </c>
      <c r="B641" t="inlineStr">
        <is>
          <t xml:space="preserve">CDM02 - MORENO 2              </t>
        </is>
      </c>
      <c r="C641" t="inlineStr">
        <is>
          <t xml:space="preserve">GRUPO L.                      </t>
        </is>
      </c>
      <c r="D641" t="inlineStr">
        <is>
          <t>FLAN VAINILLA</t>
        </is>
      </c>
      <c r="E641" t="inlineStr">
        <is>
          <t xml:space="preserve">790757899636        </t>
        </is>
      </c>
      <c r="F641" t="n">
        <v>4022528</v>
      </c>
      <c r="G641" t="inlineStr">
        <is>
          <t xml:space="preserve">FLAN VAINILLA 1KG POREC            </t>
        </is>
      </c>
      <c r="H641" t="inlineStr">
        <is>
          <t xml:space="preserve">UNIDAD              </t>
        </is>
      </c>
      <c r="I641" t="n">
        <v>95</v>
      </c>
      <c r="J641" t="n">
        <v>0</v>
      </c>
      <c r="K641" t="n">
        <v>0</v>
      </c>
      <c r="L641" t="n">
        <v>5</v>
      </c>
      <c r="M641" t="n">
        <v>5</v>
      </c>
      <c r="N641" t="n">
        <v>0</v>
      </c>
      <c r="O641" t="n">
        <v>85</v>
      </c>
      <c r="P641" s="96">
        <f>_xlfn.XLOOKUP(Tabla5[[#This Row],[EAN CORREGIDO]],'Tabla Articulos'!B:B,'Tabla Articulos'!D:D)</f>
        <v/>
      </c>
      <c r="Q641" s="96">
        <f>_xlfn.XLOOKUP(S641,'Tabla Articulos'!B:B,'Tabla Articulos'!E:E)</f>
        <v/>
      </c>
      <c r="R641" s="96">
        <f>O641*Q641</f>
        <v/>
      </c>
      <c r="S641" s="97">
        <f>TRIM(E641)</f>
        <v/>
      </c>
    </row>
    <row r="642" hidden="1">
      <c r="A642" s="22" t="n">
        <v>1</v>
      </c>
      <c r="B642" t="inlineStr">
        <is>
          <t xml:space="preserve">CD MORENO                     </t>
        </is>
      </c>
      <c r="C642" t="inlineStr">
        <is>
          <t xml:space="preserve">GRUPO L.                      </t>
        </is>
      </c>
      <c r="D642" t="inlineStr">
        <is>
          <t>FLAN VAINILLA</t>
        </is>
      </c>
      <c r="E642" t="inlineStr">
        <is>
          <t xml:space="preserve">790757899636        </t>
        </is>
      </c>
      <c r="F642" t="n">
        <v>4022528</v>
      </c>
      <c r="G642" t="inlineStr">
        <is>
          <t xml:space="preserve">FLAN VAINILLA 1KG POREC            </t>
        </is>
      </c>
      <c r="H642" t="inlineStr">
        <is>
          <t xml:space="preserve">UNIDAD              </t>
        </is>
      </c>
      <c r="I642" t="n">
        <v>11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10</v>
      </c>
      <c r="P642" s="96">
        <f>_xlfn.XLOOKUP(Tabla5[[#This Row],[EAN CORREGIDO]],'Tabla Articulos'!B:B,'Tabla Articulos'!D:D)</f>
        <v/>
      </c>
      <c r="Q642" s="96">
        <f>_xlfn.XLOOKUP(S642,'Tabla Articulos'!B:B,'Tabla Articulos'!E:E)</f>
        <v/>
      </c>
      <c r="R642" s="96">
        <f>O642*Q642</f>
        <v/>
      </c>
      <c r="S642" s="97">
        <f>TRIM(E642)</f>
        <v/>
      </c>
    </row>
    <row r="643" hidden="1">
      <c r="A643" s="22" t="n">
        <v>1</v>
      </c>
      <c r="B643" t="inlineStr">
        <is>
          <t xml:space="preserve">CD MORENO                     </t>
        </is>
      </c>
      <c r="C643" t="inlineStr">
        <is>
          <t xml:space="preserve">GRUPO L.                      </t>
        </is>
      </c>
      <c r="D643" t="inlineStr">
        <is>
          <t>VASO PLASTICO</t>
        </is>
      </c>
      <c r="E643" t="inlineStr">
        <is>
          <t xml:space="preserve">7790321020356       </t>
        </is>
      </c>
      <c r="F643" t="n">
        <v>2006476</v>
      </c>
      <c r="G643" t="inlineStr">
        <is>
          <t xml:space="preserve">VASO PLASTICO X 220 CC X 100 U     </t>
        </is>
      </c>
      <c r="H643" t="inlineStr">
        <is>
          <t xml:space="preserve">UNIDAD              </t>
        </is>
      </c>
      <c r="I643" t="n">
        <v>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4</v>
      </c>
      <c r="P643" s="96">
        <f>_xlfn.XLOOKUP(Tabla5[[#This Row],[EAN CORREGIDO]],'Tabla Articulos'!B:B,'Tabla Articulos'!D:D)</f>
        <v/>
      </c>
      <c r="Q643" s="96">
        <f>_xlfn.XLOOKUP(S643,'Tabla Articulos'!B:B,'Tabla Articulos'!E:E)</f>
        <v/>
      </c>
      <c r="R643" s="96">
        <f>O643*Q643</f>
        <v/>
      </c>
      <c r="S643" s="97">
        <f>TRIM(E643)</f>
        <v/>
      </c>
    </row>
    <row r="644" hidden="1">
      <c r="A644" s="22" t="n">
        <v>6</v>
      </c>
      <c r="B644" t="inlineStr">
        <is>
          <t xml:space="preserve">CDM03 - MORENO 3              </t>
        </is>
      </c>
      <c r="C644" t="inlineStr">
        <is>
          <t xml:space="preserve">GRUPO L.                      </t>
        </is>
      </c>
      <c r="E644" t="inlineStr">
        <is>
          <t xml:space="preserve">UNIF000479          </t>
        </is>
      </c>
      <c r="F644" t="n">
        <v>9003251</v>
      </c>
      <c r="G644" t="inlineStr">
        <is>
          <t xml:space="preserve">PANTAL. GRAFA S. LOGO A. MAR 56    </t>
        </is>
      </c>
      <c r="H644" t="inlineStr">
        <is>
          <t xml:space="preserve">UNIDAD              </t>
        </is>
      </c>
      <c r="I644" t="n">
        <v>104</v>
      </c>
      <c r="J644" t="n">
        <v>0</v>
      </c>
      <c r="K644" t="n">
        <v>0</v>
      </c>
      <c r="L644" t="n">
        <v>1</v>
      </c>
      <c r="M644" t="n">
        <v>1</v>
      </c>
      <c r="N644" t="n">
        <v>0</v>
      </c>
      <c r="O644" t="n">
        <v>102</v>
      </c>
      <c r="P644" s="96">
        <f>_xlfn.XLOOKUP(Tabla5[[#This Row],[EAN CORREGIDO]],'Tabla Articulos'!B:B,'Tabla Articulos'!D:D)</f>
        <v/>
      </c>
      <c r="Q644" s="96">
        <f>_xlfn.XLOOKUP(S644,'Tabla Articulos'!B:B,'Tabla Articulos'!E:E)</f>
        <v/>
      </c>
      <c r="R644" s="96">
        <f>O644*Q644</f>
        <v/>
      </c>
      <c r="S644" s="97">
        <f>TRIM(E644)</f>
        <v/>
      </c>
    </row>
    <row r="645" hidden="1">
      <c r="A645" s="22" t="n">
        <v>1</v>
      </c>
      <c r="B645" t="inlineStr">
        <is>
          <t xml:space="preserve">CD MORENO                     </t>
        </is>
      </c>
      <c r="C645" t="inlineStr">
        <is>
          <t xml:space="preserve">GRUPO L.                      </t>
        </is>
      </c>
      <c r="D645" s="11" t="inlineStr">
        <is>
          <t>POLLO GOURMET REFRI T10</t>
        </is>
      </c>
      <c r="E645" t="inlineStr">
        <is>
          <t xml:space="preserve">7790212031233       </t>
        </is>
      </c>
      <c r="F645" t="n">
        <v>4017487</v>
      </c>
      <c r="G645" t="inlineStr">
        <is>
          <t xml:space="preserve">POLLO GOURMET T10 X UN             </t>
        </is>
      </c>
      <c r="H645" t="inlineStr">
        <is>
          <t xml:space="preserve">UNIDAD              </t>
        </is>
      </c>
      <c r="I645" t="n">
        <v>240</v>
      </c>
      <c r="J645" t="n">
        <v>0</v>
      </c>
      <c r="K645" t="n">
        <v>0</v>
      </c>
      <c r="L645" t="n">
        <v>30</v>
      </c>
      <c r="M645" t="n">
        <v>30</v>
      </c>
      <c r="N645" t="n">
        <v>30</v>
      </c>
      <c r="O645" t="n">
        <v>150</v>
      </c>
      <c r="P645" s="96">
        <f>_xlfn.XLOOKUP(Tabla5[[#This Row],[EAN CORREGIDO]],'Tabla Articulos'!B:B,'Tabla Articulos'!D:D)</f>
        <v/>
      </c>
      <c r="Q645" s="96">
        <f>_xlfn.XLOOKUP(S645,'Tabla Articulos'!B:B,'Tabla Articulos'!E:E)</f>
        <v/>
      </c>
      <c r="R645" s="96">
        <f>O645*Q645</f>
        <v/>
      </c>
      <c r="S645" s="97">
        <f>TRIM(E645)</f>
        <v/>
      </c>
    </row>
    <row r="646" hidden="1">
      <c r="A646" s="22" t="n">
        <v>6</v>
      </c>
      <c r="B646" t="inlineStr">
        <is>
          <t xml:space="preserve">CDM03 - MORENO 3              </t>
        </is>
      </c>
      <c r="C646" t="inlineStr">
        <is>
          <t xml:space="preserve">GRUPO L.                      </t>
        </is>
      </c>
      <c r="D646" s="11" t="inlineStr">
        <is>
          <t>BAND 102</t>
        </is>
      </c>
      <c r="E646" t="inlineStr">
        <is>
          <t xml:space="preserve">7790000000379       </t>
        </is>
      </c>
      <c r="F646" t="n">
        <v>2007321</v>
      </c>
      <c r="G646" t="inlineStr">
        <is>
          <t xml:space="preserve">BANDEJA 102 BIODEG. X 1400U MPRO   </t>
        </is>
      </c>
      <c r="H646" t="inlineStr">
        <is>
          <t xml:space="preserve">UNIDAD              </t>
        </is>
      </c>
      <c r="I646" t="n">
        <v>0</v>
      </c>
      <c r="J646" t="n">
        <v>13</v>
      </c>
      <c r="K646" t="n">
        <v>0</v>
      </c>
      <c r="L646" t="n">
        <v>0</v>
      </c>
      <c r="M646" t="n">
        <v>0</v>
      </c>
      <c r="N646" t="n">
        <v>0</v>
      </c>
      <c r="O646" t="n">
        <v>13</v>
      </c>
      <c r="P646" s="96">
        <f>_xlfn.XLOOKUP(Tabla5[[#This Row],[EAN CORREGIDO]],'Tabla Articulos'!B:B,'Tabla Articulos'!D:D)</f>
        <v/>
      </c>
      <c r="Q646" s="96">
        <f>_xlfn.XLOOKUP(S646,'Tabla Articulos'!B:B,'Tabla Articulos'!E:E)</f>
        <v/>
      </c>
      <c r="R646" s="96">
        <f>O646*Q646</f>
        <v/>
      </c>
      <c r="S646" s="97">
        <f>TRIM(E646)</f>
        <v/>
      </c>
    </row>
    <row r="647" hidden="1">
      <c r="A647" s="22" t="n">
        <v>1</v>
      </c>
      <c r="B647" t="inlineStr">
        <is>
          <t xml:space="preserve">CD MORENO                     </t>
        </is>
      </c>
      <c r="C647" t="inlineStr">
        <is>
          <t xml:space="preserve">GRUPO L.                      </t>
        </is>
      </c>
      <c r="D647" t="inlineStr">
        <is>
          <t>ARVEJA SIN TACC</t>
        </is>
      </c>
      <c r="E647" t="inlineStr">
        <is>
          <t xml:space="preserve">7792350067019       </t>
        </is>
      </c>
      <c r="F647" t="n">
        <v>4019979</v>
      </c>
      <c r="G647" t="inlineStr">
        <is>
          <t xml:space="preserve">ARVEJAS REMOJADAS X300G INALPA     </t>
        </is>
      </c>
      <c r="H647" t="inlineStr">
        <is>
          <t xml:space="preserve">UNIDAD              </t>
        </is>
      </c>
      <c r="I647" t="n">
        <v>12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12</v>
      </c>
      <c r="P647" s="96">
        <f>_xlfn.XLOOKUP(Tabla5[[#This Row],[EAN CORREGIDO]],'Tabla Articulos'!B:B,'Tabla Articulos'!D:D)</f>
        <v/>
      </c>
      <c r="Q647" s="96">
        <f>_xlfn.XLOOKUP(S647,'Tabla Articulos'!B:B,'Tabla Articulos'!E:E)</f>
        <v/>
      </c>
      <c r="R647" s="96">
        <f>O647*Q647</f>
        <v/>
      </c>
      <c r="S647" s="97">
        <f>TRIM(E647)</f>
        <v/>
      </c>
    </row>
    <row r="648" hidden="1">
      <c r="A648" s="22" t="n">
        <v>5</v>
      </c>
      <c r="B648" t="inlineStr">
        <is>
          <t xml:space="preserve">CDM02 - MORENO 2              </t>
        </is>
      </c>
      <c r="C648" t="inlineStr">
        <is>
          <t xml:space="preserve">GRUPO L.                      </t>
        </is>
      </c>
      <c r="D648" s="11" t="inlineStr">
        <is>
          <t>CREMA PASTELERA POLVO</t>
        </is>
      </c>
      <c r="E648" t="inlineStr">
        <is>
          <t xml:space="preserve">7790971001504       </t>
        </is>
      </c>
      <c r="F648" t="n">
        <v>4019993</v>
      </c>
      <c r="G648" t="inlineStr">
        <is>
          <t xml:space="preserve">CREMA PASTELERA X500KG ORLOC       </t>
        </is>
      </c>
      <c r="H648" t="inlineStr">
        <is>
          <t xml:space="preserve">UNIDAD              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s="96">
        <f>_xlfn.XLOOKUP(Tabla5[[#This Row],[EAN CORREGIDO]],'Tabla Articulos'!B:B,'Tabla Articulos'!D:D)</f>
        <v/>
      </c>
      <c r="Q648" s="96">
        <f>_xlfn.XLOOKUP(S648,'Tabla Articulos'!B:B,'Tabla Articulos'!E:E)</f>
        <v/>
      </c>
      <c r="R648" s="96">
        <f>O648*Q648</f>
        <v/>
      </c>
      <c r="S648" s="97">
        <f>TRIM(E648)</f>
        <v/>
      </c>
    </row>
    <row r="649" hidden="1">
      <c r="A649" s="22" t="n">
        <v>5</v>
      </c>
      <c r="B649" t="inlineStr">
        <is>
          <t xml:space="preserve">CDM02 - MORENO 2              </t>
        </is>
      </c>
      <c r="C649" t="inlineStr">
        <is>
          <t xml:space="preserve">GRUPO L.                      </t>
        </is>
      </c>
      <c r="D649" t="inlineStr">
        <is>
          <t>CAJON PLASTICO</t>
        </is>
      </c>
      <c r="E649" t="inlineStr">
        <is>
          <t xml:space="preserve">BAZ001384           </t>
        </is>
      </c>
      <c r="F649" t="n">
        <v>9003978</v>
      </c>
      <c r="G649" t="inlineStr">
        <is>
          <t xml:space="preserve">CAJON PLASTICO IFCO MARRON         </t>
        </is>
      </c>
      <c r="H649" t="inlineStr">
        <is>
          <t xml:space="preserve">UNIDAD              </t>
        </is>
      </c>
      <c r="I649" t="n">
        <v>486</v>
      </c>
      <c r="J649" t="n">
        <v>0</v>
      </c>
      <c r="K649" t="n">
        <v>0</v>
      </c>
      <c r="L649" t="n">
        <v>5</v>
      </c>
      <c r="M649" t="n">
        <v>7</v>
      </c>
      <c r="N649" t="n">
        <v>0</v>
      </c>
      <c r="O649" t="n">
        <v>474</v>
      </c>
      <c r="P649" s="96">
        <f>_xlfn.XLOOKUP(Tabla5[[#This Row],[EAN CORREGIDO]],'Tabla Articulos'!B:B,'Tabla Articulos'!D:D)</f>
        <v/>
      </c>
      <c r="Q649" s="96">
        <f>_xlfn.XLOOKUP(S649,'Tabla Articulos'!B:B,'Tabla Articulos'!E:E)</f>
        <v/>
      </c>
      <c r="R649" s="96">
        <f>O649*Q649</f>
        <v/>
      </c>
      <c r="S649" s="97">
        <f>TRIM(E649)</f>
        <v/>
      </c>
    </row>
    <row r="650" hidden="1">
      <c r="A650" s="22" t="n">
        <v>6</v>
      </c>
      <c r="B650" t="inlineStr">
        <is>
          <t xml:space="preserve">CDM03 - MORENO 3              </t>
        </is>
      </c>
      <c r="C650" t="inlineStr">
        <is>
          <t xml:space="preserve">GRUPO L.                      </t>
        </is>
      </c>
      <c r="E650" t="inlineStr">
        <is>
          <t xml:space="preserve">BAZ001235           </t>
        </is>
      </c>
      <c r="F650" t="n">
        <v>9003800</v>
      </c>
      <c r="G650" t="inlineStr">
        <is>
          <t xml:space="preserve">TETERA ACERO INOX P/1 PERS P Y G   </t>
        </is>
      </c>
      <c r="H650" t="inlineStr">
        <is>
          <t xml:space="preserve">UNIDAD              </t>
        </is>
      </c>
      <c r="I650" t="n">
        <v>29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29</v>
      </c>
      <c r="P650" s="96">
        <f>_xlfn.XLOOKUP(Tabla5[[#This Row],[EAN CORREGIDO]],'Tabla Articulos'!B:B,'Tabla Articulos'!D:D)</f>
        <v/>
      </c>
      <c r="Q650" s="96">
        <f>_xlfn.XLOOKUP(S650,'Tabla Articulos'!B:B,'Tabla Articulos'!E:E)</f>
        <v/>
      </c>
      <c r="R650" s="96">
        <f>O650*Q650</f>
        <v/>
      </c>
      <c r="S650" s="97">
        <f>TRIM(E650)</f>
        <v/>
      </c>
    </row>
    <row r="651" hidden="1">
      <c r="A651" s="22" t="n">
        <v>5</v>
      </c>
      <c r="B651" t="inlineStr">
        <is>
          <t xml:space="preserve">CDM02 - MORENO 2              </t>
        </is>
      </c>
      <c r="C651" t="inlineStr">
        <is>
          <t xml:space="preserve">GRUPO L.                      </t>
        </is>
      </c>
      <c r="D651" s="11" t="inlineStr">
        <is>
          <t>GELATINA CEREZA</t>
        </is>
      </c>
      <c r="E651" t="inlineStr">
        <is>
          <t xml:space="preserve">790757899520        </t>
        </is>
      </c>
      <c r="F651" t="n">
        <v>4022494</v>
      </c>
      <c r="G651" t="inlineStr">
        <is>
          <t xml:space="preserve">GELATINA CEREZA 1KG POREC          </t>
        </is>
      </c>
      <c r="H651" t="inlineStr">
        <is>
          <t xml:space="preserve">UNIDAD              </t>
        </is>
      </c>
      <c r="I651" t="n">
        <v>12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12</v>
      </c>
      <c r="P651" s="96">
        <f>_xlfn.XLOOKUP(Tabla5[[#This Row],[EAN CORREGIDO]],'Tabla Articulos'!B:B,'Tabla Articulos'!D:D)</f>
        <v/>
      </c>
      <c r="Q651" s="96">
        <f>_xlfn.XLOOKUP(S651,'Tabla Articulos'!B:B,'Tabla Articulos'!E:E)</f>
        <v/>
      </c>
      <c r="R651" s="96">
        <f>O651*Q651</f>
        <v/>
      </c>
      <c r="S651" s="97">
        <f>TRIM(E651)</f>
        <v/>
      </c>
    </row>
    <row r="652" hidden="1">
      <c r="A652" s="22" t="n">
        <v>1</v>
      </c>
      <c r="B652" t="inlineStr">
        <is>
          <t xml:space="preserve">CD MORENO                     </t>
        </is>
      </c>
      <c r="C652" t="inlineStr">
        <is>
          <t xml:space="preserve">GRUPO L.                      </t>
        </is>
      </c>
      <c r="D652" s="11" t="inlineStr">
        <is>
          <t>GELATINA CEREZA</t>
        </is>
      </c>
      <c r="E652" t="inlineStr">
        <is>
          <t xml:space="preserve">790757899520        </t>
        </is>
      </c>
      <c r="F652" t="n">
        <v>4022494</v>
      </c>
      <c r="G652" t="inlineStr">
        <is>
          <t xml:space="preserve">GELATINA CEREZA 1KG POREC          </t>
        </is>
      </c>
      <c r="H652" t="inlineStr">
        <is>
          <t xml:space="preserve">UNIDAD              </t>
        </is>
      </c>
      <c r="I652" t="n">
        <v>112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112</v>
      </c>
      <c r="P652" s="96">
        <f>_xlfn.XLOOKUP(Tabla5[[#This Row],[EAN CORREGIDO]],'Tabla Articulos'!B:B,'Tabla Articulos'!D:D)</f>
        <v/>
      </c>
      <c r="Q652" s="96">
        <f>_xlfn.XLOOKUP(S652,'Tabla Articulos'!B:B,'Tabla Articulos'!E:E)</f>
        <v/>
      </c>
      <c r="R652" s="96">
        <f>O652*Q652</f>
        <v/>
      </c>
      <c r="S652" s="97">
        <f>TRIM(E652)</f>
        <v/>
      </c>
    </row>
    <row r="653" hidden="1">
      <c r="A653" s="22" t="n">
        <v>6</v>
      </c>
      <c r="B653" t="inlineStr">
        <is>
          <t xml:space="preserve">CDM03 - MORENO 3              </t>
        </is>
      </c>
      <c r="C653" t="inlineStr">
        <is>
          <t xml:space="preserve">GRUPO L.                      </t>
        </is>
      </c>
      <c r="E653" t="inlineStr">
        <is>
          <t xml:space="preserve">UNIF000576          </t>
        </is>
      </c>
      <c r="F653" t="n">
        <v>9003114</v>
      </c>
      <c r="G653" t="inlineStr">
        <is>
          <t xml:space="preserve">CAMISA GRIS T50                    </t>
        </is>
      </c>
      <c r="H653" t="inlineStr">
        <is>
          <t xml:space="preserve">UNIDAD              </t>
        </is>
      </c>
      <c r="I653" t="n">
        <v>13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13</v>
      </c>
      <c r="P653" s="96">
        <f>_xlfn.XLOOKUP(Tabla5[[#This Row],[EAN CORREGIDO]],'Tabla Articulos'!B:B,'Tabla Articulos'!D:D)</f>
        <v/>
      </c>
      <c r="Q653" s="96">
        <f>_xlfn.XLOOKUP(S653,'Tabla Articulos'!B:B,'Tabla Articulos'!E:E)</f>
        <v/>
      </c>
      <c r="R653" s="96">
        <f>O653*Q653</f>
        <v/>
      </c>
      <c r="S653" s="97">
        <f>TRIM(E653)</f>
        <v/>
      </c>
    </row>
    <row r="654" hidden="1">
      <c r="A654" s="22" t="n">
        <v>6</v>
      </c>
      <c r="B654" t="inlineStr">
        <is>
          <t xml:space="preserve">CDM03 - MORENO 3              </t>
        </is>
      </c>
      <c r="C654" t="inlineStr">
        <is>
          <t xml:space="preserve">GRUPO L.                      </t>
        </is>
      </c>
      <c r="D654" s="11" t="n"/>
      <c r="E654" t="inlineStr">
        <is>
          <t xml:space="preserve">UNIF000263          </t>
        </is>
      </c>
      <c r="F654" t="n">
        <v>9003358</v>
      </c>
      <c r="G654" t="inlineStr">
        <is>
          <t xml:space="preserve">PANTALON GABAR. NEG. 56 S. LOGO    </t>
        </is>
      </c>
      <c r="H654" t="inlineStr">
        <is>
          <t xml:space="preserve">UNIDAD              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3</v>
      </c>
      <c r="P654" s="96">
        <f>_xlfn.XLOOKUP(Tabla5[[#This Row],[EAN CORREGIDO]],'Tabla Articulos'!B:B,'Tabla Articulos'!D:D)</f>
        <v/>
      </c>
      <c r="Q654" s="96">
        <f>_xlfn.XLOOKUP(S654,'Tabla Articulos'!B:B,'Tabla Articulos'!E:E)</f>
        <v/>
      </c>
      <c r="R654" s="96">
        <f>O654*Q654</f>
        <v/>
      </c>
      <c r="S654" s="97">
        <f>TRIM(E654)</f>
        <v/>
      </c>
    </row>
    <row r="655" hidden="1">
      <c r="A655" s="22" t="n">
        <v>6</v>
      </c>
      <c r="B655" t="inlineStr">
        <is>
          <t xml:space="preserve">CDM03 - MORENO 3              </t>
        </is>
      </c>
      <c r="C655" t="inlineStr">
        <is>
          <t xml:space="preserve">GRUPO L.                      </t>
        </is>
      </c>
      <c r="E655" t="inlineStr">
        <is>
          <t xml:space="preserve">BAZ001340           </t>
        </is>
      </c>
      <c r="F655" t="n">
        <v>9003718</v>
      </c>
      <c r="G655" t="inlineStr">
        <is>
          <t xml:space="preserve">SACA FUENTE MANGO POLIPRO          </t>
        </is>
      </c>
      <c r="H655" t="inlineStr">
        <is>
          <t xml:space="preserve">UNIDAD              </t>
        </is>
      </c>
      <c r="I655" t="n">
        <v>12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12</v>
      </c>
      <c r="P655" s="96">
        <f>_xlfn.XLOOKUP(Tabla5[[#This Row],[EAN CORREGIDO]],'Tabla Articulos'!B:B,'Tabla Articulos'!D:D)</f>
        <v/>
      </c>
      <c r="Q655" s="96">
        <f>_xlfn.XLOOKUP(S655,'Tabla Articulos'!B:B,'Tabla Articulos'!E:E)</f>
        <v/>
      </c>
      <c r="R655" s="96">
        <f>O655*Q655</f>
        <v/>
      </c>
      <c r="S655" s="97">
        <f>TRIM(E655)</f>
        <v/>
      </c>
    </row>
    <row r="656" hidden="1">
      <c r="A656" s="22" t="n">
        <v>6</v>
      </c>
      <c r="B656" t="inlineStr">
        <is>
          <t xml:space="preserve">CDM03 - MORENO 3              </t>
        </is>
      </c>
      <c r="C656" t="inlineStr">
        <is>
          <t xml:space="preserve">GRUPO L.                      </t>
        </is>
      </c>
      <c r="E656" t="inlineStr">
        <is>
          <t xml:space="preserve">7794417003244       </t>
        </is>
      </c>
      <c r="F656" t="n">
        <v>2007222</v>
      </c>
      <c r="G656" t="inlineStr">
        <is>
          <t xml:space="preserve">PALA PLASTICA SINA XU              </t>
        </is>
      </c>
      <c r="H656" t="inlineStr">
        <is>
          <t xml:space="preserve">UNIDAD              </t>
        </is>
      </c>
      <c r="I656" t="n">
        <v>78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78</v>
      </c>
      <c r="P656" s="96">
        <f>_xlfn.XLOOKUP(Tabla5[[#This Row],[EAN CORREGIDO]],'Tabla Articulos'!B:B,'Tabla Articulos'!D:D)</f>
        <v/>
      </c>
      <c r="Q656" s="96">
        <f>_xlfn.XLOOKUP(S656,'Tabla Articulos'!B:B,'Tabla Articulos'!E:E)</f>
        <v/>
      </c>
      <c r="R656" s="96">
        <f>O656*Q656</f>
        <v/>
      </c>
      <c r="S656" s="97">
        <f>TRIM(E656)</f>
        <v/>
      </c>
    </row>
    <row r="657" hidden="1">
      <c r="A657" s="22" t="n">
        <v>5</v>
      </c>
      <c r="B657" t="inlineStr">
        <is>
          <t xml:space="preserve">CDM02 - MORENO 2              </t>
        </is>
      </c>
      <c r="C657" t="inlineStr">
        <is>
          <t xml:space="preserve">GRUPO L.                      </t>
        </is>
      </c>
      <c r="D657" t="inlineStr">
        <is>
          <t>AGUA MIN S/GAS INDIV</t>
        </is>
      </c>
      <c r="E657" t="inlineStr">
        <is>
          <t xml:space="preserve">7798065733454       </t>
        </is>
      </c>
      <c r="F657" t="n">
        <v>4017336</v>
      </c>
      <c r="G657" t="inlineStr">
        <is>
          <t xml:space="preserve">AGUA MIN S/GAS X 600 ML SIERR      </t>
        </is>
      </c>
      <c r="H657" t="inlineStr">
        <is>
          <t xml:space="preserve">UNIDAD              </t>
        </is>
      </c>
      <c r="I657" t="n">
        <v>8968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8968</v>
      </c>
      <c r="P657" s="96">
        <f>_xlfn.XLOOKUP(Tabla5[[#This Row],[EAN CORREGIDO]],'Tabla Articulos'!B:B,'Tabla Articulos'!D:D)</f>
        <v/>
      </c>
      <c r="Q657" s="96">
        <f>_xlfn.XLOOKUP(S657,'Tabla Articulos'!B:B,'Tabla Articulos'!E:E)</f>
        <v/>
      </c>
      <c r="R657" s="96">
        <f>O657*Q657</f>
        <v/>
      </c>
      <c r="S657" s="97">
        <f>TRIM(E657)</f>
        <v/>
      </c>
    </row>
    <row r="658" hidden="1">
      <c r="A658" s="22" t="n">
        <v>5</v>
      </c>
      <c r="B658" t="inlineStr">
        <is>
          <t xml:space="preserve">CDM02 - MORENO 2              </t>
        </is>
      </c>
      <c r="C658" t="inlineStr">
        <is>
          <t xml:space="preserve">GRUPO L.                      </t>
        </is>
      </c>
      <c r="D658" t="inlineStr">
        <is>
          <t>ACETO IND</t>
        </is>
      </c>
      <c r="E658" t="inlineStr">
        <is>
          <t xml:space="preserve">7798011976492       </t>
        </is>
      </c>
      <c r="F658" t="n">
        <v>4020553</v>
      </c>
      <c r="G658" t="inlineStr">
        <is>
          <t xml:space="preserve">ACETO INDX8MLX198U ABEDUL          </t>
        </is>
      </c>
      <c r="H658" t="inlineStr">
        <is>
          <t xml:space="preserve">UNIDAD              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3</v>
      </c>
      <c r="P658" s="96">
        <f>_xlfn.XLOOKUP(Tabla5[[#This Row],[EAN CORREGIDO]],'Tabla Articulos'!B:B,'Tabla Articulos'!D:D)</f>
        <v/>
      </c>
      <c r="Q658" s="96">
        <f>_xlfn.XLOOKUP(S658,'Tabla Articulos'!B:B,'Tabla Articulos'!E:E)</f>
        <v/>
      </c>
      <c r="R658" s="96">
        <f>O658*Q658</f>
        <v/>
      </c>
      <c r="S658" s="97">
        <f>TRIM(E658)</f>
        <v/>
      </c>
    </row>
    <row r="659" hidden="1">
      <c r="A659" s="22" t="n">
        <v>6</v>
      </c>
      <c r="B659" t="inlineStr">
        <is>
          <t xml:space="preserve">CDM03 - MORENO 3              </t>
        </is>
      </c>
      <c r="C659" t="inlineStr">
        <is>
          <t xml:space="preserve">GRUPO L.                      </t>
        </is>
      </c>
      <c r="E659" t="inlineStr">
        <is>
          <t xml:space="preserve">UNIF000461          </t>
        </is>
      </c>
      <c r="F659" t="n">
        <v>9003622</v>
      </c>
      <c r="G659" t="inlineStr">
        <is>
          <t xml:space="preserve">CAMPERA TRUCKER BLANCO 3XL NUTRI   </t>
        </is>
      </c>
      <c r="H659" t="inlineStr">
        <is>
          <t xml:space="preserve">UNIDAD              </t>
        </is>
      </c>
      <c r="I659" t="n">
        <v>39</v>
      </c>
      <c r="J659" t="n">
        <v>20</v>
      </c>
      <c r="K659" t="n">
        <v>0</v>
      </c>
      <c r="L659" t="n">
        <v>0</v>
      </c>
      <c r="M659" t="n">
        <v>0</v>
      </c>
      <c r="N659" t="n">
        <v>0</v>
      </c>
      <c r="O659" t="n">
        <v>59</v>
      </c>
      <c r="P659" s="96">
        <f>_xlfn.XLOOKUP(Tabla5[[#This Row],[EAN CORREGIDO]],'Tabla Articulos'!B:B,'Tabla Articulos'!D:D)</f>
        <v/>
      </c>
      <c r="Q659" s="96">
        <f>_xlfn.XLOOKUP(S659,'Tabla Articulos'!B:B,'Tabla Articulos'!E:E)</f>
        <v/>
      </c>
      <c r="R659" s="96">
        <f>O659*Q659</f>
        <v/>
      </c>
      <c r="S659" s="97">
        <f>TRIM(E659)</f>
        <v/>
      </c>
    </row>
    <row r="660" hidden="1">
      <c r="A660" s="22" t="n">
        <v>5</v>
      </c>
      <c r="B660" t="inlineStr">
        <is>
          <t xml:space="preserve">CDM02 - MORENO 2              </t>
        </is>
      </c>
      <c r="C660" t="inlineStr">
        <is>
          <t xml:space="preserve">GRUPO L.                      </t>
        </is>
      </c>
      <c r="D660" t="inlineStr">
        <is>
          <t>MATE COCIDO SAQ</t>
        </is>
      </c>
      <c r="E660" t="inlineStr">
        <is>
          <t xml:space="preserve">7798028020546       </t>
        </is>
      </c>
      <c r="F660" t="n">
        <v>4020716</v>
      </c>
      <c r="G660" t="inlineStr">
        <is>
          <t xml:space="preserve">MATE COC EN SAQ X25U LA POSADEÑA   </t>
        </is>
      </c>
      <c r="H660" t="inlineStr">
        <is>
          <t xml:space="preserve">UNIDAD              </t>
        </is>
      </c>
      <c r="I660" t="n">
        <v>0</v>
      </c>
      <c r="J660" t="n">
        <v>400</v>
      </c>
      <c r="K660" t="n">
        <v>0</v>
      </c>
      <c r="L660" t="n">
        <v>0</v>
      </c>
      <c r="M660" t="n">
        <v>0</v>
      </c>
      <c r="N660" t="n">
        <v>0</v>
      </c>
      <c r="O660" t="n">
        <v>400</v>
      </c>
      <c r="P660" s="96">
        <f>_xlfn.XLOOKUP(Tabla5[[#This Row],[EAN CORREGIDO]],'Tabla Articulos'!B:B,'Tabla Articulos'!D:D)</f>
        <v/>
      </c>
      <c r="Q660" s="96">
        <f>_xlfn.XLOOKUP(S660,'Tabla Articulos'!B:B,'Tabla Articulos'!E:E)</f>
        <v/>
      </c>
      <c r="R660" s="96">
        <f>O660*Q660</f>
        <v/>
      </c>
      <c r="S660" s="97">
        <f>TRIM(E660)</f>
        <v/>
      </c>
    </row>
    <row r="661" hidden="1">
      <c r="A661" s="22" t="n">
        <v>1</v>
      </c>
      <c r="B661" t="inlineStr">
        <is>
          <t xml:space="preserve">CD MORENO                     </t>
        </is>
      </c>
      <c r="C661" t="inlineStr">
        <is>
          <t xml:space="preserve">GRUPO L.                      </t>
        </is>
      </c>
      <c r="D661" t="inlineStr">
        <is>
          <t>MATE COCIDO SAQ</t>
        </is>
      </c>
      <c r="E661" t="inlineStr">
        <is>
          <t xml:space="preserve">7798028020546       </t>
        </is>
      </c>
      <c r="F661" t="n">
        <v>4020716</v>
      </c>
      <c r="G661" t="inlineStr">
        <is>
          <t xml:space="preserve">MATE COC EN SAQ X25U LA POSADEÑA   </t>
        </is>
      </c>
      <c r="H661" t="inlineStr">
        <is>
          <t xml:space="preserve">UNIDAD              </t>
        </is>
      </c>
      <c r="I661" t="n">
        <v>16776</v>
      </c>
      <c r="J661" t="n">
        <v>0</v>
      </c>
      <c r="K661" t="n">
        <v>14016</v>
      </c>
      <c r="L661" t="n">
        <v>632</v>
      </c>
      <c r="M661" t="n">
        <v>632</v>
      </c>
      <c r="N661" t="n">
        <v>0</v>
      </c>
      <c r="O661" t="n">
        <v>1496</v>
      </c>
      <c r="P661" s="96">
        <f>_xlfn.XLOOKUP(Tabla5[[#This Row],[EAN CORREGIDO]],'Tabla Articulos'!B:B,'Tabla Articulos'!D:D)</f>
        <v/>
      </c>
      <c r="Q661" s="96">
        <f>_xlfn.XLOOKUP(S661,'Tabla Articulos'!B:B,'Tabla Articulos'!E:E)</f>
        <v/>
      </c>
      <c r="R661" s="96">
        <f>O661*Q661</f>
        <v/>
      </c>
      <c r="S661" s="97">
        <f>TRIM(E661)</f>
        <v/>
      </c>
    </row>
    <row r="662" hidden="1">
      <c r="A662" s="22" t="n">
        <v>6</v>
      </c>
      <c r="B662" t="inlineStr">
        <is>
          <t xml:space="preserve">CDM03 - MORENO 3              </t>
        </is>
      </c>
      <c r="C662" t="inlineStr">
        <is>
          <t xml:space="preserve">GRUPO L.                      </t>
        </is>
      </c>
      <c r="E662" t="inlineStr">
        <is>
          <t xml:space="preserve">UNIF000444          </t>
        </is>
      </c>
      <c r="F662" t="n">
        <v>9003605</v>
      </c>
      <c r="G662" t="inlineStr">
        <is>
          <t xml:space="preserve">CAMPE. TRUCKER A. MAR GRUPO L L    </t>
        </is>
      </c>
      <c r="H662" t="inlineStr">
        <is>
          <t xml:space="preserve">UNIDAD              </t>
        </is>
      </c>
      <c r="I662" t="n">
        <v>17</v>
      </c>
      <c r="J662" t="n">
        <v>130</v>
      </c>
      <c r="K662" t="n">
        <v>0</v>
      </c>
      <c r="L662" t="n">
        <v>0</v>
      </c>
      <c r="M662" t="n">
        <v>0</v>
      </c>
      <c r="N662" t="n">
        <v>0</v>
      </c>
      <c r="O662" t="n">
        <v>147</v>
      </c>
      <c r="P662" s="96">
        <f>_xlfn.XLOOKUP(Tabla5[[#This Row],[EAN CORREGIDO]],'Tabla Articulos'!B:B,'Tabla Articulos'!D:D)</f>
        <v/>
      </c>
      <c r="Q662" s="96">
        <f>_xlfn.XLOOKUP(S662,'Tabla Articulos'!B:B,'Tabla Articulos'!E:E)</f>
        <v/>
      </c>
      <c r="R662" s="96">
        <f>O662*Q662</f>
        <v/>
      </c>
      <c r="S662" s="97">
        <f>TRIM(E662)</f>
        <v/>
      </c>
    </row>
    <row r="663" hidden="1">
      <c r="A663" s="22" t="n">
        <v>1</v>
      </c>
      <c r="B663" t="inlineStr">
        <is>
          <t xml:space="preserve">CD MORENO                     </t>
        </is>
      </c>
      <c r="C663" t="inlineStr">
        <is>
          <t xml:space="preserve">GRUPO L.                      </t>
        </is>
      </c>
      <c r="D663" s="11" t="inlineStr">
        <is>
          <t>PATA Y MUSLO</t>
        </is>
      </c>
      <c r="E663" t="inlineStr">
        <is>
          <t xml:space="preserve">7790212031232       </t>
        </is>
      </c>
      <c r="F663" t="n">
        <v>4017486</v>
      </c>
      <c r="G663" t="inlineStr">
        <is>
          <t xml:space="preserve">PATA MUSLO C X 15 KG X CAJA        </t>
        </is>
      </c>
      <c r="H663" t="inlineStr">
        <is>
          <t xml:space="preserve">UNIDAD              </t>
        </is>
      </c>
      <c r="I663" t="n">
        <v>10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10</v>
      </c>
      <c r="P663" s="96">
        <f>_xlfn.XLOOKUP(Tabla5[[#This Row],[EAN CORREGIDO]],'Tabla Articulos'!B:B,'Tabla Articulos'!D:D)</f>
        <v/>
      </c>
      <c r="Q663" s="96">
        <f>_xlfn.XLOOKUP(S663,'Tabla Articulos'!B:B,'Tabla Articulos'!E:E)</f>
        <v/>
      </c>
      <c r="R663" s="96">
        <f>O663*Q663</f>
        <v/>
      </c>
      <c r="S663" s="97">
        <f>TRIM(E663)</f>
        <v/>
      </c>
    </row>
    <row r="664" hidden="1">
      <c r="A664" s="22" t="n">
        <v>6</v>
      </c>
      <c r="B664" t="inlineStr">
        <is>
          <t xml:space="preserve">CDM03 - MORENO 3              </t>
        </is>
      </c>
      <c r="C664" t="inlineStr">
        <is>
          <t xml:space="preserve">GRUPO L.                      </t>
        </is>
      </c>
      <c r="E664" t="inlineStr">
        <is>
          <t xml:space="preserve">7790047000608       </t>
        </is>
      </c>
      <c r="F664" t="n">
        <v>2011486</v>
      </c>
      <c r="G664" t="inlineStr">
        <is>
          <t>DESOD AMB AUT REPUESTO BRISA MARINA</t>
        </is>
      </c>
      <c r="H664" t="inlineStr">
        <is>
          <t xml:space="preserve">UNIDAD              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4</v>
      </c>
      <c r="P664" s="96">
        <f>_xlfn.XLOOKUP(Tabla5[[#This Row],[EAN CORREGIDO]],'Tabla Articulos'!B:B,'Tabla Articulos'!D:D)</f>
        <v/>
      </c>
      <c r="Q664" s="96">
        <f>_xlfn.XLOOKUP(S664,'Tabla Articulos'!B:B,'Tabla Articulos'!E:E)</f>
        <v/>
      </c>
      <c r="R664" s="96">
        <f>O664*Q664</f>
        <v/>
      </c>
      <c r="S664" s="97">
        <f>TRIM(E664)</f>
        <v/>
      </c>
    </row>
    <row r="665" hidden="1">
      <c r="A665" s="22" t="n">
        <v>6</v>
      </c>
      <c r="B665" t="inlineStr">
        <is>
          <t xml:space="preserve">CDM03 - MORENO 3              </t>
        </is>
      </c>
      <c r="C665" t="inlineStr">
        <is>
          <t xml:space="preserve">GRUPO L.                      </t>
        </is>
      </c>
      <c r="E665" t="inlineStr">
        <is>
          <t xml:space="preserve">UNIF000045          </t>
        </is>
      </c>
      <c r="F665" t="n">
        <v>9003298</v>
      </c>
      <c r="G665" t="inlineStr">
        <is>
          <t xml:space="preserve">BUZO AZUL ELEVARE 4XL              </t>
        </is>
      </c>
      <c r="H665" t="inlineStr">
        <is>
          <t xml:space="preserve">UNIDAD              </t>
        </is>
      </c>
      <c r="I665" t="n">
        <v>52</v>
      </c>
      <c r="J665" t="n">
        <v>0</v>
      </c>
      <c r="K665" t="n">
        <v>0</v>
      </c>
      <c r="L665" t="n">
        <v>3</v>
      </c>
      <c r="M665" t="n">
        <v>3</v>
      </c>
      <c r="N665" t="n">
        <v>0</v>
      </c>
      <c r="O665" t="n">
        <v>46</v>
      </c>
      <c r="P665" s="96">
        <f>_xlfn.XLOOKUP(Tabla5[[#This Row],[EAN CORREGIDO]],'Tabla Articulos'!B:B,'Tabla Articulos'!D:D)</f>
        <v/>
      </c>
      <c r="Q665" s="96">
        <f>_xlfn.XLOOKUP(S665,'Tabla Articulos'!B:B,'Tabla Articulos'!E:E)</f>
        <v/>
      </c>
      <c r="R665" s="96">
        <f>O665*Q665</f>
        <v/>
      </c>
      <c r="S665" s="97">
        <f>TRIM(E665)</f>
        <v/>
      </c>
    </row>
    <row r="666" hidden="1">
      <c r="A666" s="22" t="n">
        <v>6</v>
      </c>
      <c r="B666" t="inlineStr">
        <is>
          <t xml:space="preserve">CDM03 - MORENO 3              </t>
        </is>
      </c>
      <c r="C666" t="inlineStr">
        <is>
          <t xml:space="preserve">GRUPO L.                      </t>
        </is>
      </c>
      <c r="E666" t="inlineStr">
        <is>
          <t xml:space="preserve">UNIF000209          </t>
        </is>
      </c>
      <c r="F666" t="n">
        <v>9003477</v>
      </c>
      <c r="G666" t="inlineStr">
        <is>
          <t xml:space="preserve">PANTAL CARG NEGRO AZ. 50 GL SUP    </t>
        </is>
      </c>
      <c r="H666" t="inlineStr">
        <is>
          <t xml:space="preserve">UNIDAD              </t>
        </is>
      </c>
      <c r="I666" t="n">
        <v>19</v>
      </c>
      <c r="J666" t="n">
        <v>0</v>
      </c>
      <c r="K666" t="n">
        <v>0</v>
      </c>
      <c r="L666" t="n">
        <v>2</v>
      </c>
      <c r="M666" t="n">
        <v>2</v>
      </c>
      <c r="N666" t="n">
        <v>0</v>
      </c>
      <c r="O666" t="n">
        <v>15</v>
      </c>
      <c r="P666" s="96">
        <f>_xlfn.XLOOKUP(Tabla5[[#This Row],[EAN CORREGIDO]],'Tabla Articulos'!B:B,'Tabla Articulos'!D:D)</f>
        <v/>
      </c>
      <c r="Q666" s="96">
        <f>_xlfn.XLOOKUP(S666,'Tabla Articulos'!B:B,'Tabla Articulos'!E:E)</f>
        <v/>
      </c>
      <c r="R666" s="96">
        <f>O666*Q666</f>
        <v/>
      </c>
      <c r="S666" s="97">
        <f>TRIM(E666)</f>
        <v/>
      </c>
    </row>
    <row r="667" hidden="1">
      <c r="A667" s="22" t="n">
        <v>1</v>
      </c>
      <c r="B667" t="inlineStr">
        <is>
          <t xml:space="preserve">CD MORENO                     </t>
        </is>
      </c>
      <c r="C667" t="inlineStr">
        <is>
          <t xml:space="preserve">GRUPO L.                      </t>
        </is>
      </c>
      <c r="D667" t="inlineStr">
        <is>
          <t>CHOCLO CONGELADO</t>
        </is>
      </c>
      <c r="E667" t="inlineStr">
        <is>
          <t xml:space="preserve">7797906001936       </t>
        </is>
      </c>
      <c r="F667" t="n">
        <v>4077587</v>
      </c>
      <c r="G667" t="inlineStr">
        <is>
          <t xml:space="preserve">CHOCLO CONGELADO MC CAIN BOLSA 2KG </t>
        </is>
      </c>
      <c r="H667" t="inlineStr">
        <is>
          <t xml:space="preserve">UNIDAD              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3</v>
      </c>
      <c r="P667" s="96">
        <f>_xlfn.XLOOKUP(Tabla5[[#This Row],[EAN CORREGIDO]],'Tabla Articulos'!B:B,'Tabla Articulos'!D:D)</f>
        <v/>
      </c>
      <c r="Q667" s="96">
        <f>_xlfn.XLOOKUP(S667,'Tabla Articulos'!B:B,'Tabla Articulos'!E:E)</f>
        <v/>
      </c>
      <c r="R667" s="96">
        <f>O667*Q667</f>
        <v/>
      </c>
      <c r="S667" s="97">
        <f>TRIM(E667)</f>
        <v/>
      </c>
    </row>
    <row r="668" hidden="1">
      <c r="A668" s="22" t="n">
        <v>1</v>
      </c>
      <c r="B668" t="inlineStr">
        <is>
          <t xml:space="preserve">CD MORENO                     </t>
        </is>
      </c>
      <c r="C668" t="inlineStr">
        <is>
          <t xml:space="preserve">GRUPO L.                      </t>
        </is>
      </c>
      <c r="D668" t="inlineStr">
        <is>
          <t>GELATINA CEREZA LIGHT</t>
        </is>
      </c>
      <c r="E668" t="inlineStr">
        <is>
          <t xml:space="preserve">7790971002211       </t>
        </is>
      </c>
      <c r="F668" t="n">
        <v>4076531</v>
      </c>
      <c r="G668" t="inlineStr">
        <is>
          <t xml:space="preserve">GELATINA DIET CEREZA RAVANA 25GR   </t>
        </is>
      </c>
      <c r="H668" t="inlineStr">
        <is>
          <t xml:space="preserve">UNIDAD              </t>
        </is>
      </c>
      <c r="I668" t="n">
        <v>340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340</v>
      </c>
      <c r="P668" s="96">
        <f>_xlfn.XLOOKUP(Tabla5[[#This Row],[EAN CORREGIDO]],'Tabla Articulos'!B:B,'Tabla Articulos'!D:D)</f>
        <v/>
      </c>
      <c r="Q668" s="96">
        <f>_xlfn.XLOOKUP(S668,'Tabla Articulos'!B:B,'Tabla Articulos'!E:E)</f>
        <v/>
      </c>
      <c r="R668" s="96">
        <f>O668*Q668</f>
        <v/>
      </c>
      <c r="S668" s="97">
        <f>TRIM(E668)</f>
        <v/>
      </c>
    </row>
    <row r="669" hidden="1">
      <c r="A669" s="22" t="n">
        <v>6</v>
      </c>
      <c r="B669" t="inlineStr">
        <is>
          <t xml:space="preserve">CDM03 - MORENO 3              </t>
        </is>
      </c>
      <c r="C669" t="inlineStr">
        <is>
          <t xml:space="preserve">GRUPO L.                      </t>
        </is>
      </c>
      <c r="E669" t="inlineStr">
        <is>
          <t xml:space="preserve">BAZ000883           </t>
        </is>
      </c>
      <c r="F669" t="n">
        <v>5002845</v>
      </c>
      <c r="G669" t="inlineStr">
        <is>
          <t xml:space="preserve">PALA PARA TORTA TRIAN AC INOX      </t>
        </is>
      </c>
      <c r="H669" t="inlineStr">
        <is>
          <t xml:space="preserve">UNIDAD              </t>
        </is>
      </c>
      <c r="I669" t="n">
        <v>114</v>
      </c>
      <c r="J669" t="n">
        <v>0</v>
      </c>
      <c r="K669" t="n">
        <v>0</v>
      </c>
      <c r="L669" t="n">
        <v>0</v>
      </c>
      <c r="M669" t="n">
        <v>7</v>
      </c>
      <c r="N669" t="n">
        <v>0</v>
      </c>
      <c r="O669" t="n">
        <v>107</v>
      </c>
      <c r="P669" s="96">
        <f>_xlfn.XLOOKUP(Tabla5[[#This Row],[EAN CORREGIDO]],'Tabla Articulos'!B:B,'Tabla Articulos'!D:D)</f>
        <v/>
      </c>
      <c r="Q669" s="96">
        <f>_xlfn.XLOOKUP(S669,'Tabla Articulos'!B:B,'Tabla Articulos'!E:E)</f>
        <v/>
      </c>
      <c r="R669" s="96">
        <f>O669*Q669</f>
        <v/>
      </c>
      <c r="S669" s="97">
        <f>TRIM(E669)</f>
        <v/>
      </c>
    </row>
    <row r="670" hidden="1">
      <c r="A670" s="22" t="n">
        <v>6</v>
      </c>
      <c r="B670" t="inlineStr">
        <is>
          <t xml:space="preserve">CDM03 - MORENO 3              </t>
        </is>
      </c>
      <c r="C670" t="inlineStr">
        <is>
          <t xml:space="preserve">GRUPO L.                      </t>
        </is>
      </c>
      <c r="D670" s="11" t="n"/>
      <c r="E670" t="inlineStr">
        <is>
          <t xml:space="preserve">UNIF000296          </t>
        </is>
      </c>
      <c r="F670" t="n">
        <v>9003346</v>
      </c>
      <c r="G670" t="inlineStr">
        <is>
          <t xml:space="preserve">CHOMBA PIQ A.FRANCIA B CAFE H M    </t>
        </is>
      </c>
      <c r="H670" t="inlineStr">
        <is>
          <t xml:space="preserve">UNIDAD              </t>
        </is>
      </c>
      <c r="I670" t="n">
        <v>15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15</v>
      </c>
      <c r="P670" s="96">
        <f>_xlfn.XLOOKUP(Tabla5[[#This Row],[EAN CORREGIDO]],'Tabla Articulos'!B:B,'Tabla Articulos'!D:D)</f>
        <v/>
      </c>
      <c r="Q670" s="96">
        <f>_xlfn.XLOOKUP(S670,'Tabla Articulos'!B:B,'Tabla Articulos'!E:E)</f>
        <v/>
      </c>
      <c r="R670" s="96">
        <f>O670*Q670</f>
        <v/>
      </c>
      <c r="S670" s="97">
        <f>TRIM(E670)</f>
        <v/>
      </c>
    </row>
    <row r="671" hidden="1">
      <c r="A671" s="22" t="n">
        <v>1</v>
      </c>
      <c r="B671" t="inlineStr">
        <is>
          <t xml:space="preserve">CD MORENO                     </t>
        </is>
      </c>
      <c r="C671" t="inlineStr">
        <is>
          <t xml:space="preserve">GRUPO L.                      </t>
        </is>
      </c>
      <c r="D671" s="11" t="inlineStr">
        <is>
          <t>MANTECA</t>
        </is>
      </c>
      <c r="E671" t="inlineStr">
        <is>
          <t xml:space="preserve">7798344910286       </t>
        </is>
      </c>
      <c r="F671" t="n">
        <v>4018275</v>
      </c>
      <c r="G671" t="inlineStr">
        <is>
          <t xml:space="preserve">MANTECA X200G SYS                  </t>
        </is>
      </c>
      <c r="H671" t="inlineStr">
        <is>
          <t xml:space="preserve">UNIDAD              </t>
        </is>
      </c>
      <c r="I671" t="n">
        <v>5415</v>
      </c>
      <c r="J671" t="n">
        <v>0</v>
      </c>
      <c r="K671" t="n">
        <v>0</v>
      </c>
      <c r="L671" t="n">
        <v>33</v>
      </c>
      <c r="M671" t="n">
        <v>33</v>
      </c>
      <c r="N671" t="n">
        <v>0</v>
      </c>
      <c r="O671" t="n">
        <v>5349</v>
      </c>
      <c r="P671" s="96">
        <f>_xlfn.XLOOKUP(Tabla5[[#This Row],[EAN CORREGIDO]],'Tabla Articulos'!B:B,'Tabla Articulos'!D:D)</f>
        <v/>
      </c>
      <c r="Q671" s="96">
        <f>_xlfn.XLOOKUP(S671,'Tabla Articulos'!B:B,'Tabla Articulos'!E:E)</f>
        <v/>
      </c>
      <c r="R671" s="96">
        <f>O671*Q671</f>
        <v/>
      </c>
      <c r="S671" s="97">
        <f>TRIM(E671)</f>
        <v/>
      </c>
    </row>
    <row r="672" hidden="1">
      <c r="A672" s="22" t="n">
        <v>6</v>
      </c>
      <c r="B672" t="inlineStr">
        <is>
          <t xml:space="preserve">CDM03 - MORENO 3              </t>
        </is>
      </c>
      <c r="C672" t="inlineStr">
        <is>
          <t xml:space="preserve">GRUPO L.                      </t>
        </is>
      </c>
      <c r="D672" t="inlineStr">
        <is>
          <t>PAPEL HIGIENICO</t>
        </is>
      </c>
      <c r="E672" t="inlineStr">
        <is>
          <t xml:space="preserve">7791268030252       </t>
        </is>
      </c>
      <c r="F672" t="n">
        <v>2016682</v>
      </c>
      <c r="G672" t="inlineStr">
        <is>
          <t xml:space="preserve">PAPEL HIG DH 2500MTX6U VALOT       </t>
        </is>
      </c>
      <c r="H672" t="inlineStr">
        <is>
          <t xml:space="preserve">UNIDAD              </t>
        </is>
      </c>
      <c r="I672" t="n">
        <v>90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90</v>
      </c>
      <c r="P672" s="96">
        <f>_xlfn.XLOOKUP(Tabla5[[#This Row],[EAN CORREGIDO]],'Tabla Articulos'!B:B,'Tabla Articulos'!D:D)</f>
        <v/>
      </c>
      <c r="Q672" s="96">
        <f>_xlfn.XLOOKUP(S672,'Tabla Articulos'!B:B,'Tabla Articulos'!E:E)</f>
        <v/>
      </c>
      <c r="R672" s="96">
        <f>O672*Q672</f>
        <v/>
      </c>
      <c r="S672" s="97">
        <f>TRIM(E672)</f>
        <v/>
      </c>
    </row>
    <row r="673" hidden="1">
      <c r="A673" s="22" t="n">
        <v>5</v>
      </c>
      <c r="B673" t="inlineStr">
        <is>
          <t xml:space="preserve">CDM02 - MORENO 2              </t>
        </is>
      </c>
      <c r="C673" t="inlineStr">
        <is>
          <t xml:space="preserve">GRUPO L.                      </t>
        </is>
      </c>
      <c r="D673" t="inlineStr">
        <is>
          <t>TE BOLDO</t>
        </is>
      </c>
      <c r="E673" t="inlineStr">
        <is>
          <t xml:space="preserve">7790387001419       </t>
        </is>
      </c>
      <c r="F673" t="n">
        <v>4023362</v>
      </c>
      <c r="G673" t="inlineStr">
        <is>
          <t xml:space="preserve">TE EN SOB BOLDO X20UN TARAGUI      </t>
        </is>
      </c>
      <c r="H673" t="inlineStr">
        <is>
          <t xml:space="preserve">UNIDAD              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4</v>
      </c>
      <c r="P673" s="96">
        <f>_xlfn.XLOOKUP(Tabla5[[#This Row],[EAN CORREGIDO]],'Tabla Articulos'!B:B,'Tabla Articulos'!D:D)</f>
        <v/>
      </c>
      <c r="Q673" s="96">
        <f>_xlfn.XLOOKUP(S673,'Tabla Articulos'!B:B,'Tabla Articulos'!E:E)</f>
        <v/>
      </c>
      <c r="R673" s="96">
        <f>O673*Q673</f>
        <v/>
      </c>
      <c r="S673" s="97">
        <f>TRIM(E673)</f>
        <v/>
      </c>
    </row>
    <row r="674" hidden="1">
      <c r="A674" s="22" t="n">
        <v>1</v>
      </c>
      <c r="B674" t="inlineStr">
        <is>
          <t xml:space="preserve">CD MORENO                     </t>
        </is>
      </c>
      <c r="C674" t="inlineStr">
        <is>
          <t xml:space="preserve">GRUPO L.                      </t>
        </is>
      </c>
      <c r="D674" t="inlineStr">
        <is>
          <t>TE BOLDO</t>
        </is>
      </c>
      <c r="E674" t="inlineStr">
        <is>
          <t xml:space="preserve">7790387001419       </t>
        </is>
      </c>
      <c r="F674" t="n">
        <v>4023362</v>
      </c>
      <c r="G674" t="inlineStr">
        <is>
          <t xml:space="preserve">TE EN SOB BOLDO X20UN TARAGUI      </t>
        </is>
      </c>
      <c r="H674" t="inlineStr">
        <is>
          <t xml:space="preserve">UNIDAD              </t>
        </is>
      </c>
      <c r="I674" t="n">
        <v>50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50</v>
      </c>
      <c r="P674" s="96">
        <f>_xlfn.XLOOKUP(Tabla5[[#This Row],[EAN CORREGIDO]],'Tabla Articulos'!B:B,'Tabla Articulos'!D:D)</f>
        <v/>
      </c>
      <c r="Q674" s="96">
        <f>_xlfn.XLOOKUP(S674,'Tabla Articulos'!B:B,'Tabla Articulos'!E:E)</f>
        <v/>
      </c>
      <c r="R674" s="96">
        <f>O674*Q674</f>
        <v/>
      </c>
      <c r="S674" s="97">
        <f>TRIM(E674)</f>
        <v/>
      </c>
    </row>
    <row r="675" hidden="1">
      <c r="A675" s="22" t="n">
        <v>6</v>
      </c>
      <c r="B675" t="inlineStr">
        <is>
          <t xml:space="preserve">CDM03 - MORENO 3              </t>
        </is>
      </c>
      <c r="C675" t="inlineStr">
        <is>
          <t xml:space="preserve">GRUPO L.                      </t>
        </is>
      </c>
      <c r="D675" t="inlineStr">
        <is>
          <t>SERVILLETA DESC C/LOGO</t>
        </is>
      </c>
      <c r="E675" t="inlineStr">
        <is>
          <t xml:space="preserve">7790000000705       </t>
        </is>
      </c>
      <c r="F675" t="n">
        <v>2016496</v>
      </c>
      <c r="G675" t="inlineStr">
        <is>
          <t xml:space="preserve">SERVILLETA 33X21.5 C.GOURMET X1000 </t>
        </is>
      </c>
      <c r="H675" t="inlineStr">
        <is>
          <t xml:space="preserve">UNIDAD              </t>
        </is>
      </c>
      <c r="I675" t="n">
        <v>94</v>
      </c>
      <c r="J675" t="n">
        <v>52</v>
      </c>
      <c r="K675" t="n">
        <v>0</v>
      </c>
      <c r="L675" t="n">
        <v>0</v>
      </c>
      <c r="M675" t="n">
        <v>0</v>
      </c>
      <c r="N675" t="n">
        <v>0</v>
      </c>
      <c r="O675" t="n">
        <v>146</v>
      </c>
      <c r="P675" s="96">
        <f>_xlfn.XLOOKUP(Tabla5[[#This Row],[EAN CORREGIDO]],'Tabla Articulos'!B:B,'Tabla Articulos'!D:D)</f>
        <v/>
      </c>
      <c r="Q675" s="96">
        <f>_xlfn.XLOOKUP(S675,'Tabla Articulos'!B:B,'Tabla Articulos'!E:E)</f>
        <v/>
      </c>
      <c r="R675" s="96">
        <f>O675*Q675</f>
        <v/>
      </c>
      <c r="S675" s="97">
        <f>TRIM(E675)</f>
        <v/>
      </c>
    </row>
    <row r="676" hidden="1">
      <c r="A676" s="22" t="n">
        <v>1</v>
      </c>
      <c r="B676" t="inlineStr">
        <is>
          <t xml:space="preserve">CD MORENO                     </t>
        </is>
      </c>
      <c r="C676" t="inlineStr">
        <is>
          <t xml:space="preserve">GRUPO L.                      </t>
        </is>
      </c>
      <c r="D676" s="11" t="inlineStr">
        <is>
          <t>TE SAQUITO</t>
        </is>
      </c>
      <c r="E676" t="inlineStr">
        <is>
          <t xml:space="preserve">7798028020515       </t>
        </is>
      </c>
      <c r="F676" t="n">
        <v>4020349</v>
      </c>
      <c r="G676" t="inlineStr">
        <is>
          <t xml:space="preserve">TE SAQUITO X 25U LA POSADEÑA       </t>
        </is>
      </c>
      <c r="H676" t="inlineStr">
        <is>
          <t xml:space="preserve">UNIDAD              </t>
        </is>
      </c>
      <c r="I676" t="n">
        <v>24286</v>
      </c>
      <c r="J676" t="n">
        <v>0</v>
      </c>
      <c r="K676" t="n">
        <v>0</v>
      </c>
      <c r="L676" t="n">
        <v>508</v>
      </c>
      <c r="M676" t="n">
        <v>508</v>
      </c>
      <c r="N676" t="n">
        <v>0</v>
      </c>
      <c r="O676" t="n">
        <v>23270</v>
      </c>
      <c r="P676" s="96">
        <f>_xlfn.XLOOKUP(Tabla5[[#This Row],[EAN CORREGIDO]],'Tabla Articulos'!B:B,'Tabla Articulos'!D:D)</f>
        <v/>
      </c>
      <c r="Q676" s="96">
        <f>_xlfn.XLOOKUP(S676,'Tabla Articulos'!B:B,'Tabla Articulos'!E:E)</f>
        <v/>
      </c>
      <c r="R676" s="96">
        <f>O676*Q676</f>
        <v/>
      </c>
      <c r="S676" s="97">
        <f>TRIM(E676)</f>
        <v/>
      </c>
    </row>
    <row r="677" hidden="1">
      <c r="A677" s="22" t="n">
        <v>6</v>
      </c>
      <c r="B677" t="inlineStr">
        <is>
          <t xml:space="preserve">CDM03 - MORENO 3              </t>
        </is>
      </c>
      <c r="C677" t="inlineStr">
        <is>
          <t xml:space="preserve">GRUPO L.                      </t>
        </is>
      </c>
      <c r="D677" s="11" t="inlineStr">
        <is>
          <t xml:space="preserve">BOBINA </t>
        </is>
      </c>
      <c r="E677" t="inlineStr">
        <is>
          <t xml:space="preserve">7790042181189       </t>
        </is>
      </c>
      <c r="F677" t="n">
        <v>2006281</v>
      </c>
      <c r="G677" t="inlineStr">
        <is>
          <t xml:space="preserve">ROLLO BOBINA FILM X35BOPPXU        </t>
        </is>
      </c>
      <c r="H677" t="inlineStr">
        <is>
          <t xml:space="preserve">UNIDAD              </t>
        </is>
      </c>
      <c r="I677" t="n">
        <v>10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10</v>
      </c>
      <c r="P677" s="96">
        <f>_xlfn.XLOOKUP(Tabla5[[#This Row],[EAN CORREGIDO]],'Tabla Articulos'!B:B,'Tabla Articulos'!D:D)</f>
        <v/>
      </c>
      <c r="Q677" s="96">
        <f>_xlfn.XLOOKUP(S677,'Tabla Articulos'!B:B,'Tabla Articulos'!E:E)</f>
        <v/>
      </c>
      <c r="R677" s="96">
        <f>O677*Q677</f>
        <v/>
      </c>
      <c r="S677" s="97">
        <f>TRIM(E677)</f>
        <v/>
      </c>
    </row>
    <row r="678" hidden="1">
      <c r="A678" s="22" t="n">
        <v>6</v>
      </c>
      <c r="B678" t="inlineStr">
        <is>
          <t xml:space="preserve">CDM03 - MORENO 3              </t>
        </is>
      </c>
      <c r="C678" t="inlineStr">
        <is>
          <t xml:space="preserve">GRUPO L.                      </t>
        </is>
      </c>
      <c r="D678" s="11" t="inlineStr">
        <is>
          <t>SECADORES PISO</t>
        </is>
      </c>
      <c r="E678" t="inlineStr">
        <is>
          <t xml:space="preserve">LIM000325           </t>
        </is>
      </c>
      <c r="F678" t="n">
        <v>2006357</v>
      </c>
      <c r="G678" t="inlineStr">
        <is>
          <t xml:space="preserve">SECADOR DE PISO X 1 MT             </t>
        </is>
      </c>
      <c r="H678" t="inlineStr">
        <is>
          <t xml:space="preserve">UNIDAD              </t>
        </is>
      </c>
      <c r="I678" t="n">
        <v>60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60</v>
      </c>
      <c r="P678" s="96">
        <f>_xlfn.XLOOKUP(Tabla5[[#This Row],[EAN CORREGIDO]],'Tabla Articulos'!B:B,'Tabla Articulos'!D:D)</f>
        <v/>
      </c>
      <c r="Q678" s="96">
        <f>_xlfn.XLOOKUP(S678,'Tabla Articulos'!B:B,'Tabla Articulos'!E:E)</f>
        <v/>
      </c>
      <c r="R678" s="96">
        <f>O678*Q678</f>
        <v/>
      </c>
      <c r="S678" s="97">
        <f>TRIM(E678)</f>
        <v/>
      </c>
    </row>
    <row r="679" hidden="1">
      <c r="A679" s="22" t="n">
        <v>1</v>
      </c>
      <c r="B679" t="inlineStr">
        <is>
          <t xml:space="preserve">CD MORENO                     </t>
        </is>
      </c>
      <c r="C679" t="inlineStr">
        <is>
          <t xml:space="preserve">GRUPO L.                      </t>
        </is>
      </c>
      <c r="D679" t="inlineStr">
        <is>
          <t>GELATINA CEREZA LIGHT</t>
        </is>
      </c>
      <c r="E679" t="inlineStr">
        <is>
          <t xml:space="preserve">7791113001895       </t>
        </is>
      </c>
      <c r="F679" t="n">
        <v>4019797</v>
      </c>
      <c r="G679" t="inlineStr">
        <is>
          <t xml:space="preserve">GELATINA CEREZA LIGHT X25G EME     </t>
        </is>
      </c>
      <c r="H679" t="inlineStr">
        <is>
          <t xml:space="preserve">UNIDAD              </t>
        </is>
      </c>
      <c r="I679" t="n">
        <v>2005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2005</v>
      </c>
      <c r="P679" s="96">
        <f>_xlfn.XLOOKUP(Tabla5[[#This Row],[EAN CORREGIDO]],'Tabla Articulos'!B:B,'Tabla Articulos'!D:D)</f>
        <v/>
      </c>
      <c r="Q679" s="96">
        <f>_xlfn.XLOOKUP(S679,'Tabla Articulos'!B:B,'Tabla Articulos'!E:E)</f>
        <v/>
      </c>
      <c r="R679" s="96">
        <f>O679*Q679</f>
        <v/>
      </c>
      <c r="S679" s="97">
        <f>TRIM(E679)</f>
        <v/>
      </c>
    </row>
    <row r="680" hidden="1">
      <c r="A680" s="22" t="n">
        <v>5</v>
      </c>
      <c r="B680" t="inlineStr">
        <is>
          <t xml:space="preserve">CDM02 - MORENO 2              </t>
        </is>
      </c>
      <c r="C680" t="inlineStr">
        <is>
          <t xml:space="preserve">GRUPO L.                      </t>
        </is>
      </c>
      <c r="D680" t="inlineStr">
        <is>
          <t>POROTO NEGRO</t>
        </is>
      </c>
      <c r="E680" t="inlineStr">
        <is>
          <t xml:space="preserve">7790279000209       </t>
        </is>
      </c>
      <c r="F680" t="n">
        <v>4022558</v>
      </c>
      <c r="G680" t="inlineStr">
        <is>
          <t xml:space="preserve">POROTO NEGRO x 500 G RAMONEDA      </t>
        </is>
      </c>
      <c r="H680" t="inlineStr">
        <is>
          <t xml:space="preserve">UNIDAD              </t>
        </is>
      </c>
      <c r="I680" t="n">
        <v>85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85</v>
      </c>
      <c r="P680" s="96">
        <f>_xlfn.XLOOKUP(Tabla5[[#This Row],[EAN CORREGIDO]],'Tabla Articulos'!B:B,'Tabla Articulos'!D:D)</f>
        <v/>
      </c>
      <c r="Q680" s="96">
        <f>_xlfn.XLOOKUP(S680,'Tabla Articulos'!B:B,'Tabla Articulos'!E:E)</f>
        <v/>
      </c>
      <c r="R680" s="96">
        <f>O680*Q680</f>
        <v/>
      </c>
      <c r="S680" s="97">
        <f>TRIM(E680)</f>
        <v/>
      </c>
    </row>
    <row r="681" hidden="1">
      <c r="A681" s="22" t="n">
        <v>1</v>
      </c>
      <c r="B681" t="inlineStr">
        <is>
          <t xml:space="preserve">CD MORENO                     </t>
        </is>
      </c>
      <c r="C681" t="inlineStr">
        <is>
          <t xml:space="preserve">GRUPO L.                      </t>
        </is>
      </c>
      <c r="D681" t="inlineStr">
        <is>
          <t>PANADERIA CONGELADA</t>
        </is>
      </c>
      <c r="E681" t="inlineStr">
        <is>
          <t xml:space="preserve">7798041132481       </t>
        </is>
      </c>
      <c r="F681" t="n">
        <v>4018459</v>
      </c>
      <c r="G681" t="inlineStr">
        <is>
          <t>MARQUISE DDL/MERENGUE 9X200G SELYGE</t>
        </is>
      </c>
      <c r="H681" t="inlineStr">
        <is>
          <t xml:space="preserve">UNIDAD              </t>
        </is>
      </c>
      <c r="I681" t="n">
        <v>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6</v>
      </c>
      <c r="P681" s="96">
        <f>_xlfn.XLOOKUP(Tabla5[[#This Row],[EAN CORREGIDO]],'Tabla Articulos'!B:B,'Tabla Articulos'!D:D)</f>
        <v/>
      </c>
      <c r="Q681" s="96">
        <f>_xlfn.XLOOKUP(S681,'Tabla Articulos'!B:B,'Tabla Articulos'!E:E)</f>
        <v/>
      </c>
      <c r="R681" s="96">
        <f>O681*Q681</f>
        <v/>
      </c>
      <c r="S681" s="97">
        <f>TRIM(E681)</f>
        <v/>
      </c>
    </row>
    <row r="682" hidden="1">
      <c r="A682" s="22" t="n">
        <v>6</v>
      </c>
      <c r="B682" t="inlineStr">
        <is>
          <t xml:space="preserve">CDM03 - MORENO 3              </t>
        </is>
      </c>
      <c r="C682" t="inlineStr">
        <is>
          <t xml:space="preserve">GRUPO L.                      </t>
        </is>
      </c>
      <c r="E682" t="inlineStr">
        <is>
          <t xml:space="preserve">UNIF000324          </t>
        </is>
      </c>
      <c r="F682" t="n">
        <v>9003198</v>
      </c>
      <c r="G682" t="inlineStr">
        <is>
          <t xml:space="preserve">REMERA CUELLO RED BLAN NUTRI M     </t>
        </is>
      </c>
      <c r="H682" t="inlineStr">
        <is>
          <t xml:space="preserve">UNIDAD              </t>
        </is>
      </c>
      <c r="I682" t="n">
        <v>39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39</v>
      </c>
      <c r="P682" s="96">
        <f>_xlfn.XLOOKUP(Tabla5[[#This Row],[EAN CORREGIDO]],'Tabla Articulos'!B:B,'Tabla Articulos'!D:D)</f>
        <v/>
      </c>
      <c r="Q682" s="96">
        <f>_xlfn.XLOOKUP(S682,'Tabla Articulos'!B:B,'Tabla Articulos'!E:E)</f>
        <v/>
      </c>
      <c r="R682" s="96">
        <f>O682*Q682</f>
        <v/>
      </c>
      <c r="S682" s="97">
        <f>TRIM(E682)</f>
        <v/>
      </c>
    </row>
    <row r="683" hidden="1">
      <c r="A683" s="22" t="n">
        <v>5</v>
      </c>
      <c r="B683" t="inlineStr">
        <is>
          <t xml:space="preserve">CDM02 - MORENO 2              </t>
        </is>
      </c>
      <c r="C683" t="inlineStr">
        <is>
          <t xml:space="preserve">GRUPO L.                      </t>
        </is>
      </c>
      <c r="D683" s="11" t="inlineStr">
        <is>
          <t>AZUCAR INDIV</t>
        </is>
      </c>
      <c r="E683" t="inlineStr">
        <is>
          <t xml:space="preserve">7798011976850       </t>
        </is>
      </c>
      <c r="F683" t="n">
        <v>4023904</v>
      </c>
      <c r="G683" t="inlineStr">
        <is>
          <t xml:space="preserve">AZUCAR INDIV 5GR X 1000U ABEDUL    </t>
        </is>
      </c>
      <c r="H683" t="inlineStr">
        <is>
          <t xml:space="preserve">UNIDAD              </t>
        </is>
      </c>
      <c r="I683" t="n">
        <v>206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206</v>
      </c>
      <c r="P683" s="96">
        <f>_xlfn.XLOOKUP(Tabla5[[#This Row],[EAN CORREGIDO]],'Tabla Articulos'!B:B,'Tabla Articulos'!D:D)</f>
        <v/>
      </c>
      <c r="Q683" s="96">
        <f>_xlfn.XLOOKUP(S683,'Tabla Articulos'!B:B,'Tabla Articulos'!E:E)</f>
        <v/>
      </c>
      <c r="R683" s="96">
        <f>O683*Q683</f>
        <v/>
      </c>
      <c r="S683" s="97">
        <f>TRIM(E683)</f>
        <v/>
      </c>
    </row>
    <row r="684" hidden="1">
      <c r="A684" s="22" t="n">
        <v>6</v>
      </c>
      <c r="B684" t="inlineStr">
        <is>
          <t xml:space="preserve">CDM03 - MORENO 3              </t>
        </is>
      </c>
      <c r="C684" t="inlineStr">
        <is>
          <t xml:space="preserve">GRUPO L.                      </t>
        </is>
      </c>
      <c r="D684" t="inlineStr">
        <is>
          <t>BOLSA MICROPERF</t>
        </is>
      </c>
      <c r="E684" t="inlineStr">
        <is>
          <t xml:space="preserve">LIM000225           </t>
        </is>
      </c>
      <c r="F684" t="n">
        <v>2006490</v>
      </c>
      <c r="G684" t="inlineStr">
        <is>
          <t xml:space="preserve">BOLSA MICROPERFORADA 60X90 X U	    </t>
        </is>
      </c>
      <c r="H684" t="inlineStr">
        <is>
          <t xml:space="preserve">UNIDAD              </t>
        </is>
      </c>
      <c r="I684" t="n">
        <v>48700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48700</v>
      </c>
      <c r="P684" s="96">
        <f>_xlfn.XLOOKUP(Tabla5[[#This Row],[EAN CORREGIDO]],'Tabla Articulos'!B:B,'Tabla Articulos'!D:D)</f>
        <v/>
      </c>
      <c r="Q684" s="96">
        <f>_xlfn.XLOOKUP(S684,'Tabla Articulos'!B:B,'Tabla Articulos'!E:E)</f>
        <v/>
      </c>
      <c r="R684" s="96">
        <f>O684*Q684</f>
        <v/>
      </c>
      <c r="S684" s="97">
        <f>TRIM(E684)</f>
        <v/>
      </c>
    </row>
    <row r="685" hidden="1">
      <c r="A685" s="22" t="n">
        <v>6</v>
      </c>
      <c r="B685" t="inlineStr">
        <is>
          <t xml:space="preserve">CDM03 - MORENO 3              </t>
        </is>
      </c>
      <c r="C685" t="inlineStr">
        <is>
          <t xml:space="preserve">GRUPO L.                      </t>
        </is>
      </c>
      <c r="E685" t="inlineStr">
        <is>
          <t xml:space="preserve">BAZ001183           </t>
        </is>
      </c>
      <c r="F685" t="n">
        <v>9003811</v>
      </c>
      <c r="G685" t="inlineStr">
        <is>
          <t xml:space="preserve">CUBA GAST INOX 1/3 325/175/100     </t>
        </is>
      </c>
      <c r="H685" t="inlineStr">
        <is>
          <t xml:space="preserve">UNIDAD              </t>
        </is>
      </c>
      <c r="I685" t="n">
        <v>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8</v>
      </c>
      <c r="P685" s="96">
        <f>_xlfn.XLOOKUP(Tabla5[[#This Row],[EAN CORREGIDO]],'Tabla Articulos'!B:B,'Tabla Articulos'!D:D)</f>
        <v/>
      </c>
      <c r="Q685" s="96">
        <f>_xlfn.XLOOKUP(S685,'Tabla Articulos'!B:B,'Tabla Articulos'!E:E)</f>
        <v/>
      </c>
      <c r="R685" s="96">
        <f>O685*Q685</f>
        <v/>
      </c>
      <c r="S685" s="97">
        <f>TRIM(E685)</f>
        <v/>
      </c>
    </row>
    <row r="686" hidden="1">
      <c r="A686" s="22" t="n">
        <v>1</v>
      </c>
      <c r="B686" t="inlineStr">
        <is>
          <t xml:space="preserve">CD MORENO                     </t>
        </is>
      </c>
      <c r="C686" t="inlineStr">
        <is>
          <t xml:space="preserve">GRUPO L.                      </t>
        </is>
      </c>
      <c r="D686" s="11" t="inlineStr">
        <is>
          <t>POSTRE DE MANI</t>
        </is>
      </c>
      <c r="E686" t="inlineStr">
        <is>
          <t xml:space="preserve">7792860005655       </t>
        </is>
      </c>
      <c r="F686" t="n">
        <v>4021205</v>
      </c>
      <c r="G686" t="inlineStr">
        <is>
          <t xml:space="preserve">POSTRE DE MANI X110GR LHERITIER    </t>
        </is>
      </c>
      <c r="H686" t="inlineStr">
        <is>
          <t xml:space="preserve">UNIDAD              </t>
        </is>
      </c>
      <c r="I686" t="n">
        <v>275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275</v>
      </c>
      <c r="P686" s="96">
        <f>_xlfn.XLOOKUP(Tabla5[[#This Row],[EAN CORREGIDO]],'Tabla Articulos'!B:B,'Tabla Articulos'!D:D)</f>
        <v/>
      </c>
      <c r="Q686" s="96">
        <f>_xlfn.XLOOKUP(S686,'Tabla Articulos'!B:B,'Tabla Articulos'!E:E)</f>
        <v/>
      </c>
      <c r="R686" s="96">
        <f>O686*Q686</f>
        <v/>
      </c>
      <c r="S686" s="97">
        <f>TRIM(E686)</f>
        <v/>
      </c>
    </row>
    <row r="687" hidden="1">
      <c r="A687" s="22" t="n">
        <v>6</v>
      </c>
      <c r="B687" t="inlineStr">
        <is>
          <t xml:space="preserve">CDM03 - MORENO 3              </t>
        </is>
      </c>
      <c r="C687" t="inlineStr">
        <is>
          <t xml:space="preserve">GRUPO L.                      </t>
        </is>
      </c>
      <c r="E687" t="inlineStr">
        <is>
          <t xml:space="preserve">UNIF000523          </t>
        </is>
      </c>
      <c r="F687" t="n">
        <v>9003402</v>
      </c>
      <c r="G687" t="inlineStr">
        <is>
          <t xml:space="preserve">CONJUNTO PRIMERA PIEL XL S.LOG     </t>
        </is>
      </c>
      <c r="H687" t="inlineStr">
        <is>
          <t xml:space="preserve">UNIDAD              </t>
        </is>
      </c>
      <c r="I687" t="n">
        <v>120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120</v>
      </c>
      <c r="P687" s="96">
        <f>_xlfn.XLOOKUP(Tabla5[[#This Row],[EAN CORREGIDO]],'Tabla Articulos'!B:B,'Tabla Articulos'!D:D)</f>
        <v/>
      </c>
      <c r="Q687" s="96">
        <f>_xlfn.XLOOKUP(S687,'Tabla Articulos'!B:B,'Tabla Articulos'!E:E)</f>
        <v/>
      </c>
      <c r="R687" s="96">
        <f>O687*Q687</f>
        <v/>
      </c>
      <c r="S687" s="97">
        <f>TRIM(E687)</f>
        <v/>
      </c>
    </row>
    <row r="688" hidden="1">
      <c r="A688" s="22" t="n">
        <v>6</v>
      </c>
      <c r="B688" t="inlineStr">
        <is>
          <t xml:space="preserve">CDM03 - MORENO 3              </t>
        </is>
      </c>
      <c r="C688" t="inlineStr">
        <is>
          <t xml:space="preserve">GRUPO L.                      </t>
        </is>
      </c>
      <c r="E688" t="inlineStr">
        <is>
          <t xml:space="preserve">UNIF000130          </t>
        </is>
      </c>
      <c r="F688" t="n">
        <v>9003066</v>
      </c>
      <c r="G688" t="inlineStr">
        <is>
          <t xml:space="preserve">AMBO GRIS GL SUPPORT ESC V XL      </t>
        </is>
      </c>
      <c r="H688" t="inlineStr">
        <is>
          <t xml:space="preserve">UNIDAD              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3</v>
      </c>
      <c r="P688" s="96">
        <f>_xlfn.XLOOKUP(Tabla5[[#This Row],[EAN CORREGIDO]],'Tabla Articulos'!B:B,'Tabla Articulos'!D:D)</f>
        <v/>
      </c>
      <c r="Q688" s="96">
        <f>_xlfn.XLOOKUP(S688,'Tabla Articulos'!B:B,'Tabla Articulos'!E:E)</f>
        <v/>
      </c>
      <c r="R688" s="96">
        <f>O688*Q688</f>
        <v/>
      </c>
      <c r="S688" s="97">
        <f>TRIM(E688)</f>
        <v/>
      </c>
    </row>
    <row r="689" hidden="1">
      <c r="A689" s="22" t="n">
        <v>6</v>
      </c>
      <c r="B689" t="inlineStr">
        <is>
          <t xml:space="preserve">CDM03 - MORENO 3              </t>
        </is>
      </c>
      <c r="C689" t="inlineStr">
        <is>
          <t xml:space="preserve">GRUPO L.                      </t>
        </is>
      </c>
      <c r="D689" s="11" t="inlineStr">
        <is>
          <t>TAPA ALUMINIO R5</t>
        </is>
      </c>
      <c r="E689" t="inlineStr">
        <is>
          <t xml:space="preserve">7790321020306       </t>
        </is>
      </c>
      <c r="F689" t="n">
        <v>2006827</v>
      </c>
      <c r="G689" t="inlineStr">
        <is>
          <t xml:space="preserve">TAPA ALUMINIO R5/F2100 X 600U	     </t>
        </is>
      </c>
      <c r="H689" t="inlineStr">
        <is>
          <t xml:space="preserve">UNIDAD              </t>
        </is>
      </c>
      <c r="I689" t="n">
        <v>55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55</v>
      </c>
      <c r="P689" s="96">
        <f>_xlfn.XLOOKUP(Tabla5[[#This Row],[EAN CORREGIDO]],'Tabla Articulos'!B:B,'Tabla Articulos'!D:D)</f>
        <v/>
      </c>
      <c r="Q689" s="96">
        <f>_xlfn.XLOOKUP(S689,'Tabla Articulos'!B:B,'Tabla Articulos'!E:E)</f>
        <v/>
      </c>
      <c r="R689" s="96">
        <f>O689*Q689</f>
        <v/>
      </c>
      <c r="S689" s="97">
        <f>TRIM(E689)</f>
        <v/>
      </c>
    </row>
    <row r="690" hidden="1">
      <c r="A690" s="22" t="n">
        <v>1</v>
      </c>
      <c r="B690" t="inlineStr">
        <is>
          <t xml:space="preserve">CD MORENO                     </t>
        </is>
      </c>
      <c r="C690" t="inlineStr">
        <is>
          <t xml:space="preserve">GRUPO L.                      </t>
        </is>
      </c>
      <c r="D690" s="11" t="inlineStr">
        <is>
          <t>PANADERIA CONGELADA</t>
        </is>
      </c>
      <c r="E690" t="inlineStr">
        <is>
          <t xml:space="preserve">17792180005950      </t>
        </is>
      </c>
      <c r="F690" t="n">
        <v>4077144</v>
      </c>
      <c r="G690" t="inlineStr">
        <is>
          <t xml:space="preserve">PANAL MEMBR CONG 50GX72U CANUELAS  </t>
        </is>
      </c>
      <c r="H690" t="inlineStr">
        <is>
          <t xml:space="preserve">UNIDAD              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3</v>
      </c>
      <c r="P690" s="96">
        <f>_xlfn.XLOOKUP(Tabla5[[#This Row],[EAN CORREGIDO]],'Tabla Articulos'!B:B,'Tabla Articulos'!D:D)</f>
        <v/>
      </c>
      <c r="Q690" s="96">
        <f>_xlfn.XLOOKUP(S690,'Tabla Articulos'!B:B,'Tabla Articulos'!E:E)</f>
        <v/>
      </c>
      <c r="R690" s="96">
        <f>O690*Q690</f>
        <v/>
      </c>
      <c r="S690" s="97">
        <f>TRIM(E690)</f>
        <v/>
      </c>
    </row>
    <row r="691" hidden="1">
      <c r="A691" s="22" t="n">
        <v>6</v>
      </c>
      <c r="B691" t="inlineStr">
        <is>
          <t xml:space="preserve">CDM03 - MORENO 3              </t>
        </is>
      </c>
      <c r="C691" t="inlineStr">
        <is>
          <t xml:space="preserve">GRUPO L.                      </t>
        </is>
      </c>
      <c r="E691" t="inlineStr">
        <is>
          <t xml:space="preserve">UNIF000424          </t>
        </is>
      </c>
      <c r="F691" t="n">
        <v>9003267</v>
      </c>
      <c r="G691" t="inlineStr">
        <is>
          <t xml:space="preserve">CAMISA GRAFA-AZUL MARINO 52 ELEV   </t>
        </is>
      </c>
      <c r="H691" t="inlineStr">
        <is>
          <t xml:space="preserve">UNIDAD              </t>
        </is>
      </c>
      <c r="I691" t="n">
        <v>119</v>
      </c>
      <c r="J691" t="n">
        <v>0</v>
      </c>
      <c r="K691" t="n">
        <v>0</v>
      </c>
      <c r="L691" t="n">
        <v>1</v>
      </c>
      <c r="M691" t="n">
        <v>1</v>
      </c>
      <c r="N691" t="n">
        <v>0</v>
      </c>
      <c r="O691" t="n">
        <v>117</v>
      </c>
      <c r="P691" s="96">
        <f>_xlfn.XLOOKUP(Tabla5[[#This Row],[EAN CORREGIDO]],'Tabla Articulos'!B:B,'Tabla Articulos'!D:D)</f>
        <v/>
      </c>
      <c r="Q691" s="96">
        <f>_xlfn.XLOOKUP(S691,'Tabla Articulos'!B:B,'Tabla Articulos'!E:E)</f>
        <v/>
      </c>
      <c r="R691" s="96">
        <f>O691*Q691</f>
        <v/>
      </c>
      <c r="S691" s="97">
        <f>TRIM(E691)</f>
        <v/>
      </c>
    </row>
    <row r="692" hidden="1">
      <c r="A692" s="22" t="n">
        <v>1</v>
      </c>
      <c r="B692" t="inlineStr">
        <is>
          <t xml:space="preserve">CD MORENO                     </t>
        </is>
      </c>
      <c r="C692" t="inlineStr">
        <is>
          <t xml:space="preserve">GRUPO L.                      </t>
        </is>
      </c>
      <c r="D692" t="inlineStr">
        <is>
          <t>GELATINA S/SABOR</t>
        </is>
      </c>
      <c r="E692" t="inlineStr">
        <is>
          <t xml:space="preserve">7790971001139       </t>
        </is>
      </c>
      <c r="F692" t="n">
        <v>4020649</v>
      </c>
      <c r="G692" t="inlineStr">
        <is>
          <t xml:space="preserve">GELATINA S/SABOR x 500gr ORLOC     </t>
        </is>
      </c>
      <c r="H692" t="inlineStr">
        <is>
          <t xml:space="preserve">UNIDAD              </t>
        </is>
      </c>
      <c r="I692" t="n">
        <v>100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100</v>
      </c>
      <c r="P692" s="96">
        <f>_xlfn.XLOOKUP(Tabla5[[#This Row],[EAN CORREGIDO]],'Tabla Articulos'!B:B,'Tabla Articulos'!D:D)</f>
        <v/>
      </c>
      <c r="Q692" s="96">
        <f>_xlfn.XLOOKUP(S692,'Tabla Articulos'!B:B,'Tabla Articulos'!E:E)</f>
        <v/>
      </c>
      <c r="R692" s="96">
        <f>O692*Q692</f>
        <v/>
      </c>
      <c r="S692" s="97">
        <f>TRIM(E692)</f>
        <v/>
      </c>
    </row>
    <row r="693" hidden="1">
      <c r="A693" s="22" t="n">
        <v>1</v>
      </c>
      <c r="B693" t="inlineStr">
        <is>
          <t xml:space="preserve">CD MORENO                     </t>
        </is>
      </c>
      <c r="C693" t="inlineStr">
        <is>
          <t xml:space="preserve">GRUPO L.                      </t>
        </is>
      </c>
      <c r="D693" s="11" t="inlineStr">
        <is>
          <t>PROVENZAL</t>
        </is>
      </c>
      <c r="E693" t="inlineStr">
        <is>
          <t xml:space="preserve">7793875360296       </t>
        </is>
      </c>
      <c r="F693" t="n">
        <v>4020760</v>
      </c>
      <c r="G693" t="inlineStr">
        <is>
          <t xml:space="preserve">PROVENZAL X 1KGS AROMAS Y SABORES  </t>
        </is>
      </c>
      <c r="H693" t="inlineStr">
        <is>
          <t xml:space="preserve">UNIDAD              </t>
        </is>
      </c>
      <c r="I693" t="n">
        <v>547</v>
      </c>
      <c r="J693" t="n">
        <v>0</v>
      </c>
      <c r="K693" t="n">
        <v>0</v>
      </c>
      <c r="L693" t="n">
        <v>2</v>
      </c>
      <c r="M693" t="n">
        <v>2</v>
      </c>
      <c r="N693" t="n">
        <v>0</v>
      </c>
      <c r="O693" t="n">
        <v>543</v>
      </c>
      <c r="P693" s="96">
        <f>_xlfn.XLOOKUP(Tabla5[[#This Row],[EAN CORREGIDO]],'Tabla Articulos'!B:B,'Tabla Articulos'!D:D)</f>
        <v/>
      </c>
      <c r="Q693" s="96">
        <f>_xlfn.XLOOKUP(S693,'Tabla Articulos'!B:B,'Tabla Articulos'!E:E)</f>
        <v/>
      </c>
      <c r="R693" s="96">
        <f>O693*Q693</f>
        <v/>
      </c>
      <c r="S693" s="97">
        <f>TRIM(E693)</f>
        <v/>
      </c>
    </row>
    <row r="694" hidden="1">
      <c r="A694" s="22" t="n">
        <v>5</v>
      </c>
      <c r="B694" t="inlineStr">
        <is>
          <t xml:space="preserve">CDM02 - MORENO 2              </t>
        </is>
      </c>
      <c r="C694" t="inlineStr">
        <is>
          <t xml:space="preserve">GRUPO L.                      </t>
        </is>
      </c>
      <c r="D694" s="11" t="inlineStr">
        <is>
          <t>PROVENZAL</t>
        </is>
      </c>
      <c r="E694" t="inlineStr">
        <is>
          <t xml:space="preserve">7793875360296       </t>
        </is>
      </c>
      <c r="F694" t="n">
        <v>4020760</v>
      </c>
      <c r="G694" t="inlineStr">
        <is>
          <t xml:space="preserve">PROVENZAL X 1KGS AROMAS Y SABORES  </t>
        </is>
      </c>
      <c r="H694" t="inlineStr">
        <is>
          <t xml:space="preserve">UNIDAD              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4</v>
      </c>
      <c r="P694" s="96">
        <f>_xlfn.XLOOKUP(Tabla5[[#This Row],[EAN CORREGIDO]],'Tabla Articulos'!B:B,'Tabla Articulos'!D:D)</f>
        <v/>
      </c>
      <c r="Q694" s="96">
        <f>_xlfn.XLOOKUP(S694,'Tabla Articulos'!B:B,'Tabla Articulos'!E:E)</f>
        <v/>
      </c>
      <c r="R694" s="96">
        <f>O694*Q694</f>
        <v/>
      </c>
      <c r="S694" s="97">
        <f>TRIM(E694)</f>
        <v/>
      </c>
    </row>
    <row r="695" hidden="1">
      <c r="A695" s="22" t="n">
        <v>1</v>
      </c>
      <c r="B695" t="inlineStr">
        <is>
          <t xml:space="preserve">CD MORENO                     </t>
        </is>
      </c>
      <c r="C695" t="inlineStr">
        <is>
          <t xml:space="preserve">GRUPO L.                      </t>
        </is>
      </c>
      <c r="D695" t="inlineStr">
        <is>
          <t>FIDEOS GUISEROS</t>
        </is>
      </c>
      <c r="E695" t="inlineStr">
        <is>
          <t xml:space="preserve">7797470199237       </t>
        </is>
      </c>
      <c r="F695" t="n">
        <v>4020548</v>
      </c>
      <c r="G695" t="inlineStr">
        <is>
          <t xml:space="preserve">FIDEOS GUIS TIRAB X500G MAROLI	    </t>
        </is>
      </c>
      <c r="H695" t="inlineStr">
        <is>
          <t xml:space="preserve">UNIDAD              </t>
        </is>
      </c>
      <c r="I695" t="n">
        <v>25411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25411</v>
      </c>
      <c r="P695" s="96">
        <f>_xlfn.XLOOKUP(Tabla5[[#This Row],[EAN CORREGIDO]],'Tabla Articulos'!B:B,'Tabla Articulos'!D:D)</f>
        <v/>
      </c>
      <c r="Q695" s="96">
        <f>_xlfn.XLOOKUP(S695,'Tabla Articulos'!B:B,'Tabla Articulos'!E:E)</f>
        <v/>
      </c>
      <c r="R695" s="96">
        <f>O695*Q695</f>
        <v/>
      </c>
      <c r="S695" s="97">
        <f>TRIM(E695)</f>
        <v/>
      </c>
    </row>
    <row r="696" hidden="1">
      <c r="A696" s="22" t="n">
        <v>6</v>
      </c>
      <c r="B696" t="inlineStr">
        <is>
          <t xml:space="preserve">CDM03 - MORENO 3              </t>
        </is>
      </c>
      <c r="C696" t="inlineStr">
        <is>
          <t xml:space="preserve">GRUPO L.                      </t>
        </is>
      </c>
      <c r="D696" s="11" t="n"/>
      <c r="E696" t="inlineStr">
        <is>
          <t xml:space="preserve">7798188650294       </t>
        </is>
      </c>
      <c r="F696" t="n">
        <v>2011483</v>
      </c>
      <c r="G696" t="inlineStr">
        <is>
          <t xml:space="preserve"> BACTERISIDA DB-X100 X 5LT THAMES  </t>
        </is>
      </c>
      <c r="H696" t="inlineStr">
        <is>
          <t xml:space="preserve">UNIDAD              </t>
        </is>
      </c>
      <c r="I696" t="n">
        <v>147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147</v>
      </c>
      <c r="P696" s="96">
        <f>_xlfn.XLOOKUP(Tabla5[[#This Row],[EAN CORREGIDO]],'Tabla Articulos'!B:B,'Tabla Articulos'!D:D)</f>
        <v/>
      </c>
      <c r="Q696" s="96">
        <f>_xlfn.XLOOKUP(S696,'Tabla Articulos'!B:B,'Tabla Articulos'!E:E)</f>
        <v/>
      </c>
      <c r="R696" s="96">
        <f>O696*Q696</f>
        <v/>
      </c>
      <c r="S696" s="97">
        <f>TRIM(E696)</f>
        <v/>
      </c>
    </row>
    <row r="697" hidden="1">
      <c r="A697" s="22" t="n">
        <v>6</v>
      </c>
      <c r="B697" t="inlineStr">
        <is>
          <t xml:space="preserve">CDM03 - MORENO 3              </t>
        </is>
      </c>
      <c r="C697" t="inlineStr">
        <is>
          <t xml:space="preserve">GRUPO L.                      </t>
        </is>
      </c>
      <c r="E697" t="inlineStr">
        <is>
          <t xml:space="preserve">UNIF000004          </t>
        </is>
      </c>
      <c r="F697" t="n">
        <v>9003013</v>
      </c>
      <c r="G697" t="inlineStr">
        <is>
          <t xml:space="preserve">AMBO A. MAR. PULCRUS ESC V XL      </t>
        </is>
      </c>
      <c r="H697" t="inlineStr">
        <is>
          <t xml:space="preserve">UNIDAD              </t>
        </is>
      </c>
      <c r="I697" t="n">
        <v>66</v>
      </c>
      <c r="J697" t="n">
        <v>500</v>
      </c>
      <c r="K697" t="n">
        <v>0</v>
      </c>
      <c r="L697" t="n">
        <v>19</v>
      </c>
      <c r="M697" t="n">
        <v>19</v>
      </c>
      <c r="N697" t="n">
        <v>0</v>
      </c>
      <c r="O697" t="n">
        <v>528</v>
      </c>
      <c r="P697" s="96">
        <f>_xlfn.XLOOKUP(Tabla5[[#This Row],[EAN CORREGIDO]],'Tabla Articulos'!B:B,'Tabla Articulos'!D:D)</f>
        <v/>
      </c>
      <c r="Q697" s="96">
        <f>_xlfn.XLOOKUP(S697,'Tabla Articulos'!B:B,'Tabla Articulos'!E:E)</f>
        <v/>
      </c>
      <c r="R697" s="96">
        <f>O697*Q697</f>
        <v/>
      </c>
      <c r="S697" s="97">
        <f>TRIM(E697)</f>
        <v/>
      </c>
    </row>
    <row r="698" hidden="1">
      <c r="A698" s="22" t="n">
        <v>1</v>
      </c>
      <c r="B698" t="inlineStr">
        <is>
          <t xml:space="preserve">CD MORENO                     </t>
        </is>
      </c>
      <c r="C698" t="inlineStr">
        <is>
          <t xml:space="preserve">GRUPO L.                      </t>
        </is>
      </c>
      <c r="D698" s="11" t="inlineStr">
        <is>
          <t>JUGO POLVO POMELO</t>
        </is>
      </c>
      <c r="E698" t="inlineStr">
        <is>
          <t xml:space="preserve">7790971001115       </t>
        </is>
      </c>
      <c r="F698" t="n">
        <v>4019932</v>
      </c>
      <c r="G698" t="inlineStr">
        <is>
          <t xml:space="preserve">JUGO POLVO POMELO X5KG             </t>
        </is>
      </c>
      <c r="H698" t="inlineStr">
        <is>
          <t xml:space="preserve">UNIDAD              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5</v>
      </c>
      <c r="P698" s="96">
        <f>_xlfn.XLOOKUP(Tabla5[[#This Row],[EAN CORREGIDO]],'Tabla Articulos'!B:B,'Tabla Articulos'!D:D)</f>
        <v/>
      </c>
      <c r="Q698" s="96">
        <f>_xlfn.XLOOKUP(S698,'Tabla Articulos'!B:B,'Tabla Articulos'!E:E)</f>
        <v/>
      </c>
      <c r="R698" s="96">
        <f>O698*Q698</f>
        <v/>
      </c>
      <c r="S698" s="97">
        <f>TRIM(E698)</f>
        <v/>
      </c>
    </row>
    <row r="699" hidden="1">
      <c r="A699" s="22" t="n">
        <v>1</v>
      </c>
      <c r="B699" t="inlineStr">
        <is>
          <t xml:space="preserve">CD MORENO                     </t>
        </is>
      </c>
      <c r="C699" t="inlineStr">
        <is>
          <t xml:space="preserve">GRUPO L.                      </t>
        </is>
      </c>
      <c r="D699" s="11" t="inlineStr">
        <is>
          <t>JUGO POLVO NARANJA</t>
        </is>
      </c>
      <c r="E699" t="inlineStr">
        <is>
          <t xml:space="preserve">7790971000972       </t>
        </is>
      </c>
      <c r="F699" t="n">
        <v>4019671</v>
      </c>
      <c r="G699" t="inlineStr">
        <is>
          <t xml:space="preserve">JUGO POLVO NARANJA X5KG ORLOC      </t>
        </is>
      </c>
      <c r="H699" t="inlineStr">
        <is>
          <t xml:space="preserve">UNIDAD              </t>
        </is>
      </c>
      <c r="I699" t="n">
        <v>38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38</v>
      </c>
      <c r="P699" s="96">
        <f>_xlfn.XLOOKUP(Tabla5[[#This Row],[EAN CORREGIDO]],'Tabla Articulos'!B:B,'Tabla Articulos'!D:D)</f>
        <v/>
      </c>
      <c r="Q699" s="96">
        <f>_xlfn.XLOOKUP(S699,'Tabla Articulos'!B:B,'Tabla Articulos'!E:E)</f>
        <v/>
      </c>
      <c r="R699" s="96">
        <f>O699*Q699</f>
        <v/>
      </c>
      <c r="S699" s="97">
        <f>TRIM(E699)</f>
        <v/>
      </c>
    </row>
    <row r="700" hidden="1">
      <c r="A700" s="22" t="n">
        <v>5</v>
      </c>
      <c r="B700" t="inlineStr">
        <is>
          <t xml:space="preserve">CDM02 - MORENO 2              </t>
        </is>
      </c>
      <c r="C700" t="inlineStr">
        <is>
          <t xml:space="preserve">GRUPO L.                      </t>
        </is>
      </c>
      <c r="D700" t="inlineStr">
        <is>
          <t xml:space="preserve">FRUTILLA </t>
        </is>
      </c>
      <c r="E700" t="inlineStr">
        <is>
          <t xml:space="preserve">7790216020095       </t>
        </is>
      </c>
      <c r="F700" t="n">
        <v>4018038</v>
      </c>
      <c r="G700" t="inlineStr">
        <is>
          <t xml:space="preserve">FRUTA FRUTILLA X KG                </t>
        </is>
      </c>
      <c r="H700" t="inlineStr">
        <is>
          <t xml:space="preserve">Kgs                 </t>
        </is>
      </c>
      <c r="I700" t="n">
        <v>3.424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3.424</v>
      </c>
      <c r="P700" s="96">
        <f>_xlfn.XLOOKUP(Tabla5[[#This Row],[EAN CORREGIDO]],'Tabla Articulos'!B:B,'Tabla Articulos'!D:D)</f>
        <v/>
      </c>
      <c r="Q700" s="96">
        <f>_xlfn.XLOOKUP(S700,'Tabla Articulos'!B:B,'Tabla Articulos'!E:E)</f>
        <v/>
      </c>
      <c r="R700" s="96">
        <f>O700*Q700</f>
        <v/>
      </c>
      <c r="S700" s="97">
        <f>TRIM(E700)</f>
        <v/>
      </c>
    </row>
    <row r="701" hidden="1">
      <c r="A701" s="22" t="n">
        <v>6</v>
      </c>
      <c r="B701" t="inlineStr">
        <is>
          <t xml:space="preserve">CDM03 - MORENO 3              </t>
        </is>
      </c>
      <c r="C701" t="inlineStr">
        <is>
          <t xml:space="preserve">GRUPO L.                      </t>
        </is>
      </c>
      <c r="E701" t="inlineStr">
        <is>
          <t xml:space="preserve">UNIF000469          </t>
        </is>
      </c>
      <c r="F701" t="n">
        <v>9003241</v>
      </c>
      <c r="G701" t="inlineStr">
        <is>
          <t xml:space="preserve">PANTALON GRAF S. LOGO VERD 54      </t>
        </is>
      </c>
      <c r="H701" t="inlineStr">
        <is>
          <t xml:space="preserve">UNIDAD              </t>
        </is>
      </c>
      <c r="I701" t="n">
        <v>14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14</v>
      </c>
      <c r="P701" s="96">
        <f>_xlfn.XLOOKUP(Tabla5[[#This Row],[EAN CORREGIDO]],'Tabla Articulos'!B:B,'Tabla Articulos'!D:D)</f>
        <v/>
      </c>
      <c r="Q701" s="96">
        <f>_xlfn.XLOOKUP(S701,'Tabla Articulos'!B:B,'Tabla Articulos'!E:E)</f>
        <v/>
      </c>
      <c r="R701" s="96">
        <f>O701*Q701</f>
        <v/>
      </c>
      <c r="S701" s="97">
        <f>TRIM(E701)</f>
        <v/>
      </c>
    </row>
    <row r="702" hidden="1">
      <c r="A702" s="22" t="n">
        <v>6</v>
      </c>
      <c r="B702" t="inlineStr">
        <is>
          <t xml:space="preserve">CDM03 - MORENO 3              </t>
        </is>
      </c>
      <c r="C702" t="inlineStr">
        <is>
          <t xml:space="preserve">GRUPO L.                      </t>
        </is>
      </c>
      <c r="D702" t="inlineStr">
        <is>
          <t xml:space="preserve">BOLSA RESIDUO AMARRILLA </t>
        </is>
      </c>
      <c r="E702" t="inlineStr">
        <is>
          <t xml:space="preserve">7790000000465       </t>
        </is>
      </c>
      <c r="F702" t="n">
        <v>2007491</v>
      </c>
      <c r="G702" t="inlineStr">
        <is>
          <t xml:space="preserve">BOLSA RESID AMLLA 90X110X50UX30M   </t>
        </is>
      </c>
      <c r="H702" t="inlineStr">
        <is>
          <t xml:space="preserve">UNIDAD              </t>
        </is>
      </c>
      <c r="I702" t="n">
        <v>44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44</v>
      </c>
      <c r="P702" s="96">
        <f>_xlfn.XLOOKUP(Tabla5[[#This Row],[EAN CORREGIDO]],'Tabla Articulos'!B:B,'Tabla Articulos'!D:D)</f>
        <v/>
      </c>
      <c r="Q702" s="96">
        <f>_xlfn.XLOOKUP(S702,'Tabla Articulos'!B:B,'Tabla Articulos'!E:E)</f>
        <v/>
      </c>
      <c r="R702" s="96">
        <f>O702*Q702</f>
        <v/>
      </c>
      <c r="S702" s="97">
        <f>TRIM(E702)</f>
        <v/>
      </c>
    </row>
    <row r="703" hidden="1">
      <c r="A703" s="22" t="n">
        <v>6</v>
      </c>
      <c r="B703" t="inlineStr">
        <is>
          <t xml:space="preserve">CDM03 - MORENO 3              </t>
        </is>
      </c>
      <c r="C703" t="inlineStr">
        <is>
          <t xml:space="preserve">GRUPO L.                      </t>
        </is>
      </c>
      <c r="D703" t="inlineStr">
        <is>
          <t>TRAPOS DE PISO</t>
        </is>
      </c>
      <c r="E703" t="inlineStr">
        <is>
          <t xml:space="preserve">7790000000746       </t>
        </is>
      </c>
      <c r="F703" t="n">
        <v>2016588</v>
      </c>
      <c r="G703" t="inlineStr">
        <is>
          <t xml:space="preserve">TRAPO DE PISO BLANCO 60X50 THAMES  </t>
        </is>
      </c>
      <c r="H703" t="inlineStr">
        <is>
          <t xml:space="preserve">UNIDAD              </t>
        </is>
      </c>
      <c r="I703" t="n">
        <v>753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753</v>
      </c>
      <c r="P703" s="96">
        <f>_xlfn.XLOOKUP(Tabla5[[#This Row],[EAN CORREGIDO]],'Tabla Articulos'!B:B,'Tabla Articulos'!D:D)</f>
        <v/>
      </c>
      <c r="Q703" s="96">
        <f>_xlfn.XLOOKUP(S703,'Tabla Articulos'!B:B,'Tabla Articulos'!E:E)</f>
        <v/>
      </c>
      <c r="R703" s="96">
        <f>O703*Q703</f>
        <v/>
      </c>
      <c r="S703" s="97">
        <f>TRIM(E703)</f>
        <v/>
      </c>
    </row>
    <row r="704" hidden="1">
      <c r="A704" s="22" t="n">
        <v>6</v>
      </c>
      <c r="B704" t="inlineStr">
        <is>
          <t xml:space="preserve">CDM03 - MORENO 3              </t>
        </is>
      </c>
      <c r="C704" t="inlineStr">
        <is>
          <t xml:space="preserve">GRUPO L.                      </t>
        </is>
      </c>
      <c r="E704" t="inlineStr">
        <is>
          <t xml:space="preserve">UNIF000210          </t>
        </is>
      </c>
      <c r="F704" t="n">
        <v>9003478</v>
      </c>
      <c r="G704" t="inlineStr">
        <is>
          <t xml:space="preserve">PANTAL CARG NEGRO AZ. 52 GL SUP    </t>
        </is>
      </c>
      <c r="H704" t="inlineStr">
        <is>
          <t xml:space="preserve">UNIDAD              </t>
        </is>
      </c>
      <c r="I704" t="n">
        <v>8</v>
      </c>
      <c r="J704" t="n">
        <v>15</v>
      </c>
      <c r="K704" t="n">
        <v>0</v>
      </c>
      <c r="L704" t="n">
        <v>0</v>
      </c>
      <c r="M704" t="n">
        <v>0</v>
      </c>
      <c r="N704" t="n">
        <v>0</v>
      </c>
      <c r="O704" t="n">
        <v>23</v>
      </c>
      <c r="P704" s="96">
        <f>_xlfn.XLOOKUP(Tabla5[[#This Row],[EAN CORREGIDO]],'Tabla Articulos'!B:B,'Tabla Articulos'!D:D)</f>
        <v/>
      </c>
      <c r="Q704" s="96">
        <f>_xlfn.XLOOKUP(S704,'Tabla Articulos'!B:B,'Tabla Articulos'!E:E)</f>
        <v/>
      </c>
      <c r="R704" s="96">
        <f>O704*Q704</f>
        <v/>
      </c>
      <c r="S704" s="97">
        <f>TRIM(E704)</f>
        <v/>
      </c>
    </row>
    <row r="705" hidden="1">
      <c r="A705" s="22" t="n">
        <v>1</v>
      </c>
      <c r="B705" t="inlineStr">
        <is>
          <t xml:space="preserve">CD MORENO                     </t>
        </is>
      </c>
      <c r="C705" t="inlineStr">
        <is>
          <t xml:space="preserve">GRUPO L.                      </t>
        </is>
      </c>
      <c r="D705" s="11" t="inlineStr">
        <is>
          <t>BONDIOLA CERDO CONGELADA</t>
        </is>
      </c>
      <c r="E705" t="inlineStr">
        <is>
          <t xml:space="preserve">7790212031279       </t>
        </is>
      </c>
      <c r="F705" t="n">
        <v>4017698</v>
      </c>
      <c r="G705" t="inlineStr">
        <is>
          <t xml:space="preserve">BONDIOLA DE CERDO C X KG           </t>
        </is>
      </c>
      <c r="H705" t="inlineStr">
        <is>
          <t xml:space="preserve">Kgs                 </t>
        </is>
      </c>
      <c r="I705" t="n">
        <v>830</v>
      </c>
      <c r="J705" t="n">
        <v>0</v>
      </c>
      <c r="K705" t="n">
        <v>0</v>
      </c>
      <c r="L705" t="n">
        <v>20</v>
      </c>
      <c r="M705" t="n">
        <v>20</v>
      </c>
      <c r="N705" t="n">
        <v>0</v>
      </c>
      <c r="O705" t="n">
        <v>790</v>
      </c>
      <c r="P705" s="96">
        <f>_xlfn.XLOOKUP(Tabla5[[#This Row],[EAN CORREGIDO]],'Tabla Articulos'!B:B,'Tabla Articulos'!D:D)</f>
        <v/>
      </c>
      <c r="Q705" s="96">
        <f>_xlfn.XLOOKUP(S705,'Tabla Articulos'!B:B,'Tabla Articulos'!E:E)</f>
        <v/>
      </c>
      <c r="R705" s="96">
        <f>O705*Q705</f>
        <v/>
      </c>
      <c r="S705" s="97">
        <f>TRIM(E705)</f>
        <v/>
      </c>
    </row>
    <row r="706" hidden="1">
      <c r="A706" s="22" t="n">
        <v>6</v>
      </c>
      <c r="B706" t="inlineStr">
        <is>
          <t xml:space="preserve">CDM03 - MORENO 3              </t>
        </is>
      </c>
      <c r="C706" t="inlineStr">
        <is>
          <t xml:space="preserve">GRUPO L.                      </t>
        </is>
      </c>
      <c r="E706" t="inlineStr">
        <is>
          <t xml:space="preserve">UNIF000346          </t>
        </is>
      </c>
      <c r="F706" t="n">
        <v>9003519</v>
      </c>
      <c r="G706" t="inlineStr">
        <is>
          <t xml:space="preserve">CHAQ CUE.MAO AY/CAM/PEON 4 NUTRI   </t>
        </is>
      </c>
      <c r="H706" t="inlineStr">
        <is>
          <t xml:space="preserve">UNIDAD              </t>
        </is>
      </c>
      <c r="I706" t="n">
        <v>8</v>
      </c>
      <c r="J706" t="n">
        <v>0</v>
      </c>
      <c r="K706" t="n">
        <v>0</v>
      </c>
      <c r="L706" t="n">
        <v>2</v>
      </c>
      <c r="M706" t="n">
        <v>2</v>
      </c>
      <c r="N706" t="n">
        <v>0</v>
      </c>
      <c r="O706" t="n">
        <v>4</v>
      </c>
      <c r="P706" s="96">
        <f>_xlfn.XLOOKUP(Tabla5[[#This Row],[EAN CORREGIDO]],'Tabla Articulos'!B:B,'Tabla Articulos'!D:D)</f>
        <v/>
      </c>
      <c r="Q706" s="96">
        <f>_xlfn.XLOOKUP(S706,'Tabla Articulos'!B:B,'Tabla Articulos'!E:E)</f>
        <v/>
      </c>
      <c r="R706" s="96">
        <f>O706*Q706</f>
        <v/>
      </c>
      <c r="S706" s="97">
        <f>TRIM(E706)</f>
        <v/>
      </c>
    </row>
    <row r="707" hidden="1">
      <c r="A707" s="22" t="n">
        <v>6</v>
      </c>
      <c r="B707" t="inlineStr">
        <is>
          <t xml:space="preserve">CDM03 - MORENO 3              </t>
        </is>
      </c>
      <c r="C707" t="inlineStr">
        <is>
          <t xml:space="preserve">GRUPO L.                      </t>
        </is>
      </c>
      <c r="E707" t="inlineStr">
        <is>
          <t xml:space="preserve">BAZ001167           </t>
        </is>
      </c>
      <c r="F707" t="n">
        <v>9003792</v>
      </c>
      <c r="G707" t="inlineStr">
        <is>
          <t xml:space="preserve">CONT PLAS REF BCO API.VENT 52X35   </t>
        </is>
      </c>
      <c r="H707" t="inlineStr">
        <is>
          <t xml:space="preserve">UNIDAD              </t>
        </is>
      </c>
      <c r="I707" t="n">
        <v>36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36</v>
      </c>
      <c r="P707" s="96">
        <f>_xlfn.XLOOKUP(Tabla5[[#This Row],[EAN CORREGIDO]],'Tabla Articulos'!B:B,'Tabla Articulos'!D:D)</f>
        <v/>
      </c>
      <c r="Q707" s="96">
        <f>_xlfn.XLOOKUP(S707,'Tabla Articulos'!B:B,'Tabla Articulos'!E:E)</f>
        <v/>
      </c>
      <c r="R707" s="96">
        <f>O707*Q707</f>
        <v/>
      </c>
      <c r="S707" s="97">
        <f>TRIM(E707)</f>
        <v/>
      </c>
    </row>
    <row r="708" hidden="1">
      <c r="A708" s="22" t="n">
        <v>6</v>
      </c>
      <c r="B708" t="inlineStr">
        <is>
          <t xml:space="preserve">CDM03 - MORENO 3              </t>
        </is>
      </c>
      <c r="C708" t="inlineStr">
        <is>
          <t xml:space="preserve">GRUPO L.                      </t>
        </is>
      </c>
      <c r="E708" t="inlineStr">
        <is>
          <t xml:space="preserve">7794417000502       </t>
        </is>
      </c>
      <c r="F708" t="n">
        <v>2011522</v>
      </c>
      <c r="G708" t="inlineStr">
        <is>
          <t xml:space="preserve">PLUMERO BOCHA SINA                 </t>
        </is>
      </c>
      <c r="H708" t="inlineStr">
        <is>
          <t xml:space="preserve">UNIDAD              </t>
        </is>
      </c>
      <c r="I708" t="n">
        <v>71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71</v>
      </c>
      <c r="P708" s="96">
        <f>_xlfn.XLOOKUP(Tabla5[[#This Row],[EAN CORREGIDO]],'Tabla Articulos'!B:B,'Tabla Articulos'!D:D)</f>
        <v/>
      </c>
      <c r="Q708" s="96">
        <f>_xlfn.XLOOKUP(S708,'Tabla Articulos'!B:B,'Tabla Articulos'!E:E)</f>
        <v/>
      </c>
      <c r="R708" s="96">
        <f>O708*Q708</f>
        <v/>
      </c>
      <c r="S708" s="97">
        <f>TRIM(E708)</f>
        <v/>
      </c>
    </row>
    <row r="709" hidden="1">
      <c r="A709" s="22" t="n">
        <v>6</v>
      </c>
      <c r="B709" t="inlineStr">
        <is>
          <t xml:space="preserve">CDM03 - MORENO 3              </t>
        </is>
      </c>
      <c r="C709" t="inlineStr">
        <is>
          <t xml:space="preserve">GRUPO L.                      </t>
        </is>
      </c>
      <c r="D709" s="11" t="inlineStr">
        <is>
          <t>TOALLA INTERCALADA</t>
        </is>
      </c>
      <c r="E709" t="inlineStr">
        <is>
          <t xml:space="preserve">7798040051919       </t>
        </is>
      </c>
      <c r="F709" t="n">
        <v>2006183</v>
      </c>
      <c r="G709" t="inlineStr">
        <is>
          <t xml:space="preserve">TOALLA INTERC BEIGE X2500U 2.5KG   </t>
        </is>
      </c>
      <c r="H709" t="inlineStr">
        <is>
          <t xml:space="preserve">UNIDAD              </t>
        </is>
      </c>
      <c r="I709" t="n">
        <v>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99</v>
      </c>
      <c r="P709" s="96">
        <f>_xlfn.XLOOKUP(Tabla5[[#This Row],[EAN CORREGIDO]],'Tabla Articulos'!B:B,'Tabla Articulos'!D:D)</f>
        <v/>
      </c>
      <c r="Q709" s="96">
        <f>_xlfn.XLOOKUP(S709,'Tabla Articulos'!B:B,'Tabla Articulos'!E:E)</f>
        <v/>
      </c>
      <c r="R709" s="96">
        <f>O709*Q709</f>
        <v/>
      </c>
      <c r="S709" s="97">
        <f>TRIM(E709)</f>
        <v/>
      </c>
    </row>
    <row r="710" hidden="1">
      <c r="A710" s="22" t="n">
        <v>6</v>
      </c>
      <c r="B710" t="inlineStr">
        <is>
          <t xml:space="preserve">CDM03 - MORENO 3              </t>
        </is>
      </c>
      <c r="C710" t="inlineStr">
        <is>
          <t xml:space="preserve">GRUPO L.                      </t>
        </is>
      </c>
      <c r="E710" t="inlineStr">
        <is>
          <t xml:space="preserve">UNIF000295          </t>
        </is>
      </c>
      <c r="F710" t="n">
        <v>9003345</v>
      </c>
      <c r="G710" t="inlineStr">
        <is>
          <t xml:space="preserve">CHOMBA PIQ A.FRANCIA B CAFE H S    </t>
        </is>
      </c>
      <c r="H710" t="inlineStr">
        <is>
          <t xml:space="preserve">UNIDAD              </t>
        </is>
      </c>
      <c r="I710" t="n">
        <v>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9</v>
      </c>
      <c r="P710" s="96">
        <f>_xlfn.XLOOKUP(Tabla5[[#This Row],[EAN CORREGIDO]],'Tabla Articulos'!B:B,'Tabla Articulos'!D:D)</f>
        <v/>
      </c>
      <c r="Q710" s="96">
        <f>_xlfn.XLOOKUP(S710,'Tabla Articulos'!B:B,'Tabla Articulos'!E:E)</f>
        <v/>
      </c>
      <c r="R710" s="96">
        <f>O710*Q710</f>
        <v/>
      </c>
      <c r="S710" s="97">
        <f>TRIM(E710)</f>
        <v/>
      </c>
    </row>
    <row r="711" hidden="1">
      <c r="A711" s="22" t="n">
        <v>5</v>
      </c>
      <c r="B711" t="inlineStr">
        <is>
          <t xml:space="preserve">CDM02 - MORENO 2              </t>
        </is>
      </c>
      <c r="C711" t="inlineStr">
        <is>
          <t xml:space="preserve">GRUPO L.                      </t>
        </is>
      </c>
      <c r="D711" t="inlineStr">
        <is>
          <t>LECHE DE ALMENDRAS</t>
        </is>
      </c>
      <c r="E711" t="inlineStr">
        <is>
          <t xml:space="preserve">7790742340108       </t>
        </is>
      </c>
      <c r="F711" t="n">
        <v>4019655</v>
      </c>
      <c r="G711" t="inlineStr">
        <is>
          <t>LECHE ALMENDRAS X 1LT LA SERENISIMA</t>
        </is>
      </c>
      <c r="H711" t="inlineStr">
        <is>
          <t xml:space="preserve">UNIDAD              </t>
        </is>
      </c>
      <c r="I711" t="n">
        <v>50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50</v>
      </c>
      <c r="P711" s="96">
        <f>_xlfn.XLOOKUP(Tabla5[[#This Row],[EAN CORREGIDO]],'Tabla Articulos'!B:B,'Tabla Articulos'!D:D)</f>
        <v/>
      </c>
      <c r="Q711" s="96">
        <f>_xlfn.XLOOKUP(S711,'Tabla Articulos'!B:B,'Tabla Articulos'!E:E)</f>
        <v/>
      </c>
      <c r="R711" s="96">
        <f>O711*Q711</f>
        <v/>
      </c>
      <c r="S711" s="97">
        <f>TRIM(E711)</f>
        <v/>
      </c>
    </row>
    <row r="712" hidden="1">
      <c r="A712" s="22" t="n">
        <v>1</v>
      </c>
      <c r="B712" t="inlineStr">
        <is>
          <t xml:space="preserve">CD MORENO                     </t>
        </is>
      </c>
      <c r="C712" t="inlineStr">
        <is>
          <t xml:space="preserve">GRUPO L.                      </t>
        </is>
      </c>
      <c r="D712" s="11" t="inlineStr">
        <is>
          <t>LECHE DE ALMENDRAS</t>
        </is>
      </c>
      <c r="E712" t="inlineStr">
        <is>
          <t xml:space="preserve">7790742340108       </t>
        </is>
      </c>
      <c r="F712" t="n">
        <v>4019655</v>
      </c>
      <c r="G712" t="inlineStr">
        <is>
          <t>LECHE ALMENDRAS X 1LT LA SERENISIMA</t>
        </is>
      </c>
      <c r="H712" t="inlineStr">
        <is>
          <t xml:space="preserve">UNIDAD              </t>
        </is>
      </c>
      <c r="I712" t="n">
        <v>533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533</v>
      </c>
      <c r="P712" s="96">
        <f>_xlfn.XLOOKUP(Tabla5[[#This Row],[EAN CORREGIDO]],'Tabla Articulos'!B:B,'Tabla Articulos'!D:D)</f>
        <v/>
      </c>
      <c r="Q712" s="96">
        <f>_xlfn.XLOOKUP(S712,'Tabla Articulos'!B:B,'Tabla Articulos'!E:E)</f>
        <v/>
      </c>
      <c r="R712" s="96">
        <f>O712*Q712</f>
        <v/>
      </c>
      <c r="S712" s="97">
        <f>TRIM(E712)</f>
        <v/>
      </c>
    </row>
    <row r="713" hidden="1">
      <c r="A713" s="22" t="n">
        <v>1</v>
      </c>
      <c r="B713" t="inlineStr">
        <is>
          <t xml:space="preserve">CD MORENO                     </t>
        </is>
      </c>
      <c r="C713" t="inlineStr">
        <is>
          <t xml:space="preserve">GRUPO L.                      </t>
        </is>
      </c>
      <c r="D713" s="11" t="inlineStr">
        <is>
          <t>AJI MOLIDO</t>
        </is>
      </c>
      <c r="E713" t="inlineStr">
        <is>
          <t xml:space="preserve">7793875360333       </t>
        </is>
      </c>
      <c r="F713" t="n">
        <v>4020100</v>
      </c>
      <c r="G713" t="inlineStr">
        <is>
          <t xml:space="preserve">AJI MOLIDO X 1KGS AROMAS Y SAB     </t>
        </is>
      </c>
      <c r="H713" t="inlineStr">
        <is>
          <t xml:space="preserve">UNIDAD              </t>
        </is>
      </c>
      <c r="I713" t="n">
        <v>85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85</v>
      </c>
      <c r="P713" s="96">
        <f>_xlfn.XLOOKUP(Tabla5[[#This Row],[EAN CORREGIDO]],'Tabla Articulos'!B:B,'Tabla Articulos'!D:D)</f>
        <v/>
      </c>
      <c r="Q713" s="96">
        <f>_xlfn.XLOOKUP(S713,'Tabla Articulos'!B:B,'Tabla Articulos'!E:E)</f>
        <v/>
      </c>
      <c r="R713" s="96">
        <f>O713*Q713</f>
        <v/>
      </c>
      <c r="S713" s="97">
        <f>TRIM(E713)</f>
        <v/>
      </c>
    </row>
    <row r="714" hidden="1">
      <c r="A714" s="22" t="n">
        <v>1</v>
      </c>
      <c r="B714" t="inlineStr">
        <is>
          <t xml:space="preserve">CD MORENO                     </t>
        </is>
      </c>
      <c r="C714" t="inlineStr">
        <is>
          <t xml:space="preserve">GRUPO L.                      </t>
        </is>
      </c>
      <c r="D714" t="inlineStr">
        <is>
          <t>AZUCAR IMPALPABLE</t>
        </is>
      </c>
      <c r="E714" t="inlineStr">
        <is>
          <t xml:space="preserve">7791113004476       </t>
        </is>
      </c>
      <c r="F714" t="n">
        <v>4019942</v>
      </c>
      <c r="G714" t="inlineStr">
        <is>
          <t xml:space="preserve">AZUCAR IMPALPABLE X 1KG EMETH      </t>
        </is>
      </c>
      <c r="H714" t="inlineStr">
        <is>
          <t xml:space="preserve">UNIDAD              </t>
        </is>
      </c>
      <c r="I714" t="n">
        <v>25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25</v>
      </c>
      <c r="P714" s="96">
        <f>_xlfn.XLOOKUP(Tabla5[[#This Row],[EAN CORREGIDO]],'Tabla Articulos'!B:B,'Tabla Articulos'!D:D)</f>
        <v/>
      </c>
      <c r="Q714" s="96">
        <f>_xlfn.XLOOKUP(S714,'Tabla Articulos'!B:B,'Tabla Articulos'!E:E)</f>
        <v/>
      </c>
      <c r="R714" s="96">
        <f>O714*Q714</f>
        <v/>
      </c>
      <c r="S714" s="97">
        <f>TRIM(E714)</f>
        <v/>
      </c>
    </row>
    <row r="715" hidden="1">
      <c r="A715" s="22" t="n">
        <v>5</v>
      </c>
      <c r="B715" t="inlineStr">
        <is>
          <t xml:space="preserve">CDM02 - MORENO 2              </t>
        </is>
      </c>
      <c r="C715" t="inlineStr">
        <is>
          <t xml:space="preserve">GRUPO L.                      </t>
        </is>
      </c>
      <c r="D715" t="inlineStr">
        <is>
          <t>AZUCAR IMPALPABLE</t>
        </is>
      </c>
      <c r="E715" t="inlineStr">
        <is>
          <t xml:space="preserve">7791113004476       </t>
        </is>
      </c>
      <c r="F715" t="n">
        <v>4019942</v>
      </c>
      <c r="G715" t="inlineStr">
        <is>
          <t xml:space="preserve">AZUCAR IMPALPABLE X 1KG EMETH      </t>
        </is>
      </c>
      <c r="H715" t="inlineStr">
        <is>
          <t xml:space="preserve">UNIDAD              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4</v>
      </c>
      <c r="P715" s="96">
        <f>_xlfn.XLOOKUP(Tabla5[[#This Row],[EAN CORREGIDO]],'Tabla Articulos'!B:B,'Tabla Articulos'!D:D)</f>
        <v/>
      </c>
      <c r="Q715" s="96">
        <f>_xlfn.XLOOKUP(S715,'Tabla Articulos'!B:B,'Tabla Articulos'!E:E)</f>
        <v/>
      </c>
      <c r="R715" s="96">
        <f>O715*Q715</f>
        <v/>
      </c>
      <c r="S715" s="97">
        <f>TRIM(E715)</f>
        <v/>
      </c>
    </row>
    <row r="716" hidden="1">
      <c r="A716" s="22" t="n">
        <v>6</v>
      </c>
      <c r="B716" t="inlineStr">
        <is>
          <t xml:space="preserve">CDM03 - MORENO 3              </t>
        </is>
      </c>
      <c r="C716" t="inlineStr">
        <is>
          <t xml:space="preserve">GRUPO L.                      </t>
        </is>
      </c>
      <c r="D716" t="inlineStr">
        <is>
          <t>SORBETES</t>
        </is>
      </c>
      <c r="E716" t="inlineStr">
        <is>
          <t xml:space="preserve">7790221010607       </t>
        </is>
      </c>
      <c r="F716" t="n">
        <v>2006674</v>
      </c>
      <c r="G716" t="inlineStr">
        <is>
          <t xml:space="preserve">SORBETES X 1000U                   </t>
        </is>
      </c>
      <c r="H716" t="inlineStr">
        <is>
          <t xml:space="preserve">UNIDAD              </t>
        </is>
      </c>
      <c r="I716" t="n">
        <v>4</v>
      </c>
      <c r="J716" t="n">
        <v>0</v>
      </c>
      <c r="K716" t="n">
        <v>0</v>
      </c>
      <c r="L716" t="n">
        <v>1</v>
      </c>
      <c r="M716" t="n">
        <v>1</v>
      </c>
      <c r="N716" t="n">
        <v>0</v>
      </c>
      <c r="O716" t="n">
        <v>2</v>
      </c>
      <c r="P716" s="96">
        <f>_xlfn.XLOOKUP(Tabla5[[#This Row],[EAN CORREGIDO]],'Tabla Articulos'!B:B,'Tabla Articulos'!D:D)</f>
        <v/>
      </c>
      <c r="Q716" s="96">
        <f>_xlfn.XLOOKUP(S716,'Tabla Articulos'!B:B,'Tabla Articulos'!E:E)</f>
        <v/>
      </c>
      <c r="R716" s="96">
        <f>O716*Q716</f>
        <v/>
      </c>
      <c r="S716" s="97">
        <f>TRIM(E716)</f>
        <v/>
      </c>
    </row>
    <row r="717" hidden="1">
      <c r="A717" s="22" t="n">
        <v>6</v>
      </c>
      <c r="B717" t="inlineStr">
        <is>
          <t xml:space="preserve">CDM03 - MORENO 3              </t>
        </is>
      </c>
      <c r="C717" t="inlineStr">
        <is>
          <t xml:space="preserve">GRUPO L.                      </t>
        </is>
      </c>
      <c r="D717" s="11" t="n"/>
      <c r="E717" t="inlineStr">
        <is>
          <t xml:space="preserve">BAZ001233           </t>
        </is>
      </c>
      <c r="F717" t="n">
        <v>9003853</v>
      </c>
      <c r="G717" t="inlineStr">
        <is>
          <t xml:space="preserve">VASO BRISTOL JUG 330CC 74 H143.5   </t>
        </is>
      </c>
      <c r="H717" t="inlineStr">
        <is>
          <t xml:space="preserve">UNIDAD              </t>
        </is>
      </c>
      <c r="I717" t="n">
        <v>302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302</v>
      </c>
      <c r="P717" s="96">
        <f>_xlfn.XLOOKUP(Tabla5[[#This Row],[EAN CORREGIDO]],'Tabla Articulos'!B:B,'Tabla Articulos'!D:D)</f>
        <v/>
      </c>
      <c r="Q717" s="96">
        <f>_xlfn.XLOOKUP(S717,'Tabla Articulos'!B:B,'Tabla Articulos'!E:E)</f>
        <v/>
      </c>
      <c r="R717" s="96">
        <f>O717*Q717</f>
        <v/>
      </c>
      <c r="S717" s="97">
        <f>TRIM(E717)</f>
        <v/>
      </c>
    </row>
    <row r="718" hidden="1">
      <c r="A718" s="22" t="n">
        <v>6</v>
      </c>
      <c r="B718" t="inlineStr">
        <is>
          <t xml:space="preserve">CDM03 - MORENO 3              </t>
        </is>
      </c>
      <c r="C718" t="inlineStr">
        <is>
          <t xml:space="preserve">GRUPO L.                      </t>
        </is>
      </c>
      <c r="E718" t="inlineStr">
        <is>
          <t xml:space="preserve">UNIF000754          </t>
        </is>
      </c>
      <c r="F718" t="n">
        <v>9004208</v>
      </c>
      <c r="G718" t="inlineStr">
        <is>
          <t xml:space="preserve">CHOMBA PIQ GR MELANGE BLUE CAFÉ XL </t>
        </is>
      </c>
      <c r="H718" t="inlineStr">
        <is>
          <t xml:space="preserve">UNIDAD              </t>
        </is>
      </c>
      <c r="I718" t="n">
        <v>22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22</v>
      </c>
      <c r="P718" s="96">
        <f>_xlfn.XLOOKUP(Tabla5[[#This Row],[EAN CORREGIDO]],'Tabla Articulos'!B:B,'Tabla Articulos'!D:D)</f>
        <v/>
      </c>
      <c r="Q718" s="96">
        <f>_xlfn.XLOOKUP(S718,'Tabla Articulos'!B:B,'Tabla Articulos'!E:E)</f>
        <v/>
      </c>
      <c r="R718" s="96">
        <f>O718*Q718</f>
        <v/>
      </c>
      <c r="S718" s="97">
        <f>TRIM(E718)</f>
        <v/>
      </c>
    </row>
    <row r="719" hidden="1">
      <c r="A719" s="22" t="n">
        <v>5</v>
      </c>
      <c r="B719" t="inlineStr">
        <is>
          <t xml:space="preserve">CDM02 - MORENO 2              </t>
        </is>
      </c>
      <c r="C719" t="inlineStr">
        <is>
          <t xml:space="preserve">GRUPO L.                      </t>
        </is>
      </c>
      <c r="D719" s="11" t="inlineStr">
        <is>
          <t>POLENTA</t>
        </is>
      </c>
      <c r="E719" t="inlineStr">
        <is>
          <t xml:space="preserve">7790199603207       </t>
        </is>
      </c>
      <c r="F719" t="n">
        <v>4019430</v>
      </c>
      <c r="G719" t="inlineStr">
        <is>
          <t xml:space="preserve">POLENTA X 500 G MORIXE             </t>
        </is>
      </c>
      <c r="H719" t="inlineStr">
        <is>
          <t xml:space="preserve">UNIDAD              </t>
        </is>
      </c>
      <c r="I719" t="n">
        <v>0</v>
      </c>
      <c r="J719" t="n">
        <v>2160</v>
      </c>
      <c r="K719" t="n">
        <v>2160</v>
      </c>
      <c r="L719" t="n">
        <v>0</v>
      </c>
      <c r="M719" t="n">
        <v>0</v>
      </c>
      <c r="N719" t="n">
        <v>0</v>
      </c>
      <c r="O719" t="n">
        <v>0</v>
      </c>
      <c r="P719" s="96">
        <f>_xlfn.XLOOKUP(Tabla5[[#This Row],[EAN CORREGIDO]],'Tabla Articulos'!B:B,'Tabla Articulos'!D:D)</f>
        <v/>
      </c>
      <c r="Q719" s="96">
        <f>_xlfn.XLOOKUP(S719,'Tabla Articulos'!B:B,'Tabla Articulos'!E:E)</f>
        <v/>
      </c>
      <c r="R719" s="96">
        <f>O719*Q719</f>
        <v/>
      </c>
      <c r="S719" s="97">
        <f>TRIM(E719)</f>
        <v/>
      </c>
    </row>
    <row r="720" hidden="1">
      <c r="A720" s="22" t="n">
        <v>6</v>
      </c>
      <c r="B720" t="inlineStr">
        <is>
          <t xml:space="preserve">CDM03 - MORENO 3              </t>
        </is>
      </c>
      <c r="C720" t="inlineStr">
        <is>
          <t xml:space="preserve">GRUPO L.                      </t>
        </is>
      </c>
      <c r="E720" t="inlineStr">
        <is>
          <t xml:space="preserve">UNIF000492          </t>
        </is>
      </c>
      <c r="F720" t="n">
        <v>9003580</v>
      </c>
      <c r="G720" t="inlineStr">
        <is>
          <t xml:space="preserve">CAMI GRIS CAMAR. RET. T42 C GOUR   </t>
        </is>
      </c>
      <c r="H720" t="inlineStr">
        <is>
          <t xml:space="preserve">UNIDAD              </t>
        </is>
      </c>
      <c r="I720" t="n">
        <v>22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22</v>
      </c>
      <c r="P720" s="96">
        <f>_xlfn.XLOOKUP(Tabla5[[#This Row],[EAN CORREGIDO]],'Tabla Articulos'!B:B,'Tabla Articulos'!D:D)</f>
        <v/>
      </c>
      <c r="Q720" s="96">
        <f>_xlfn.XLOOKUP(S720,'Tabla Articulos'!B:B,'Tabla Articulos'!E:E)</f>
        <v/>
      </c>
      <c r="R720" s="96">
        <f>O720*Q720</f>
        <v/>
      </c>
      <c r="S720" s="97">
        <f>TRIM(E720)</f>
        <v/>
      </c>
    </row>
    <row r="721" hidden="1">
      <c r="A721" s="22" t="n">
        <v>6</v>
      </c>
      <c r="B721" t="inlineStr">
        <is>
          <t xml:space="preserve">CDM03 - MORENO 3              </t>
        </is>
      </c>
      <c r="C721" t="inlineStr">
        <is>
          <t xml:space="preserve">GRUPO L.                      </t>
        </is>
      </c>
      <c r="D721" t="inlineStr">
        <is>
          <t>VASO TERMICO</t>
        </is>
      </c>
      <c r="E721" t="inlineStr">
        <is>
          <t xml:space="preserve">7798353362403       </t>
        </is>
      </c>
      <c r="F721" t="n">
        <v>2016590</v>
      </c>
      <c r="G721" t="inlineStr">
        <is>
          <t xml:space="preserve">VASO TERMICO 240X1000U WELL CUP    </t>
        </is>
      </c>
      <c r="H721" t="inlineStr">
        <is>
          <t xml:space="preserve">UNIDAD              </t>
        </is>
      </c>
      <c r="I721" t="n">
        <v>28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28</v>
      </c>
      <c r="P721" s="96">
        <f>_xlfn.XLOOKUP(Tabla5[[#This Row],[EAN CORREGIDO]],'Tabla Articulos'!B:B,'Tabla Articulos'!D:D)</f>
        <v/>
      </c>
      <c r="Q721" s="96">
        <f>_xlfn.XLOOKUP(S721,'Tabla Articulos'!B:B,'Tabla Articulos'!E:E)</f>
        <v/>
      </c>
      <c r="R721" s="96">
        <f>O721*Q721</f>
        <v/>
      </c>
      <c r="S721" s="97">
        <f>TRIM(E721)</f>
        <v/>
      </c>
    </row>
    <row r="722" hidden="1">
      <c r="A722" s="22" t="n">
        <v>5</v>
      </c>
      <c r="B722" t="inlineStr">
        <is>
          <t xml:space="preserve">CDM02 - MORENO 2              </t>
        </is>
      </c>
      <c r="C722" t="inlineStr">
        <is>
          <t xml:space="preserve">GRUPO L.                      </t>
        </is>
      </c>
      <c r="D722" t="inlineStr">
        <is>
          <t>GARBANZOS REMOJADOS</t>
        </is>
      </c>
      <c r="E722" t="inlineStr">
        <is>
          <t xml:space="preserve">7792290279015       </t>
        </is>
      </c>
      <c r="F722" t="n">
        <v>4021145</v>
      </c>
      <c r="G722" t="inlineStr">
        <is>
          <t>GARBANZOS REMOJADOS X340G TARRAGONA</t>
        </is>
      </c>
      <c r="H722" t="inlineStr">
        <is>
          <t xml:space="preserve">UNIDAD              </t>
        </is>
      </c>
      <c r="I722" t="n">
        <v>77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77</v>
      </c>
      <c r="P722" s="96">
        <f>_xlfn.XLOOKUP(Tabla5[[#This Row],[EAN CORREGIDO]],'Tabla Articulos'!B:B,'Tabla Articulos'!D:D)</f>
        <v/>
      </c>
      <c r="Q722" s="96">
        <f>_xlfn.XLOOKUP(S722,'Tabla Articulos'!B:B,'Tabla Articulos'!E:E)</f>
        <v/>
      </c>
      <c r="R722" s="96">
        <f>O722*Q722</f>
        <v/>
      </c>
      <c r="S722" s="97">
        <f>TRIM(E722)</f>
        <v/>
      </c>
    </row>
    <row r="723" hidden="1">
      <c r="A723" s="22" t="n">
        <v>5</v>
      </c>
      <c r="B723" t="inlineStr">
        <is>
          <t xml:space="preserve">CDM02 - MORENO 2              </t>
        </is>
      </c>
      <c r="C723" t="inlineStr">
        <is>
          <t xml:space="preserve">GRUPO L.                      </t>
        </is>
      </c>
      <c r="D723" t="inlineStr">
        <is>
          <t>GALLE AGUA</t>
        </is>
      </c>
      <c r="E723" t="inlineStr">
        <is>
          <t xml:space="preserve">7796624000115       </t>
        </is>
      </c>
      <c r="F723" t="n">
        <v>4077120</v>
      </c>
      <c r="G723" t="inlineStr">
        <is>
          <t xml:space="preserve">GALLETITAS SAND X 330 G NEOSOL     </t>
        </is>
      </c>
      <c r="H723" t="inlineStr">
        <is>
          <t xml:space="preserve">UNIDAD              </t>
        </is>
      </c>
      <c r="I723" t="n">
        <v>14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14</v>
      </c>
      <c r="P723" s="96">
        <f>_xlfn.XLOOKUP(Tabla5[[#This Row],[EAN CORREGIDO]],'Tabla Articulos'!B:B,'Tabla Articulos'!D:D)</f>
        <v/>
      </c>
      <c r="Q723" s="96">
        <f>_xlfn.XLOOKUP(S723,'Tabla Articulos'!B:B,'Tabla Articulos'!E:E)</f>
        <v/>
      </c>
      <c r="R723" s="96">
        <f>O723*Q723</f>
        <v/>
      </c>
      <c r="S723" s="97">
        <f>TRIM(E723)</f>
        <v/>
      </c>
    </row>
    <row r="724" hidden="1">
      <c r="A724" s="22" t="n">
        <v>1</v>
      </c>
      <c r="B724" t="inlineStr">
        <is>
          <t xml:space="preserve">CD MORENO                     </t>
        </is>
      </c>
      <c r="C724" t="inlineStr">
        <is>
          <t xml:space="preserve">GRUPO L.                      </t>
        </is>
      </c>
      <c r="D724" t="inlineStr">
        <is>
          <t>GALLE AGUA</t>
        </is>
      </c>
      <c r="E724" t="inlineStr">
        <is>
          <t xml:space="preserve">7796624000115       </t>
        </is>
      </c>
      <c r="F724" t="n">
        <v>4077120</v>
      </c>
      <c r="G724" t="inlineStr">
        <is>
          <t xml:space="preserve">GALLETITAS SAND X 330 G NEOSOL     </t>
        </is>
      </c>
      <c r="H724" t="inlineStr">
        <is>
          <t xml:space="preserve">UNIDAD              </t>
        </is>
      </c>
      <c r="I724" t="n">
        <v>6148</v>
      </c>
      <c r="J724" t="n">
        <v>660</v>
      </c>
      <c r="K724" t="n">
        <v>0</v>
      </c>
      <c r="L724" t="n">
        <v>679</v>
      </c>
      <c r="M724" t="n">
        <v>679</v>
      </c>
      <c r="N724" t="n">
        <v>0</v>
      </c>
      <c r="O724" t="n">
        <v>5450</v>
      </c>
      <c r="P724" s="96">
        <f>_xlfn.XLOOKUP(Tabla5[[#This Row],[EAN CORREGIDO]],'Tabla Articulos'!B:B,'Tabla Articulos'!D:D)</f>
        <v/>
      </c>
      <c r="Q724" s="96">
        <f>_xlfn.XLOOKUP(S724,'Tabla Articulos'!B:B,'Tabla Articulos'!E:E)</f>
        <v/>
      </c>
      <c r="R724" s="96">
        <f>O724*Q724</f>
        <v/>
      </c>
      <c r="S724" s="97">
        <f>TRIM(E724)</f>
        <v/>
      </c>
    </row>
    <row r="725" hidden="1">
      <c r="A725" s="22" t="n">
        <v>6</v>
      </c>
      <c r="B725" t="inlineStr">
        <is>
          <t xml:space="preserve">CDM03 - MORENO 3              </t>
        </is>
      </c>
      <c r="C725" t="inlineStr">
        <is>
          <t xml:space="preserve">GRUPO L.                      </t>
        </is>
      </c>
      <c r="E725" t="inlineStr">
        <is>
          <t xml:space="preserve">BAZ001345           </t>
        </is>
      </c>
      <c r="F725" t="n">
        <v>9003801</v>
      </c>
      <c r="G725" t="inlineStr">
        <is>
          <t xml:space="preserve">TETERA ACERO INOX P/1 MOD PYG      </t>
        </is>
      </c>
      <c r="H725" t="inlineStr">
        <is>
          <t xml:space="preserve">UNIDAD              </t>
        </is>
      </c>
      <c r="I725" t="n">
        <v>234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234</v>
      </c>
      <c r="P725" s="96">
        <f>_xlfn.XLOOKUP(Tabla5[[#This Row],[EAN CORREGIDO]],'Tabla Articulos'!B:B,'Tabla Articulos'!D:D)</f>
        <v/>
      </c>
      <c r="Q725" s="96">
        <f>_xlfn.XLOOKUP(S725,'Tabla Articulos'!B:B,'Tabla Articulos'!E:E)</f>
        <v/>
      </c>
      <c r="R725" s="96">
        <f>O725*Q725</f>
        <v/>
      </c>
      <c r="S725" s="97">
        <f>TRIM(E725)</f>
        <v/>
      </c>
    </row>
    <row r="726" hidden="1">
      <c r="A726" s="22" t="n">
        <v>5</v>
      </c>
      <c r="B726" t="inlineStr">
        <is>
          <t xml:space="preserve">CDM02 - MORENO 2              </t>
        </is>
      </c>
      <c r="C726" t="inlineStr">
        <is>
          <t xml:space="preserve">GRUPO L.                      </t>
        </is>
      </c>
      <c r="D726" t="inlineStr">
        <is>
          <t>POSTRE DDL</t>
        </is>
      </c>
      <c r="E726" t="inlineStr">
        <is>
          <t xml:space="preserve">7790530850130       </t>
        </is>
      </c>
      <c r="F726" t="n">
        <v>4019842</v>
      </c>
      <c r="G726" t="inlineStr">
        <is>
          <t xml:space="preserve">POSTRE DULCE LECHE X1KG BEDIAL     </t>
        </is>
      </c>
      <c r="H726" t="inlineStr">
        <is>
          <t xml:space="preserve">UNIDAD              </t>
        </is>
      </c>
      <c r="I726" t="n">
        <v>41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41</v>
      </c>
      <c r="P726" s="96">
        <f>_xlfn.XLOOKUP(Tabla5[[#This Row],[EAN CORREGIDO]],'Tabla Articulos'!B:B,'Tabla Articulos'!D:D)</f>
        <v/>
      </c>
      <c r="Q726" s="96">
        <f>_xlfn.XLOOKUP(S726,'Tabla Articulos'!B:B,'Tabla Articulos'!E:E)</f>
        <v/>
      </c>
      <c r="R726" s="96">
        <f>O726*Q726</f>
        <v/>
      </c>
      <c r="S726" s="97">
        <f>TRIM(E726)</f>
        <v/>
      </c>
    </row>
    <row r="727" hidden="1">
      <c r="A727" s="22" t="n">
        <v>1</v>
      </c>
      <c r="B727" t="inlineStr">
        <is>
          <t xml:space="preserve">CD MORENO                     </t>
        </is>
      </c>
      <c r="C727" t="inlineStr">
        <is>
          <t xml:space="preserve">GRUPO L.                      </t>
        </is>
      </c>
      <c r="D727" s="11" t="inlineStr">
        <is>
          <t>POSTRE DDL</t>
        </is>
      </c>
      <c r="E727" t="inlineStr">
        <is>
          <t xml:space="preserve">7790530850130       </t>
        </is>
      </c>
      <c r="F727" t="n">
        <v>4019842</v>
      </c>
      <c r="G727" t="inlineStr">
        <is>
          <t xml:space="preserve">POSTRE DULCE LECHE X1KG BEDIAL     </t>
        </is>
      </c>
      <c r="H727" t="inlineStr">
        <is>
          <t xml:space="preserve">UNIDAD              </t>
        </is>
      </c>
      <c r="I727" t="n">
        <v>48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48</v>
      </c>
      <c r="P727" s="96">
        <f>_xlfn.XLOOKUP(Tabla5[[#This Row],[EAN CORREGIDO]],'Tabla Articulos'!B:B,'Tabla Articulos'!D:D)</f>
        <v/>
      </c>
      <c r="Q727" s="96">
        <f>_xlfn.XLOOKUP(S727,'Tabla Articulos'!B:B,'Tabla Articulos'!E:E)</f>
        <v/>
      </c>
      <c r="R727" s="96">
        <f>O727*Q727</f>
        <v/>
      </c>
      <c r="S727" s="97">
        <f>TRIM(E727)</f>
        <v/>
      </c>
    </row>
    <row r="728" hidden="1">
      <c r="A728" s="22" t="n">
        <v>6</v>
      </c>
      <c r="B728" t="inlineStr">
        <is>
          <t xml:space="preserve">CDM03 - MORENO 3              </t>
        </is>
      </c>
      <c r="C728" t="inlineStr">
        <is>
          <t xml:space="preserve">GRUPO L.                      </t>
        </is>
      </c>
      <c r="D728" s="11" t="inlineStr">
        <is>
          <t>CABOS ALUMINIO COLOR</t>
        </is>
      </c>
      <c r="E728" t="inlineStr">
        <is>
          <t xml:space="preserve">7790000000503       </t>
        </is>
      </c>
      <c r="F728" t="n">
        <v>2007536</v>
      </c>
      <c r="G728" t="inlineStr">
        <is>
          <t xml:space="preserve">CABO ALUM 1.50MT AZUL XUN MPROPI   </t>
        </is>
      </c>
      <c r="H728" t="inlineStr">
        <is>
          <t xml:space="preserve">UNIDAD              </t>
        </is>
      </c>
      <c r="I728" t="n">
        <v>137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137</v>
      </c>
      <c r="P728" s="96">
        <f>_xlfn.XLOOKUP(Tabla5[[#This Row],[EAN CORREGIDO]],'Tabla Articulos'!B:B,'Tabla Articulos'!D:D)</f>
        <v/>
      </c>
      <c r="Q728" s="96">
        <f>_xlfn.XLOOKUP(S728,'Tabla Articulos'!B:B,'Tabla Articulos'!E:E)</f>
        <v/>
      </c>
      <c r="R728" s="96">
        <f>O728*Q728</f>
        <v/>
      </c>
      <c r="S728" s="97">
        <f>TRIM(E728)</f>
        <v/>
      </c>
    </row>
    <row r="729" hidden="1">
      <c r="A729" s="22" t="n">
        <v>5</v>
      </c>
      <c r="B729" t="inlineStr">
        <is>
          <t xml:space="preserve">CDM02 - MORENO 2              </t>
        </is>
      </c>
      <c r="C729" t="inlineStr">
        <is>
          <t xml:space="preserve">GRUPO L.                      </t>
        </is>
      </c>
      <c r="D729" t="inlineStr">
        <is>
          <t>CONDIM P/PIZZA</t>
        </is>
      </c>
      <c r="E729" t="inlineStr">
        <is>
          <t xml:space="preserve">7790530900019       </t>
        </is>
      </c>
      <c r="F729" t="n">
        <v>4019768</v>
      </c>
      <c r="G729" t="inlineStr">
        <is>
          <t xml:space="preserve">CONDIMENTO PIZZA 1KG BEDIAL        </t>
        </is>
      </c>
      <c r="H729" t="inlineStr">
        <is>
          <t xml:space="preserve">UNIDAD              </t>
        </is>
      </c>
      <c r="I729" t="n">
        <v>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7</v>
      </c>
      <c r="P729" s="96">
        <f>_xlfn.XLOOKUP(Tabla5[[#This Row],[EAN CORREGIDO]],'Tabla Articulos'!B:B,'Tabla Articulos'!D:D)</f>
        <v/>
      </c>
      <c r="Q729" s="96">
        <f>_xlfn.XLOOKUP(S729,'Tabla Articulos'!B:B,'Tabla Articulos'!E:E)</f>
        <v/>
      </c>
      <c r="R729" s="96">
        <f>O729*Q729</f>
        <v/>
      </c>
      <c r="S729" s="97">
        <f>TRIM(E729)</f>
        <v/>
      </c>
    </row>
    <row r="730" hidden="1">
      <c r="A730" s="22" t="n">
        <v>6</v>
      </c>
      <c r="B730" t="inlineStr">
        <is>
          <t xml:space="preserve">CDM03 - MORENO 3              </t>
        </is>
      </c>
      <c r="C730" t="inlineStr">
        <is>
          <t xml:space="preserve">GRUPO L.                      </t>
        </is>
      </c>
      <c r="D730" t="inlineStr">
        <is>
          <t>TRAPOS DE PISO</t>
        </is>
      </c>
      <c r="E730" t="inlineStr">
        <is>
          <t xml:space="preserve">7798024450118       </t>
        </is>
      </c>
      <c r="F730" t="n">
        <v>2006543</v>
      </c>
      <c r="G730" t="inlineStr">
        <is>
          <t xml:space="preserve">TRAPO PISO GRIS62X48 XU            </t>
        </is>
      </c>
      <c r="H730" t="inlineStr">
        <is>
          <t xml:space="preserve">UNIDAD              </t>
        </is>
      </c>
      <c r="I730" t="n">
        <v>10640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10640</v>
      </c>
      <c r="P730" s="96">
        <f>_xlfn.XLOOKUP(Tabla5[[#This Row],[EAN CORREGIDO]],'Tabla Articulos'!B:B,'Tabla Articulos'!D:D)</f>
        <v/>
      </c>
      <c r="Q730" s="96">
        <f>_xlfn.XLOOKUP(S730,'Tabla Articulos'!B:B,'Tabla Articulos'!E:E)</f>
        <v/>
      </c>
      <c r="R730" s="96">
        <f>O730*Q730</f>
        <v/>
      </c>
      <c r="S730" s="97">
        <f>TRIM(E730)</f>
        <v/>
      </c>
    </row>
    <row r="731" hidden="1">
      <c r="A731" s="22" t="n">
        <v>6</v>
      </c>
      <c r="B731" t="inlineStr">
        <is>
          <t xml:space="preserve">CDM03 - MORENO 3              </t>
        </is>
      </c>
      <c r="C731" t="inlineStr">
        <is>
          <t xml:space="preserve">GRUPO L.                      </t>
        </is>
      </c>
      <c r="E731" t="inlineStr">
        <is>
          <t xml:space="preserve">UNIF000156          </t>
        </is>
      </c>
      <c r="F731" t="n">
        <v>9003573</v>
      </c>
      <c r="G731" t="inlineStr">
        <is>
          <t xml:space="preserve">CAMI. BLAN.M. LARG 42 GL SUP       </t>
        </is>
      </c>
      <c r="H731" t="inlineStr">
        <is>
          <t xml:space="preserve">UNIDAD              </t>
        </is>
      </c>
      <c r="I731" t="n">
        <v>28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28</v>
      </c>
      <c r="P731" s="96">
        <f>_xlfn.XLOOKUP(Tabla5[[#This Row],[EAN CORREGIDO]],'Tabla Articulos'!B:B,'Tabla Articulos'!D:D)</f>
        <v/>
      </c>
      <c r="Q731" s="96">
        <f>_xlfn.XLOOKUP(S731,'Tabla Articulos'!B:B,'Tabla Articulos'!E:E)</f>
        <v/>
      </c>
      <c r="R731" s="96">
        <f>O731*Q731</f>
        <v/>
      </c>
      <c r="S731" s="97">
        <f>TRIM(E731)</f>
        <v/>
      </c>
    </row>
    <row r="732" hidden="1">
      <c r="A732" s="22" t="n">
        <v>6</v>
      </c>
      <c r="B732" t="inlineStr">
        <is>
          <t xml:space="preserve">CDM03 - MORENO 3              </t>
        </is>
      </c>
      <c r="C732" t="inlineStr">
        <is>
          <t xml:space="preserve">GRUPO L.                      </t>
        </is>
      </c>
      <c r="E732" t="inlineStr">
        <is>
          <t xml:space="preserve">BAZ001248           </t>
        </is>
      </c>
      <c r="F732" t="n">
        <v>9003780</v>
      </c>
      <c r="G732" t="inlineStr">
        <is>
          <t xml:space="preserve">CONTENED PLAST RECT 33X23X9 4.9L   </t>
        </is>
      </c>
      <c r="H732" t="inlineStr">
        <is>
          <t xml:space="preserve">UNIDAD              </t>
        </is>
      </c>
      <c r="I732" t="n">
        <v>153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153</v>
      </c>
      <c r="P732" s="96">
        <f>_xlfn.XLOOKUP(Tabla5[[#This Row],[EAN CORREGIDO]],'Tabla Articulos'!B:B,'Tabla Articulos'!D:D)</f>
        <v/>
      </c>
      <c r="Q732" s="96">
        <f>_xlfn.XLOOKUP(S732,'Tabla Articulos'!B:B,'Tabla Articulos'!E:E)</f>
        <v/>
      </c>
      <c r="R732" s="96">
        <f>O732*Q732</f>
        <v/>
      </c>
      <c r="S732" s="97">
        <f>TRIM(E732)</f>
        <v/>
      </c>
    </row>
    <row r="733" hidden="1">
      <c r="A733" s="22" t="n">
        <v>6</v>
      </c>
      <c r="B733" t="inlineStr">
        <is>
          <t xml:space="preserve">CDM03 - MORENO 3              </t>
        </is>
      </c>
      <c r="C733" t="inlineStr">
        <is>
          <t xml:space="preserve">GRUPO L.                      </t>
        </is>
      </c>
      <c r="D733" s="11" t="n"/>
      <c r="E733" t="inlineStr">
        <is>
          <t xml:space="preserve">5000752             </t>
        </is>
      </c>
      <c r="F733" t="n">
        <v>5000752</v>
      </c>
      <c r="G733" t="inlineStr">
        <is>
          <t>GUANTE MAPA ULTRANITRIL AF 492 VERD</t>
        </is>
      </c>
      <c r="H733" t="inlineStr">
        <is>
          <t xml:space="preserve">UNIDAD              </t>
        </is>
      </c>
      <c r="I733" t="n">
        <v>45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45</v>
      </c>
      <c r="P733" s="96">
        <f>_xlfn.XLOOKUP(Tabla5[[#This Row],[EAN CORREGIDO]],'Tabla Articulos'!B:B,'Tabla Articulos'!D:D)</f>
        <v/>
      </c>
      <c r="Q733" s="96">
        <f>_xlfn.XLOOKUP(S733,'Tabla Articulos'!B:B,'Tabla Articulos'!E:E)</f>
        <v/>
      </c>
      <c r="R733" s="96">
        <f>O733*Q733</f>
        <v/>
      </c>
      <c r="S733" s="97">
        <f>TRIM(E733)</f>
        <v/>
      </c>
    </row>
    <row r="734" hidden="1">
      <c r="A734" s="22" t="n">
        <v>5</v>
      </c>
      <c r="B734" t="inlineStr">
        <is>
          <t xml:space="preserve">CDM02 - MORENO 2              </t>
        </is>
      </c>
      <c r="C734" t="inlineStr">
        <is>
          <t xml:space="preserve">GRUPO L.                      </t>
        </is>
      </c>
      <c r="D734" t="inlineStr">
        <is>
          <t>AZUCAR IMPALPABLE</t>
        </is>
      </c>
      <c r="E734" t="inlineStr">
        <is>
          <t xml:space="preserve">7790971002082       </t>
        </is>
      </c>
      <c r="F734" t="n">
        <v>4019789</v>
      </c>
      <c r="G734" t="inlineStr">
        <is>
          <t xml:space="preserve">AZUCAR IMPALPABLE X500G ORLOC      </t>
        </is>
      </c>
      <c r="H734" t="inlineStr">
        <is>
          <t xml:space="preserve">UNIDAD              </t>
        </is>
      </c>
      <c r="I734" t="n">
        <v>6</v>
      </c>
      <c r="J734" t="n">
        <v>0</v>
      </c>
      <c r="K734" t="n">
        <v>0</v>
      </c>
      <c r="L734" t="n">
        <v>2</v>
      </c>
      <c r="M734" t="n">
        <v>2</v>
      </c>
      <c r="N734" t="n">
        <v>0</v>
      </c>
      <c r="O734" t="n">
        <v>2</v>
      </c>
      <c r="P734" s="96">
        <f>_xlfn.XLOOKUP(Tabla5[[#This Row],[EAN CORREGIDO]],'Tabla Articulos'!B:B,'Tabla Articulos'!D:D)</f>
        <v/>
      </c>
      <c r="Q734" s="96">
        <f>_xlfn.XLOOKUP(S734,'Tabla Articulos'!B:B,'Tabla Articulos'!E:E)</f>
        <v/>
      </c>
      <c r="R734" s="96">
        <f>O734*Q734</f>
        <v/>
      </c>
      <c r="S734" s="97">
        <f>TRIM(E734)</f>
        <v/>
      </c>
    </row>
    <row r="735" hidden="1">
      <c r="A735" s="22" t="n">
        <v>1</v>
      </c>
      <c r="B735" t="inlineStr">
        <is>
          <t xml:space="preserve">CD MORENO                     </t>
        </is>
      </c>
      <c r="C735" t="inlineStr">
        <is>
          <t xml:space="preserve">GRUPO L.                      </t>
        </is>
      </c>
      <c r="D735" s="11" t="inlineStr">
        <is>
          <t>AZUCAR IMPALPABLE</t>
        </is>
      </c>
      <c r="E735" t="inlineStr">
        <is>
          <t xml:space="preserve">7790971002082       </t>
        </is>
      </c>
      <c r="F735" t="n">
        <v>4019789</v>
      </c>
      <c r="G735" t="inlineStr">
        <is>
          <t xml:space="preserve">AZUCAR IMPALPABLE X500G ORLOC      </t>
        </is>
      </c>
      <c r="H735" t="inlineStr">
        <is>
          <t xml:space="preserve">UNIDAD              </t>
        </is>
      </c>
      <c r="I735" t="n">
        <v>60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60</v>
      </c>
      <c r="P735" s="96">
        <f>_xlfn.XLOOKUP(Tabla5[[#This Row],[EAN CORREGIDO]],'Tabla Articulos'!B:B,'Tabla Articulos'!D:D)</f>
        <v/>
      </c>
      <c r="Q735" s="96">
        <f>_xlfn.XLOOKUP(S735,'Tabla Articulos'!B:B,'Tabla Articulos'!E:E)</f>
        <v/>
      </c>
      <c r="R735" s="96">
        <f>O735*Q735</f>
        <v/>
      </c>
      <c r="S735" s="97">
        <f>TRIM(E735)</f>
        <v/>
      </c>
    </row>
    <row r="736" hidden="1">
      <c r="A736" s="22" t="n">
        <v>1</v>
      </c>
      <c r="B736" t="inlineStr">
        <is>
          <t xml:space="preserve">CD MORENO                     </t>
        </is>
      </c>
      <c r="C736" t="inlineStr">
        <is>
          <t xml:space="preserve">GRUPO L.                      </t>
        </is>
      </c>
      <c r="D736" s="11" t="inlineStr">
        <is>
          <t>VINO OPORTO</t>
        </is>
      </c>
      <c r="E736" t="inlineStr">
        <is>
          <t xml:space="preserve">7792100016281       </t>
        </is>
      </c>
      <c r="F736" t="n">
        <v>4021170</v>
      </c>
      <c r="G736" t="inlineStr">
        <is>
          <t xml:space="preserve">VINO OPORTO X 1L FLORIO            </t>
        </is>
      </c>
      <c r="H736" t="inlineStr">
        <is>
          <t xml:space="preserve">UNIDAD              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s="96">
        <f>_xlfn.XLOOKUP(Tabla5[[#This Row],[EAN CORREGIDO]],'Tabla Articulos'!B:B,'Tabla Articulos'!D:D)</f>
        <v/>
      </c>
      <c r="Q736" s="96">
        <f>_xlfn.XLOOKUP(S736,'Tabla Articulos'!B:B,'Tabla Articulos'!E:E)</f>
        <v/>
      </c>
      <c r="R736" s="96">
        <f>O736*Q736</f>
        <v/>
      </c>
      <c r="S736" s="97">
        <f>TRIM(E736)</f>
        <v/>
      </c>
    </row>
    <row r="737" hidden="1">
      <c r="A737" s="22" t="n">
        <v>5</v>
      </c>
      <c r="B737" t="inlineStr">
        <is>
          <t xml:space="preserve">CDM02 - MORENO 2              </t>
        </is>
      </c>
      <c r="C737" t="inlineStr">
        <is>
          <t xml:space="preserve">GRUPO L.                      </t>
        </is>
      </c>
      <c r="D737" t="inlineStr">
        <is>
          <t>VINO OPORTO</t>
        </is>
      </c>
      <c r="E737" t="inlineStr">
        <is>
          <t xml:space="preserve">7792100016281       </t>
        </is>
      </c>
      <c r="F737" t="n">
        <v>4021170</v>
      </c>
      <c r="G737" t="inlineStr">
        <is>
          <t xml:space="preserve">VINO OPORTO X 1L FLORIO            </t>
        </is>
      </c>
      <c r="H737" t="inlineStr">
        <is>
          <t xml:space="preserve">UNIDAD              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s="96">
        <f>_xlfn.XLOOKUP(Tabla5[[#This Row],[EAN CORREGIDO]],'Tabla Articulos'!B:B,'Tabla Articulos'!D:D)</f>
        <v/>
      </c>
      <c r="Q737" s="96">
        <f>_xlfn.XLOOKUP(S737,'Tabla Articulos'!B:B,'Tabla Articulos'!E:E)</f>
        <v/>
      </c>
      <c r="R737" s="96">
        <f>O737*Q737</f>
        <v/>
      </c>
      <c r="S737" s="97">
        <f>TRIM(E737)</f>
        <v/>
      </c>
    </row>
    <row r="738" hidden="1">
      <c r="A738" s="22" t="n">
        <v>6</v>
      </c>
      <c r="B738" t="inlineStr">
        <is>
          <t xml:space="preserve">CDM03 - MORENO 3              </t>
        </is>
      </c>
      <c r="C738" t="inlineStr">
        <is>
          <t xml:space="preserve">GRUPO L.                      </t>
        </is>
      </c>
      <c r="D738" t="inlineStr">
        <is>
          <t>CAJA P/ PIZZA</t>
        </is>
      </c>
      <c r="E738" t="inlineStr">
        <is>
          <t xml:space="preserve">EMB000130           </t>
        </is>
      </c>
      <c r="F738" t="n">
        <v>2006280</v>
      </c>
      <c r="G738" t="inlineStr">
        <is>
          <t xml:space="preserve">CAJA DE PIZZA CHICA X 50 U         </t>
        </is>
      </c>
      <c r="H738" t="inlineStr">
        <is>
          <t xml:space="preserve">UNIDAD              </t>
        </is>
      </c>
      <c r="I738" t="n">
        <v>10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10</v>
      </c>
      <c r="P738" s="96">
        <f>_xlfn.XLOOKUP(Tabla5[[#This Row],[EAN CORREGIDO]],'Tabla Articulos'!B:B,'Tabla Articulos'!D:D)</f>
        <v/>
      </c>
      <c r="Q738" s="96">
        <f>_xlfn.XLOOKUP(S738,'Tabla Articulos'!B:B,'Tabla Articulos'!E:E)</f>
        <v/>
      </c>
      <c r="R738" s="96">
        <f>O738*Q738</f>
        <v/>
      </c>
      <c r="S738" s="97">
        <f>TRIM(E738)</f>
        <v/>
      </c>
    </row>
    <row r="739" hidden="1">
      <c r="A739" s="22" t="n">
        <v>1</v>
      </c>
      <c r="B739" t="inlineStr">
        <is>
          <t xml:space="preserve">CD MORENO                     </t>
        </is>
      </c>
      <c r="C739" t="inlineStr">
        <is>
          <t xml:space="preserve">GRUPO L.                      </t>
        </is>
      </c>
      <c r="D739" t="inlineStr">
        <is>
          <t>GELATINA FRUTILLA LIGHT</t>
        </is>
      </c>
      <c r="E739" t="inlineStr">
        <is>
          <t xml:space="preserve">7790971000651       </t>
        </is>
      </c>
      <c r="F739" t="n">
        <v>4019860</v>
      </c>
      <c r="G739" t="inlineStr">
        <is>
          <t xml:space="preserve">GELATINA FRUTI LIGHT X1K RAVAN     </t>
        </is>
      </c>
      <c r="H739" t="inlineStr">
        <is>
          <t xml:space="preserve">UNIDAD              </t>
        </is>
      </c>
      <c r="I739" t="n">
        <v>10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10</v>
      </c>
      <c r="P739" s="96">
        <f>_xlfn.XLOOKUP(Tabla5[[#This Row],[EAN CORREGIDO]],'Tabla Articulos'!B:B,'Tabla Articulos'!D:D)</f>
        <v/>
      </c>
      <c r="Q739" s="96">
        <f>_xlfn.XLOOKUP(S739,'Tabla Articulos'!B:B,'Tabla Articulos'!E:E)</f>
        <v/>
      </c>
      <c r="R739" s="96">
        <f>O739*Q739</f>
        <v/>
      </c>
      <c r="S739" s="97">
        <f>TRIM(E739)</f>
        <v/>
      </c>
    </row>
    <row r="740" hidden="1">
      <c r="A740" s="22" t="n">
        <v>1</v>
      </c>
      <c r="B740" t="inlineStr">
        <is>
          <t xml:space="preserve">CD MORENO                     </t>
        </is>
      </c>
      <c r="C740" t="inlineStr">
        <is>
          <t xml:space="preserve">GRUPO L.                      </t>
        </is>
      </c>
      <c r="D740" t="inlineStr">
        <is>
          <t>CUADRIL SIN TAPA</t>
        </is>
      </c>
      <c r="E740" t="inlineStr">
        <is>
          <t xml:space="preserve">790212030076        </t>
        </is>
      </c>
      <c r="F740" t="n">
        <v>4017701</v>
      </c>
      <c r="G740" t="inlineStr">
        <is>
          <t xml:space="preserve">CUADRIL SIN TAPA XKG               </t>
        </is>
      </c>
      <c r="H740" t="inlineStr">
        <is>
          <t xml:space="preserve">Kgs                 </t>
        </is>
      </c>
      <c r="I740" t="n">
        <v>179.66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179.66</v>
      </c>
      <c r="P740" s="96">
        <f>_xlfn.XLOOKUP(Tabla5[[#This Row],[EAN CORREGIDO]],'Tabla Articulos'!B:B,'Tabla Articulos'!D:D)</f>
        <v/>
      </c>
      <c r="Q740" s="96">
        <f>_xlfn.XLOOKUP(S740,'Tabla Articulos'!B:B,'Tabla Articulos'!E:E)</f>
        <v/>
      </c>
      <c r="R740" s="96">
        <f>O740*Q740</f>
        <v/>
      </c>
      <c r="S740" s="97">
        <f>TRIM(E740)</f>
        <v/>
      </c>
    </row>
    <row r="741" hidden="1">
      <c r="A741" s="22" t="n">
        <v>6</v>
      </c>
      <c r="B741" t="inlineStr">
        <is>
          <t xml:space="preserve">CDM03 - MORENO 3              </t>
        </is>
      </c>
      <c r="C741" t="inlineStr">
        <is>
          <t xml:space="preserve">GRUPO L.                      </t>
        </is>
      </c>
      <c r="E741" t="inlineStr">
        <is>
          <t xml:space="preserve">9001653             </t>
        </is>
      </c>
      <c r="F741" t="n">
        <v>9001653</v>
      </c>
      <c r="G741" t="inlineStr">
        <is>
          <t xml:space="preserve">DISCO 20` DISCO ROJO               </t>
        </is>
      </c>
      <c r="H741" t="inlineStr">
        <is>
          <t xml:space="preserve">UNIDAD              </t>
        </is>
      </c>
      <c r="I741" t="n">
        <v>32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32</v>
      </c>
      <c r="P741" s="96">
        <f>_xlfn.XLOOKUP(Tabla5[[#This Row],[EAN CORREGIDO]],'Tabla Articulos'!B:B,'Tabla Articulos'!D:D)</f>
        <v/>
      </c>
      <c r="Q741" s="96">
        <f>_xlfn.XLOOKUP(S741,'Tabla Articulos'!B:B,'Tabla Articulos'!E:E)</f>
        <v/>
      </c>
      <c r="R741" s="96">
        <f>O741*Q741</f>
        <v/>
      </c>
      <c r="S741" s="97">
        <f>TRIM(E741)</f>
        <v/>
      </c>
    </row>
    <row r="742" hidden="1">
      <c r="A742" s="22" t="n">
        <v>6</v>
      </c>
      <c r="B742" t="inlineStr">
        <is>
          <t xml:space="preserve">CDM03 - MORENO 3              </t>
        </is>
      </c>
      <c r="C742" t="inlineStr">
        <is>
          <t xml:space="preserve">GRUPO L.                      </t>
        </is>
      </c>
      <c r="D742" s="11" t="n"/>
      <c r="E742" t="inlineStr">
        <is>
          <t xml:space="preserve">UNIF000326          </t>
        </is>
      </c>
      <c r="F742" t="n">
        <v>9003200</v>
      </c>
      <c r="G742" t="inlineStr">
        <is>
          <t xml:space="preserve">REMERA CUELLO RED BLAN NUTRI XL    </t>
        </is>
      </c>
      <c r="H742" t="inlineStr">
        <is>
          <t xml:space="preserve">UNIDAD              </t>
        </is>
      </c>
      <c r="I742" t="n">
        <v>59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59</v>
      </c>
      <c r="P742" s="96">
        <f>_xlfn.XLOOKUP(Tabla5[[#This Row],[EAN CORREGIDO]],'Tabla Articulos'!B:B,'Tabla Articulos'!D:D)</f>
        <v/>
      </c>
      <c r="Q742" s="96">
        <f>_xlfn.XLOOKUP(S742,'Tabla Articulos'!B:B,'Tabla Articulos'!E:E)</f>
        <v/>
      </c>
      <c r="R742" s="96">
        <f>O742*Q742</f>
        <v/>
      </c>
      <c r="S742" s="97">
        <f>TRIM(E742)</f>
        <v/>
      </c>
    </row>
    <row r="743" hidden="1">
      <c r="A743" s="22" t="n">
        <v>6</v>
      </c>
      <c r="B743" t="inlineStr">
        <is>
          <t xml:space="preserve">CDM03 - MORENO 3              </t>
        </is>
      </c>
      <c r="C743" t="inlineStr">
        <is>
          <t xml:space="preserve">GRUPO L.                      </t>
        </is>
      </c>
      <c r="E743" t="inlineStr">
        <is>
          <t xml:space="preserve">UNIF000630          </t>
        </is>
      </c>
      <c r="F743" t="n">
        <v>9003168</v>
      </c>
      <c r="G743" t="inlineStr">
        <is>
          <t xml:space="preserve">FALDON GR CORTO CHEF GOURMET       </t>
        </is>
      </c>
      <c r="H743" t="inlineStr">
        <is>
          <t xml:space="preserve">UNIDAD              </t>
        </is>
      </c>
      <c r="I743" t="n">
        <v>160</v>
      </c>
      <c r="J743" t="n">
        <v>400</v>
      </c>
      <c r="K743" t="n">
        <v>0</v>
      </c>
      <c r="L743" t="n">
        <v>0</v>
      </c>
      <c r="M743" t="n">
        <v>0</v>
      </c>
      <c r="N743" t="n">
        <v>0</v>
      </c>
      <c r="O743" t="n">
        <v>560</v>
      </c>
      <c r="P743" s="96">
        <f>_xlfn.XLOOKUP(Tabla5[[#This Row],[EAN CORREGIDO]],'Tabla Articulos'!B:B,'Tabla Articulos'!D:D)</f>
        <v/>
      </c>
      <c r="Q743" s="96">
        <f>_xlfn.XLOOKUP(S743,'Tabla Articulos'!B:B,'Tabla Articulos'!E:E)</f>
        <v/>
      </c>
      <c r="R743" s="96">
        <f>O743*Q743</f>
        <v/>
      </c>
      <c r="S743" s="97">
        <f>TRIM(E743)</f>
        <v/>
      </c>
    </row>
    <row r="744" hidden="1">
      <c r="A744" s="22" t="n">
        <v>6</v>
      </c>
      <c r="B744" t="inlineStr">
        <is>
          <t xml:space="preserve">CDM03 - MORENO 3              </t>
        </is>
      </c>
      <c r="C744" t="inlineStr">
        <is>
          <t xml:space="preserve">GRUPO L.                      </t>
        </is>
      </c>
      <c r="E744" t="inlineStr">
        <is>
          <t xml:space="preserve">LIM000227           </t>
        </is>
      </c>
      <c r="F744" t="n">
        <v>2006584</v>
      </c>
      <c r="G744" t="inlineStr">
        <is>
          <t xml:space="preserve">EQUIPO LIMPIAVIDRIOS X U	          </t>
        </is>
      </c>
      <c r="H744" t="inlineStr">
        <is>
          <t xml:space="preserve">UNIDAD              </t>
        </is>
      </c>
      <c r="I744" t="n">
        <v>199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199</v>
      </c>
      <c r="P744" s="96">
        <f>_xlfn.XLOOKUP(Tabla5[[#This Row],[EAN CORREGIDO]],'Tabla Articulos'!B:B,'Tabla Articulos'!D:D)</f>
        <v/>
      </c>
      <c r="Q744" s="96">
        <f>_xlfn.XLOOKUP(S744,'Tabla Articulos'!B:B,'Tabla Articulos'!E:E)</f>
        <v/>
      </c>
      <c r="R744" s="96">
        <f>O744*Q744</f>
        <v/>
      </c>
      <c r="S744" s="97">
        <f>TRIM(E744)</f>
        <v/>
      </c>
    </row>
    <row r="745" hidden="1">
      <c r="A745" s="22" t="n">
        <v>1</v>
      </c>
      <c r="B745" t="inlineStr">
        <is>
          <t xml:space="preserve">CD MORENO                     </t>
        </is>
      </c>
      <c r="C745" t="inlineStr">
        <is>
          <t xml:space="preserve">GRUPO L.                      </t>
        </is>
      </c>
      <c r="D745" s="11" t="inlineStr">
        <is>
          <t xml:space="preserve">TURRON DE MANI CON MIEL </t>
        </is>
      </c>
      <c r="E745" t="inlineStr">
        <is>
          <t xml:space="preserve">7792860001879       </t>
        </is>
      </c>
      <c r="F745" t="n">
        <v>4018848</v>
      </c>
      <c r="G745" t="inlineStr">
        <is>
          <t xml:space="preserve">TURRON DE MANI C/MIEL X 80GR LHERI </t>
        </is>
      </c>
      <c r="H745" t="inlineStr">
        <is>
          <t xml:space="preserve">UNIDAD              </t>
        </is>
      </c>
      <c r="I745" t="n">
        <v>48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48</v>
      </c>
      <c r="P745" s="96">
        <f>_xlfn.XLOOKUP(Tabla5[[#This Row],[EAN CORREGIDO]],'Tabla Articulos'!B:B,'Tabla Articulos'!D:D)</f>
        <v/>
      </c>
      <c r="Q745" s="96">
        <f>_xlfn.XLOOKUP(S745,'Tabla Articulos'!B:B,'Tabla Articulos'!E:E)</f>
        <v/>
      </c>
      <c r="R745" s="96">
        <f>O745*Q745</f>
        <v/>
      </c>
      <c r="S745" s="97">
        <f>TRIM(E745)</f>
        <v/>
      </c>
    </row>
    <row r="746" hidden="1">
      <c r="A746" s="22" t="n">
        <v>6</v>
      </c>
      <c r="B746" t="inlineStr">
        <is>
          <t xml:space="preserve">CDM03 - MORENO 3              </t>
        </is>
      </c>
      <c r="C746" t="inlineStr">
        <is>
          <t xml:space="preserve">GRUPO L.                      </t>
        </is>
      </c>
      <c r="D746" s="11" t="n"/>
      <c r="E746" t="inlineStr">
        <is>
          <t xml:space="preserve">BAZ001369           </t>
        </is>
      </c>
      <c r="F746" t="n">
        <v>9003889</v>
      </c>
      <c r="G746" t="inlineStr">
        <is>
          <t xml:space="preserve">SALERO PARRI AC INOX 18/8 SF       </t>
        </is>
      </c>
      <c r="H746" t="inlineStr">
        <is>
          <t xml:space="preserve">UNIDAD              </t>
        </is>
      </c>
      <c r="I746" t="n">
        <v>19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19</v>
      </c>
      <c r="P746" s="96">
        <f>_xlfn.XLOOKUP(Tabla5[[#This Row],[EAN CORREGIDO]],'Tabla Articulos'!B:B,'Tabla Articulos'!D:D)</f>
        <v/>
      </c>
      <c r="Q746" s="96">
        <f>_xlfn.XLOOKUP(S746,'Tabla Articulos'!B:B,'Tabla Articulos'!E:E)</f>
        <v/>
      </c>
      <c r="R746" s="96">
        <f>O746*Q746</f>
        <v/>
      </c>
      <c r="S746" s="97">
        <f>TRIM(E746)</f>
        <v/>
      </c>
    </row>
    <row r="747" hidden="1">
      <c r="A747" s="22" t="n">
        <v>1</v>
      </c>
      <c r="B747" t="inlineStr">
        <is>
          <t xml:space="preserve">CD MORENO                     </t>
        </is>
      </c>
      <c r="C747" t="inlineStr">
        <is>
          <t xml:space="preserve">GRUPO L.                      </t>
        </is>
      </c>
      <c r="D747" s="11" t="inlineStr">
        <is>
          <t>PANCETA AHUMADA</t>
        </is>
      </c>
      <c r="E747" t="inlineStr">
        <is>
          <t xml:space="preserve">7790212050102       </t>
        </is>
      </c>
      <c r="F747" t="n">
        <v>4017716</v>
      </c>
      <c r="G747" t="inlineStr">
        <is>
          <t xml:space="preserve">PANCETA AHUMADA X KG               </t>
        </is>
      </c>
      <c r="H747" t="inlineStr">
        <is>
          <t xml:space="preserve">Kgs                 </t>
        </is>
      </c>
      <c r="I747" t="n">
        <v>169.38</v>
      </c>
      <c r="J747" t="n">
        <v>0</v>
      </c>
      <c r="K747" t="n">
        <v>0</v>
      </c>
      <c r="L747" t="n">
        <v>5.4</v>
      </c>
      <c r="M747" t="n">
        <v>5.4</v>
      </c>
      <c r="N747" t="n">
        <v>0</v>
      </c>
      <c r="O747" t="n">
        <v>158.58</v>
      </c>
      <c r="P747" s="96">
        <f>_xlfn.XLOOKUP(Tabla5[[#This Row],[EAN CORREGIDO]],'Tabla Articulos'!B:B,'Tabla Articulos'!D:D)</f>
        <v/>
      </c>
      <c r="Q747" s="96">
        <f>_xlfn.XLOOKUP(S747,'Tabla Articulos'!B:B,'Tabla Articulos'!E:E)</f>
        <v/>
      </c>
      <c r="R747" s="96">
        <f>O747*Q747</f>
        <v/>
      </c>
      <c r="S747" s="97">
        <f>TRIM(E747)</f>
        <v/>
      </c>
    </row>
    <row r="748" hidden="1">
      <c r="A748" s="22" t="n">
        <v>1</v>
      </c>
      <c r="B748" t="inlineStr">
        <is>
          <t xml:space="preserve">CD MORENO                     </t>
        </is>
      </c>
      <c r="C748" t="inlineStr">
        <is>
          <t xml:space="preserve">GRUPO L.                      </t>
        </is>
      </c>
      <c r="D748" t="inlineStr">
        <is>
          <t>JUGO POLVO NARANJA LIGHT</t>
        </is>
      </c>
      <c r="E748" t="inlineStr">
        <is>
          <t xml:space="preserve">7622201703103       </t>
        </is>
      </c>
      <c r="F748" t="n">
        <v>4022386</v>
      </c>
      <c r="G748" t="inlineStr">
        <is>
          <t xml:space="preserve">JUGO NAR CLIGHT DISP 20SBX8GR      </t>
        </is>
      </c>
      <c r="H748" t="inlineStr">
        <is>
          <t xml:space="preserve">UNIDAD              </t>
        </is>
      </c>
      <c r="I748" t="n">
        <v>20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20</v>
      </c>
      <c r="P748" s="96">
        <f>_xlfn.XLOOKUP(Tabla5[[#This Row],[EAN CORREGIDO]],'Tabla Articulos'!B:B,'Tabla Articulos'!D:D)</f>
        <v/>
      </c>
      <c r="Q748" s="96">
        <f>_xlfn.XLOOKUP(S748,'Tabla Articulos'!B:B,'Tabla Articulos'!E:E)</f>
        <v/>
      </c>
      <c r="R748" s="96">
        <f>O748*Q748</f>
        <v/>
      </c>
      <c r="S748" s="97">
        <f>TRIM(E748)</f>
        <v/>
      </c>
    </row>
    <row r="749" hidden="1">
      <c r="A749" s="22" t="n">
        <v>6</v>
      </c>
      <c r="B749" t="inlineStr">
        <is>
          <t xml:space="preserve">CDM03 - MORENO 3              </t>
        </is>
      </c>
      <c r="C749" t="inlineStr">
        <is>
          <t xml:space="preserve">GRUPO L.                      </t>
        </is>
      </c>
      <c r="D749" s="11" t="n"/>
      <c r="E749" t="inlineStr">
        <is>
          <t xml:space="preserve">UNIF000128          </t>
        </is>
      </c>
      <c r="F749" t="n">
        <v>9003064</v>
      </c>
      <c r="G749" t="inlineStr">
        <is>
          <t xml:space="preserve">AMBO GRIS GL SUPPORT ESC V M       </t>
        </is>
      </c>
      <c r="H749" t="inlineStr">
        <is>
          <t xml:space="preserve">UNIDAD              </t>
        </is>
      </c>
      <c r="I749" t="n">
        <v>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8</v>
      </c>
      <c r="P749" s="96">
        <f>_xlfn.XLOOKUP(Tabla5[[#This Row],[EAN CORREGIDO]],'Tabla Articulos'!B:B,'Tabla Articulos'!D:D)</f>
        <v/>
      </c>
      <c r="Q749" s="96">
        <f>_xlfn.XLOOKUP(S749,'Tabla Articulos'!B:B,'Tabla Articulos'!E:E)</f>
        <v/>
      </c>
      <c r="R749" s="96">
        <f>O749*Q749</f>
        <v/>
      </c>
      <c r="S749" s="97">
        <f>TRIM(E749)</f>
        <v/>
      </c>
    </row>
    <row r="750" hidden="1">
      <c r="A750" s="22" t="n">
        <v>6</v>
      </c>
      <c r="B750" t="inlineStr">
        <is>
          <t xml:space="preserve">CDM03 - MORENO 3              </t>
        </is>
      </c>
      <c r="C750" t="inlineStr">
        <is>
          <t xml:space="preserve">GRUPO L.                      </t>
        </is>
      </c>
      <c r="E750" t="inlineStr">
        <is>
          <t xml:space="preserve">UNIF000521          </t>
        </is>
      </c>
      <c r="F750" t="n">
        <v>9003400</v>
      </c>
      <c r="G750" t="inlineStr">
        <is>
          <t xml:space="preserve">CONJ. PRIMERA PIEL TALLE M S.LOG   </t>
        </is>
      </c>
      <c r="H750" t="inlineStr">
        <is>
          <t xml:space="preserve">UNIDAD              </t>
        </is>
      </c>
      <c r="I750" t="n">
        <v>119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119</v>
      </c>
      <c r="P750" s="96">
        <f>_xlfn.XLOOKUP(Tabla5[[#This Row],[EAN CORREGIDO]],'Tabla Articulos'!B:B,'Tabla Articulos'!D:D)</f>
        <v/>
      </c>
      <c r="Q750" s="96">
        <f>_xlfn.XLOOKUP(S750,'Tabla Articulos'!B:B,'Tabla Articulos'!E:E)</f>
        <v/>
      </c>
      <c r="R750" s="96">
        <f>O750*Q750</f>
        <v/>
      </c>
      <c r="S750" s="97">
        <f>TRIM(E750)</f>
        <v/>
      </c>
    </row>
    <row r="751" hidden="1">
      <c r="A751" s="22" t="n">
        <v>1</v>
      </c>
      <c r="B751" t="inlineStr">
        <is>
          <t xml:space="preserve">CD MORENO                     </t>
        </is>
      </c>
      <c r="C751" t="inlineStr">
        <is>
          <t xml:space="preserve">GRUPO L.                      </t>
        </is>
      </c>
      <c r="D751" t="inlineStr">
        <is>
          <t>POSTRE VAINILLA</t>
        </is>
      </c>
      <c r="E751" t="inlineStr">
        <is>
          <t xml:space="preserve">7790971002419       </t>
        </is>
      </c>
      <c r="F751" t="n">
        <v>4019604</v>
      </c>
      <c r="G751" t="inlineStr">
        <is>
          <t xml:space="preserve">POSTRE VAINILLA X 90GR RAVANA	     </t>
        </is>
      </c>
      <c r="H751" t="inlineStr">
        <is>
          <t xml:space="preserve">UNIDAD              </t>
        </is>
      </c>
      <c r="I751" t="n">
        <v>20459</v>
      </c>
      <c r="J751" t="n">
        <v>3360</v>
      </c>
      <c r="K751" t="n">
        <v>0</v>
      </c>
      <c r="L751" t="n">
        <v>42</v>
      </c>
      <c r="M751" t="n">
        <v>42</v>
      </c>
      <c r="N751" t="n">
        <v>0</v>
      </c>
      <c r="O751" t="n">
        <v>23735</v>
      </c>
      <c r="P751" s="96">
        <f>_xlfn.XLOOKUP(Tabla5[[#This Row],[EAN CORREGIDO]],'Tabla Articulos'!B:B,'Tabla Articulos'!D:D)</f>
        <v/>
      </c>
      <c r="Q751" s="96">
        <f>_xlfn.XLOOKUP(S751,'Tabla Articulos'!B:B,'Tabla Articulos'!E:E)</f>
        <v/>
      </c>
      <c r="R751" s="96">
        <f>O751*Q751</f>
        <v/>
      </c>
      <c r="S751" s="97">
        <f>TRIM(E751)</f>
        <v/>
      </c>
    </row>
    <row r="752" hidden="1">
      <c r="A752" s="22" t="n">
        <v>1</v>
      </c>
      <c r="B752" t="inlineStr">
        <is>
          <t xml:space="preserve">CD MORENO                     </t>
        </is>
      </c>
      <c r="C752" t="inlineStr">
        <is>
          <t xml:space="preserve">GRUPO L.                      </t>
        </is>
      </c>
      <c r="D752" s="11" t="inlineStr">
        <is>
          <t>MERMELADA DAMASCO</t>
        </is>
      </c>
      <c r="E752" t="inlineStr">
        <is>
          <t xml:space="preserve">7791113003417       </t>
        </is>
      </c>
      <c r="F752" t="n">
        <v>4019677</v>
      </c>
      <c r="G752" t="inlineStr">
        <is>
          <t xml:space="preserve">MERMELADA DAMASCO X420G EMETH      </t>
        </is>
      </c>
      <c r="H752" t="inlineStr">
        <is>
          <t xml:space="preserve">UNIDAD              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s="96">
        <f>_xlfn.XLOOKUP(Tabla5[[#This Row],[EAN CORREGIDO]],'Tabla Articulos'!B:B,'Tabla Articulos'!D:D)</f>
        <v/>
      </c>
      <c r="Q752" s="96">
        <f>_xlfn.XLOOKUP(S752,'Tabla Articulos'!B:B,'Tabla Articulos'!E:E)</f>
        <v/>
      </c>
      <c r="R752" s="96">
        <f>O752*Q752</f>
        <v/>
      </c>
      <c r="S752" s="97">
        <f>TRIM(E752)</f>
        <v/>
      </c>
    </row>
    <row r="753" hidden="1">
      <c r="A753" s="22" t="n">
        <v>6</v>
      </c>
      <c r="B753" t="inlineStr">
        <is>
          <t xml:space="preserve">CDM03 - MORENO 3              </t>
        </is>
      </c>
      <c r="C753" t="inlineStr">
        <is>
          <t xml:space="preserve">GRUPO L.                      </t>
        </is>
      </c>
      <c r="D753" s="11" t="n"/>
      <c r="E753" t="inlineStr">
        <is>
          <t xml:space="preserve">BAZ001187           </t>
        </is>
      </c>
      <c r="F753" t="n">
        <v>9003693</v>
      </c>
      <c r="G753" t="inlineStr">
        <is>
          <t xml:space="preserve">CUCHARA MANGO PLASTICO NEGRO       </t>
        </is>
      </c>
      <c r="H753" t="inlineStr">
        <is>
          <t xml:space="preserve">UNIDAD              </t>
        </is>
      </c>
      <c r="I753" t="n">
        <v>1179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1179</v>
      </c>
      <c r="P753" s="96">
        <f>_xlfn.XLOOKUP(Tabla5[[#This Row],[EAN CORREGIDO]],'Tabla Articulos'!B:B,'Tabla Articulos'!D:D)</f>
        <v/>
      </c>
      <c r="Q753" s="96">
        <f>_xlfn.XLOOKUP(S753,'Tabla Articulos'!B:B,'Tabla Articulos'!E:E)</f>
        <v/>
      </c>
      <c r="R753" s="96">
        <f>O753*Q753</f>
        <v/>
      </c>
      <c r="S753" s="97">
        <f>TRIM(E753)</f>
        <v/>
      </c>
    </row>
    <row r="754" hidden="1">
      <c r="A754" s="22" t="n">
        <v>6</v>
      </c>
      <c r="B754" t="inlineStr">
        <is>
          <t xml:space="preserve">CDM03 - MORENO 3              </t>
        </is>
      </c>
      <c r="C754" t="inlineStr">
        <is>
          <t xml:space="preserve">GRUPO L.                      </t>
        </is>
      </c>
      <c r="E754" t="inlineStr">
        <is>
          <t xml:space="preserve">BAZ001319           </t>
        </is>
      </c>
      <c r="F754" t="n">
        <v>9003782</v>
      </c>
      <c r="G754" t="inlineStr">
        <is>
          <t xml:space="preserve">CUCHILLO BCO 174/100MM 4" INOX     </t>
        </is>
      </c>
      <c r="H754" t="inlineStr">
        <is>
          <t xml:space="preserve">UNIDAD              </t>
        </is>
      </c>
      <c r="I754" t="n">
        <v>30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30</v>
      </c>
      <c r="P754" s="96">
        <f>_xlfn.XLOOKUP(Tabla5[[#This Row],[EAN CORREGIDO]],'Tabla Articulos'!B:B,'Tabla Articulos'!D:D)</f>
        <v/>
      </c>
      <c r="Q754" s="96">
        <f>_xlfn.XLOOKUP(S754,'Tabla Articulos'!B:B,'Tabla Articulos'!E:E)</f>
        <v/>
      </c>
      <c r="R754" s="96">
        <f>O754*Q754</f>
        <v/>
      </c>
      <c r="S754" s="97">
        <f>TRIM(E754)</f>
        <v/>
      </c>
    </row>
    <row r="755" hidden="1">
      <c r="A755" s="22" t="n">
        <v>6</v>
      </c>
      <c r="B755" t="inlineStr">
        <is>
          <t xml:space="preserve">CDM03 - MORENO 3              </t>
        </is>
      </c>
      <c r="C755" t="inlineStr">
        <is>
          <t xml:space="preserve">GRUPO L.                      </t>
        </is>
      </c>
      <c r="D755" t="inlineStr">
        <is>
          <t>ALCOHOL EN GEL</t>
        </is>
      </c>
      <c r="E755" t="inlineStr">
        <is>
          <t xml:space="preserve">7798188650348       </t>
        </is>
      </c>
      <c r="F755" t="n">
        <v>2006528</v>
      </c>
      <c r="G755" t="inlineStr">
        <is>
          <t xml:space="preserve">ALCOHOL EN GEL X500ML SANIGEL      </t>
        </is>
      </c>
      <c r="H755" t="inlineStr">
        <is>
          <t xml:space="preserve">UNIDAD              </t>
        </is>
      </c>
      <c r="I755" t="n">
        <v>36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36</v>
      </c>
      <c r="P755" s="96">
        <f>_xlfn.XLOOKUP(Tabla5[[#This Row],[EAN CORREGIDO]],'Tabla Articulos'!B:B,'Tabla Articulos'!D:D)</f>
        <v/>
      </c>
      <c r="Q755" s="96">
        <f>_xlfn.XLOOKUP(S755,'Tabla Articulos'!B:B,'Tabla Articulos'!E:E)</f>
        <v/>
      </c>
      <c r="R755" s="96">
        <f>O755*Q755</f>
        <v/>
      </c>
      <c r="S755" s="97">
        <f>TRIM(E755)</f>
        <v/>
      </c>
    </row>
    <row r="756" hidden="1">
      <c r="A756" s="22" t="n">
        <v>6</v>
      </c>
      <c r="B756" t="inlineStr">
        <is>
          <t xml:space="preserve">CDM03 - MORENO 3              </t>
        </is>
      </c>
      <c r="C756" t="inlineStr">
        <is>
          <t xml:space="preserve">GRUPO L.                      </t>
        </is>
      </c>
      <c r="E756" t="inlineStr">
        <is>
          <t xml:space="preserve">BAZ001305           </t>
        </is>
      </c>
      <c r="F756" t="n">
        <v>9003820</v>
      </c>
      <c r="G756" t="inlineStr">
        <is>
          <t xml:space="preserve">CUCHI BCO ERGON 398/30X12" INOX    </t>
        </is>
      </c>
      <c r="H756" t="inlineStr">
        <is>
          <t xml:space="preserve">UNIDAD              </t>
        </is>
      </c>
      <c r="I756" t="n">
        <v>29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29</v>
      </c>
      <c r="P756" s="96">
        <f>_xlfn.XLOOKUP(Tabla5[[#This Row],[EAN CORREGIDO]],'Tabla Articulos'!B:B,'Tabla Articulos'!D:D)</f>
        <v/>
      </c>
      <c r="Q756" s="96">
        <f>_xlfn.XLOOKUP(S756,'Tabla Articulos'!B:B,'Tabla Articulos'!E:E)</f>
        <v/>
      </c>
      <c r="R756" s="96">
        <f>O756*Q756</f>
        <v/>
      </c>
      <c r="S756" s="97">
        <f>TRIM(E756)</f>
        <v/>
      </c>
    </row>
    <row r="757" hidden="1">
      <c r="A757" s="22" t="n">
        <v>1</v>
      </c>
      <c r="B757" t="inlineStr">
        <is>
          <t xml:space="preserve">CD MORENO                     </t>
        </is>
      </c>
      <c r="C757" t="inlineStr">
        <is>
          <t xml:space="preserve">GRUPO L.                      </t>
        </is>
      </c>
      <c r="D757" s="11" t="inlineStr">
        <is>
          <t>CARNE ENTERA</t>
        </is>
      </c>
      <c r="E757" t="inlineStr">
        <is>
          <t xml:space="preserve">790212030074        </t>
        </is>
      </c>
      <c r="F757" t="n">
        <v>4017679</v>
      </c>
      <c r="G757" t="inlineStr">
        <is>
          <t xml:space="preserve">NALGA ENTERA ESP XKG               </t>
        </is>
      </c>
      <c r="H757" t="inlineStr">
        <is>
          <t xml:space="preserve">Kgs                 </t>
        </is>
      </c>
      <c r="I757" t="n">
        <v>160.51</v>
      </c>
      <c r="J757" t="n">
        <v>0</v>
      </c>
      <c r="K757" t="n">
        <v>0</v>
      </c>
      <c r="L757" t="n">
        <v>20</v>
      </c>
      <c r="M757" t="n">
        <v>20</v>
      </c>
      <c r="N757" t="n">
        <v>0</v>
      </c>
      <c r="O757" t="n">
        <v>120.51</v>
      </c>
      <c r="P757" s="96">
        <f>_xlfn.XLOOKUP(Tabla5[[#This Row],[EAN CORREGIDO]],'Tabla Articulos'!B:B,'Tabla Articulos'!D:D)</f>
        <v/>
      </c>
      <c r="Q757" s="96">
        <f>_xlfn.XLOOKUP(S757,'Tabla Articulos'!B:B,'Tabla Articulos'!E:E)</f>
        <v/>
      </c>
      <c r="R757" s="96">
        <f>O757*Q757</f>
        <v/>
      </c>
      <c r="S757" s="97">
        <f>TRIM(E757)</f>
        <v/>
      </c>
    </row>
    <row r="758" hidden="1">
      <c r="A758" s="22" t="n">
        <v>6</v>
      </c>
      <c r="B758" t="inlineStr">
        <is>
          <t xml:space="preserve">CDM03 - MORENO 3              </t>
        </is>
      </c>
      <c r="C758" t="inlineStr">
        <is>
          <t xml:space="preserve">GRUPO L.                      </t>
        </is>
      </c>
      <c r="E758" t="inlineStr">
        <is>
          <t xml:space="preserve">UNIF000211          </t>
        </is>
      </c>
      <c r="F758" t="n">
        <v>9003479</v>
      </c>
      <c r="G758" t="inlineStr">
        <is>
          <t xml:space="preserve">PANTAL CARG NEGRO AZ. 54 GL SUP    </t>
        </is>
      </c>
      <c r="H758" t="inlineStr">
        <is>
          <t xml:space="preserve">UNIDAD              </t>
        </is>
      </c>
      <c r="I758" t="n">
        <v>14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14</v>
      </c>
      <c r="P758" s="96">
        <f>_xlfn.XLOOKUP(Tabla5[[#This Row],[EAN CORREGIDO]],'Tabla Articulos'!B:B,'Tabla Articulos'!D:D)</f>
        <v/>
      </c>
      <c r="Q758" s="96">
        <f>_xlfn.XLOOKUP(S758,'Tabla Articulos'!B:B,'Tabla Articulos'!E:E)</f>
        <v/>
      </c>
      <c r="R758" s="96">
        <f>O758*Q758</f>
        <v/>
      </c>
      <c r="S758" s="97">
        <f>TRIM(E758)</f>
        <v/>
      </c>
    </row>
    <row r="759" hidden="1">
      <c r="A759" s="22" t="n">
        <v>6</v>
      </c>
      <c r="B759" t="inlineStr">
        <is>
          <t xml:space="preserve">CDM03 - MORENO 3              </t>
        </is>
      </c>
      <c r="C759" t="inlineStr">
        <is>
          <t xml:space="preserve">GRUPO L.                      </t>
        </is>
      </c>
      <c r="E759" t="inlineStr">
        <is>
          <t xml:space="preserve">2006993             </t>
        </is>
      </c>
      <c r="F759" t="n">
        <v>2006993</v>
      </c>
      <c r="G759" t="inlineStr">
        <is>
          <t xml:space="preserve">GUANTE MAPA TECHNI-MIX 415 T8      </t>
        </is>
      </c>
      <c r="H759" t="inlineStr">
        <is>
          <t xml:space="preserve">UNIDAD              </t>
        </is>
      </c>
      <c r="I759" t="n">
        <v>81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81</v>
      </c>
      <c r="P759" s="96">
        <f>_xlfn.XLOOKUP(Tabla5[[#This Row],[EAN CORREGIDO]],'Tabla Articulos'!B:B,'Tabla Articulos'!D:D)</f>
        <v/>
      </c>
      <c r="Q759" s="96">
        <f>_xlfn.XLOOKUP(S759,'Tabla Articulos'!B:B,'Tabla Articulos'!E:E)</f>
        <v/>
      </c>
      <c r="R759" s="96">
        <f>O759*Q759</f>
        <v/>
      </c>
      <c r="S759" s="97">
        <f>TRIM(E759)</f>
        <v/>
      </c>
    </row>
    <row r="760" hidden="1">
      <c r="A760" s="22" t="n">
        <v>1</v>
      </c>
      <c r="B760" t="inlineStr">
        <is>
          <t xml:space="preserve">CD MORENO                     </t>
        </is>
      </c>
      <c r="C760" t="inlineStr">
        <is>
          <t xml:space="preserve">GRUPO L.                      </t>
        </is>
      </c>
      <c r="D760" t="inlineStr">
        <is>
          <t>MANZANA 100-125</t>
        </is>
      </c>
      <c r="E760" t="inlineStr">
        <is>
          <t xml:space="preserve">7790216020104       </t>
        </is>
      </c>
      <c r="F760" t="n">
        <v>4018019</v>
      </c>
      <c r="G760" t="inlineStr">
        <is>
          <t xml:space="preserve">FRUTA MANZANA 100-125 XKG          </t>
        </is>
      </c>
      <c r="H760" t="inlineStr">
        <is>
          <t xml:space="preserve">Kgs                 </t>
        </is>
      </c>
      <c r="I760" t="n">
        <v>2976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2976</v>
      </c>
      <c r="P760" s="96">
        <f>_xlfn.XLOOKUP(Tabla5[[#This Row],[EAN CORREGIDO]],'Tabla Articulos'!B:B,'Tabla Articulos'!D:D)</f>
        <v/>
      </c>
      <c r="Q760" s="96">
        <f>_xlfn.XLOOKUP(S760,'Tabla Articulos'!B:B,'Tabla Articulos'!E:E)</f>
        <v/>
      </c>
      <c r="R760" s="96">
        <f>O760*Q760</f>
        <v/>
      </c>
      <c r="S760" s="97">
        <f>TRIM(E760)</f>
        <v/>
      </c>
    </row>
    <row r="761" hidden="1">
      <c r="A761" s="22" t="n">
        <v>6</v>
      </c>
      <c r="B761" t="inlineStr">
        <is>
          <t xml:space="preserve">CDM03 - MORENO 3              </t>
        </is>
      </c>
      <c r="C761" t="inlineStr">
        <is>
          <t xml:space="preserve">GRUPO L.                      </t>
        </is>
      </c>
      <c r="E761" t="inlineStr">
        <is>
          <t xml:space="preserve">BAZ000095           </t>
        </is>
      </c>
      <c r="F761" t="n">
        <v>5002913</v>
      </c>
      <c r="G761" t="inlineStr">
        <is>
          <t xml:space="preserve">POTE HERMETICO RECT GR X U TRE	    </t>
        </is>
      </c>
      <c r="H761" t="inlineStr">
        <is>
          <t xml:space="preserve">UNIDAD              </t>
        </is>
      </c>
      <c r="I761" t="n">
        <v>1266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1266</v>
      </c>
      <c r="P761" s="96">
        <f>_xlfn.XLOOKUP(Tabla5[[#This Row],[EAN CORREGIDO]],'Tabla Articulos'!B:B,'Tabla Articulos'!D:D)</f>
        <v/>
      </c>
      <c r="Q761" s="96">
        <f>_xlfn.XLOOKUP(S761,'Tabla Articulos'!B:B,'Tabla Articulos'!E:E)</f>
        <v/>
      </c>
      <c r="R761" s="96">
        <f>O761*Q761</f>
        <v/>
      </c>
      <c r="S761" s="97">
        <f>TRIM(E761)</f>
        <v/>
      </c>
    </row>
    <row r="762" hidden="1">
      <c r="A762" s="22" t="n">
        <v>6</v>
      </c>
      <c r="B762" t="inlineStr">
        <is>
          <t xml:space="preserve">CDM03 - MORENO 3              </t>
        </is>
      </c>
      <c r="C762" t="inlineStr">
        <is>
          <t xml:space="preserve">GRUPO L.                      </t>
        </is>
      </c>
      <c r="E762" t="inlineStr">
        <is>
          <t xml:space="preserve">UNIF000491          </t>
        </is>
      </c>
      <c r="F762" t="n">
        <v>9003579</v>
      </c>
      <c r="G762" t="inlineStr">
        <is>
          <t xml:space="preserve">CAMI GRIS CAMAR. RET. T40 C GOUR   </t>
        </is>
      </c>
      <c r="H762" t="inlineStr">
        <is>
          <t xml:space="preserve">UNIDAD              </t>
        </is>
      </c>
      <c r="I762" t="n">
        <v>14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14</v>
      </c>
      <c r="P762" s="96">
        <f>_xlfn.XLOOKUP(Tabla5[[#This Row],[EAN CORREGIDO]],'Tabla Articulos'!B:B,'Tabla Articulos'!D:D)</f>
        <v/>
      </c>
      <c r="Q762" s="96">
        <f>_xlfn.XLOOKUP(S762,'Tabla Articulos'!B:B,'Tabla Articulos'!E:E)</f>
        <v/>
      </c>
      <c r="R762" s="96">
        <f>O762*Q762</f>
        <v/>
      </c>
      <c r="S762" s="97">
        <f>TRIM(E762)</f>
        <v/>
      </c>
    </row>
    <row r="763" hidden="1">
      <c r="A763" s="22" t="n">
        <v>6</v>
      </c>
      <c r="B763" t="inlineStr">
        <is>
          <t xml:space="preserve">CDM03 - MORENO 3              </t>
        </is>
      </c>
      <c r="C763" t="inlineStr">
        <is>
          <t xml:space="preserve">GRUPO L.                      </t>
        </is>
      </c>
      <c r="D763" s="11" t="n"/>
      <c r="E763" t="inlineStr">
        <is>
          <t xml:space="preserve">UNIF000106          </t>
        </is>
      </c>
      <c r="F763" t="n">
        <v>9003419</v>
      </c>
      <c r="G763" t="inlineStr">
        <is>
          <t xml:space="preserve">PANTALON CARGO NEGRO 42            </t>
        </is>
      </c>
      <c r="H763" t="inlineStr">
        <is>
          <t xml:space="preserve">UNIDAD              </t>
        </is>
      </c>
      <c r="I763" t="n">
        <v>77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77</v>
      </c>
      <c r="P763" s="96">
        <f>_xlfn.XLOOKUP(Tabla5[[#This Row],[EAN CORREGIDO]],'Tabla Articulos'!B:B,'Tabla Articulos'!D:D)</f>
        <v/>
      </c>
      <c r="Q763" s="96">
        <f>_xlfn.XLOOKUP(S763,'Tabla Articulos'!B:B,'Tabla Articulos'!E:E)</f>
        <v/>
      </c>
      <c r="R763" s="96">
        <f>O763*Q763</f>
        <v/>
      </c>
      <c r="S763" s="97">
        <f>TRIM(E763)</f>
        <v/>
      </c>
    </row>
    <row r="764" hidden="1">
      <c r="A764" s="22" t="n">
        <v>6</v>
      </c>
      <c r="B764" t="inlineStr">
        <is>
          <t xml:space="preserve">CDM03 - MORENO 3              </t>
        </is>
      </c>
      <c r="C764" t="inlineStr">
        <is>
          <t xml:space="preserve">GRUPO L.                      </t>
        </is>
      </c>
      <c r="D764" s="11" t="n"/>
      <c r="E764" t="inlineStr">
        <is>
          <t xml:space="preserve">UNIF000212          </t>
        </is>
      </c>
      <c r="F764" t="n">
        <v>9003480</v>
      </c>
      <c r="G764" t="inlineStr">
        <is>
          <t xml:space="preserve">PANTAL CARG NEGRO AZ. 56 GL SUP    </t>
        </is>
      </c>
      <c r="H764" t="inlineStr">
        <is>
          <t xml:space="preserve">UNIDAD              </t>
        </is>
      </c>
      <c r="I764" t="n">
        <v>15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15</v>
      </c>
      <c r="P764" s="96">
        <f>_xlfn.XLOOKUP(Tabla5[[#This Row],[EAN CORREGIDO]],'Tabla Articulos'!B:B,'Tabla Articulos'!D:D)</f>
        <v/>
      </c>
      <c r="Q764" s="96">
        <f>_xlfn.XLOOKUP(S764,'Tabla Articulos'!B:B,'Tabla Articulos'!E:E)</f>
        <v/>
      </c>
      <c r="R764" s="96">
        <f>O764*Q764</f>
        <v/>
      </c>
      <c r="S764" s="97">
        <f>TRIM(E764)</f>
        <v/>
      </c>
    </row>
    <row r="765" hidden="1">
      <c r="A765" s="22" t="n">
        <v>6</v>
      </c>
      <c r="B765" t="inlineStr">
        <is>
          <t xml:space="preserve">CDM03 - MORENO 3              </t>
        </is>
      </c>
      <c r="C765" t="inlineStr">
        <is>
          <t xml:space="preserve">GRUPO L.                      </t>
        </is>
      </c>
      <c r="E765" t="inlineStr">
        <is>
          <t xml:space="preserve">UNIF000013          </t>
        </is>
      </c>
      <c r="F765" t="n">
        <v>9003044</v>
      </c>
      <c r="G765" t="inlineStr">
        <is>
          <t xml:space="preserve">AMBO A. MAR. ESCO.-V 3XL GL SUP.   </t>
        </is>
      </c>
      <c r="H765" t="inlineStr">
        <is>
          <t xml:space="preserve">UNIDAD              </t>
        </is>
      </c>
      <c r="I765" t="n">
        <v>91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91</v>
      </c>
      <c r="P765" s="96">
        <f>_xlfn.XLOOKUP(Tabla5[[#This Row],[EAN CORREGIDO]],'Tabla Articulos'!B:B,'Tabla Articulos'!D:D)</f>
        <v/>
      </c>
      <c r="Q765" s="96">
        <f>_xlfn.XLOOKUP(S765,'Tabla Articulos'!B:B,'Tabla Articulos'!E:E)</f>
        <v/>
      </c>
      <c r="R765" s="96">
        <f>O765*Q765</f>
        <v/>
      </c>
      <c r="S765" s="97">
        <f>TRIM(E765)</f>
        <v/>
      </c>
    </row>
    <row r="766" hidden="1">
      <c r="A766" s="22" t="n">
        <v>6</v>
      </c>
      <c r="B766" t="inlineStr">
        <is>
          <t xml:space="preserve">CDM03 - MORENO 3              </t>
        </is>
      </c>
      <c r="C766" t="inlineStr">
        <is>
          <t xml:space="preserve">GRUPO L.                      </t>
        </is>
      </c>
      <c r="D766" s="11" t="n"/>
      <c r="E766" t="inlineStr">
        <is>
          <t xml:space="preserve">UNIF000742          </t>
        </is>
      </c>
      <c r="F766" t="n">
        <v>9004196</v>
      </c>
      <c r="G766" t="inlineStr">
        <is>
          <t xml:space="preserve">GORRO CHEF BLUE CAFÉ U             </t>
        </is>
      </c>
      <c r="H766" t="inlineStr">
        <is>
          <t xml:space="preserve">UNIDAD              </t>
        </is>
      </c>
      <c r="I766" t="n">
        <v>114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114</v>
      </c>
      <c r="P766" s="96">
        <f>_xlfn.XLOOKUP(Tabla5[[#This Row],[EAN CORREGIDO]],'Tabla Articulos'!B:B,'Tabla Articulos'!D:D)</f>
        <v/>
      </c>
      <c r="Q766" s="96">
        <f>_xlfn.XLOOKUP(S766,'Tabla Articulos'!B:B,'Tabla Articulos'!E:E)</f>
        <v/>
      </c>
      <c r="R766" s="96">
        <f>O766*Q766</f>
        <v/>
      </c>
      <c r="S766" s="97">
        <f>TRIM(E766)</f>
        <v/>
      </c>
    </row>
    <row r="767" hidden="1">
      <c r="A767" s="22" t="n">
        <v>5</v>
      </c>
      <c r="B767" t="inlineStr">
        <is>
          <t xml:space="preserve">CDM02 - MORENO 2              </t>
        </is>
      </c>
      <c r="C767" t="inlineStr">
        <is>
          <t xml:space="preserve">GRUPO L.                      </t>
        </is>
      </c>
      <c r="D767" t="inlineStr">
        <is>
          <t>LEVADURA SECA</t>
        </is>
      </c>
      <c r="E767" t="inlineStr">
        <is>
          <t xml:space="preserve">7798018850184       </t>
        </is>
      </c>
      <c r="F767" t="n">
        <v>4020713</v>
      </c>
      <c r="G767" t="inlineStr">
        <is>
          <t xml:space="preserve">LEVADURA EN POLVO 2 X 10 G LEVEX   </t>
        </is>
      </c>
      <c r="H767" t="inlineStr">
        <is>
          <t xml:space="preserve">UNIDAD              </t>
        </is>
      </c>
      <c r="I767" t="n">
        <v>42860</v>
      </c>
      <c r="J767" t="n">
        <v>0</v>
      </c>
      <c r="K767" t="n">
        <v>0</v>
      </c>
      <c r="L767" t="n">
        <v>318</v>
      </c>
      <c r="M767" t="n">
        <v>318</v>
      </c>
      <c r="N767" t="n">
        <v>0</v>
      </c>
      <c r="O767" t="n">
        <v>42224</v>
      </c>
      <c r="P767" s="96">
        <f>_xlfn.XLOOKUP(Tabla5[[#This Row],[EAN CORREGIDO]],'Tabla Articulos'!B:B,'Tabla Articulos'!D:D)</f>
        <v/>
      </c>
      <c r="Q767" s="96">
        <f>_xlfn.XLOOKUP(S767,'Tabla Articulos'!B:B,'Tabla Articulos'!E:E)</f>
        <v/>
      </c>
      <c r="R767" s="96">
        <f>O767*Q767</f>
        <v/>
      </c>
      <c r="S767" s="97">
        <f>TRIM(E767)</f>
        <v/>
      </c>
    </row>
    <row r="768" hidden="1">
      <c r="A768" s="22" t="n">
        <v>1</v>
      </c>
      <c r="B768" t="inlineStr">
        <is>
          <t xml:space="preserve">CD MORENO                     </t>
        </is>
      </c>
      <c r="C768" t="inlineStr">
        <is>
          <t xml:space="preserve">GRUPO L.                      </t>
        </is>
      </c>
      <c r="D768" s="11" t="inlineStr">
        <is>
          <t>LEVADURA SECA</t>
        </is>
      </c>
      <c r="E768" t="inlineStr">
        <is>
          <t xml:space="preserve">7798018850184       </t>
        </is>
      </c>
      <c r="F768" t="n">
        <v>4020713</v>
      </c>
      <c r="G768" t="inlineStr">
        <is>
          <t xml:space="preserve">LEVADURA EN POLVO 2 X 10 G LEVEX   </t>
        </is>
      </c>
      <c r="H768" t="inlineStr">
        <is>
          <t xml:space="preserve">UNIDAD              </t>
        </is>
      </c>
      <c r="I768" t="n">
        <v>36121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36121</v>
      </c>
      <c r="P768" s="96">
        <f>_xlfn.XLOOKUP(Tabla5[[#This Row],[EAN CORREGIDO]],'Tabla Articulos'!B:B,'Tabla Articulos'!D:D)</f>
        <v/>
      </c>
      <c r="Q768" s="96">
        <f>_xlfn.XLOOKUP(S768,'Tabla Articulos'!B:B,'Tabla Articulos'!E:E)</f>
        <v/>
      </c>
      <c r="R768" s="96">
        <f>O768*Q768</f>
        <v/>
      </c>
      <c r="S768" s="97">
        <f>TRIM(E768)</f>
        <v/>
      </c>
    </row>
    <row r="769" hidden="1">
      <c r="A769" s="22" t="n">
        <v>5</v>
      </c>
      <c r="B769" t="inlineStr">
        <is>
          <t xml:space="preserve">CDM02 - MORENO 2              </t>
        </is>
      </c>
      <c r="C769" t="inlineStr">
        <is>
          <t xml:space="preserve">GRUPO L.                      </t>
        </is>
      </c>
      <c r="D769" s="11" t="inlineStr">
        <is>
          <t>PERA LATA</t>
        </is>
      </c>
      <c r="E769" t="inlineStr">
        <is>
          <t xml:space="preserve">7798132920428       </t>
        </is>
      </c>
      <c r="F769" t="n">
        <v>4020331</v>
      </c>
      <c r="G769" t="inlineStr">
        <is>
          <t xml:space="preserve">PERA EN MITADES X820G ALCO         </t>
        </is>
      </c>
      <c r="H769" t="inlineStr">
        <is>
          <t xml:space="preserve">UNIDAD              </t>
        </is>
      </c>
      <c r="I769" t="n">
        <v>1200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1200</v>
      </c>
      <c r="P769" s="96">
        <f>_xlfn.XLOOKUP(Tabla5[[#This Row],[EAN CORREGIDO]],'Tabla Articulos'!B:B,'Tabla Articulos'!D:D)</f>
        <v/>
      </c>
      <c r="Q769" s="96">
        <f>_xlfn.XLOOKUP(S769,'Tabla Articulos'!B:B,'Tabla Articulos'!E:E)</f>
        <v/>
      </c>
      <c r="R769" s="96">
        <f>O769*Q769</f>
        <v/>
      </c>
      <c r="S769" s="97">
        <f>TRIM(E769)</f>
        <v/>
      </c>
    </row>
    <row r="770" hidden="1">
      <c r="A770" s="22" t="n">
        <v>6</v>
      </c>
      <c r="B770" t="inlineStr">
        <is>
          <t xml:space="preserve">CDM03 - MORENO 3              </t>
        </is>
      </c>
      <c r="C770" t="inlineStr">
        <is>
          <t xml:space="preserve">GRUPO L.                      </t>
        </is>
      </c>
      <c r="E770" t="inlineStr">
        <is>
          <t xml:space="preserve">A1607C25T9          </t>
        </is>
      </c>
      <c r="F770" t="n">
        <v>9003030</v>
      </c>
      <c r="G770" t="inlineStr">
        <is>
          <t xml:space="preserve">ZAPATO SEG. NEG. 42 ATT CHUBUT     </t>
        </is>
      </c>
      <c r="H770" t="inlineStr">
        <is>
          <t xml:space="preserve">UNIDAD              </t>
        </is>
      </c>
      <c r="I770" t="n">
        <v>93</v>
      </c>
      <c r="J770" t="n">
        <v>130</v>
      </c>
      <c r="K770" t="n">
        <v>0</v>
      </c>
      <c r="L770" t="n">
        <v>12</v>
      </c>
      <c r="M770" t="n">
        <v>12</v>
      </c>
      <c r="N770" t="n">
        <v>0</v>
      </c>
      <c r="O770" t="n">
        <v>199</v>
      </c>
      <c r="P770" s="96">
        <f>_xlfn.XLOOKUP(Tabla5[[#This Row],[EAN CORREGIDO]],'Tabla Articulos'!B:B,'Tabla Articulos'!D:D)</f>
        <v/>
      </c>
      <c r="Q770" s="96">
        <f>_xlfn.XLOOKUP(S770,'Tabla Articulos'!B:B,'Tabla Articulos'!E:E)</f>
        <v/>
      </c>
      <c r="R770" s="96">
        <f>O770*Q770</f>
        <v/>
      </c>
      <c r="S770" s="97">
        <f>TRIM(E770)</f>
        <v/>
      </c>
    </row>
    <row r="771" hidden="1">
      <c r="A771" s="22" t="n">
        <v>6</v>
      </c>
      <c r="B771" t="inlineStr">
        <is>
          <t xml:space="preserve">CDM03 - MORENO 3              </t>
        </is>
      </c>
      <c r="C771" t="inlineStr">
        <is>
          <t xml:space="preserve">GRUPO L.                      </t>
        </is>
      </c>
      <c r="E771" t="inlineStr">
        <is>
          <t xml:space="preserve">UNIF000243          </t>
        </is>
      </c>
      <c r="F771" t="n">
        <v>9003230</v>
      </c>
      <c r="G771" t="inlineStr">
        <is>
          <t xml:space="preserve">PANTAL NAUT BLANCO SIN LOGO - T5   </t>
        </is>
      </c>
      <c r="H771" t="inlineStr">
        <is>
          <t xml:space="preserve">UNIDAD              </t>
        </is>
      </c>
      <c r="I771" t="n">
        <v>89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89</v>
      </c>
      <c r="P771" s="96">
        <f>_xlfn.XLOOKUP(Tabla5[[#This Row],[EAN CORREGIDO]],'Tabla Articulos'!B:B,'Tabla Articulos'!D:D)</f>
        <v/>
      </c>
      <c r="Q771" s="96">
        <f>_xlfn.XLOOKUP(S771,'Tabla Articulos'!B:B,'Tabla Articulos'!E:E)</f>
        <v/>
      </c>
      <c r="R771" s="96">
        <f>O771*Q771</f>
        <v/>
      </c>
      <c r="S771" s="97">
        <f>TRIM(E771)</f>
        <v/>
      </c>
    </row>
    <row r="772" hidden="1">
      <c r="A772" s="22" t="n">
        <v>1</v>
      </c>
      <c r="B772" t="inlineStr">
        <is>
          <t xml:space="preserve">CD MORENO                     </t>
        </is>
      </c>
      <c r="C772" t="inlineStr">
        <is>
          <t xml:space="preserve">GRUPO L.                      </t>
        </is>
      </c>
      <c r="D772" t="inlineStr">
        <is>
          <t>PANADERIA CONGELADA</t>
        </is>
      </c>
      <c r="E772" t="inlineStr">
        <is>
          <t xml:space="preserve">7798041132479       </t>
        </is>
      </c>
      <c r="F772" t="n">
        <v>4018568</v>
      </c>
      <c r="G772" t="inlineStr">
        <is>
          <t xml:space="preserve">CRUMBLE MANZANA X12U SELYGEL       </t>
        </is>
      </c>
      <c r="H772" t="inlineStr">
        <is>
          <t xml:space="preserve">UNIDAD              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2</v>
      </c>
      <c r="P772" s="96">
        <f>_xlfn.XLOOKUP(Tabla5[[#This Row],[EAN CORREGIDO]],'Tabla Articulos'!B:B,'Tabla Articulos'!D:D)</f>
        <v/>
      </c>
      <c r="Q772" s="96">
        <f>_xlfn.XLOOKUP(S772,'Tabla Articulos'!B:B,'Tabla Articulos'!E:E)</f>
        <v/>
      </c>
      <c r="R772" s="96">
        <f>O772*Q772</f>
        <v/>
      </c>
      <c r="S772" s="97">
        <f>TRIM(E772)</f>
        <v/>
      </c>
    </row>
    <row r="773" hidden="1">
      <c r="A773" s="22" t="n">
        <v>6</v>
      </c>
      <c r="B773" t="inlineStr">
        <is>
          <t xml:space="preserve">CDM03 - MORENO 3              </t>
        </is>
      </c>
      <c r="C773" t="inlineStr">
        <is>
          <t xml:space="preserve">GRUPO L.                      </t>
        </is>
      </c>
      <c r="E773" t="inlineStr">
        <is>
          <t xml:space="preserve">UNIF000074          </t>
        </is>
      </c>
      <c r="F773" t="n">
        <v>9003535</v>
      </c>
      <c r="G773" t="inlineStr">
        <is>
          <t xml:space="preserve">CAMISA BLANCA LISA 40 S. LOGO      </t>
        </is>
      </c>
      <c r="H773" t="inlineStr">
        <is>
          <t xml:space="preserve">UNIDAD              </t>
        </is>
      </c>
      <c r="I773" t="n">
        <v>17</v>
      </c>
      <c r="J773" t="n">
        <v>0</v>
      </c>
      <c r="K773" t="n">
        <v>0</v>
      </c>
      <c r="L773" t="n">
        <v>1</v>
      </c>
      <c r="M773" t="n">
        <v>1</v>
      </c>
      <c r="N773" t="n">
        <v>0</v>
      </c>
      <c r="O773" t="n">
        <v>15</v>
      </c>
      <c r="P773" s="96">
        <f>_xlfn.XLOOKUP(Tabla5[[#This Row],[EAN CORREGIDO]],'Tabla Articulos'!B:B,'Tabla Articulos'!D:D)</f>
        <v/>
      </c>
      <c r="Q773" s="96">
        <f>_xlfn.XLOOKUP(S773,'Tabla Articulos'!B:B,'Tabla Articulos'!E:E)</f>
        <v/>
      </c>
      <c r="R773" s="96">
        <f>O773*Q773</f>
        <v/>
      </c>
      <c r="S773" s="97">
        <f>TRIM(E773)</f>
        <v/>
      </c>
    </row>
    <row r="774" hidden="1">
      <c r="A774" s="22" t="n">
        <v>6</v>
      </c>
      <c r="B774" t="inlineStr">
        <is>
          <t xml:space="preserve">CDM03 - MORENO 3              </t>
        </is>
      </c>
      <c r="C774" t="inlineStr">
        <is>
          <t xml:space="preserve">GRUPO L.                      </t>
        </is>
      </c>
      <c r="E774" t="inlineStr">
        <is>
          <t xml:space="preserve">UNIF000293          </t>
        </is>
      </c>
      <c r="F774" t="n">
        <v>9003670</v>
      </c>
      <c r="G774" t="inlineStr">
        <is>
          <t xml:space="preserve">CAMP. TRUCK. AZ CINT. REFRAC 3XL   </t>
        </is>
      </c>
      <c r="H774" t="inlineStr">
        <is>
          <t xml:space="preserve">UNIDAD              </t>
        </is>
      </c>
      <c r="I774" t="n">
        <v>20</v>
      </c>
      <c r="J774" t="n">
        <v>60</v>
      </c>
      <c r="K774" t="n">
        <v>0</v>
      </c>
      <c r="L774" t="n">
        <v>0</v>
      </c>
      <c r="M774" t="n">
        <v>0</v>
      </c>
      <c r="N774" t="n">
        <v>0</v>
      </c>
      <c r="O774" t="n">
        <v>80</v>
      </c>
      <c r="P774" s="96">
        <f>_xlfn.XLOOKUP(Tabla5[[#This Row],[EAN CORREGIDO]],'Tabla Articulos'!B:B,'Tabla Articulos'!D:D)</f>
        <v/>
      </c>
      <c r="Q774" s="96">
        <f>_xlfn.XLOOKUP(S774,'Tabla Articulos'!B:B,'Tabla Articulos'!E:E)</f>
        <v/>
      </c>
      <c r="R774" s="96">
        <f>O774*Q774</f>
        <v/>
      </c>
      <c r="S774" s="97">
        <f>TRIM(E774)</f>
        <v/>
      </c>
    </row>
    <row r="775" hidden="1">
      <c r="A775" s="22" t="n">
        <v>5</v>
      </c>
      <c r="B775" t="inlineStr">
        <is>
          <t xml:space="preserve">CDM02 - MORENO 2              </t>
        </is>
      </c>
      <c r="C775" t="inlineStr">
        <is>
          <t xml:space="preserve">GRUPO L.                      </t>
        </is>
      </c>
      <c r="D775" s="11" t="inlineStr">
        <is>
          <t>MERMELADA IND FRUTILLA</t>
        </is>
      </c>
      <c r="E775" t="inlineStr">
        <is>
          <t xml:space="preserve">7798011976676       </t>
        </is>
      </c>
      <c r="F775" t="n">
        <v>4020554</v>
      </c>
      <c r="G775" t="inlineStr">
        <is>
          <t xml:space="preserve">MERM FRUTI X20GX108U ABEDUL        </t>
        </is>
      </c>
      <c r="H775" t="inlineStr">
        <is>
          <t xml:space="preserve">UNIDAD              </t>
        </is>
      </c>
      <c r="I775" t="n">
        <v>48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48</v>
      </c>
      <c r="P775" s="96">
        <f>_xlfn.XLOOKUP(Tabla5[[#This Row],[EAN CORREGIDO]],'Tabla Articulos'!B:B,'Tabla Articulos'!D:D)</f>
        <v/>
      </c>
      <c r="Q775" s="96">
        <f>_xlfn.XLOOKUP(S775,'Tabla Articulos'!B:B,'Tabla Articulos'!E:E)</f>
        <v/>
      </c>
      <c r="R775" s="96">
        <f>O775*Q775</f>
        <v/>
      </c>
      <c r="S775" s="97">
        <f>TRIM(E775)</f>
        <v/>
      </c>
    </row>
    <row r="776" hidden="1">
      <c r="A776" s="22" t="n">
        <v>1</v>
      </c>
      <c r="B776" t="inlineStr">
        <is>
          <t xml:space="preserve">CD MORENO                     </t>
        </is>
      </c>
      <c r="C776" t="inlineStr">
        <is>
          <t xml:space="preserve">GRUPO L.                      </t>
        </is>
      </c>
      <c r="D776" t="inlineStr">
        <is>
          <t>MERMELADA IND FRUTILLA</t>
        </is>
      </c>
      <c r="E776" t="inlineStr">
        <is>
          <t xml:space="preserve">7798011976676       </t>
        </is>
      </c>
      <c r="F776" t="n">
        <v>4020554</v>
      </c>
      <c r="G776" t="inlineStr">
        <is>
          <t xml:space="preserve">MERM FRUTI X20GX108U ABEDUL        </t>
        </is>
      </c>
      <c r="H776" t="inlineStr">
        <is>
          <t xml:space="preserve">UNIDAD              </t>
        </is>
      </c>
      <c r="I776" t="n">
        <v>35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35</v>
      </c>
      <c r="P776" s="96">
        <f>_xlfn.XLOOKUP(Tabla5[[#This Row],[EAN CORREGIDO]],'Tabla Articulos'!B:B,'Tabla Articulos'!D:D)</f>
        <v/>
      </c>
      <c r="Q776" s="96">
        <f>_xlfn.XLOOKUP(S776,'Tabla Articulos'!B:B,'Tabla Articulos'!E:E)</f>
        <v/>
      </c>
      <c r="R776" s="96">
        <f>O776*Q776</f>
        <v/>
      </c>
      <c r="S776" s="97">
        <f>TRIM(E776)</f>
        <v/>
      </c>
    </row>
    <row r="777" hidden="1">
      <c r="A777" s="22" t="n">
        <v>5</v>
      </c>
      <c r="B777" t="inlineStr">
        <is>
          <t xml:space="preserve">CDM02 - MORENO 2              </t>
        </is>
      </c>
      <c r="C777" t="inlineStr">
        <is>
          <t xml:space="preserve">GRUPO L.                      </t>
        </is>
      </c>
      <c r="D777" t="inlineStr">
        <is>
          <t>ACEITE GIRASOL</t>
        </is>
      </c>
      <c r="E777" t="inlineStr">
        <is>
          <t xml:space="preserve">7797470005514       </t>
        </is>
      </c>
      <c r="F777" t="n">
        <v>4022237</v>
      </c>
      <c r="G777" t="inlineStr">
        <is>
          <t xml:space="preserve">ACEITE GIR S/TACC X900CC MAROLIO   </t>
        </is>
      </c>
      <c r="H777" t="inlineStr">
        <is>
          <t xml:space="preserve">UNIDAD              </t>
        </is>
      </c>
      <c r="I777" t="n">
        <v>48504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48504</v>
      </c>
      <c r="P777" s="96">
        <f>_xlfn.XLOOKUP(Tabla5[[#This Row],[EAN CORREGIDO]],'Tabla Articulos'!B:B,'Tabla Articulos'!D:D)</f>
        <v/>
      </c>
      <c r="Q777" s="96">
        <f>_xlfn.XLOOKUP(S777,'Tabla Articulos'!B:B,'Tabla Articulos'!E:E)</f>
        <v/>
      </c>
      <c r="R777" s="96">
        <f>O777*Q777</f>
        <v/>
      </c>
      <c r="S777" s="97">
        <f>TRIM(E777)</f>
        <v/>
      </c>
    </row>
    <row r="778" hidden="1">
      <c r="A778" s="22" t="n">
        <v>1</v>
      </c>
      <c r="B778" t="inlineStr">
        <is>
          <t xml:space="preserve">CD MORENO                     </t>
        </is>
      </c>
      <c r="C778" t="inlineStr">
        <is>
          <t xml:space="preserve">GRUPO L.                      </t>
        </is>
      </c>
      <c r="D778" s="11" t="inlineStr">
        <is>
          <t>GALLE DULCE VAINILLA</t>
        </is>
      </c>
      <c r="E778" t="inlineStr">
        <is>
          <t xml:space="preserve">7796236000954       </t>
        </is>
      </c>
      <c r="F778" t="n">
        <v>4019188</v>
      </c>
      <c r="G778" t="inlineStr">
        <is>
          <t>GALLE ANILLITOS VAINI X400G RIEDMAR</t>
        </is>
      </c>
      <c r="H778" t="inlineStr">
        <is>
          <t xml:space="preserve">UNIDAD              </t>
        </is>
      </c>
      <c r="I778" t="n">
        <v>1274</v>
      </c>
      <c r="J778" t="n">
        <v>0</v>
      </c>
      <c r="K778" t="n">
        <v>0</v>
      </c>
      <c r="L778" t="n">
        <v>0</v>
      </c>
      <c r="M778" t="n">
        <v>0</v>
      </c>
      <c r="N778" t="n">
        <v>1300</v>
      </c>
      <c r="O778" t="n">
        <v>-26</v>
      </c>
      <c r="P778" s="96">
        <f>_xlfn.XLOOKUP(Tabla5[[#This Row],[EAN CORREGIDO]],'Tabla Articulos'!B:B,'Tabla Articulos'!D:D)</f>
        <v/>
      </c>
      <c r="Q778" s="96">
        <f>_xlfn.XLOOKUP(S778,'Tabla Articulos'!B:B,'Tabla Articulos'!E:E)</f>
        <v/>
      </c>
      <c r="R778" s="96">
        <f>O778*Q778</f>
        <v/>
      </c>
      <c r="S778" s="97">
        <f>TRIM(E778)</f>
        <v/>
      </c>
    </row>
    <row r="779" hidden="1">
      <c r="A779" s="22" t="n">
        <v>6</v>
      </c>
      <c r="B779" t="inlineStr">
        <is>
          <t xml:space="preserve">CDM03 - MORENO 3              </t>
        </is>
      </c>
      <c r="C779" t="inlineStr">
        <is>
          <t xml:space="preserve">GRUPO L.                      </t>
        </is>
      </c>
      <c r="E779" t="inlineStr">
        <is>
          <t xml:space="preserve">UNIF000063          </t>
        </is>
      </c>
      <c r="F779" t="n">
        <v>9003316</v>
      </c>
      <c r="G779" t="inlineStr">
        <is>
          <t xml:space="preserve">CAMISA BLANCA LISA 50 GL SUP       </t>
        </is>
      </c>
      <c r="H779" t="inlineStr">
        <is>
          <t xml:space="preserve">UNIDAD              </t>
        </is>
      </c>
      <c r="I779" t="n">
        <v>2</v>
      </c>
      <c r="J779" t="n">
        <v>0</v>
      </c>
      <c r="K779" t="n">
        <v>0</v>
      </c>
      <c r="L779" t="n">
        <v>1</v>
      </c>
      <c r="M779" t="n">
        <v>1</v>
      </c>
      <c r="N779" t="n">
        <v>0</v>
      </c>
      <c r="O779" t="n">
        <v>0</v>
      </c>
      <c r="P779" s="96">
        <f>_xlfn.XLOOKUP(Tabla5[[#This Row],[EAN CORREGIDO]],'Tabla Articulos'!B:B,'Tabla Articulos'!D:D)</f>
        <v/>
      </c>
      <c r="Q779" s="96">
        <f>_xlfn.XLOOKUP(S779,'Tabla Articulos'!B:B,'Tabla Articulos'!E:E)</f>
        <v/>
      </c>
      <c r="R779" s="96">
        <f>O779*Q779</f>
        <v/>
      </c>
      <c r="S779" s="97">
        <f>TRIM(E779)</f>
        <v/>
      </c>
    </row>
    <row r="780" hidden="1">
      <c r="A780" s="22" t="n">
        <v>6</v>
      </c>
      <c r="B780" t="inlineStr">
        <is>
          <t xml:space="preserve">CDM03 - MORENO 3              </t>
        </is>
      </c>
      <c r="C780" t="inlineStr">
        <is>
          <t xml:space="preserve">GRUPO L.                      </t>
        </is>
      </c>
      <c r="D780" t="inlineStr">
        <is>
          <t>GUANTE GOMA</t>
        </is>
      </c>
      <c r="E780" t="inlineStr">
        <is>
          <t xml:space="preserve">7797749000035       </t>
        </is>
      </c>
      <c r="F780" t="n">
        <v>2006593</v>
      </c>
      <c r="G780" t="inlineStr">
        <is>
          <t xml:space="preserve">GUANTES DE GOMA TALLE M XPAR       </t>
        </is>
      </c>
      <c r="H780" t="inlineStr">
        <is>
          <t xml:space="preserve">UNIDAD              </t>
        </is>
      </c>
      <c r="I780" t="n">
        <v>50</v>
      </c>
      <c r="J780" t="n">
        <v>0</v>
      </c>
      <c r="K780" t="n">
        <v>0</v>
      </c>
      <c r="L780" t="n">
        <v>6</v>
      </c>
      <c r="M780" t="n">
        <v>6</v>
      </c>
      <c r="N780" t="n">
        <v>0</v>
      </c>
      <c r="O780" t="n">
        <v>38</v>
      </c>
      <c r="P780" s="96">
        <f>_xlfn.XLOOKUP(Tabla5[[#This Row],[EAN CORREGIDO]],'Tabla Articulos'!B:B,'Tabla Articulos'!D:D)</f>
        <v/>
      </c>
      <c r="Q780" s="96">
        <f>_xlfn.XLOOKUP(S780,'Tabla Articulos'!B:B,'Tabla Articulos'!E:E)</f>
        <v/>
      </c>
      <c r="R780" s="96">
        <f>O780*Q780</f>
        <v/>
      </c>
      <c r="S780" s="97">
        <f>TRIM(E780)</f>
        <v/>
      </c>
    </row>
    <row r="781" hidden="1">
      <c r="A781" s="22" t="n">
        <v>6</v>
      </c>
      <c r="B781" t="inlineStr">
        <is>
          <t xml:space="preserve">CDM03 - MORENO 3              </t>
        </is>
      </c>
      <c r="C781" t="inlineStr">
        <is>
          <t xml:space="preserve">GRUPO L.                      </t>
        </is>
      </c>
      <c r="D781" s="11" t="n"/>
      <c r="E781" t="inlineStr">
        <is>
          <t xml:space="preserve">UNIF000001          </t>
        </is>
      </c>
      <c r="F781" t="n">
        <v>9003010</v>
      </c>
      <c r="G781" t="inlineStr">
        <is>
          <t xml:space="preserve">AMBO A. MAR. PULCRUS ESC V S       </t>
        </is>
      </c>
      <c r="H781" t="inlineStr">
        <is>
          <t xml:space="preserve">UNIDAD              </t>
        </is>
      </c>
      <c r="I781" t="n">
        <v>115</v>
      </c>
      <c r="J781" t="n">
        <v>178</v>
      </c>
      <c r="K781" t="n">
        <v>0</v>
      </c>
      <c r="L781" t="n">
        <v>54</v>
      </c>
      <c r="M781" t="n">
        <v>54</v>
      </c>
      <c r="N781" t="n">
        <v>0</v>
      </c>
      <c r="O781" t="n">
        <v>185</v>
      </c>
      <c r="P781" s="96">
        <f>_xlfn.XLOOKUP(Tabla5[[#This Row],[EAN CORREGIDO]],'Tabla Articulos'!B:B,'Tabla Articulos'!D:D)</f>
        <v/>
      </c>
      <c r="Q781" s="96">
        <f>_xlfn.XLOOKUP(S781,'Tabla Articulos'!B:B,'Tabla Articulos'!E:E)</f>
        <v/>
      </c>
      <c r="R781" s="96">
        <f>O781*Q781</f>
        <v/>
      </c>
      <c r="S781" s="97">
        <f>TRIM(E781)</f>
        <v/>
      </c>
    </row>
    <row r="782" hidden="1">
      <c r="A782" s="22" t="n">
        <v>5</v>
      </c>
      <c r="B782" t="inlineStr">
        <is>
          <t xml:space="preserve">CDM02 - MORENO 2              </t>
        </is>
      </c>
      <c r="C782" t="inlineStr">
        <is>
          <t xml:space="preserve">GRUPO L.                      </t>
        </is>
      </c>
      <c r="D782" t="inlineStr">
        <is>
          <t>POMELO ROSADO</t>
        </is>
      </c>
      <c r="E782" t="inlineStr">
        <is>
          <t xml:space="preserve">7798975326412       </t>
        </is>
      </c>
      <c r="F782" t="n">
        <v>4018008</v>
      </c>
      <c r="G782" t="inlineStr">
        <is>
          <t xml:space="preserve">POMELO ROSADO XKG                  </t>
        </is>
      </c>
      <c r="H782" t="inlineStr">
        <is>
          <t xml:space="preserve">Kgs                 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1</v>
      </c>
      <c r="P782" s="96">
        <f>_xlfn.XLOOKUP(Tabla5[[#This Row],[EAN CORREGIDO]],'Tabla Articulos'!B:B,'Tabla Articulos'!D:D)</f>
        <v/>
      </c>
      <c r="Q782" s="96">
        <f>_xlfn.XLOOKUP(S782,'Tabla Articulos'!B:B,'Tabla Articulos'!E:E)</f>
        <v/>
      </c>
      <c r="R782" s="96">
        <f>O782*Q782</f>
        <v/>
      </c>
      <c r="S782" s="97">
        <f>TRIM(E782)</f>
        <v/>
      </c>
    </row>
    <row r="783" hidden="1">
      <c r="A783" s="22" t="n">
        <v>6</v>
      </c>
      <c r="B783" t="inlineStr">
        <is>
          <t xml:space="preserve">CDM03 - MORENO 3              </t>
        </is>
      </c>
      <c r="C783" t="inlineStr">
        <is>
          <t xml:space="preserve">GRUPO L.                      </t>
        </is>
      </c>
      <c r="D783" s="11" t="inlineStr">
        <is>
          <t>SERVILLETA C/LOGO BL</t>
        </is>
      </c>
      <c r="E783" t="inlineStr">
        <is>
          <t xml:space="preserve">9992016801775       </t>
        </is>
      </c>
      <c r="F783" t="n">
        <v>2016800</v>
      </c>
      <c r="G783" t="inlineStr">
        <is>
          <t xml:space="preserve">SERVILLETAS BLUE 18X18 1.1KGX1450U </t>
        </is>
      </c>
      <c r="H783" t="inlineStr">
        <is>
          <t xml:space="preserve">UNIDAD              </t>
        </is>
      </c>
      <c r="I783" t="n">
        <v>75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75</v>
      </c>
      <c r="P783" s="96">
        <f>_xlfn.XLOOKUP(Tabla5[[#This Row],[EAN CORREGIDO]],'Tabla Articulos'!B:B,'Tabla Articulos'!D:D)</f>
        <v/>
      </c>
      <c r="Q783" s="96">
        <f>_xlfn.XLOOKUP(S783,'Tabla Articulos'!B:B,'Tabla Articulos'!E:E)</f>
        <v/>
      </c>
      <c r="R783" s="96">
        <f>O783*Q783</f>
        <v/>
      </c>
      <c r="S783" s="97">
        <f>TRIM(E783)</f>
        <v/>
      </c>
    </row>
    <row r="784" hidden="1">
      <c r="A784" s="22" t="n">
        <v>6</v>
      </c>
      <c r="B784" t="inlineStr">
        <is>
          <t xml:space="preserve">CDM03 - MORENO 3              </t>
        </is>
      </c>
      <c r="C784" t="inlineStr">
        <is>
          <t xml:space="preserve">GRUPO L.                      </t>
        </is>
      </c>
      <c r="D784" t="inlineStr">
        <is>
          <t>ESCOBILLA BAÑO</t>
        </is>
      </c>
      <c r="E784" t="inlineStr">
        <is>
          <t xml:space="preserve">7798132459714       </t>
        </is>
      </c>
      <c r="F784" t="n">
        <v>2006510</v>
      </c>
      <c r="G784" t="inlineStr">
        <is>
          <t xml:space="preserve">ESCOBILLA INODORO ACERO INOX XU    </t>
        </is>
      </c>
      <c r="H784" t="inlineStr">
        <is>
          <t xml:space="preserve">UNIDAD              </t>
        </is>
      </c>
      <c r="I784" t="n">
        <v>19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19</v>
      </c>
      <c r="P784" s="96">
        <f>_xlfn.XLOOKUP(Tabla5[[#This Row],[EAN CORREGIDO]],'Tabla Articulos'!B:B,'Tabla Articulos'!D:D)</f>
        <v/>
      </c>
      <c r="Q784" s="96">
        <f>_xlfn.XLOOKUP(S784,'Tabla Articulos'!B:B,'Tabla Articulos'!E:E)</f>
        <v/>
      </c>
      <c r="R784" s="96">
        <f>O784*Q784</f>
        <v/>
      </c>
      <c r="S784" s="97">
        <f>TRIM(E784)</f>
        <v/>
      </c>
    </row>
    <row r="785" hidden="1">
      <c r="A785" s="22" t="n">
        <v>6</v>
      </c>
      <c r="B785" t="inlineStr">
        <is>
          <t xml:space="preserve">CDM03 - MORENO 3              </t>
        </is>
      </c>
      <c r="C785" t="inlineStr">
        <is>
          <t xml:space="preserve">GRUPO L.                      </t>
        </is>
      </c>
      <c r="E785" t="inlineStr">
        <is>
          <t xml:space="preserve">UNIF000605          </t>
        </is>
      </c>
      <c r="F785" t="n">
        <v>9003143</v>
      </c>
      <c r="G785" t="inlineStr">
        <is>
          <t xml:space="preserve">CHAQ. ESCOTE V GU NUTRICION T3     </t>
        </is>
      </c>
      <c r="H785" t="inlineStr">
        <is>
          <t xml:space="preserve">UNIDAD              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4</v>
      </c>
      <c r="P785" s="96">
        <f>_xlfn.XLOOKUP(Tabla5[[#This Row],[EAN CORREGIDO]],'Tabla Articulos'!B:B,'Tabla Articulos'!D:D)</f>
        <v/>
      </c>
      <c r="Q785" s="96">
        <f>_xlfn.XLOOKUP(S785,'Tabla Articulos'!B:B,'Tabla Articulos'!E:E)</f>
        <v/>
      </c>
      <c r="R785" s="96">
        <f>O785*Q785</f>
        <v/>
      </c>
      <c r="S785" s="97">
        <f>TRIM(E785)</f>
        <v/>
      </c>
    </row>
    <row r="786" hidden="1">
      <c r="A786" s="22" t="n">
        <v>6</v>
      </c>
      <c r="B786" t="inlineStr">
        <is>
          <t xml:space="preserve">CDM03 - MORENO 3              </t>
        </is>
      </c>
      <c r="C786" t="inlineStr">
        <is>
          <t xml:space="preserve">GRUPO L.                      </t>
        </is>
      </c>
      <c r="E786" t="inlineStr">
        <is>
          <t xml:space="preserve">BAZ001182           </t>
        </is>
      </c>
      <c r="F786" t="n">
        <v>9003840</v>
      </c>
      <c r="G786" t="inlineStr">
        <is>
          <t xml:space="preserve">CUBA GASTR. ACE1/2 325/265/100 M   </t>
        </is>
      </c>
      <c r="H786" t="inlineStr">
        <is>
          <t xml:space="preserve">UNIDAD              </t>
        </is>
      </c>
      <c r="I786" t="n">
        <v>19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19</v>
      </c>
      <c r="P786" s="96">
        <f>_xlfn.XLOOKUP(Tabla5[[#This Row],[EAN CORREGIDO]],'Tabla Articulos'!B:B,'Tabla Articulos'!D:D)</f>
        <v/>
      </c>
      <c r="Q786" s="96">
        <f>_xlfn.XLOOKUP(S786,'Tabla Articulos'!B:B,'Tabla Articulos'!E:E)</f>
        <v/>
      </c>
      <c r="R786" s="96">
        <f>O786*Q786</f>
        <v/>
      </c>
      <c r="S786" s="97">
        <f>TRIM(E786)</f>
        <v/>
      </c>
    </row>
    <row r="787" hidden="1">
      <c r="A787" s="22" t="n">
        <v>6</v>
      </c>
      <c r="B787" t="inlineStr">
        <is>
          <t xml:space="preserve">CDM03 - MORENO 3              </t>
        </is>
      </c>
      <c r="C787" t="inlineStr">
        <is>
          <t xml:space="preserve">GRUPO L.                      </t>
        </is>
      </c>
      <c r="D787" s="11" t="n"/>
      <c r="E787" t="inlineStr">
        <is>
          <t xml:space="preserve">UNIF000145          </t>
        </is>
      </c>
      <c r="F787" t="n">
        <v>9003562</v>
      </c>
      <c r="G787" t="inlineStr">
        <is>
          <t xml:space="preserve">CAMI.3/4 BLAN SALUD MUJ 2 C.GOUR   </t>
        </is>
      </c>
      <c r="H787" t="inlineStr">
        <is>
          <t xml:space="preserve">UNIDAD              </t>
        </is>
      </c>
      <c r="I787" t="n">
        <v>16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16</v>
      </c>
      <c r="P787" s="96">
        <f>_xlfn.XLOOKUP(Tabla5[[#This Row],[EAN CORREGIDO]],'Tabla Articulos'!B:B,'Tabla Articulos'!D:D)</f>
        <v/>
      </c>
      <c r="Q787" s="96">
        <f>_xlfn.XLOOKUP(S787,'Tabla Articulos'!B:B,'Tabla Articulos'!E:E)</f>
        <v/>
      </c>
      <c r="R787" s="96">
        <f>O787*Q787</f>
        <v/>
      </c>
      <c r="S787" s="97">
        <f>TRIM(E787)</f>
        <v/>
      </c>
    </row>
    <row r="788" hidden="1">
      <c r="A788" s="22" t="n">
        <v>5</v>
      </c>
      <c r="B788" t="inlineStr">
        <is>
          <t xml:space="preserve">CDM02 - MORENO 2              </t>
        </is>
      </c>
      <c r="C788" t="inlineStr">
        <is>
          <t xml:space="preserve">GRUPO L.                      </t>
        </is>
      </c>
      <c r="D788" t="inlineStr">
        <is>
          <t>GALLE LIMON</t>
        </is>
      </c>
      <c r="E788" t="inlineStr">
        <is>
          <t xml:space="preserve">7790726120030       </t>
        </is>
      </c>
      <c r="F788" t="n">
        <v>4018823</v>
      </c>
      <c r="G788" t="inlineStr">
        <is>
          <t xml:space="preserve">GALLETITA LIMON X200G DULCYPAS     </t>
        </is>
      </c>
      <c r="H788" t="inlineStr">
        <is>
          <t xml:space="preserve">UNIDAD              </t>
        </is>
      </c>
      <c r="I788" t="n">
        <v>24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24</v>
      </c>
      <c r="P788" s="96">
        <f>_xlfn.XLOOKUP(Tabla5[[#This Row],[EAN CORREGIDO]],'Tabla Articulos'!B:B,'Tabla Articulos'!D:D)</f>
        <v/>
      </c>
      <c r="Q788" s="96">
        <f>_xlfn.XLOOKUP(S788,'Tabla Articulos'!B:B,'Tabla Articulos'!E:E)</f>
        <v/>
      </c>
      <c r="R788" s="96">
        <f>O788*Q788</f>
        <v/>
      </c>
      <c r="S788" s="97">
        <f>TRIM(E788)</f>
        <v/>
      </c>
    </row>
    <row r="789" hidden="1">
      <c r="A789" s="22" t="n">
        <v>1</v>
      </c>
      <c r="B789" t="inlineStr">
        <is>
          <t xml:space="preserve">CD MORENO                     </t>
        </is>
      </c>
      <c r="C789" t="inlineStr">
        <is>
          <t xml:space="preserve">GRUPO L.                      </t>
        </is>
      </c>
      <c r="D789" t="inlineStr">
        <is>
          <t>CARNE FETEADA</t>
        </is>
      </c>
      <c r="E789" t="inlineStr">
        <is>
          <t xml:space="preserve">790212030073        </t>
        </is>
      </c>
      <c r="F789" t="n">
        <v>4017700</v>
      </c>
      <c r="G789" t="inlineStr">
        <is>
          <t xml:space="preserve">NALGA FETEADA ESP XKG              </t>
        </is>
      </c>
      <c r="H789" t="inlineStr">
        <is>
          <t xml:space="preserve">Kgs                 </t>
        </is>
      </c>
      <c r="I789" t="n">
        <v>89.34999999999999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89.34999999999999</v>
      </c>
      <c r="P789" s="96">
        <f>_xlfn.XLOOKUP(Tabla5[[#This Row],[EAN CORREGIDO]],'Tabla Articulos'!B:B,'Tabla Articulos'!D:D)</f>
        <v/>
      </c>
      <c r="Q789" s="96">
        <f>_xlfn.XLOOKUP(S789,'Tabla Articulos'!B:B,'Tabla Articulos'!E:E)</f>
        <v/>
      </c>
      <c r="R789" s="96">
        <f>O789*Q789</f>
        <v/>
      </c>
      <c r="S789" s="97">
        <f>TRIM(E789)</f>
        <v/>
      </c>
    </row>
    <row r="790" hidden="1">
      <c r="A790" s="22" t="n">
        <v>1</v>
      </c>
      <c r="B790" t="inlineStr">
        <is>
          <t xml:space="preserve">CD MORENO                     </t>
        </is>
      </c>
      <c r="C790" t="inlineStr">
        <is>
          <t xml:space="preserve">GRUPO L.                      </t>
        </is>
      </c>
      <c r="D790" s="11" t="inlineStr">
        <is>
          <t>GALLE AVENA Y CHIPS CHOC</t>
        </is>
      </c>
      <c r="E790" t="inlineStr">
        <is>
          <t xml:space="preserve">7798128000691       </t>
        </is>
      </c>
      <c r="F790" t="n">
        <v>4076794</v>
      </c>
      <c r="G790" t="inlineStr">
        <is>
          <t xml:space="preserve">GALLE AVENA CHIPS X255G CACHAFAZ   </t>
        </is>
      </c>
      <c r="H790" t="inlineStr">
        <is>
          <t xml:space="preserve">UNIDAD              </t>
        </is>
      </c>
      <c r="I790" t="n">
        <v>167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167</v>
      </c>
      <c r="P790" s="96">
        <f>_xlfn.XLOOKUP(Tabla5[[#This Row],[EAN CORREGIDO]],'Tabla Articulos'!B:B,'Tabla Articulos'!D:D)</f>
        <v/>
      </c>
      <c r="Q790" s="96">
        <f>_xlfn.XLOOKUP(S790,'Tabla Articulos'!B:B,'Tabla Articulos'!E:E)</f>
        <v/>
      </c>
      <c r="R790" s="96">
        <f>O790*Q790</f>
        <v/>
      </c>
      <c r="S790" s="97">
        <f>TRIM(E790)</f>
        <v/>
      </c>
    </row>
    <row r="791" hidden="1">
      <c r="A791" s="22" t="n">
        <v>6</v>
      </c>
      <c r="B791" t="inlineStr">
        <is>
          <t xml:space="preserve">CDM03 - MORENO 3              </t>
        </is>
      </c>
      <c r="C791" t="inlineStr">
        <is>
          <t xml:space="preserve">GRUPO L.                      </t>
        </is>
      </c>
      <c r="D791" s="11" t="n"/>
      <c r="E791" t="inlineStr">
        <is>
          <t xml:space="preserve">UNIF000588          </t>
        </is>
      </c>
      <c r="F791" t="n">
        <v>9003126</v>
      </c>
      <c r="G791" t="inlineStr">
        <is>
          <t xml:space="preserve">CHAQUETA CUELLO MAO T3 GL SUP.     </t>
        </is>
      </c>
      <c r="H791" t="inlineStr">
        <is>
          <t xml:space="preserve">UNIDAD              </t>
        </is>
      </c>
      <c r="I791" t="n">
        <v>69</v>
      </c>
      <c r="J791" t="n">
        <v>350</v>
      </c>
      <c r="K791" t="n">
        <v>0</v>
      </c>
      <c r="L791" t="n">
        <v>0</v>
      </c>
      <c r="M791" t="n">
        <v>0</v>
      </c>
      <c r="N791" t="n">
        <v>0</v>
      </c>
      <c r="O791" t="n">
        <v>419</v>
      </c>
      <c r="P791" s="96">
        <f>_xlfn.XLOOKUP(Tabla5[[#This Row],[EAN CORREGIDO]],'Tabla Articulos'!B:B,'Tabla Articulos'!D:D)</f>
        <v/>
      </c>
      <c r="Q791" s="96">
        <f>_xlfn.XLOOKUP(S791,'Tabla Articulos'!B:B,'Tabla Articulos'!E:E)</f>
        <v/>
      </c>
      <c r="R791" s="96">
        <f>O791*Q791</f>
        <v/>
      </c>
      <c r="S791" s="97">
        <f>TRIM(E791)</f>
        <v/>
      </c>
    </row>
    <row r="792" hidden="1">
      <c r="A792" s="22" t="n">
        <v>5</v>
      </c>
      <c r="B792" t="inlineStr">
        <is>
          <t xml:space="preserve">CDM02 - MORENO 2              </t>
        </is>
      </c>
      <c r="C792" t="inlineStr">
        <is>
          <t xml:space="preserve">GRUPO L.                      </t>
        </is>
      </c>
      <c r="D792" t="inlineStr">
        <is>
          <t>ARVEJA PARTIDA</t>
        </is>
      </c>
      <c r="E792" t="inlineStr">
        <is>
          <t xml:space="preserve">7791476009019       </t>
        </is>
      </c>
      <c r="F792" t="n">
        <v>4022848</v>
      </c>
      <c r="G792" t="inlineStr">
        <is>
          <t xml:space="preserve">ARVEJAS PARTIDAS SECAS 400GR EGR   </t>
        </is>
      </c>
      <c r="H792" t="inlineStr">
        <is>
          <t xml:space="preserve">UNIDAD              </t>
        </is>
      </c>
      <c r="I792" t="n">
        <v>771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771</v>
      </c>
      <c r="P792" s="96">
        <f>_xlfn.XLOOKUP(Tabla5[[#This Row],[EAN CORREGIDO]],'Tabla Articulos'!B:B,'Tabla Articulos'!D:D)</f>
        <v/>
      </c>
      <c r="Q792" s="96">
        <f>_xlfn.XLOOKUP(S792,'Tabla Articulos'!B:B,'Tabla Articulos'!E:E)</f>
        <v/>
      </c>
      <c r="R792" s="96">
        <f>O792*Q792</f>
        <v/>
      </c>
      <c r="S792" s="97">
        <f>TRIM(E792)</f>
        <v/>
      </c>
    </row>
    <row r="793" hidden="1">
      <c r="A793" s="22" t="n">
        <v>1</v>
      </c>
      <c r="B793" t="inlineStr">
        <is>
          <t xml:space="preserve">CD MORENO                     </t>
        </is>
      </c>
      <c r="C793" t="inlineStr">
        <is>
          <t xml:space="preserve">GRUPO L.                      </t>
        </is>
      </c>
      <c r="D793" s="11" t="inlineStr">
        <is>
          <t>ARVEJA PARTIDA</t>
        </is>
      </c>
      <c r="E793" t="inlineStr">
        <is>
          <t xml:space="preserve">7791476009019       </t>
        </is>
      </c>
      <c r="F793" t="n">
        <v>4022848</v>
      </c>
      <c r="G793" t="inlineStr">
        <is>
          <t xml:space="preserve">ARVEJAS PARTIDAS SECAS 400GR EGR   </t>
        </is>
      </c>
      <c r="H793" t="inlineStr">
        <is>
          <t xml:space="preserve">UNIDAD              </t>
        </is>
      </c>
      <c r="I793" t="n">
        <v>2210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2210</v>
      </c>
      <c r="P793" s="96">
        <f>_xlfn.XLOOKUP(Tabla5[[#This Row],[EAN CORREGIDO]],'Tabla Articulos'!B:B,'Tabla Articulos'!D:D)</f>
        <v/>
      </c>
      <c r="Q793" s="96">
        <f>_xlfn.XLOOKUP(S793,'Tabla Articulos'!B:B,'Tabla Articulos'!E:E)</f>
        <v/>
      </c>
      <c r="R793" s="96">
        <f>O793*Q793</f>
        <v/>
      </c>
      <c r="S793" s="97">
        <f>TRIM(E793)</f>
        <v/>
      </c>
    </row>
    <row r="794" hidden="1">
      <c r="A794" s="22" t="n">
        <v>6</v>
      </c>
      <c r="B794" t="inlineStr">
        <is>
          <t xml:space="preserve">CDM03 - MORENO 3              </t>
        </is>
      </c>
      <c r="C794" t="inlineStr">
        <is>
          <t xml:space="preserve">GRUPO L.                      </t>
        </is>
      </c>
      <c r="D794" s="11" t="n"/>
      <c r="E794" t="inlineStr">
        <is>
          <t xml:space="preserve">UNIF000059          </t>
        </is>
      </c>
      <c r="F794" t="n">
        <v>9003312</v>
      </c>
      <c r="G794" t="inlineStr">
        <is>
          <t xml:space="preserve">BUZO A. MARINO-FRISA GL SUP- 4XL   </t>
        </is>
      </c>
      <c r="H794" t="inlineStr">
        <is>
          <t xml:space="preserve">UNIDAD              </t>
        </is>
      </c>
      <c r="I794" t="n">
        <v>18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18</v>
      </c>
      <c r="P794" s="96">
        <f>_xlfn.XLOOKUP(Tabla5[[#This Row],[EAN CORREGIDO]],'Tabla Articulos'!B:B,'Tabla Articulos'!D:D)</f>
        <v/>
      </c>
      <c r="Q794" s="96">
        <f>_xlfn.XLOOKUP(S794,'Tabla Articulos'!B:B,'Tabla Articulos'!E:E)</f>
        <v/>
      </c>
      <c r="R794" s="96">
        <f>O794*Q794</f>
        <v/>
      </c>
      <c r="S794" s="97">
        <f>TRIM(E794)</f>
        <v/>
      </c>
    </row>
    <row r="795" hidden="1">
      <c r="A795" s="22" t="n">
        <v>1</v>
      </c>
      <c r="B795" t="inlineStr">
        <is>
          <t xml:space="preserve">CD MORENO                     </t>
        </is>
      </c>
      <c r="C795" t="inlineStr">
        <is>
          <t xml:space="preserve">GRUPO L.                      </t>
        </is>
      </c>
      <c r="D795" t="inlineStr">
        <is>
          <t>PAN LACTAL</t>
        </is>
      </c>
      <c r="E795" t="inlineStr">
        <is>
          <t xml:space="preserve">7798094229881       </t>
        </is>
      </c>
      <c r="F795" t="n">
        <v>4076622</v>
      </c>
      <c r="G795" t="inlineStr">
        <is>
          <t xml:space="preserve">PAN DE MESA BLANCO NEVARES 500 GR  </t>
        </is>
      </c>
      <c r="H795" t="inlineStr">
        <is>
          <t xml:space="preserve">UNIDAD              </t>
        </is>
      </c>
      <c r="I795" t="n">
        <v>0</v>
      </c>
      <c r="J795" t="n">
        <v>12</v>
      </c>
      <c r="K795" t="n">
        <v>12</v>
      </c>
      <c r="L795" t="n">
        <v>0</v>
      </c>
      <c r="M795" t="n">
        <v>0</v>
      </c>
      <c r="N795" t="n">
        <v>0</v>
      </c>
      <c r="O795" t="n">
        <v>0</v>
      </c>
      <c r="P795" s="96">
        <f>_xlfn.XLOOKUP(Tabla5[[#This Row],[EAN CORREGIDO]],'Tabla Articulos'!B:B,'Tabla Articulos'!D:D)</f>
        <v/>
      </c>
      <c r="Q795" s="96">
        <f>_xlfn.XLOOKUP(S795,'Tabla Articulos'!B:B,'Tabla Articulos'!E:E)</f>
        <v/>
      </c>
      <c r="R795" s="96">
        <f>O795*Q795</f>
        <v/>
      </c>
      <c r="S795" s="97">
        <f>TRIM(E795)</f>
        <v/>
      </c>
    </row>
    <row r="796" hidden="1">
      <c r="A796" s="22" t="n">
        <v>6</v>
      </c>
      <c r="B796" t="inlineStr">
        <is>
          <t xml:space="preserve">CDM03 - MORENO 3              </t>
        </is>
      </c>
      <c r="C796" t="inlineStr">
        <is>
          <t xml:space="preserve">GRUPO L.                      </t>
        </is>
      </c>
      <c r="D796" s="11" t="n"/>
      <c r="E796" t="inlineStr">
        <is>
          <t xml:space="preserve">UNIF000098          </t>
        </is>
      </c>
      <c r="F796" t="n">
        <v>9003334</v>
      </c>
      <c r="G796" t="inlineStr">
        <is>
          <t xml:space="preserve">CHOMBA PIQUE GRIS 2XL GL SUP.      </t>
        </is>
      </c>
      <c r="H796" t="inlineStr">
        <is>
          <t xml:space="preserve">UNIDAD              </t>
        </is>
      </c>
      <c r="I796" t="n">
        <v>0</v>
      </c>
      <c r="J796" t="n">
        <v>180</v>
      </c>
      <c r="K796" t="n">
        <v>0</v>
      </c>
      <c r="L796" t="n">
        <v>1</v>
      </c>
      <c r="M796" t="n">
        <v>1</v>
      </c>
      <c r="N796" t="n">
        <v>0</v>
      </c>
      <c r="O796" t="n">
        <v>178</v>
      </c>
      <c r="P796" s="96">
        <f>_xlfn.XLOOKUP(Tabla5[[#This Row],[EAN CORREGIDO]],'Tabla Articulos'!B:B,'Tabla Articulos'!D:D)</f>
        <v/>
      </c>
      <c r="Q796" s="96">
        <f>_xlfn.XLOOKUP(S796,'Tabla Articulos'!B:B,'Tabla Articulos'!E:E)</f>
        <v/>
      </c>
      <c r="R796" s="96">
        <f>O796*Q796</f>
        <v/>
      </c>
      <c r="S796" s="97">
        <f>TRIM(E796)</f>
        <v/>
      </c>
    </row>
    <row r="797" hidden="1">
      <c r="A797" s="22" t="n">
        <v>6</v>
      </c>
      <c r="B797" t="inlineStr">
        <is>
          <t xml:space="preserve">CDM03 - MORENO 3              </t>
        </is>
      </c>
      <c r="C797" t="inlineStr">
        <is>
          <t xml:space="preserve">GRUPO L.                      </t>
        </is>
      </c>
      <c r="E797" t="inlineStr">
        <is>
          <t xml:space="preserve">UNIF000039          </t>
        </is>
      </c>
      <c r="F797" t="n">
        <v>9003292</v>
      </c>
      <c r="G797" t="inlineStr">
        <is>
          <t xml:space="preserve">BUZO AZUL ELEVARE S                </t>
        </is>
      </c>
      <c r="H797" t="inlineStr">
        <is>
          <t xml:space="preserve">UNIDAD              </t>
        </is>
      </c>
      <c r="I797" t="n">
        <v>70</v>
      </c>
      <c r="J797" t="n">
        <v>0</v>
      </c>
      <c r="K797" t="n">
        <v>0</v>
      </c>
      <c r="L797" t="n">
        <v>4</v>
      </c>
      <c r="M797" t="n">
        <v>4</v>
      </c>
      <c r="N797" t="n">
        <v>0</v>
      </c>
      <c r="O797" t="n">
        <v>62</v>
      </c>
      <c r="P797" s="96">
        <f>_xlfn.XLOOKUP(Tabla5[[#This Row],[EAN CORREGIDO]],'Tabla Articulos'!B:B,'Tabla Articulos'!D:D)</f>
        <v/>
      </c>
      <c r="Q797" s="96">
        <f>_xlfn.XLOOKUP(S797,'Tabla Articulos'!B:B,'Tabla Articulos'!E:E)</f>
        <v/>
      </c>
      <c r="R797" s="96">
        <f>O797*Q797</f>
        <v/>
      </c>
      <c r="S797" s="97">
        <f>TRIM(E797)</f>
        <v/>
      </c>
    </row>
    <row r="798" hidden="1">
      <c r="A798" s="22" t="n">
        <v>6</v>
      </c>
      <c r="B798" t="inlineStr">
        <is>
          <t xml:space="preserve">CDM03 - MORENO 3              </t>
        </is>
      </c>
      <c r="C798" t="inlineStr">
        <is>
          <t xml:space="preserve">GRUPO L.                      </t>
        </is>
      </c>
      <c r="E798" t="inlineStr">
        <is>
          <t xml:space="preserve">UNIF000086          </t>
        </is>
      </c>
      <c r="F798" t="n">
        <v>9003547</v>
      </c>
      <c r="G798" t="inlineStr">
        <is>
          <t>CAMISA BLANCA LISA 44 BLUE CATERING</t>
        </is>
      </c>
      <c r="H798" t="inlineStr">
        <is>
          <t xml:space="preserve">UNIDAD              </t>
        </is>
      </c>
      <c r="I798" t="n">
        <v>23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23</v>
      </c>
      <c r="P798" s="96">
        <f>_xlfn.XLOOKUP(Tabla5[[#This Row],[EAN CORREGIDO]],'Tabla Articulos'!B:B,'Tabla Articulos'!D:D)</f>
        <v/>
      </c>
      <c r="Q798" s="96">
        <f>_xlfn.XLOOKUP(S798,'Tabla Articulos'!B:B,'Tabla Articulos'!E:E)</f>
        <v/>
      </c>
      <c r="R798" s="96">
        <f>O798*Q798</f>
        <v/>
      </c>
      <c r="S798" s="97">
        <f>TRIM(E798)</f>
        <v/>
      </c>
    </row>
    <row r="799" hidden="1">
      <c r="A799" s="22" t="n">
        <v>6</v>
      </c>
      <c r="B799" t="inlineStr">
        <is>
          <t xml:space="preserve">CDM03 - MORENO 3              </t>
        </is>
      </c>
      <c r="C799" t="inlineStr">
        <is>
          <t xml:space="preserve">GRUPO L.                      </t>
        </is>
      </c>
      <c r="E799" t="inlineStr">
        <is>
          <t xml:space="preserve">UNIF000123          </t>
        </is>
      </c>
      <c r="F799" t="n">
        <v>9003223</v>
      </c>
      <c r="G799" t="inlineStr">
        <is>
          <t xml:space="preserve">PANTALON NAUTICO BLANCO 5          </t>
        </is>
      </c>
      <c r="H799" t="inlineStr">
        <is>
          <t xml:space="preserve">UNIDAD              </t>
        </is>
      </c>
      <c r="I799" t="n">
        <v>272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272</v>
      </c>
      <c r="P799" s="96">
        <f>_xlfn.XLOOKUP(Tabla5[[#This Row],[EAN CORREGIDO]],'Tabla Articulos'!B:B,'Tabla Articulos'!D:D)</f>
        <v/>
      </c>
      <c r="Q799" s="96">
        <f>_xlfn.XLOOKUP(S799,'Tabla Articulos'!B:B,'Tabla Articulos'!E:E)</f>
        <v/>
      </c>
      <c r="R799" s="96">
        <f>O799*Q799</f>
        <v/>
      </c>
      <c r="S799" s="97">
        <f>TRIM(E799)</f>
        <v/>
      </c>
    </row>
    <row r="800" hidden="1">
      <c r="A800" s="22" t="n">
        <v>5</v>
      </c>
      <c r="B800" t="inlineStr">
        <is>
          <t xml:space="preserve">CDM02 - MORENO 2              </t>
        </is>
      </c>
      <c r="C800" t="inlineStr">
        <is>
          <t xml:space="preserve">GRUPO L.                      </t>
        </is>
      </c>
      <c r="D800" t="inlineStr">
        <is>
          <t>DURAZNO MITAD LATA</t>
        </is>
      </c>
      <c r="E800" t="inlineStr">
        <is>
          <t xml:space="preserve">7798132920398       </t>
        </is>
      </c>
      <c r="F800" t="n">
        <v>4022661</v>
      </c>
      <c r="G800" t="inlineStr">
        <is>
          <t xml:space="preserve">DURAZNO MITAD LATA X820G ALCO XUN  </t>
        </is>
      </c>
      <c r="H800" t="inlineStr">
        <is>
          <t xml:space="preserve">UNIDAD              </t>
        </is>
      </c>
      <c r="I800" t="n">
        <v>6736</v>
      </c>
      <c r="J800" t="n">
        <v>0</v>
      </c>
      <c r="K800" t="n">
        <v>0</v>
      </c>
      <c r="L800" t="n">
        <v>3</v>
      </c>
      <c r="M800" t="n">
        <v>3</v>
      </c>
      <c r="N800" t="n">
        <v>0</v>
      </c>
      <c r="O800" t="n">
        <v>6730</v>
      </c>
      <c r="P800" s="96">
        <f>_xlfn.XLOOKUP(Tabla5[[#This Row],[EAN CORREGIDO]],'Tabla Articulos'!B:B,'Tabla Articulos'!D:D)</f>
        <v/>
      </c>
      <c r="Q800" s="96">
        <f>_xlfn.XLOOKUP(S800,'Tabla Articulos'!B:B,'Tabla Articulos'!E:E)</f>
        <v/>
      </c>
      <c r="R800" s="96">
        <f>O800*Q800</f>
        <v/>
      </c>
      <c r="S800" s="97">
        <f>TRIM(E800)</f>
        <v/>
      </c>
    </row>
    <row r="801" hidden="1">
      <c r="A801" s="22" t="n">
        <v>6</v>
      </c>
      <c r="B801" t="inlineStr">
        <is>
          <t xml:space="preserve">CDM03 - MORENO 3              </t>
        </is>
      </c>
      <c r="C801" t="inlineStr">
        <is>
          <t xml:space="preserve">GRUPO L.                      </t>
        </is>
      </c>
      <c r="E801" t="inlineStr">
        <is>
          <t xml:space="preserve">7798287511038       </t>
        </is>
      </c>
      <c r="F801" t="n">
        <v>2016643</v>
      </c>
      <c r="G801" t="inlineStr">
        <is>
          <t xml:space="preserve">REPUESTO P/MOPA 1MT                </t>
        </is>
      </c>
      <c r="H801" t="inlineStr">
        <is>
          <t xml:space="preserve">UNIDAD              </t>
        </is>
      </c>
      <c r="I801" t="n">
        <v>67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67</v>
      </c>
      <c r="P801" s="96">
        <f>_xlfn.XLOOKUP(Tabla5[[#This Row],[EAN CORREGIDO]],'Tabla Articulos'!B:B,'Tabla Articulos'!D:D)</f>
        <v/>
      </c>
      <c r="Q801" s="96">
        <f>_xlfn.XLOOKUP(S801,'Tabla Articulos'!B:B,'Tabla Articulos'!E:E)</f>
        <v/>
      </c>
      <c r="R801" s="96">
        <f>O801*Q801</f>
        <v/>
      </c>
      <c r="S801" s="97">
        <f>TRIM(E801)</f>
        <v/>
      </c>
    </row>
    <row r="802" hidden="1">
      <c r="A802" s="22" t="n">
        <v>6</v>
      </c>
      <c r="B802" t="inlineStr">
        <is>
          <t xml:space="preserve">CDM03 - MORENO 3              </t>
        </is>
      </c>
      <c r="C802" t="inlineStr">
        <is>
          <t xml:space="preserve">GRUPO L.                      </t>
        </is>
      </c>
      <c r="E802" t="inlineStr">
        <is>
          <t xml:space="preserve">UNIF000610          </t>
        </is>
      </c>
      <c r="F802" t="n">
        <v>9003148</v>
      </c>
      <c r="G802" t="inlineStr">
        <is>
          <t xml:space="preserve">GUARDAP. C LOGO C GOUR TALLE XL    </t>
        </is>
      </c>
      <c r="H802" t="inlineStr">
        <is>
          <t xml:space="preserve">UNIDAD              </t>
        </is>
      </c>
      <c r="I802" t="n">
        <v>17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17</v>
      </c>
      <c r="P802" s="96">
        <f>_xlfn.XLOOKUP(Tabla5[[#This Row],[EAN CORREGIDO]],'Tabla Articulos'!B:B,'Tabla Articulos'!D:D)</f>
        <v/>
      </c>
      <c r="Q802" s="96">
        <f>_xlfn.XLOOKUP(S802,'Tabla Articulos'!B:B,'Tabla Articulos'!E:E)</f>
        <v/>
      </c>
      <c r="R802" s="96">
        <f>O802*Q802</f>
        <v/>
      </c>
      <c r="S802" s="97">
        <f>TRIM(E802)</f>
        <v/>
      </c>
    </row>
    <row r="803" hidden="1">
      <c r="A803" s="22" t="n">
        <v>1</v>
      </c>
      <c r="B803" t="inlineStr">
        <is>
          <t xml:space="preserve">CD MORENO                     </t>
        </is>
      </c>
      <c r="C803" t="inlineStr">
        <is>
          <t xml:space="preserve">GRUPO L.                      </t>
        </is>
      </c>
      <c r="D803" t="inlineStr">
        <is>
          <t>GELATINA FRUTILLA</t>
        </is>
      </c>
      <c r="E803" t="inlineStr">
        <is>
          <t xml:space="preserve">7790530850215       </t>
        </is>
      </c>
      <c r="F803" t="n">
        <v>4019844</v>
      </c>
      <c r="G803" t="inlineStr">
        <is>
          <t xml:space="preserve">GELATINA FRUTILLA X 1KG BEDIAL     </t>
        </is>
      </c>
      <c r="H803" t="inlineStr">
        <is>
          <t xml:space="preserve">UNIDAD              </t>
        </is>
      </c>
      <c r="I803" t="n">
        <v>23</v>
      </c>
      <c r="J803" t="n">
        <v>0</v>
      </c>
      <c r="K803" t="n">
        <v>0</v>
      </c>
      <c r="L803" t="n">
        <v>7</v>
      </c>
      <c r="M803" t="n">
        <v>7</v>
      </c>
      <c r="N803" t="n">
        <v>0</v>
      </c>
      <c r="O803" t="n">
        <v>9</v>
      </c>
      <c r="P803" s="96">
        <f>_xlfn.XLOOKUP(Tabla5[[#This Row],[EAN CORREGIDO]],'Tabla Articulos'!B:B,'Tabla Articulos'!D:D)</f>
        <v/>
      </c>
      <c r="Q803" s="96">
        <f>_xlfn.XLOOKUP(S803,'Tabla Articulos'!B:B,'Tabla Articulos'!E:E)</f>
        <v/>
      </c>
      <c r="R803" s="96">
        <f>O803*Q803</f>
        <v/>
      </c>
      <c r="S803" s="97">
        <f>TRIM(E803)</f>
        <v/>
      </c>
    </row>
    <row r="804" hidden="1">
      <c r="A804" s="22" t="n">
        <v>5</v>
      </c>
      <c r="B804" t="inlineStr">
        <is>
          <t xml:space="preserve">CDM02 - MORENO 2              </t>
        </is>
      </c>
      <c r="C804" t="inlineStr">
        <is>
          <t xml:space="preserve">GRUPO L.                      </t>
        </is>
      </c>
      <c r="D804" t="inlineStr">
        <is>
          <t>GELATINA FRUTILLA</t>
        </is>
      </c>
      <c r="E804" t="inlineStr">
        <is>
          <t xml:space="preserve">7790530850215       </t>
        </is>
      </c>
      <c r="F804" t="n">
        <v>4019844</v>
      </c>
      <c r="G804" t="inlineStr">
        <is>
          <t xml:space="preserve">GELATINA FRUTILLA X 1KG BEDIAL     </t>
        </is>
      </c>
      <c r="H804" t="inlineStr">
        <is>
          <t xml:space="preserve">UNIDAD              </t>
        </is>
      </c>
      <c r="I804" t="n">
        <v>23</v>
      </c>
      <c r="J804" t="n">
        <v>67</v>
      </c>
      <c r="K804" t="n">
        <v>67</v>
      </c>
      <c r="L804" t="n">
        <v>6</v>
      </c>
      <c r="M804" t="n">
        <v>6</v>
      </c>
      <c r="N804" t="n">
        <v>0</v>
      </c>
      <c r="O804" t="n">
        <v>11</v>
      </c>
      <c r="P804" s="96">
        <f>_xlfn.XLOOKUP(Tabla5[[#This Row],[EAN CORREGIDO]],'Tabla Articulos'!B:B,'Tabla Articulos'!D:D)</f>
        <v/>
      </c>
      <c r="Q804" s="96">
        <f>_xlfn.XLOOKUP(S804,'Tabla Articulos'!B:B,'Tabla Articulos'!E:E)</f>
        <v/>
      </c>
      <c r="R804" s="96">
        <f>O804*Q804</f>
        <v/>
      </c>
      <c r="S804" s="97">
        <f>TRIM(E804)</f>
        <v/>
      </c>
    </row>
    <row r="805" hidden="1">
      <c r="A805" s="22" t="n">
        <v>1</v>
      </c>
      <c r="B805" t="inlineStr">
        <is>
          <t xml:space="preserve">CD MORENO                     </t>
        </is>
      </c>
      <c r="C805" t="inlineStr">
        <is>
          <t xml:space="preserve">GRUPO L.                      </t>
        </is>
      </c>
      <c r="D805" s="11" t="inlineStr">
        <is>
          <t>PAN DULCE FRUTA</t>
        </is>
      </c>
      <c r="E805" t="inlineStr">
        <is>
          <t xml:space="preserve">7790726119829       </t>
        </is>
      </c>
      <c r="F805" t="n">
        <v>4049108</v>
      </c>
      <c r="G805" t="inlineStr">
        <is>
          <t xml:space="preserve">PAN DULCE C/FRUTAS X400G DULCYPAS	 </t>
        </is>
      </c>
      <c r="H805" t="inlineStr">
        <is>
          <t xml:space="preserve">UNIDAD              </t>
        </is>
      </c>
      <c r="I805" t="n">
        <v>21</v>
      </c>
      <c r="J805" t="n">
        <v>512</v>
      </c>
      <c r="K805" t="n">
        <v>0</v>
      </c>
      <c r="L805" t="n">
        <v>0</v>
      </c>
      <c r="M805" t="n">
        <v>0</v>
      </c>
      <c r="N805" t="n">
        <v>0</v>
      </c>
      <c r="O805" t="n">
        <v>533</v>
      </c>
      <c r="P805" s="96">
        <f>_xlfn.XLOOKUP(Tabla5[[#This Row],[EAN CORREGIDO]],'Tabla Articulos'!B:B,'Tabla Articulos'!D:D)</f>
        <v/>
      </c>
      <c r="Q805" s="96">
        <f>_xlfn.XLOOKUP(S805,'Tabla Articulos'!B:B,'Tabla Articulos'!E:E)</f>
        <v/>
      </c>
      <c r="R805" s="96">
        <f>O805*Q805</f>
        <v/>
      </c>
      <c r="S805" s="97">
        <f>TRIM(E805)</f>
        <v/>
      </c>
    </row>
    <row r="806" hidden="1">
      <c r="A806" s="22" t="n">
        <v>5</v>
      </c>
      <c r="B806" t="inlineStr">
        <is>
          <t xml:space="preserve">CDM02 - MORENO 2              </t>
        </is>
      </c>
      <c r="C806" t="inlineStr">
        <is>
          <t xml:space="preserve">GRUPO L.                      </t>
        </is>
      </c>
      <c r="D806" t="inlineStr">
        <is>
          <t>PAN DULCE FRUTA</t>
        </is>
      </c>
      <c r="E806" t="inlineStr">
        <is>
          <t xml:space="preserve">7790726119829       </t>
        </is>
      </c>
      <c r="F806" t="n">
        <v>4049108</v>
      </c>
      <c r="G806" t="inlineStr">
        <is>
          <t xml:space="preserve">PAN DULCE C/FRUTAS X400G DULCYPAS	 </t>
        </is>
      </c>
      <c r="H806" t="inlineStr">
        <is>
          <t xml:space="preserve">UNIDAD              </t>
        </is>
      </c>
      <c r="I806" t="n">
        <v>14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14</v>
      </c>
      <c r="P806" s="96">
        <f>_xlfn.XLOOKUP(Tabla5[[#This Row],[EAN CORREGIDO]],'Tabla Articulos'!B:B,'Tabla Articulos'!D:D)</f>
        <v/>
      </c>
      <c r="Q806" s="96">
        <f>_xlfn.XLOOKUP(S806,'Tabla Articulos'!B:B,'Tabla Articulos'!E:E)</f>
        <v/>
      </c>
      <c r="R806" s="96">
        <f>O806*Q806</f>
        <v/>
      </c>
      <c r="S806" s="97">
        <f>TRIM(E806)</f>
        <v/>
      </c>
    </row>
    <row r="807" hidden="1">
      <c r="A807" s="22" t="n">
        <v>6</v>
      </c>
      <c r="B807" t="inlineStr">
        <is>
          <t xml:space="preserve">CDM03 - MORENO 3              </t>
        </is>
      </c>
      <c r="C807" t="inlineStr">
        <is>
          <t xml:space="preserve">GRUPO L.                      </t>
        </is>
      </c>
      <c r="E807" t="inlineStr">
        <is>
          <t xml:space="preserve">UNIF000388          </t>
        </is>
      </c>
      <c r="F807" t="n">
        <v>9003455</v>
      </c>
      <c r="G807" t="inlineStr">
        <is>
          <t xml:space="preserve">PANTALON NAUTICO-JEAN 6            </t>
        </is>
      </c>
      <c r="H807" t="inlineStr">
        <is>
          <t xml:space="preserve">UNIDAD              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4</v>
      </c>
      <c r="P807" s="96">
        <f>_xlfn.XLOOKUP(Tabla5[[#This Row],[EAN CORREGIDO]],'Tabla Articulos'!B:B,'Tabla Articulos'!D:D)</f>
        <v/>
      </c>
      <c r="Q807" s="96">
        <f>_xlfn.XLOOKUP(S807,'Tabla Articulos'!B:B,'Tabla Articulos'!E:E)</f>
        <v/>
      </c>
      <c r="R807" s="96">
        <f>O807*Q807</f>
        <v/>
      </c>
      <c r="S807" s="97">
        <f>TRIM(E807)</f>
        <v/>
      </c>
    </row>
    <row r="808" hidden="1">
      <c r="A808" s="22" t="n">
        <v>6</v>
      </c>
      <c r="B808" t="inlineStr">
        <is>
          <t xml:space="preserve">CDM03 - MORENO 3              </t>
        </is>
      </c>
      <c r="C808" t="inlineStr">
        <is>
          <t xml:space="preserve">GRUPO L.                      </t>
        </is>
      </c>
      <c r="E808" t="inlineStr">
        <is>
          <t xml:space="preserve">7793253004316       </t>
        </is>
      </c>
      <c r="F808" t="n">
        <v>2011451</v>
      </c>
      <c r="G808" t="inlineStr">
        <is>
          <t xml:space="preserve">DESOD. AMB ALEGR  360CC POET       </t>
        </is>
      </c>
      <c r="H808" t="inlineStr">
        <is>
          <t xml:space="preserve">UNIDAD              </t>
        </is>
      </c>
      <c r="I808" t="n">
        <v>48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48</v>
      </c>
      <c r="P808" s="96">
        <f>_xlfn.XLOOKUP(Tabla5[[#This Row],[EAN CORREGIDO]],'Tabla Articulos'!B:B,'Tabla Articulos'!D:D)</f>
        <v/>
      </c>
      <c r="Q808" s="96">
        <f>_xlfn.XLOOKUP(S808,'Tabla Articulos'!B:B,'Tabla Articulos'!E:E)</f>
        <v/>
      </c>
      <c r="R808" s="96">
        <f>O808*Q808</f>
        <v/>
      </c>
      <c r="S808" s="97">
        <f>TRIM(E808)</f>
        <v/>
      </c>
    </row>
    <row r="809" hidden="1">
      <c r="A809" s="22" t="n">
        <v>6</v>
      </c>
      <c r="B809" t="inlineStr">
        <is>
          <t xml:space="preserve">CDM03 - MORENO 3              </t>
        </is>
      </c>
      <c r="C809" t="inlineStr">
        <is>
          <t xml:space="preserve">GRUPO L.                      </t>
        </is>
      </c>
      <c r="D809" t="inlineStr">
        <is>
          <t>TAPA ALUMINIO R5</t>
        </is>
      </c>
      <c r="E809" t="inlineStr">
        <is>
          <t xml:space="preserve">640000108778        </t>
        </is>
      </c>
      <c r="F809" t="n">
        <v>2007252</v>
      </c>
      <c r="G809" t="inlineStr">
        <is>
          <t xml:space="preserve">TAPA ALUM R5/F2100X600U VASSOI     </t>
        </is>
      </c>
      <c r="H809" t="inlineStr">
        <is>
          <t xml:space="preserve">UNIDAD              </t>
        </is>
      </c>
      <c r="I809" t="n">
        <v>97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97</v>
      </c>
      <c r="P809" s="96">
        <f>_xlfn.XLOOKUP(Tabla5[[#This Row],[EAN CORREGIDO]],'Tabla Articulos'!B:B,'Tabla Articulos'!D:D)</f>
        <v/>
      </c>
      <c r="Q809" s="96">
        <f>_xlfn.XLOOKUP(S809,'Tabla Articulos'!B:B,'Tabla Articulos'!E:E)</f>
        <v/>
      </c>
      <c r="R809" s="96">
        <f>O809*Q809</f>
        <v/>
      </c>
      <c r="S809" s="97">
        <f>TRIM(E809)</f>
        <v/>
      </c>
    </row>
    <row r="810" hidden="1">
      <c r="A810" s="22" t="n">
        <v>6</v>
      </c>
      <c r="B810" t="inlineStr">
        <is>
          <t xml:space="preserve">CDM03 - MORENO 3              </t>
        </is>
      </c>
      <c r="C810" t="inlineStr">
        <is>
          <t xml:space="preserve">GRUPO L.                      </t>
        </is>
      </c>
      <c r="D810" s="11" t="n"/>
      <c r="E810" t="inlineStr">
        <is>
          <t xml:space="preserve">UNIF000750          </t>
        </is>
      </c>
      <c r="F810" t="n">
        <v>9004204</v>
      </c>
      <c r="G810" t="inlineStr">
        <is>
          <t>CHOMBA PIQUE GRIS MELANGE BLUE CAFÉ</t>
        </is>
      </c>
      <c r="H810" t="inlineStr">
        <is>
          <t xml:space="preserve">UNIDAD              </t>
        </is>
      </c>
      <c r="I810" t="n">
        <v>20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20</v>
      </c>
      <c r="P810" s="96">
        <f>_xlfn.XLOOKUP(Tabla5[[#This Row],[EAN CORREGIDO]],'Tabla Articulos'!B:B,'Tabla Articulos'!D:D)</f>
        <v/>
      </c>
      <c r="Q810" s="96">
        <f>_xlfn.XLOOKUP(S810,'Tabla Articulos'!B:B,'Tabla Articulos'!E:E)</f>
        <v/>
      </c>
      <c r="R810" s="96">
        <f>O810*Q810</f>
        <v/>
      </c>
      <c r="S810" s="97">
        <f>TRIM(E810)</f>
        <v/>
      </c>
    </row>
    <row r="811" hidden="1">
      <c r="A811" s="22" t="n">
        <v>6</v>
      </c>
      <c r="B811" t="inlineStr">
        <is>
          <t xml:space="preserve">CDM03 - MORENO 3              </t>
        </is>
      </c>
      <c r="C811" t="inlineStr">
        <is>
          <t xml:space="preserve">GRUPO L.                      </t>
        </is>
      </c>
      <c r="E811" t="inlineStr">
        <is>
          <t xml:space="preserve">UNIF000151          </t>
        </is>
      </c>
      <c r="F811" t="n">
        <v>9003568</v>
      </c>
      <c r="G811" t="inlineStr">
        <is>
          <t xml:space="preserve">CAMI. BLAN.M. LARG 42 C. GOURMET   </t>
        </is>
      </c>
      <c r="H811" t="inlineStr">
        <is>
          <t xml:space="preserve">UNIDAD              </t>
        </is>
      </c>
      <c r="I811" t="n">
        <v>22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22</v>
      </c>
      <c r="P811" s="96">
        <f>_xlfn.XLOOKUP(Tabla5[[#This Row],[EAN CORREGIDO]],'Tabla Articulos'!B:B,'Tabla Articulos'!D:D)</f>
        <v/>
      </c>
      <c r="Q811" s="96">
        <f>_xlfn.XLOOKUP(S811,'Tabla Articulos'!B:B,'Tabla Articulos'!E:E)</f>
        <v/>
      </c>
      <c r="R811" s="96">
        <f>O811*Q811</f>
        <v/>
      </c>
      <c r="S811" s="97">
        <f>TRIM(E811)</f>
        <v/>
      </c>
    </row>
    <row r="812" hidden="1">
      <c r="A812" s="22" t="n">
        <v>5</v>
      </c>
      <c r="B812" t="inlineStr">
        <is>
          <t xml:space="preserve">CDM02 - MORENO 2              </t>
        </is>
      </c>
      <c r="C812" t="inlineStr">
        <is>
          <t xml:space="preserve">GRUPO L.                      </t>
        </is>
      </c>
      <c r="D812" t="inlineStr">
        <is>
          <t>CAJAS CARTON</t>
        </is>
      </c>
      <c r="E812" t="inlineStr">
        <is>
          <t xml:space="preserve">7790000000150       </t>
        </is>
      </c>
      <c r="F812" t="n">
        <v>2007069</v>
      </c>
      <c r="G812" t="inlineStr">
        <is>
          <t xml:space="preserve">CAJA CARTON 30X21X18 XU LOGO MES   </t>
        </is>
      </c>
      <c r="H812" t="inlineStr">
        <is>
          <t xml:space="preserve">UNIDAD              </t>
        </is>
      </c>
      <c r="I812" t="n">
        <v>23140</v>
      </c>
      <c r="J812" t="n">
        <v>0</v>
      </c>
      <c r="K812" t="n">
        <v>0</v>
      </c>
      <c r="L812" t="n">
        <v>0</v>
      </c>
      <c r="M812" t="n">
        <v>300</v>
      </c>
      <c r="N812" t="n">
        <v>0</v>
      </c>
      <c r="O812" t="n">
        <v>22840</v>
      </c>
      <c r="P812" s="96">
        <f>_xlfn.XLOOKUP(Tabla5[[#This Row],[EAN CORREGIDO]],'Tabla Articulos'!B:B,'Tabla Articulos'!D:D)</f>
        <v/>
      </c>
      <c r="Q812" s="96">
        <f>_xlfn.XLOOKUP(S812,'Tabla Articulos'!B:B,'Tabla Articulos'!E:E)</f>
        <v/>
      </c>
      <c r="R812" s="96">
        <f>O812*Q812</f>
        <v/>
      </c>
      <c r="S812" s="97">
        <f>TRIM(E812)</f>
        <v/>
      </c>
    </row>
    <row r="813" hidden="1">
      <c r="A813" s="22" t="n">
        <v>5</v>
      </c>
      <c r="B813" t="inlineStr">
        <is>
          <t xml:space="preserve">CDM02 - MORENO 2              </t>
        </is>
      </c>
      <c r="C813" t="inlineStr">
        <is>
          <t xml:space="preserve">GRUPO L.                      </t>
        </is>
      </c>
      <c r="D813" t="inlineStr">
        <is>
          <t>FIDEOS INTEGRAL LARGO</t>
        </is>
      </c>
      <c r="E813" t="inlineStr">
        <is>
          <t xml:space="preserve">7790070335975       </t>
        </is>
      </c>
      <c r="F813" t="n">
        <v>4019510</v>
      </c>
      <c r="G813" t="inlineStr">
        <is>
          <t xml:space="preserve">FIDEO INT SPAGHETTI X500G MATAR    </t>
        </is>
      </c>
      <c r="H813" t="inlineStr">
        <is>
          <t xml:space="preserve">UNIDAD              </t>
        </is>
      </c>
      <c r="I813" t="n">
        <v>289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289</v>
      </c>
      <c r="P813" s="96">
        <f>_xlfn.XLOOKUP(Tabla5[[#This Row],[EAN CORREGIDO]],'Tabla Articulos'!B:B,'Tabla Articulos'!D:D)</f>
        <v/>
      </c>
      <c r="Q813" s="96">
        <f>_xlfn.XLOOKUP(S813,'Tabla Articulos'!B:B,'Tabla Articulos'!E:E)</f>
        <v/>
      </c>
      <c r="R813" s="96">
        <f>O813*Q813</f>
        <v/>
      </c>
      <c r="S813" s="97">
        <f>TRIM(E813)</f>
        <v/>
      </c>
    </row>
    <row r="814" hidden="1">
      <c r="A814" s="22" t="n">
        <v>1</v>
      </c>
      <c r="B814" t="inlineStr">
        <is>
          <t xml:space="preserve">CD MORENO                     </t>
        </is>
      </c>
      <c r="C814" t="inlineStr">
        <is>
          <t xml:space="preserve">GRUPO L.                      </t>
        </is>
      </c>
      <c r="D814" s="11" t="inlineStr">
        <is>
          <t>FIDEOS INTEGRAL LARGO</t>
        </is>
      </c>
      <c r="E814" t="inlineStr">
        <is>
          <t xml:space="preserve">7790070335975       </t>
        </is>
      </c>
      <c r="F814" t="n">
        <v>4019510</v>
      </c>
      <c r="G814" t="inlineStr">
        <is>
          <t xml:space="preserve">FIDEO INT SPAGHETTI X500G MATAR    </t>
        </is>
      </c>
      <c r="H814" t="inlineStr">
        <is>
          <t xml:space="preserve">UNIDAD              </t>
        </is>
      </c>
      <c r="I814" t="n">
        <v>100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100</v>
      </c>
      <c r="P814" s="96">
        <f>_xlfn.XLOOKUP(Tabla5[[#This Row],[EAN CORREGIDO]],'Tabla Articulos'!B:B,'Tabla Articulos'!D:D)</f>
        <v/>
      </c>
      <c r="Q814" s="96">
        <f>_xlfn.XLOOKUP(S814,'Tabla Articulos'!B:B,'Tabla Articulos'!E:E)</f>
        <v/>
      </c>
      <c r="R814" s="96">
        <f>O814*Q814</f>
        <v/>
      </c>
      <c r="S814" s="97">
        <f>TRIM(E814)</f>
        <v/>
      </c>
    </row>
    <row r="815" hidden="1">
      <c r="A815" s="22" t="n">
        <v>6</v>
      </c>
      <c r="B815" t="inlineStr">
        <is>
          <t xml:space="preserve">CDM03 - MORENO 3              </t>
        </is>
      </c>
      <c r="C815" t="inlineStr">
        <is>
          <t xml:space="preserve">GRUPO L.                      </t>
        </is>
      </c>
      <c r="E815" t="inlineStr">
        <is>
          <t xml:space="preserve">UNIF000713          </t>
        </is>
      </c>
      <c r="F815" t="n">
        <v>9004072</v>
      </c>
      <c r="G815" t="inlineStr">
        <is>
          <t xml:space="preserve">CAMP. NARAN TRUCKER ELEVARE XL     </t>
        </is>
      </c>
      <c r="H815" t="inlineStr">
        <is>
          <t xml:space="preserve">UNIDAD              </t>
        </is>
      </c>
      <c r="I815" t="n">
        <v>53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53</v>
      </c>
      <c r="P815" s="96">
        <f>_xlfn.XLOOKUP(Tabla5[[#This Row],[EAN CORREGIDO]],'Tabla Articulos'!B:B,'Tabla Articulos'!D:D)</f>
        <v/>
      </c>
      <c r="Q815" s="96">
        <f>_xlfn.XLOOKUP(S815,'Tabla Articulos'!B:B,'Tabla Articulos'!E:E)</f>
        <v/>
      </c>
      <c r="R815" s="96">
        <f>O815*Q815</f>
        <v/>
      </c>
      <c r="S815" s="97">
        <f>TRIM(E815)</f>
        <v/>
      </c>
    </row>
    <row r="816" hidden="1">
      <c r="A816" s="22" t="n">
        <v>6</v>
      </c>
      <c r="B816" t="inlineStr">
        <is>
          <t xml:space="preserve">CDM03 - MORENO 3              </t>
        </is>
      </c>
      <c r="C816" t="inlineStr">
        <is>
          <t xml:space="preserve">GRUPO L.                      </t>
        </is>
      </c>
      <c r="D816" t="inlineStr">
        <is>
          <t>SORBETES</t>
        </is>
      </c>
      <c r="E816" t="inlineStr">
        <is>
          <t xml:space="preserve">7790000000894       </t>
        </is>
      </c>
      <c r="F816" t="n">
        <v>2016742</v>
      </c>
      <c r="G816" t="inlineStr">
        <is>
          <t xml:space="preserve">SORBETES ENSOBRADOS X1000U         </t>
        </is>
      </c>
      <c r="H816" t="inlineStr">
        <is>
          <t xml:space="preserve">UNIDAD              </t>
        </is>
      </c>
      <c r="I816" t="n">
        <v>10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10</v>
      </c>
      <c r="P816" s="96">
        <f>_xlfn.XLOOKUP(Tabla5[[#This Row],[EAN CORREGIDO]],'Tabla Articulos'!B:B,'Tabla Articulos'!D:D)</f>
        <v/>
      </c>
      <c r="Q816" s="96">
        <f>_xlfn.XLOOKUP(S816,'Tabla Articulos'!B:B,'Tabla Articulos'!E:E)</f>
        <v/>
      </c>
      <c r="R816" s="96">
        <f>O816*Q816</f>
        <v/>
      </c>
      <c r="S816" s="97">
        <f>TRIM(E816)</f>
        <v/>
      </c>
    </row>
    <row r="817" hidden="1">
      <c r="A817" s="22" t="n">
        <v>6</v>
      </c>
      <c r="B817" t="inlineStr">
        <is>
          <t xml:space="preserve">CDM03 - MORENO 3              </t>
        </is>
      </c>
      <c r="C817" t="inlineStr">
        <is>
          <t xml:space="preserve">GRUPO L.                      </t>
        </is>
      </c>
      <c r="E817" t="inlineStr">
        <is>
          <t xml:space="preserve">7793253004248       </t>
        </is>
      </c>
      <c r="F817" t="n">
        <v>2011449</v>
      </c>
      <c r="G817" t="inlineStr">
        <is>
          <t xml:space="preserve">GL DESOD.PRIMAVERA  360CC POET     </t>
        </is>
      </c>
      <c r="H817" t="inlineStr">
        <is>
          <t xml:space="preserve">UNIDAD              </t>
        </is>
      </c>
      <c r="I817" t="n">
        <v>412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412</v>
      </c>
      <c r="P817" s="96">
        <f>_xlfn.XLOOKUP(Tabla5[[#This Row],[EAN CORREGIDO]],'Tabla Articulos'!B:B,'Tabla Articulos'!D:D)</f>
        <v/>
      </c>
      <c r="Q817" s="96">
        <f>_xlfn.XLOOKUP(S817,'Tabla Articulos'!B:B,'Tabla Articulos'!E:E)</f>
        <v/>
      </c>
      <c r="R817" s="96">
        <f>O817*Q817</f>
        <v/>
      </c>
      <c r="S817" s="97">
        <f>TRIM(E817)</f>
        <v/>
      </c>
    </row>
    <row r="818" hidden="1">
      <c r="A818" s="22" t="n">
        <v>6</v>
      </c>
      <c r="B818" t="inlineStr">
        <is>
          <t xml:space="preserve">CDM03 - MORENO 3              </t>
        </is>
      </c>
      <c r="C818" t="inlineStr">
        <is>
          <t xml:space="preserve">GRUPO L.                      </t>
        </is>
      </c>
      <c r="D818" t="inlineStr">
        <is>
          <t>DESINFECTANTE</t>
        </is>
      </c>
      <c r="E818" t="inlineStr">
        <is>
          <t xml:space="preserve">7793253005054       </t>
        </is>
      </c>
      <c r="F818" t="n">
        <v>2007422</v>
      </c>
      <c r="G818" t="inlineStr">
        <is>
          <t xml:space="preserve">DESINFEC AERO 332ML AYUDIN         </t>
        </is>
      </c>
      <c r="H818" t="inlineStr">
        <is>
          <t xml:space="preserve">UNIDAD              </t>
        </is>
      </c>
      <c r="I818" t="n">
        <v>254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254</v>
      </c>
      <c r="P818" s="96">
        <f>_xlfn.XLOOKUP(Tabla5[[#This Row],[EAN CORREGIDO]],'Tabla Articulos'!B:B,'Tabla Articulos'!D:D)</f>
        <v/>
      </c>
      <c r="Q818" s="96">
        <f>_xlfn.XLOOKUP(S818,'Tabla Articulos'!B:B,'Tabla Articulos'!E:E)</f>
        <v/>
      </c>
      <c r="R818" s="96">
        <f>O818*Q818</f>
        <v/>
      </c>
      <c r="S818" s="97">
        <f>TRIM(E818)</f>
        <v/>
      </c>
    </row>
    <row r="819" hidden="1">
      <c r="A819" s="22" t="n">
        <v>1</v>
      </c>
      <c r="B819" t="inlineStr">
        <is>
          <t xml:space="preserve">CD MORENO                     </t>
        </is>
      </c>
      <c r="C819" t="inlineStr">
        <is>
          <t xml:space="preserve">GRUPO L.                      </t>
        </is>
      </c>
      <c r="D819" t="inlineStr">
        <is>
          <t>DULCE MEMBRILLO</t>
        </is>
      </c>
      <c r="E819" t="inlineStr">
        <is>
          <t xml:space="preserve">7791113000478       </t>
        </is>
      </c>
      <c r="F819" t="n">
        <v>4020496</v>
      </c>
      <c r="G819" t="inlineStr">
        <is>
          <t xml:space="preserve">DULCE DE MEMBRILLO X 5 KG EMETH    </t>
        </is>
      </c>
      <c r="H819" t="inlineStr">
        <is>
          <t xml:space="preserve">UNIDAD              </t>
        </is>
      </c>
      <c r="I819" t="n">
        <v>914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914</v>
      </c>
      <c r="P819" s="96">
        <f>_xlfn.XLOOKUP(Tabla5[[#This Row],[EAN CORREGIDO]],'Tabla Articulos'!B:B,'Tabla Articulos'!D:D)</f>
        <v/>
      </c>
      <c r="Q819" s="96">
        <f>_xlfn.XLOOKUP(S819,'Tabla Articulos'!B:B,'Tabla Articulos'!E:E)</f>
        <v/>
      </c>
      <c r="R819" s="96">
        <f>O819*Q819</f>
        <v/>
      </c>
      <c r="S819" s="97">
        <f>TRIM(E819)</f>
        <v/>
      </c>
    </row>
    <row r="820" hidden="1">
      <c r="A820" s="22" t="n">
        <v>5</v>
      </c>
      <c r="B820" t="inlineStr">
        <is>
          <t xml:space="preserve">CDM02 - MORENO 2              </t>
        </is>
      </c>
      <c r="C820" t="inlineStr">
        <is>
          <t xml:space="preserve">GRUPO L.                      </t>
        </is>
      </c>
      <c r="D820" t="inlineStr">
        <is>
          <t>YERBA MATE</t>
        </is>
      </c>
      <c r="E820" t="inlineStr">
        <is>
          <t xml:space="preserve">7790387014624       </t>
        </is>
      </c>
      <c r="F820" t="n">
        <v>4022799</v>
      </c>
      <c r="G820" t="inlineStr">
        <is>
          <t xml:space="preserve">YERBA MATE 500GR LA UNION          </t>
        </is>
      </c>
      <c r="H820" t="inlineStr">
        <is>
          <t xml:space="preserve">UNIDAD              </t>
        </is>
      </c>
      <c r="I820" t="n">
        <v>100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100</v>
      </c>
      <c r="P820" s="96">
        <f>_xlfn.XLOOKUP(Tabla5[[#This Row],[EAN CORREGIDO]],'Tabla Articulos'!B:B,'Tabla Articulos'!D:D)</f>
        <v/>
      </c>
      <c r="Q820" s="96">
        <f>_xlfn.XLOOKUP(S820,'Tabla Articulos'!B:B,'Tabla Articulos'!E:E)</f>
        <v/>
      </c>
      <c r="R820" s="96">
        <f>O820*Q820</f>
        <v/>
      </c>
      <c r="S820" s="97">
        <f>TRIM(E820)</f>
        <v/>
      </c>
    </row>
    <row r="821" hidden="1">
      <c r="A821" s="22" t="n">
        <v>6</v>
      </c>
      <c r="B821" t="inlineStr">
        <is>
          <t xml:space="preserve">CDM03 - MORENO 3              </t>
        </is>
      </c>
      <c r="C821" t="inlineStr">
        <is>
          <t xml:space="preserve">GRUPO L.                      </t>
        </is>
      </c>
      <c r="E821" t="inlineStr">
        <is>
          <t xml:space="preserve">BAZ001271           </t>
        </is>
      </c>
      <c r="F821" t="n">
        <v>9003864</v>
      </c>
      <c r="G821" t="inlineStr">
        <is>
          <t xml:space="preserve">CAJON ALAMBRE PORTA 25 PLATOS      </t>
        </is>
      </c>
      <c r="H821" t="inlineStr">
        <is>
          <t xml:space="preserve">UNIDAD              </t>
        </is>
      </c>
      <c r="I821" t="n">
        <v>12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12</v>
      </c>
      <c r="P821" s="96">
        <f>_xlfn.XLOOKUP(Tabla5[[#This Row],[EAN CORREGIDO]],'Tabla Articulos'!B:B,'Tabla Articulos'!D:D)</f>
        <v/>
      </c>
      <c r="Q821" s="96">
        <f>_xlfn.XLOOKUP(S821,'Tabla Articulos'!B:B,'Tabla Articulos'!E:E)</f>
        <v/>
      </c>
      <c r="R821" s="96">
        <f>O821*Q821</f>
        <v/>
      </c>
      <c r="S821" s="97">
        <f>TRIM(E821)</f>
        <v/>
      </c>
    </row>
    <row r="822" hidden="1">
      <c r="A822" s="22" t="n">
        <v>1</v>
      </c>
      <c r="B822" t="inlineStr">
        <is>
          <t xml:space="preserve">CD MORENO                     </t>
        </is>
      </c>
      <c r="C822" t="inlineStr">
        <is>
          <t xml:space="preserve">GRUPO L.                      </t>
        </is>
      </c>
      <c r="D822" s="11" t="inlineStr">
        <is>
          <t>GELATINA FRUTILLA</t>
        </is>
      </c>
      <c r="E822" t="inlineStr">
        <is>
          <t xml:space="preserve">7790971002327       </t>
        </is>
      </c>
      <c r="F822" t="n">
        <v>4019690</v>
      </c>
      <c r="G822" t="inlineStr">
        <is>
          <t xml:space="preserve">GELATINA FRUTILLA X40G RAVANA      </t>
        </is>
      </c>
      <c r="H822" t="inlineStr">
        <is>
          <t xml:space="preserve">UNIDAD              </t>
        </is>
      </c>
      <c r="I822" t="n">
        <v>20218</v>
      </c>
      <c r="J822" t="n">
        <v>0</v>
      </c>
      <c r="K822" t="n">
        <v>0</v>
      </c>
      <c r="L822" t="n">
        <v>359</v>
      </c>
      <c r="M822" t="n">
        <v>359</v>
      </c>
      <c r="N822" t="n">
        <v>0</v>
      </c>
      <c r="O822" t="n">
        <v>19500</v>
      </c>
      <c r="P822" s="96">
        <f>_xlfn.XLOOKUP(Tabla5[[#This Row],[EAN CORREGIDO]],'Tabla Articulos'!B:B,'Tabla Articulos'!D:D)</f>
        <v/>
      </c>
      <c r="Q822" s="96">
        <f>_xlfn.XLOOKUP(S822,'Tabla Articulos'!B:B,'Tabla Articulos'!E:E)</f>
        <v/>
      </c>
      <c r="R822" s="96">
        <f>O822*Q822</f>
        <v/>
      </c>
      <c r="S822" s="97">
        <f>TRIM(E822)</f>
        <v/>
      </c>
    </row>
    <row r="823" hidden="1">
      <c r="A823" s="22" t="n">
        <v>6</v>
      </c>
      <c r="B823" t="inlineStr">
        <is>
          <t xml:space="preserve">CDM03 - MORENO 3              </t>
        </is>
      </c>
      <c r="C823" t="inlineStr">
        <is>
          <t xml:space="preserve">GRUPO L.                      </t>
        </is>
      </c>
      <c r="D823" s="11" t="inlineStr">
        <is>
          <t>TAPA PARA POTE</t>
        </is>
      </c>
      <c r="E823" t="inlineStr">
        <is>
          <t xml:space="preserve">7790000000736       </t>
        </is>
      </c>
      <c r="F823" t="n">
        <v>2016562</v>
      </c>
      <c r="G823" t="inlineStr">
        <is>
          <t xml:space="preserve">TAPA POTE 25CC X2000UN             </t>
        </is>
      </c>
      <c r="H823" t="inlineStr">
        <is>
          <t xml:space="preserve">UNIDAD              </t>
        </is>
      </c>
      <c r="I823" t="n">
        <v>10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10</v>
      </c>
      <c r="P823" s="96">
        <f>_xlfn.XLOOKUP(Tabla5[[#This Row],[EAN CORREGIDO]],'Tabla Articulos'!B:B,'Tabla Articulos'!D:D)</f>
        <v/>
      </c>
      <c r="Q823" s="96">
        <f>_xlfn.XLOOKUP(S823,'Tabla Articulos'!B:B,'Tabla Articulos'!E:E)</f>
        <v/>
      </c>
      <c r="R823" s="96">
        <f>O823*Q823</f>
        <v/>
      </c>
      <c r="S823" s="97">
        <f>TRIM(E823)</f>
        <v/>
      </c>
    </row>
    <row r="824" hidden="1">
      <c r="A824" s="22" t="n">
        <v>1</v>
      </c>
      <c r="B824" t="inlineStr">
        <is>
          <t xml:space="preserve">CD MORENO                     </t>
        </is>
      </c>
      <c r="C824" t="inlineStr">
        <is>
          <t xml:space="preserve">GRUPO L.                      </t>
        </is>
      </c>
      <c r="D824" t="inlineStr">
        <is>
          <t>FIDEOS GUISEROS</t>
        </is>
      </c>
      <c r="E824" t="inlineStr">
        <is>
          <t xml:space="preserve">7798138555464       </t>
        </is>
      </c>
      <c r="F824" t="n">
        <v>4022746</v>
      </c>
      <c r="G824" t="inlineStr">
        <is>
          <t xml:space="preserve">FID MOSTACHOL 500GR S.ISABEL       </t>
        </is>
      </c>
      <c r="H824" t="inlineStr">
        <is>
          <t xml:space="preserve">UNIDAD              </t>
        </is>
      </c>
      <c r="I824" t="n">
        <v>250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250</v>
      </c>
      <c r="P824" s="96">
        <f>_xlfn.XLOOKUP(Tabla5[[#This Row],[EAN CORREGIDO]],'Tabla Articulos'!B:B,'Tabla Articulos'!D:D)</f>
        <v/>
      </c>
      <c r="Q824" s="96">
        <f>_xlfn.XLOOKUP(S824,'Tabla Articulos'!B:B,'Tabla Articulos'!E:E)</f>
        <v/>
      </c>
      <c r="R824" s="96">
        <f>O824*Q824</f>
        <v/>
      </c>
      <c r="S824" s="97">
        <f>TRIM(E824)</f>
        <v/>
      </c>
    </row>
    <row r="825" hidden="1">
      <c r="A825" s="22" t="n">
        <v>5</v>
      </c>
      <c r="B825" t="inlineStr">
        <is>
          <t xml:space="preserve">CDM02 - MORENO 2              </t>
        </is>
      </c>
      <c r="C825" t="inlineStr">
        <is>
          <t xml:space="preserve">GRUPO L.                      </t>
        </is>
      </c>
      <c r="D825" t="inlineStr">
        <is>
          <t>FIDEOS GUISEROS</t>
        </is>
      </c>
      <c r="E825" t="inlineStr">
        <is>
          <t xml:space="preserve">7798138555464       </t>
        </is>
      </c>
      <c r="F825" t="n">
        <v>4022746</v>
      </c>
      <c r="G825" t="inlineStr">
        <is>
          <t xml:space="preserve">FID MOSTACHOL 500GR S.ISABEL       </t>
        </is>
      </c>
      <c r="H825" t="inlineStr">
        <is>
          <t xml:space="preserve">UNIDAD              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1</v>
      </c>
      <c r="P825" s="96">
        <f>_xlfn.XLOOKUP(Tabla5[[#This Row],[EAN CORREGIDO]],'Tabla Articulos'!B:B,'Tabla Articulos'!D:D)</f>
        <v/>
      </c>
      <c r="Q825" s="96">
        <f>_xlfn.XLOOKUP(S825,'Tabla Articulos'!B:B,'Tabla Articulos'!E:E)</f>
        <v/>
      </c>
      <c r="R825" s="96">
        <f>O825*Q825</f>
        <v/>
      </c>
      <c r="S825" s="97">
        <f>TRIM(E825)</f>
        <v/>
      </c>
    </row>
    <row r="826" hidden="1">
      <c r="A826" s="22" t="n">
        <v>6</v>
      </c>
      <c r="B826" t="inlineStr">
        <is>
          <t xml:space="preserve">CDM03 - MORENO 3              </t>
        </is>
      </c>
      <c r="C826" t="inlineStr">
        <is>
          <t xml:space="preserve">GRUPO L.                      </t>
        </is>
      </c>
      <c r="E826" t="inlineStr">
        <is>
          <t xml:space="preserve">BAZ001159           </t>
        </is>
      </c>
      <c r="F826" t="n">
        <v>9003714</v>
      </c>
      <c r="G826" t="inlineStr">
        <is>
          <t xml:space="preserve">PLA HONDO VERBAN RECTO 21 CHEF G   </t>
        </is>
      </c>
      <c r="H826" t="inlineStr">
        <is>
          <t xml:space="preserve">UNIDAD              </t>
        </is>
      </c>
      <c r="I826" t="n">
        <v>2436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2436</v>
      </c>
      <c r="P826" s="96">
        <f>_xlfn.XLOOKUP(Tabla5[[#This Row],[EAN CORREGIDO]],'Tabla Articulos'!B:B,'Tabla Articulos'!D:D)</f>
        <v/>
      </c>
      <c r="Q826" s="96">
        <f>_xlfn.XLOOKUP(S826,'Tabla Articulos'!B:B,'Tabla Articulos'!E:E)</f>
        <v/>
      </c>
      <c r="R826" s="96">
        <f>O826*Q826</f>
        <v/>
      </c>
      <c r="S826" s="97">
        <f>TRIM(E826)</f>
        <v/>
      </c>
    </row>
    <row r="827" hidden="1">
      <c r="A827" s="22" t="n">
        <v>6</v>
      </c>
      <c r="B827" t="inlineStr">
        <is>
          <t xml:space="preserve">CDM03 - MORENO 3              </t>
        </is>
      </c>
      <c r="C827" t="inlineStr">
        <is>
          <t xml:space="preserve">GRUPO L.                      </t>
        </is>
      </c>
      <c r="D827" t="inlineStr">
        <is>
          <t>DESENGRASANTE</t>
        </is>
      </c>
      <c r="E827" t="inlineStr">
        <is>
          <t xml:space="preserve">7798188650423       </t>
        </is>
      </c>
      <c r="F827" t="n">
        <v>2011391</v>
      </c>
      <c r="G827" t="inlineStr">
        <is>
          <t xml:space="preserve">DESENGRASANTE HI-POWER X5LT        </t>
        </is>
      </c>
      <c r="H827" t="inlineStr">
        <is>
          <t xml:space="preserve">UNIDAD              </t>
        </is>
      </c>
      <c r="I827" t="n">
        <v>152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152</v>
      </c>
      <c r="P827" s="96">
        <f>_xlfn.XLOOKUP(Tabla5[[#This Row],[EAN CORREGIDO]],'Tabla Articulos'!B:B,'Tabla Articulos'!D:D)</f>
        <v/>
      </c>
      <c r="Q827" s="96">
        <f>_xlfn.XLOOKUP(S827,'Tabla Articulos'!B:B,'Tabla Articulos'!E:E)</f>
        <v/>
      </c>
      <c r="R827" s="96">
        <f>O827*Q827</f>
        <v/>
      </c>
      <c r="S827" s="97">
        <f>TRIM(E827)</f>
        <v/>
      </c>
    </row>
    <row r="828" hidden="1">
      <c r="A828" s="22" t="n">
        <v>6</v>
      </c>
      <c r="B828" t="inlineStr">
        <is>
          <t xml:space="preserve">CDM03 - MORENO 3              </t>
        </is>
      </c>
      <c r="C828" t="inlineStr">
        <is>
          <t xml:space="preserve">GRUPO L.                      </t>
        </is>
      </c>
      <c r="E828" t="inlineStr">
        <is>
          <t xml:space="preserve">UNIF000455          </t>
        </is>
      </c>
      <c r="F828" t="n">
        <v>9003616</v>
      </c>
      <c r="G828" t="inlineStr">
        <is>
          <t xml:space="preserve">CAMP A. MAR TRUCKER ELEVARE 4XL    </t>
        </is>
      </c>
      <c r="H828" t="inlineStr">
        <is>
          <t xml:space="preserve">UNIDAD              </t>
        </is>
      </c>
      <c r="I828" t="n">
        <v>29</v>
      </c>
      <c r="J828" t="n">
        <v>0</v>
      </c>
      <c r="K828" t="n">
        <v>0</v>
      </c>
      <c r="L828" t="n">
        <v>3</v>
      </c>
      <c r="M828" t="n">
        <v>3</v>
      </c>
      <c r="N828" t="n">
        <v>0</v>
      </c>
      <c r="O828" t="n">
        <v>23</v>
      </c>
      <c r="P828" s="96">
        <f>_xlfn.XLOOKUP(Tabla5[[#This Row],[EAN CORREGIDO]],'Tabla Articulos'!B:B,'Tabla Articulos'!D:D)</f>
        <v/>
      </c>
      <c r="Q828" s="96">
        <f>_xlfn.XLOOKUP(S828,'Tabla Articulos'!B:B,'Tabla Articulos'!E:E)</f>
        <v/>
      </c>
      <c r="R828" s="96">
        <f>O828*Q828</f>
        <v/>
      </c>
      <c r="S828" s="97">
        <f>TRIM(E828)</f>
        <v/>
      </c>
    </row>
    <row r="829" hidden="1">
      <c r="A829" s="22" t="n">
        <v>6</v>
      </c>
      <c r="B829" t="inlineStr">
        <is>
          <t xml:space="preserve">CDM03 - MORENO 3              </t>
        </is>
      </c>
      <c r="C829" t="inlineStr">
        <is>
          <t xml:space="preserve">GRUPO L.                      </t>
        </is>
      </c>
      <c r="E829" t="inlineStr">
        <is>
          <t xml:space="preserve">UNIF000547          </t>
        </is>
      </c>
      <c r="F829" t="n">
        <v>9003085</v>
      </c>
      <c r="G829" t="inlineStr">
        <is>
          <t xml:space="preserve">CHOM.GRIS NEG MANG CORTA NAR XXL   </t>
        </is>
      </c>
      <c r="H829" t="inlineStr">
        <is>
          <t xml:space="preserve">UNIDAD              </t>
        </is>
      </c>
      <c r="I829" t="n">
        <v>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8</v>
      </c>
      <c r="P829" s="96">
        <f>_xlfn.XLOOKUP(Tabla5[[#This Row],[EAN CORREGIDO]],'Tabla Articulos'!B:B,'Tabla Articulos'!D:D)</f>
        <v/>
      </c>
      <c r="Q829" s="96">
        <f>_xlfn.XLOOKUP(S829,'Tabla Articulos'!B:B,'Tabla Articulos'!E:E)</f>
        <v/>
      </c>
      <c r="R829" s="96">
        <f>O829*Q829</f>
        <v/>
      </c>
      <c r="S829" s="97">
        <f>TRIM(E829)</f>
        <v/>
      </c>
    </row>
    <row r="830" hidden="1">
      <c r="A830" s="22" t="n">
        <v>5</v>
      </c>
      <c r="B830" t="inlineStr">
        <is>
          <t xml:space="preserve">CDM02 - MORENO 2              </t>
        </is>
      </c>
      <c r="C830" t="inlineStr">
        <is>
          <t xml:space="preserve">GRUPO L.                      </t>
        </is>
      </c>
      <c r="D830" t="inlineStr">
        <is>
          <t>CAJAS CARTON</t>
        </is>
      </c>
      <c r="E830" t="inlineStr">
        <is>
          <t xml:space="preserve">EMB000033           </t>
        </is>
      </c>
      <c r="F830" t="n">
        <v>2006470</v>
      </c>
      <c r="G830" t="inlineStr">
        <is>
          <t xml:space="preserve">CAJA CARTON 40X40X30XU             </t>
        </is>
      </c>
      <c r="H830" t="inlineStr">
        <is>
          <t xml:space="preserve">UNIDAD              </t>
        </is>
      </c>
      <c r="I830" t="n">
        <v>1653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1653</v>
      </c>
      <c r="P830" s="96">
        <f>_xlfn.XLOOKUP(Tabla5[[#This Row],[EAN CORREGIDO]],'Tabla Articulos'!B:B,'Tabla Articulos'!D:D)</f>
        <v/>
      </c>
      <c r="Q830" s="96">
        <f>_xlfn.XLOOKUP(S830,'Tabla Articulos'!B:B,'Tabla Articulos'!E:E)</f>
        <v/>
      </c>
      <c r="R830" s="96">
        <f>O830*Q830</f>
        <v/>
      </c>
      <c r="S830" s="97">
        <f>TRIM(E830)</f>
        <v/>
      </c>
    </row>
    <row r="831" hidden="1">
      <c r="A831" s="22" t="n">
        <v>1</v>
      </c>
      <c r="B831" t="inlineStr">
        <is>
          <t xml:space="preserve">CD MORENO                     </t>
        </is>
      </c>
      <c r="C831" t="inlineStr">
        <is>
          <t xml:space="preserve">GRUPO L.                      </t>
        </is>
      </c>
      <c r="D831" s="11" t="inlineStr">
        <is>
          <t>CAJAS CARTON</t>
        </is>
      </c>
      <c r="E831" t="inlineStr">
        <is>
          <t xml:space="preserve">EMB000033           </t>
        </is>
      </c>
      <c r="F831" t="n">
        <v>2006470</v>
      </c>
      <c r="G831" t="inlineStr">
        <is>
          <t xml:space="preserve">CAJA CARTON 40X40X30XU             </t>
        </is>
      </c>
      <c r="H831" t="inlineStr">
        <is>
          <t xml:space="preserve">UNIDAD              </t>
        </is>
      </c>
      <c r="I831" t="n">
        <v>150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150</v>
      </c>
      <c r="P831" s="96">
        <f>_xlfn.XLOOKUP(Tabla5[[#This Row],[EAN CORREGIDO]],'Tabla Articulos'!B:B,'Tabla Articulos'!D:D)</f>
        <v/>
      </c>
      <c r="Q831" s="96">
        <f>_xlfn.XLOOKUP(S831,'Tabla Articulos'!B:B,'Tabla Articulos'!E:E)</f>
        <v/>
      </c>
      <c r="R831" s="96">
        <f>O831*Q831</f>
        <v/>
      </c>
      <c r="S831" s="97">
        <f>TRIM(E831)</f>
        <v/>
      </c>
    </row>
    <row r="832" hidden="1">
      <c r="A832" s="22" t="n">
        <v>6</v>
      </c>
      <c r="B832" t="inlineStr">
        <is>
          <t xml:space="preserve">CDM03 - MORENO 3              </t>
        </is>
      </c>
      <c r="C832" t="inlineStr">
        <is>
          <t xml:space="preserve">GRUPO L.                      </t>
        </is>
      </c>
      <c r="D832" s="11" t="n"/>
      <c r="E832" t="inlineStr">
        <is>
          <t xml:space="preserve">UNIF000097          </t>
        </is>
      </c>
      <c r="F832" t="n">
        <v>9003333</v>
      </c>
      <c r="G832" t="inlineStr">
        <is>
          <t xml:space="preserve">CHOMBA PIQUE GRIS XL GL SUP.       </t>
        </is>
      </c>
      <c r="H832" t="inlineStr">
        <is>
          <t xml:space="preserve">UNIDAD              </t>
        </is>
      </c>
      <c r="I832" t="n">
        <v>0</v>
      </c>
      <c r="J832" t="n">
        <v>342</v>
      </c>
      <c r="K832" t="n">
        <v>0</v>
      </c>
      <c r="L832" t="n">
        <v>8</v>
      </c>
      <c r="M832" t="n">
        <v>8</v>
      </c>
      <c r="N832" t="n">
        <v>0</v>
      </c>
      <c r="O832" t="n">
        <v>326</v>
      </c>
      <c r="P832" s="96">
        <f>_xlfn.XLOOKUP(Tabla5[[#This Row],[EAN CORREGIDO]],'Tabla Articulos'!B:B,'Tabla Articulos'!D:D)</f>
        <v/>
      </c>
      <c r="Q832" s="96">
        <f>_xlfn.XLOOKUP(S832,'Tabla Articulos'!B:B,'Tabla Articulos'!E:E)</f>
        <v/>
      </c>
      <c r="R832" s="96">
        <f>O832*Q832</f>
        <v/>
      </c>
      <c r="S832" s="97">
        <f>TRIM(E832)</f>
        <v/>
      </c>
    </row>
    <row r="833" hidden="1">
      <c r="A833" s="22" t="n">
        <v>1</v>
      </c>
      <c r="B833" t="inlineStr">
        <is>
          <t xml:space="preserve">CD MORENO                     </t>
        </is>
      </c>
      <c r="C833" t="inlineStr">
        <is>
          <t xml:space="preserve">GRUPO L.                      </t>
        </is>
      </c>
      <c r="D833" t="inlineStr">
        <is>
          <t>MORCILLA</t>
        </is>
      </c>
      <c r="E833" t="inlineStr">
        <is>
          <t xml:space="preserve">7790212031216       </t>
        </is>
      </c>
      <c r="F833" t="n">
        <v>4021176</v>
      </c>
      <c r="G833" t="inlineStr">
        <is>
          <t xml:space="preserve">MORCILLA BOMBON X KG               </t>
        </is>
      </c>
      <c r="H833" t="inlineStr">
        <is>
          <t xml:space="preserve">Kgs                 </t>
        </is>
      </c>
      <c r="I833" t="n">
        <v>84.40000000000001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84.40000000000001</v>
      </c>
      <c r="P833" s="96">
        <f>_xlfn.XLOOKUP(Tabla5[[#This Row],[EAN CORREGIDO]],'Tabla Articulos'!B:B,'Tabla Articulos'!D:D)</f>
        <v/>
      </c>
      <c r="Q833" s="96">
        <f>_xlfn.XLOOKUP(S833,'Tabla Articulos'!B:B,'Tabla Articulos'!E:E)</f>
        <v/>
      </c>
      <c r="R833" s="96">
        <f>O833*Q833</f>
        <v/>
      </c>
      <c r="S833" s="97">
        <f>TRIM(E833)</f>
        <v/>
      </c>
    </row>
    <row r="834" hidden="1">
      <c r="A834" s="22" t="n">
        <v>6</v>
      </c>
      <c r="B834" t="inlineStr">
        <is>
          <t xml:space="preserve">CDM03 - MORENO 3              </t>
        </is>
      </c>
      <c r="C834" t="inlineStr">
        <is>
          <t xml:space="preserve">GRUPO L.                      </t>
        </is>
      </c>
      <c r="E834" t="inlineStr">
        <is>
          <t xml:space="preserve">UNIF000350          </t>
        </is>
      </c>
      <c r="F834" t="n">
        <v>9003523</v>
      </c>
      <c r="G834" t="inlineStr">
        <is>
          <t xml:space="preserve">CHAQ CUE.MAO AY/CAM/PEON 8 NUTRI   </t>
        </is>
      </c>
      <c r="H834" t="inlineStr">
        <is>
          <t xml:space="preserve">UNIDAD              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1</v>
      </c>
      <c r="P834" s="96">
        <f>_xlfn.XLOOKUP(Tabla5[[#This Row],[EAN CORREGIDO]],'Tabla Articulos'!B:B,'Tabla Articulos'!D:D)</f>
        <v/>
      </c>
      <c r="Q834" s="96">
        <f>_xlfn.XLOOKUP(S834,'Tabla Articulos'!B:B,'Tabla Articulos'!E:E)</f>
        <v/>
      </c>
      <c r="R834" s="96">
        <f>O834*Q834</f>
        <v/>
      </c>
      <c r="S834" s="97">
        <f>TRIM(E834)</f>
        <v/>
      </c>
    </row>
    <row r="835" hidden="1">
      <c r="A835" s="22" t="n">
        <v>6</v>
      </c>
      <c r="B835" t="inlineStr">
        <is>
          <t xml:space="preserve">CDM03 - MORENO 3              </t>
        </is>
      </c>
      <c r="C835" t="inlineStr">
        <is>
          <t xml:space="preserve">GRUPO L.                      </t>
        </is>
      </c>
      <c r="E835" t="inlineStr">
        <is>
          <t xml:space="preserve">UNIF000494          </t>
        </is>
      </c>
      <c r="F835" t="n">
        <v>9003582</v>
      </c>
      <c r="G835" t="inlineStr">
        <is>
          <t xml:space="preserve">CAMI GRIS CAMAR. RET. T46 C GOUR   </t>
        </is>
      </c>
      <c r="H835" t="inlineStr">
        <is>
          <t xml:space="preserve">UNIDAD              </t>
        </is>
      </c>
      <c r="I835" t="n">
        <v>15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15</v>
      </c>
      <c r="P835" s="96">
        <f>_xlfn.XLOOKUP(Tabla5[[#This Row],[EAN CORREGIDO]],'Tabla Articulos'!B:B,'Tabla Articulos'!D:D)</f>
        <v/>
      </c>
      <c r="Q835" s="96">
        <f>_xlfn.XLOOKUP(S835,'Tabla Articulos'!B:B,'Tabla Articulos'!E:E)</f>
        <v/>
      </c>
      <c r="R835" s="96">
        <f>O835*Q835</f>
        <v/>
      </c>
      <c r="S835" s="97">
        <f>TRIM(E835)</f>
        <v/>
      </c>
    </row>
    <row r="836" hidden="1">
      <c r="A836" s="22" t="n">
        <v>6</v>
      </c>
      <c r="B836" t="inlineStr">
        <is>
          <t xml:space="preserve">CDM03 - MORENO 3              </t>
        </is>
      </c>
      <c r="C836" t="inlineStr">
        <is>
          <t xml:space="preserve">GRUPO L.                      </t>
        </is>
      </c>
      <c r="E836" t="inlineStr">
        <is>
          <t xml:space="preserve">UNIF000660          </t>
        </is>
      </c>
      <c r="F836" t="n">
        <v>9003996</v>
      </c>
      <c r="G836" t="inlineStr">
        <is>
          <t xml:space="preserve">PANTALON CARGO NEGRO 48            </t>
        </is>
      </c>
      <c r="H836" t="inlineStr">
        <is>
          <t xml:space="preserve">UNIDAD              </t>
        </is>
      </c>
      <c r="I836" t="n">
        <v>31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31</v>
      </c>
      <c r="P836" s="96">
        <f>_xlfn.XLOOKUP(Tabla5[[#This Row],[EAN CORREGIDO]],'Tabla Articulos'!B:B,'Tabla Articulos'!D:D)</f>
        <v/>
      </c>
      <c r="Q836" s="96">
        <f>_xlfn.XLOOKUP(S836,'Tabla Articulos'!B:B,'Tabla Articulos'!E:E)</f>
        <v/>
      </c>
      <c r="R836" s="96">
        <f>O836*Q836</f>
        <v/>
      </c>
      <c r="S836" s="97">
        <f>TRIM(E836)</f>
        <v/>
      </c>
    </row>
    <row r="837" hidden="1">
      <c r="A837" s="22" t="n">
        <v>5</v>
      </c>
      <c r="B837" t="inlineStr">
        <is>
          <t xml:space="preserve">CDM02 - MORENO 2              </t>
        </is>
      </c>
      <c r="C837" t="inlineStr">
        <is>
          <t xml:space="preserve">GRUPO L.                      </t>
        </is>
      </c>
      <c r="D837" t="inlineStr">
        <is>
          <t>ACEITUNA VERDE S/C</t>
        </is>
      </c>
      <c r="E837" t="inlineStr">
        <is>
          <t xml:space="preserve">7791675909547       </t>
        </is>
      </c>
      <c r="F837" t="n">
        <v>4076834</v>
      </c>
      <c r="G837" t="inlineStr">
        <is>
          <t xml:space="preserve">ACEITUNA VDE DESC 140G NICANOR     </t>
        </is>
      </c>
      <c r="H837" t="inlineStr">
        <is>
          <t xml:space="preserve">UNIDAD              </t>
        </is>
      </c>
      <c r="I837" t="n">
        <v>452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452</v>
      </c>
      <c r="P837" s="96">
        <f>_xlfn.XLOOKUP(Tabla5[[#This Row],[EAN CORREGIDO]],'Tabla Articulos'!B:B,'Tabla Articulos'!D:D)</f>
        <v/>
      </c>
      <c r="Q837" s="96">
        <f>_xlfn.XLOOKUP(S837,'Tabla Articulos'!B:B,'Tabla Articulos'!E:E)</f>
        <v/>
      </c>
      <c r="R837" s="96">
        <f>O837*Q837</f>
        <v/>
      </c>
      <c r="S837" s="97">
        <f>TRIM(E837)</f>
        <v/>
      </c>
    </row>
    <row r="838" hidden="1">
      <c r="A838" s="22" t="n">
        <v>6</v>
      </c>
      <c r="B838" t="inlineStr">
        <is>
          <t xml:space="preserve">CDM03 - MORENO 3              </t>
        </is>
      </c>
      <c r="C838" t="inlineStr">
        <is>
          <t xml:space="preserve">GRUPO L.                      </t>
        </is>
      </c>
      <c r="E838" t="inlineStr">
        <is>
          <t xml:space="preserve">UNIF000081          </t>
        </is>
      </c>
      <c r="F838" t="n">
        <v>9003542</v>
      </c>
      <c r="G838" t="inlineStr">
        <is>
          <t xml:space="preserve">CAMISA BLANCA LISA 54 S. LOGO      </t>
        </is>
      </c>
      <c r="H838" t="inlineStr">
        <is>
          <t xml:space="preserve">UNIDAD              </t>
        </is>
      </c>
      <c r="I838" t="n">
        <v>10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10</v>
      </c>
      <c r="P838" s="96">
        <f>_xlfn.XLOOKUP(Tabla5[[#This Row],[EAN CORREGIDO]],'Tabla Articulos'!B:B,'Tabla Articulos'!D:D)</f>
        <v/>
      </c>
      <c r="Q838" s="96">
        <f>_xlfn.XLOOKUP(S838,'Tabla Articulos'!B:B,'Tabla Articulos'!E:E)</f>
        <v/>
      </c>
      <c r="R838" s="96">
        <f>O838*Q838</f>
        <v/>
      </c>
      <c r="S838" s="97">
        <f>TRIM(E838)</f>
        <v/>
      </c>
    </row>
    <row r="839" hidden="1">
      <c r="A839" s="22" t="n">
        <v>6</v>
      </c>
      <c r="B839" t="inlineStr">
        <is>
          <t xml:space="preserve">CDM03 - MORENO 3              </t>
        </is>
      </c>
      <c r="C839" t="inlineStr">
        <is>
          <t xml:space="preserve">GRUPO L.                      </t>
        </is>
      </c>
      <c r="E839" t="inlineStr">
        <is>
          <t xml:space="preserve">BAZ001212           </t>
        </is>
      </c>
      <c r="F839" t="n">
        <v>9003751</v>
      </c>
      <c r="G839" t="inlineStr">
        <is>
          <t xml:space="preserve">PALA PARA TORTA TRIANG ACE.INOX    </t>
        </is>
      </c>
      <c r="H839" t="inlineStr">
        <is>
          <t xml:space="preserve">UNIDAD              </t>
        </is>
      </c>
      <c r="I839" t="n">
        <v>43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43</v>
      </c>
      <c r="P839" s="96">
        <f>_xlfn.XLOOKUP(Tabla5[[#This Row],[EAN CORREGIDO]],'Tabla Articulos'!B:B,'Tabla Articulos'!D:D)</f>
        <v/>
      </c>
      <c r="Q839" s="96">
        <f>_xlfn.XLOOKUP(S839,'Tabla Articulos'!B:B,'Tabla Articulos'!E:E)</f>
        <v/>
      </c>
      <c r="R839" s="96">
        <f>O839*Q839</f>
        <v/>
      </c>
      <c r="S839" s="97">
        <f>TRIM(E839)</f>
        <v/>
      </c>
    </row>
    <row r="840" hidden="1">
      <c r="A840" s="22" t="n">
        <v>6</v>
      </c>
      <c r="B840" t="inlineStr">
        <is>
          <t xml:space="preserve">CDM03 - MORENO 3              </t>
        </is>
      </c>
      <c r="C840" t="inlineStr">
        <is>
          <t xml:space="preserve">GRUPO L.                      </t>
        </is>
      </c>
      <c r="D840" t="inlineStr">
        <is>
          <t>DESODORANTE DE PISO</t>
        </is>
      </c>
      <c r="E840" t="inlineStr">
        <is>
          <t xml:space="preserve">7798113400390       </t>
        </is>
      </c>
      <c r="F840" t="n">
        <v>2016711</v>
      </c>
      <c r="G840" t="inlineStr">
        <is>
          <t xml:space="preserve">VO DESOD FLORAL 5LT ZELNOVA        </t>
        </is>
      </c>
      <c r="H840" t="inlineStr">
        <is>
          <t xml:space="preserve">UNIDAD              </t>
        </is>
      </c>
      <c r="I840" t="n">
        <v>590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590</v>
      </c>
      <c r="P840" s="96">
        <f>_xlfn.XLOOKUP(Tabla5[[#This Row],[EAN CORREGIDO]],'Tabla Articulos'!B:B,'Tabla Articulos'!D:D)</f>
        <v/>
      </c>
      <c r="Q840" s="96">
        <f>_xlfn.XLOOKUP(S840,'Tabla Articulos'!B:B,'Tabla Articulos'!E:E)</f>
        <v/>
      </c>
      <c r="R840" s="96">
        <f>O840*Q840</f>
        <v/>
      </c>
      <c r="S840" s="97">
        <f>TRIM(E840)</f>
        <v/>
      </c>
    </row>
    <row r="841" hidden="1">
      <c r="A841" s="22" t="n">
        <v>6</v>
      </c>
      <c r="B841" t="inlineStr">
        <is>
          <t xml:space="preserve">CDM03 - MORENO 3              </t>
        </is>
      </c>
      <c r="C841" t="inlineStr">
        <is>
          <t xml:space="preserve">GRUPO L.                      </t>
        </is>
      </c>
      <c r="E841" t="inlineStr">
        <is>
          <t xml:space="preserve">UNIF000419          </t>
        </is>
      </c>
      <c r="F841" t="n">
        <v>9003262</v>
      </c>
      <c r="G841" t="inlineStr">
        <is>
          <t xml:space="preserve">CAMISA GRAFA-AZUL MARINO 42 ELEV   </t>
        </is>
      </c>
      <c r="H841" t="inlineStr">
        <is>
          <t xml:space="preserve">UNIDAD              </t>
        </is>
      </c>
      <c r="I841" t="n">
        <v>39</v>
      </c>
      <c r="J841" t="n">
        <v>50</v>
      </c>
      <c r="K841" t="n">
        <v>0</v>
      </c>
      <c r="L841" t="n">
        <v>6</v>
      </c>
      <c r="M841" t="n">
        <v>6</v>
      </c>
      <c r="N841" t="n">
        <v>0</v>
      </c>
      <c r="O841" t="n">
        <v>77</v>
      </c>
      <c r="P841" s="96">
        <f>_xlfn.XLOOKUP(Tabla5[[#This Row],[EAN CORREGIDO]],'Tabla Articulos'!B:B,'Tabla Articulos'!D:D)</f>
        <v/>
      </c>
      <c r="Q841" s="96">
        <f>_xlfn.XLOOKUP(S841,'Tabla Articulos'!B:B,'Tabla Articulos'!E:E)</f>
        <v/>
      </c>
      <c r="R841" s="96">
        <f>O841*Q841</f>
        <v/>
      </c>
      <c r="S841" s="97">
        <f>TRIM(E841)</f>
        <v/>
      </c>
    </row>
    <row r="842" hidden="1">
      <c r="A842" s="22" t="n">
        <v>6</v>
      </c>
      <c r="B842" t="inlineStr">
        <is>
          <t xml:space="preserve">CDM03 - MORENO 3              </t>
        </is>
      </c>
      <c r="C842" t="inlineStr">
        <is>
          <t xml:space="preserve">GRUPO L.                      </t>
        </is>
      </c>
      <c r="D842" s="11" t="inlineStr">
        <is>
          <t>BALLERINA</t>
        </is>
      </c>
      <c r="E842" t="inlineStr">
        <is>
          <t xml:space="preserve">7796322010904       </t>
        </is>
      </c>
      <c r="F842" t="n">
        <v>2007443</v>
      </c>
      <c r="G842" t="inlineStr">
        <is>
          <t xml:space="preserve">TRAPO PANO BALLERINA VERDE XU SI   </t>
        </is>
      </c>
      <c r="H842" t="inlineStr">
        <is>
          <t xml:space="preserve">UNIDAD              </t>
        </is>
      </c>
      <c r="I842" t="n">
        <v>3360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3360</v>
      </c>
      <c r="P842" s="96">
        <f>_xlfn.XLOOKUP(Tabla5[[#This Row],[EAN CORREGIDO]],'Tabla Articulos'!B:B,'Tabla Articulos'!D:D)</f>
        <v/>
      </c>
      <c r="Q842" s="96">
        <f>_xlfn.XLOOKUP(S842,'Tabla Articulos'!B:B,'Tabla Articulos'!E:E)</f>
        <v/>
      </c>
      <c r="R842" s="96">
        <f>O842*Q842</f>
        <v/>
      </c>
      <c r="S842" s="97">
        <f>TRIM(E842)</f>
        <v/>
      </c>
    </row>
    <row r="843" hidden="1">
      <c r="A843" s="22" t="n">
        <v>1</v>
      </c>
      <c r="B843" t="inlineStr">
        <is>
          <t xml:space="preserve">CD MORENO                     </t>
        </is>
      </c>
      <c r="C843" t="inlineStr">
        <is>
          <t xml:space="preserve">GRUPO L.                      </t>
        </is>
      </c>
      <c r="D843" t="inlineStr">
        <is>
          <t>ALMENDRA SIN TACC</t>
        </is>
      </c>
      <c r="E843" t="inlineStr">
        <is>
          <t xml:space="preserve">7791885409417       </t>
        </is>
      </c>
      <c r="F843" t="n">
        <v>4022588</v>
      </c>
      <c r="G843" t="inlineStr">
        <is>
          <t xml:space="preserve">ALMENDRA S/TACC XKG CUMANA         </t>
        </is>
      </c>
      <c r="H843" t="inlineStr">
        <is>
          <t xml:space="preserve">UNIDAD              </t>
        </is>
      </c>
      <c r="I843" t="n">
        <v>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3</v>
      </c>
      <c r="P843" s="96">
        <f>_xlfn.XLOOKUP(Tabla5[[#This Row],[EAN CORREGIDO]],'Tabla Articulos'!B:B,'Tabla Articulos'!D:D)</f>
        <v/>
      </c>
      <c r="Q843" s="96">
        <f>_xlfn.XLOOKUP(S843,'Tabla Articulos'!B:B,'Tabla Articulos'!E:E)</f>
        <v/>
      </c>
      <c r="R843" s="96">
        <f>O843*Q843</f>
        <v/>
      </c>
      <c r="S843" s="97">
        <f>TRIM(E843)</f>
        <v/>
      </c>
    </row>
    <row r="844" hidden="1">
      <c r="A844" s="22" t="n">
        <v>5</v>
      </c>
      <c r="B844" t="inlineStr">
        <is>
          <t xml:space="preserve">CDM02 - MORENO 2              </t>
        </is>
      </c>
      <c r="C844" t="inlineStr">
        <is>
          <t xml:space="preserve">GRUPO L.                      </t>
        </is>
      </c>
      <c r="D844" t="inlineStr">
        <is>
          <t>TOMATE TRITURADO GRANEL</t>
        </is>
      </c>
      <c r="E844" t="inlineStr">
        <is>
          <t xml:space="preserve">7790500006390       </t>
        </is>
      </c>
      <c r="F844" t="n">
        <v>4024731</v>
      </c>
      <c r="G844" t="inlineStr">
        <is>
          <t xml:space="preserve">TOMATE TRIT S/TACC X4KG SILVIA     </t>
        </is>
      </c>
      <c r="H844" t="inlineStr">
        <is>
          <t xml:space="preserve">UNIDAD              </t>
        </is>
      </c>
      <c r="I844" t="n">
        <v>50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50</v>
      </c>
      <c r="P844" s="96">
        <f>_xlfn.XLOOKUP(Tabla5[[#This Row],[EAN CORREGIDO]],'Tabla Articulos'!B:B,'Tabla Articulos'!D:D)</f>
        <v/>
      </c>
      <c r="Q844" s="96">
        <f>_xlfn.XLOOKUP(S844,'Tabla Articulos'!B:B,'Tabla Articulos'!E:E)</f>
        <v/>
      </c>
      <c r="R844" s="96">
        <f>O844*Q844</f>
        <v/>
      </c>
      <c r="S844" s="97">
        <f>TRIM(E844)</f>
        <v/>
      </c>
    </row>
    <row r="845" hidden="1">
      <c r="A845" s="22" t="n">
        <v>6</v>
      </c>
      <c r="B845" t="inlineStr">
        <is>
          <t xml:space="preserve">CDM03 - MORENO 3              </t>
        </is>
      </c>
      <c r="C845" t="inlineStr">
        <is>
          <t xml:space="preserve">GRUPO L.                      </t>
        </is>
      </c>
      <c r="E845" t="inlineStr">
        <is>
          <t xml:space="preserve">UNIF000318          </t>
        </is>
      </c>
      <c r="F845" t="n">
        <v>9003192</v>
      </c>
      <c r="G845" t="inlineStr">
        <is>
          <t xml:space="preserve">REM CUE. RED A. MAR. ELEVARE XL    </t>
        </is>
      </c>
      <c r="H845" t="inlineStr">
        <is>
          <t xml:space="preserve">UNIDAD              </t>
        </is>
      </c>
      <c r="I845" t="n">
        <v>36</v>
      </c>
      <c r="J845" t="n">
        <v>0</v>
      </c>
      <c r="K845" t="n">
        <v>0</v>
      </c>
      <c r="L845" t="n">
        <v>9</v>
      </c>
      <c r="M845" t="n">
        <v>9</v>
      </c>
      <c r="N845" t="n">
        <v>0</v>
      </c>
      <c r="O845" t="n">
        <v>18</v>
      </c>
      <c r="P845" s="96">
        <f>_xlfn.XLOOKUP(Tabla5[[#This Row],[EAN CORREGIDO]],'Tabla Articulos'!B:B,'Tabla Articulos'!D:D)</f>
        <v/>
      </c>
      <c r="Q845" s="96">
        <f>_xlfn.XLOOKUP(S845,'Tabla Articulos'!B:B,'Tabla Articulos'!E:E)</f>
        <v/>
      </c>
      <c r="R845" s="96">
        <f>O845*Q845</f>
        <v/>
      </c>
      <c r="S845" s="97">
        <f>TRIM(E845)</f>
        <v/>
      </c>
    </row>
    <row r="846" hidden="1">
      <c r="A846" s="22" t="n">
        <v>6</v>
      </c>
      <c r="B846" t="inlineStr">
        <is>
          <t xml:space="preserve">CDM03 - MORENO 3              </t>
        </is>
      </c>
      <c r="C846" t="inlineStr">
        <is>
          <t xml:space="preserve">GRUPO L.                      </t>
        </is>
      </c>
      <c r="E846" t="inlineStr">
        <is>
          <t xml:space="preserve">UNIF000499          </t>
        </is>
      </c>
      <c r="F846" t="n">
        <v>9003587</v>
      </c>
      <c r="G846" t="inlineStr">
        <is>
          <t xml:space="preserve">CAMI GRIS CAMAR. RET. T56 C GOUR   </t>
        </is>
      </c>
      <c r="H846" t="inlineStr">
        <is>
          <t xml:space="preserve">UNIDAD              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2</v>
      </c>
      <c r="P846" s="96">
        <f>_xlfn.XLOOKUP(Tabla5[[#This Row],[EAN CORREGIDO]],'Tabla Articulos'!B:B,'Tabla Articulos'!D:D)</f>
        <v/>
      </c>
      <c r="Q846" s="96">
        <f>_xlfn.XLOOKUP(S846,'Tabla Articulos'!B:B,'Tabla Articulos'!E:E)</f>
        <v/>
      </c>
      <c r="R846" s="96">
        <f>O846*Q846</f>
        <v/>
      </c>
      <c r="S846" s="97">
        <f>TRIM(E846)</f>
        <v/>
      </c>
    </row>
    <row r="847" hidden="1">
      <c r="A847" s="22" t="n">
        <v>1</v>
      </c>
      <c r="B847" t="inlineStr">
        <is>
          <t xml:space="preserve">CD MORENO                     </t>
        </is>
      </c>
      <c r="C847" t="inlineStr">
        <is>
          <t xml:space="preserve">GRUPO L.                      </t>
        </is>
      </c>
      <c r="D847" t="inlineStr">
        <is>
          <t>POSTRE CHOCOLATE</t>
        </is>
      </c>
      <c r="E847" t="inlineStr">
        <is>
          <t xml:space="preserve">7790971002402       </t>
        </is>
      </c>
      <c r="F847" t="n">
        <v>4019603</v>
      </c>
      <c r="G847" t="inlineStr">
        <is>
          <t xml:space="preserve">POSTRE CHOCOLATE X 90GR RAVANA     </t>
        </is>
      </c>
      <c r="H847" t="inlineStr">
        <is>
          <t xml:space="preserve">UNIDAD              </t>
        </is>
      </c>
      <c r="I847" t="n">
        <v>4939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4939</v>
      </c>
      <c r="P847" s="96">
        <f>_xlfn.XLOOKUP(Tabla5[[#This Row],[EAN CORREGIDO]],'Tabla Articulos'!B:B,'Tabla Articulos'!D:D)</f>
        <v/>
      </c>
      <c r="Q847" s="96">
        <f>_xlfn.XLOOKUP(S847,'Tabla Articulos'!B:B,'Tabla Articulos'!E:E)</f>
        <v/>
      </c>
      <c r="R847" s="96">
        <f>O847*Q847</f>
        <v/>
      </c>
      <c r="S847" s="97">
        <f>TRIM(E847)</f>
        <v/>
      </c>
    </row>
    <row r="848" hidden="1">
      <c r="A848" s="22" t="n">
        <v>6</v>
      </c>
      <c r="B848" t="inlineStr">
        <is>
          <t xml:space="preserve">CDM03 - MORENO 3              </t>
        </is>
      </c>
      <c r="C848" t="inlineStr">
        <is>
          <t xml:space="preserve">GRUPO L.                      </t>
        </is>
      </c>
      <c r="E848" t="inlineStr">
        <is>
          <t xml:space="preserve">BAZ001363           </t>
        </is>
      </c>
      <c r="F848" t="n">
        <v>9003887</v>
      </c>
      <c r="G848" t="inlineStr">
        <is>
          <t xml:space="preserve">CHAIRA UNIVERSAL COCINERO 30 CM    </t>
        </is>
      </c>
      <c r="H848" t="inlineStr">
        <is>
          <t xml:space="preserve">UNIDAD              </t>
        </is>
      </c>
      <c r="I848" t="n">
        <v>13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13</v>
      </c>
      <c r="P848" s="96">
        <f>_xlfn.XLOOKUP(Tabla5[[#This Row],[EAN CORREGIDO]],'Tabla Articulos'!B:B,'Tabla Articulos'!D:D)</f>
        <v/>
      </c>
      <c r="Q848" s="96">
        <f>_xlfn.XLOOKUP(S848,'Tabla Articulos'!B:B,'Tabla Articulos'!E:E)</f>
        <v/>
      </c>
      <c r="R848" s="96">
        <f>O848*Q848</f>
        <v/>
      </c>
      <c r="S848" s="97">
        <f>TRIM(E848)</f>
        <v/>
      </c>
    </row>
    <row r="849" hidden="1">
      <c r="A849" s="22" t="n">
        <v>6</v>
      </c>
      <c r="B849" t="inlineStr">
        <is>
          <t xml:space="preserve">CDM03 - MORENO 3              </t>
        </is>
      </c>
      <c r="C849" t="inlineStr">
        <is>
          <t xml:space="preserve">GRUPO L.                      </t>
        </is>
      </c>
      <c r="E849" t="inlineStr">
        <is>
          <t xml:space="preserve">UNIF000564          </t>
        </is>
      </c>
      <c r="F849" t="n">
        <v>9003102</v>
      </c>
      <c r="G849" t="inlineStr">
        <is>
          <t xml:space="preserve">REMERA GRIS MANGA CORTA L          </t>
        </is>
      </c>
      <c r="H849" t="inlineStr">
        <is>
          <t xml:space="preserve">UNIDAD              </t>
        </is>
      </c>
      <c r="I849" t="n">
        <v>13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13</v>
      </c>
      <c r="P849" s="96">
        <f>_xlfn.XLOOKUP(Tabla5[[#This Row],[EAN CORREGIDO]],'Tabla Articulos'!B:B,'Tabla Articulos'!D:D)</f>
        <v/>
      </c>
      <c r="Q849" s="96">
        <f>_xlfn.XLOOKUP(S849,'Tabla Articulos'!B:B,'Tabla Articulos'!E:E)</f>
        <v/>
      </c>
      <c r="R849" s="96">
        <f>O849*Q849</f>
        <v/>
      </c>
      <c r="S849" s="97">
        <f>TRIM(E849)</f>
        <v/>
      </c>
    </row>
    <row r="850" hidden="1">
      <c r="A850" s="22" t="n">
        <v>6</v>
      </c>
      <c r="B850" t="inlineStr">
        <is>
          <t xml:space="preserve">CDM03 - MORENO 3              </t>
        </is>
      </c>
      <c r="C850" t="inlineStr">
        <is>
          <t xml:space="preserve">GRUPO L.                      </t>
        </is>
      </c>
      <c r="E850" t="inlineStr">
        <is>
          <t xml:space="preserve">UNIF000182          </t>
        </is>
      </c>
      <c r="F850" t="n">
        <v>9003462</v>
      </c>
      <c r="G850" t="inlineStr">
        <is>
          <t xml:space="preserve">PANTALON CARGO GRIS 52 GL SUPP.    </t>
        </is>
      </c>
      <c r="H850" t="inlineStr">
        <is>
          <t xml:space="preserve">UNIDAD              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3</v>
      </c>
      <c r="P850" s="96">
        <f>_xlfn.XLOOKUP(Tabla5[[#This Row],[EAN CORREGIDO]],'Tabla Articulos'!B:B,'Tabla Articulos'!D:D)</f>
        <v/>
      </c>
      <c r="Q850" s="96">
        <f>_xlfn.XLOOKUP(S850,'Tabla Articulos'!B:B,'Tabla Articulos'!E:E)</f>
        <v/>
      </c>
      <c r="R850" s="96">
        <f>O850*Q850</f>
        <v/>
      </c>
      <c r="S850" s="97">
        <f>TRIM(E850)</f>
        <v/>
      </c>
    </row>
    <row r="851" hidden="1">
      <c r="A851" s="22" t="n">
        <v>1</v>
      </c>
      <c r="B851" t="inlineStr">
        <is>
          <t xml:space="preserve">CD MORENO                     </t>
        </is>
      </c>
      <c r="C851" t="inlineStr">
        <is>
          <t xml:space="preserve">GRUPO L.                      </t>
        </is>
      </c>
      <c r="D851" s="11" t="inlineStr">
        <is>
          <t>CACAO AMARGO</t>
        </is>
      </c>
      <c r="E851" t="inlineStr">
        <is>
          <t xml:space="preserve">7790530900200       </t>
        </is>
      </c>
      <c r="F851" t="n">
        <v>4019579</v>
      </c>
      <c r="G851" t="inlineStr">
        <is>
          <t xml:space="preserve">CACAO AMARGO X 1KG BEDIAL          </t>
        </is>
      </c>
      <c r="H851" t="inlineStr">
        <is>
          <t xml:space="preserve">UNIDAD              </t>
        </is>
      </c>
      <c r="I851" t="n">
        <v>90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90</v>
      </c>
      <c r="P851" s="96">
        <f>_xlfn.XLOOKUP(Tabla5[[#This Row],[EAN CORREGIDO]],'Tabla Articulos'!B:B,'Tabla Articulos'!D:D)</f>
        <v/>
      </c>
      <c r="Q851" s="96">
        <f>_xlfn.XLOOKUP(S851,'Tabla Articulos'!B:B,'Tabla Articulos'!E:E)</f>
        <v/>
      </c>
      <c r="R851" s="96">
        <f>O851*Q851</f>
        <v/>
      </c>
      <c r="S851" s="97">
        <f>TRIM(E851)</f>
        <v/>
      </c>
    </row>
    <row r="852" hidden="1">
      <c r="A852" s="22" t="n">
        <v>6</v>
      </c>
      <c r="B852" t="inlineStr">
        <is>
          <t xml:space="preserve">CDM03 - MORENO 3              </t>
        </is>
      </c>
      <c r="C852" t="inlineStr">
        <is>
          <t xml:space="preserve">GRUPO L.                      </t>
        </is>
      </c>
      <c r="E852" t="inlineStr">
        <is>
          <t xml:space="preserve">7790000000738       </t>
        </is>
      </c>
      <c r="F852" t="n">
        <v>9004130</v>
      </c>
      <c r="G852" t="inlineStr">
        <is>
          <t xml:space="preserve">CAJA PLASTICA VERTICAL CARNIC      </t>
        </is>
      </c>
      <c r="H852" t="inlineStr">
        <is>
          <t xml:space="preserve">UNIDAD              </t>
        </is>
      </c>
      <c r="I852" t="n">
        <v>68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68</v>
      </c>
      <c r="P852" s="96">
        <f>_xlfn.XLOOKUP(Tabla5[[#This Row],[EAN CORREGIDO]],'Tabla Articulos'!B:B,'Tabla Articulos'!D:D)</f>
        <v/>
      </c>
      <c r="Q852" s="96">
        <f>_xlfn.XLOOKUP(S852,'Tabla Articulos'!B:B,'Tabla Articulos'!E:E)</f>
        <v/>
      </c>
      <c r="R852" s="96">
        <f>O852*Q852</f>
        <v/>
      </c>
      <c r="S852" s="97">
        <f>TRIM(E852)</f>
        <v/>
      </c>
    </row>
    <row r="853" hidden="1">
      <c r="A853" s="22" t="n">
        <v>6</v>
      </c>
      <c r="B853" t="inlineStr">
        <is>
          <t xml:space="preserve">CDM03 - MORENO 3              </t>
        </is>
      </c>
      <c r="C853" t="inlineStr">
        <is>
          <t xml:space="preserve">GRUPO L.                      </t>
        </is>
      </c>
      <c r="D853" s="11" t="n"/>
      <c r="E853" t="inlineStr">
        <is>
          <t xml:space="preserve">UNIF000462          </t>
        </is>
      </c>
      <c r="F853" t="n">
        <v>9003623</v>
      </c>
      <c r="G853" t="inlineStr">
        <is>
          <t xml:space="preserve">CAMPE. BLANCO TRUCK NUTRIRE 4XL    </t>
        </is>
      </c>
      <c r="H853" t="inlineStr">
        <is>
          <t xml:space="preserve">UNIDAD              </t>
        </is>
      </c>
      <c r="I853" t="n">
        <v>53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53</v>
      </c>
      <c r="P853" s="96">
        <f>_xlfn.XLOOKUP(Tabla5[[#This Row],[EAN CORREGIDO]],'Tabla Articulos'!B:B,'Tabla Articulos'!D:D)</f>
        <v/>
      </c>
      <c r="Q853" s="96">
        <f>_xlfn.XLOOKUP(S853,'Tabla Articulos'!B:B,'Tabla Articulos'!E:E)</f>
        <v/>
      </c>
      <c r="R853" s="96">
        <f>O853*Q853</f>
        <v/>
      </c>
      <c r="S853" s="97">
        <f>TRIM(E853)</f>
        <v/>
      </c>
    </row>
    <row r="854" hidden="1">
      <c r="A854" s="22" t="n">
        <v>1</v>
      </c>
      <c r="B854" t="inlineStr">
        <is>
          <t xml:space="preserve">CD MORENO                     </t>
        </is>
      </c>
      <c r="C854" t="inlineStr">
        <is>
          <t xml:space="preserve">GRUPO L.                      </t>
        </is>
      </c>
      <c r="D854" s="11" t="inlineStr">
        <is>
          <t>FIDEOS GUISEROS</t>
        </is>
      </c>
      <c r="E854" t="inlineStr">
        <is>
          <t xml:space="preserve">7798151690500       </t>
        </is>
      </c>
      <c r="F854" t="n">
        <v>4022951</v>
      </c>
      <c r="G854" t="inlineStr">
        <is>
          <t xml:space="preserve">FIDEO GUISERO X 500 G DOÑA LUISA   </t>
        </is>
      </c>
      <c r="H854" t="inlineStr">
        <is>
          <t xml:space="preserve">UNIDAD              </t>
        </is>
      </c>
      <c r="I854" t="n">
        <v>187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187</v>
      </c>
      <c r="P854" s="96">
        <f>_xlfn.XLOOKUP(Tabla5[[#This Row],[EAN CORREGIDO]],'Tabla Articulos'!B:B,'Tabla Articulos'!D:D)</f>
        <v/>
      </c>
      <c r="Q854" s="96">
        <f>_xlfn.XLOOKUP(S854,'Tabla Articulos'!B:B,'Tabla Articulos'!E:E)</f>
        <v/>
      </c>
      <c r="R854" s="96">
        <f>O854*Q854</f>
        <v/>
      </c>
      <c r="S854" s="97">
        <f>TRIM(E854)</f>
        <v/>
      </c>
    </row>
    <row r="855" hidden="1">
      <c r="A855" s="22" t="n">
        <v>5</v>
      </c>
      <c r="B855" t="inlineStr">
        <is>
          <t xml:space="preserve">CDM02 - MORENO 2              </t>
        </is>
      </c>
      <c r="C855" t="inlineStr">
        <is>
          <t xml:space="preserve">GRUPO L.                      </t>
        </is>
      </c>
      <c r="D855" s="11" t="inlineStr">
        <is>
          <t>FIDEOS GUISEROS</t>
        </is>
      </c>
      <c r="E855" t="inlineStr">
        <is>
          <t xml:space="preserve">7798151690500       </t>
        </is>
      </c>
      <c r="F855" t="n">
        <v>4022951</v>
      </c>
      <c r="G855" t="inlineStr">
        <is>
          <t xml:space="preserve">FIDEO GUISERO X 500 G DOÑA LUISA   </t>
        </is>
      </c>
      <c r="H855" t="inlineStr">
        <is>
          <t xml:space="preserve">UNIDAD              </t>
        </is>
      </c>
      <c r="I855" t="n">
        <v>314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314</v>
      </c>
      <c r="P855" s="96">
        <f>_xlfn.XLOOKUP(Tabla5[[#This Row],[EAN CORREGIDO]],'Tabla Articulos'!B:B,'Tabla Articulos'!D:D)</f>
        <v/>
      </c>
      <c r="Q855" s="96">
        <f>_xlfn.XLOOKUP(S855,'Tabla Articulos'!B:B,'Tabla Articulos'!E:E)</f>
        <v/>
      </c>
      <c r="R855" s="96">
        <f>O855*Q855</f>
        <v/>
      </c>
      <c r="S855" s="97">
        <f>TRIM(E855)</f>
        <v/>
      </c>
    </row>
    <row r="856" hidden="1">
      <c r="A856" s="22" t="n">
        <v>1</v>
      </c>
      <c r="B856" t="inlineStr">
        <is>
          <t xml:space="preserve">CD MORENO                     </t>
        </is>
      </c>
      <c r="C856" t="inlineStr">
        <is>
          <t xml:space="preserve">GRUPO L.                      </t>
        </is>
      </c>
      <c r="D856" s="11" t="inlineStr">
        <is>
          <t>PASTAS RELLENAS</t>
        </is>
      </c>
      <c r="E856" t="inlineStr">
        <is>
          <t xml:space="preserve">7795711000038       </t>
        </is>
      </c>
      <c r="F856" t="n">
        <v>4018657</v>
      </c>
      <c r="G856" t="inlineStr">
        <is>
          <t xml:space="preserve">RAVIOLES POLLO Y ESPINACA X 500 GR </t>
        </is>
      </c>
      <c r="H856" t="inlineStr">
        <is>
          <t xml:space="preserve">UNIDAD              </t>
        </is>
      </c>
      <c r="I856" t="n">
        <v>2811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2811</v>
      </c>
      <c r="P856" s="96">
        <f>_xlfn.XLOOKUP(Tabla5[[#This Row],[EAN CORREGIDO]],'Tabla Articulos'!B:B,'Tabla Articulos'!D:D)</f>
        <v/>
      </c>
      <c r="Q856" s="96">
        <f>_xlfn.XLOOKUP(S856,'Tabla Articulos'!B:B,'Tabla Articulos'!E:E)</f>
        <v/>
      </c>
      <c r="R856" s="96">
        <f>O856*Q856</f>
        <v/>
      </c>
      <c r="S856" s="97">
        <f>TRIM(E856)</f>
        <v/>
      </c>
    </row>
    <row r="857" hidden="1">
      <c r="A857" s="22" t="n">
        <v>6</v>
      </c>
      <c r="B857" t="inlineStr">
        <is>
          <t xml:space="preserve">CDM03 - MORENO 3              </t>
        </is>
      </c>
      <c r="C857" t="inlineStr">
        <is>
          <t xml:space="preserve">GRUPO L.                      </t>
        </is>
      </c>
      <c r="E857" t="inlineStr">
        <is>
          <t xml:space="preserve">UNIF000453          </t>
        </is>
      </c>
      <c r="F857" t="n">
        <v>9003614</v>
      </c>
      <c r="G857" t="inlineStr">
        <is>
          <t xml:space="preserve">CAMPE. TRUCK A. MAR. 2XL ELEVARE   </t>
        </is>
      </c>
      <c r="H857" t="inlineStr">
        <is>
          <t xml:space="preserve">UNIDAD              </t>
        </is>
      </c>
      <c r="I857" t="n">
        <v>43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43</v>
      </c>
      <c r="P857" s="96">
        <f>_xlfn.XLOOKUP(Tabla5[[#This Row],[EAN CORREGIDO]],'Tabla Articulos'!B:B,'Tabla Articulos'!D:D)</f>
        <v/>
      </c>
      <c r="Q857" s="96">
        <f>_xlfn.XLOOKUP(S857,'Tabla Articulos'!B:B,'Tabla Articulos'!E:E)</f>
        <v/>
      </c>
      <c r="R857" s="96">
        <f>O857*Q857</f>
        <v/>
      </c>
      <c r="S857" s="97">
        <f>TRIM(E857)</f>
        <v/>
      </c>
    </row>
    <row r="858" hidden="1">
      <c r="A858" s="22" t="n">
        <v>1</v>
      </c>
      <c r="B858" t="inlineStr">
        <is>
          <t xml:space="preserve">CD MORENO                     </t>
        </is>
      </c>
      <c r="C858" t="inlineStr">
        <is>
          <t xml:space="preserve">GRUPO L.                      </t>
        </is>
      </c>
      <c r="D858" t="inlineStr">
        <is>
          <t>SIDRA</t>
        </is>
      </c>
      <c r="E858" t="inlineStr">
        <is>
          <t xml:space="preserve">7792316001019       </t>
        </is>
      </c>
      <c r="F858" t="n">
        <v>4023659</v>
      </c>
      <c r="G858" t="inlineStr">
        <is>
          <t xml:space="preserve">SIDRA X 720 ML LA VICTORIA         </t>
        </is>
      </c>
      <c r="H858" t="inlineStr">
        <is>
          <t xml:space="preserve">UNIDAD              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1</v>
      </c>
      <c r="P858" s="96">
        <f>_xlfn.XLOOKUP(Tabla5[[#This Row],[EAN CORREGIDO]],'Tabla Articulos'!B:B,'Tabla Articulos'!D:D)</f>
        <v/>
      </c>
      <c r="Q858" s="96">
        <f>_xlfn.XLOOKUP(S858,'Tabla Articulos'!B:B,'Tabla Articulos'!E:E)</f>
        <v/>
      </c>
      <c r="R858" s="96">
        <f>O858*Q858</f>
        <v/>
      </c>
      <c r="S858" s="97">
        <f>TRIM(E858)</f>
        <v/>
      </c>
    </row>
    <row r="859" hidden="1">
      <c r="A859" s="22" t="n">
        <v>1</v>
      </c>
      <c r="B859" t="inlineStr">
        <is>
          <t xml:space="preserve">CD MORENO                     </t>
        </is>
      </c>
      <c r="C859" t="inlineStr">
        <is>
          <t xml:space="preserve">GRUPO L.                      </t>
        </is>
      </c>
      <c r="D859" s="11" t="inlineStr">
        <is>
          <t>GRANOLA</t>
        </is>
      </c>
      <c r="E859" t="inlineStr">
        <is>
          <t xml:space="preserve">7790045826620       </t>
        </is>
      </c>
      <c r="F859" t="n">
        <v>4024620</v>
      </c>
      <c r="G859" t="inlineStr">
        <is>
          <t xml:space="preserve">GRANOLA CROCANTE X3KG GRANIX       </t>
        </is>
      </c>
      <c r="H859" t="inlineStr">
        <is>
          <t xml:space="preserve">UNIDAD              </t>
        </is>
      </c>
      <c r="I859" t="n">
        <v>57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57</v>
      </c>
      <c r="P859" s="96">
        <f>_xlfn.XLOOKUP(Tabla5[[#This Row],[EAN CORREGIDO]],'Tabla Articulos'!B:B,'Tabla Articulos'!D:D)</f>
        <v/>
      </c>
      <c r="Q859" s="96">
        <f>_xlfn.XLOOKUP(S859,'Tabla Articulos'!B:B,'Tabla Articulos'!E:E)</f>
        <v/>
      </c>
      <c r="R859" s="96">
        <f>O859*Q859</f>
        <v/>
      </c>
      <c r="S859" s="97">
        <f>TRIM(E859)</f>
        <v/>
      </c>
    </row>
    <row r="860" hidden="1">
      <c r="A860" s="22" t="n">
        <v>6</v>
      </c>
      <c r="B860" t="inlineStr">
        <is>
          <t xml:space="preserve">CDM03 - MORENO 3              </t>
        </is>
      </c>
      <c r="C860" t="inlineStr">
        <is>
          <t xml:space="preserve">GRUPO L.                      </t>
        </is>
      </c>
      <c r="D860" s="11" t="n"/>
      <c r="E860" t="inlineStr">
        <is>
          <t xml:space="preserve">5000796             </t>
        </is>
      </c>
      <c r="F860" t="n">
        <v>5000796</v>
      </c>
      <c r="G860" t="inlineStr">
        <is>
          <t xml:space="preserve">BOTAS DE GOMA T:43                 </t>
        </is>
      </c>
      <c r="H860" t="inlineStr">
        <is>
          <t xml:space="preserve">UNIDAD              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1</v>
      </c>
      <c r="P860" s="96">
        <f>_xlfn.XLOOKUP(Tabla5[[#This Row],[EAN CORREGIDO]],'Tabla Articulos'!B:B,'Tabla Articulos'!D:D)</f>
        <v/>
      </c>
      <c r="Q860" s="96">
        <f>_xlfn.XLOOKUP(S860,'Tabla Articulos'!B:B,'Tabla Articulos'!E:E)</f>
        <v/>
      </c>
      <c r="R860" s="96">
        <f>O860*Q860</f>
        <v/>
      </c>
      <c r="S860" s="97">
        <f>TRIM(E860)</f>
        <v/>
      </c>
    </row>
    <row r="861" hidden="1">
      <c r="A861" s="22" t="n">
        <v>6</v>
      </c>
      <c r="B861" t="inlineStr">
        <is>
          <t xml:space="preserve">CDM03 - MORENO 3              </t>
        </is>
      </c>
      <c r="C861" t="inlineStr">
        <is>
          <t xml:space="preserve">GRUPO L.                      </t>
        </is>
      </c>
      <c r="E861" t="inlineStr">
        <is>
          <t xml:space="preserve">UNIF000150          </t>
        </is>
      </c>
      <c r="F861" t="n">
        <v>9003567</v>
      </c>
      <c r="G861" t="inlineStr">
        <is>
          <t xml:space="preserve">CAMI. BLAN.M. LARG 40 C. GOURMET   </t>
        </is>
      </c>
      <c r="H861" t="inlineStr">
        <is>
          <t xml:space="preserve">UNIDAD              </t>
        </is>
      </c>
      <c r="I861" t="n">
        <v>11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11</v>
      </c>
      <c r="P861" s="96">
        <f>_xlfn.XLOOKUP(Tabla5[[#This Row],[EAN CORREGIDO]],'Tabla Articulos'!B:B,'Tabla Articulos'!D:D)</f>
        <v/>
      </c>
      <c r="Q861" s="96">
        <f>_xlfn.XLOOKUP(S861,'Tabla Articulos'!B:B,'Tabla Articulos'!E:E)</f>
        <v/>
      </c>
      <c r="R861" s="96">
        <f>O861*Q861</f>
        <v/>
      </c>
      <c r="S861" s="97">
        <f>TRIM(E861)</f>
        <v/>
      </c>
    </row>
    <row r="862" hidden="1">
      <c r="A862" s="22" t="n">
        <v>1</v>
      </c>
      <c r="B862" t="inlineStr">
        <is>
          <t xml:space="preserve">CD MORENO                     </t>
        </is>
      </c>
      <c r="C862" t="inlineStr">
        <is>
          <t xml:space="preserve">GRUPO L.                      </t>
        </is>
      </c>
      <c r="D862" s="11" t="inlineStr">
        <is>
          <t>PEREJIL DESHIDRATADO</t>
        </is>
      </c>
      <c r="E862" t="inlineStr">
        <is>
          <t xml:space="preserve">7793875324151       </t>
        </is>
      </c>
      <c r="F862" t="n">
        <v>4020097</v>
      </c>
      <c r="G862" t="inlineStr">
        <is>
          <t xml:space="preserve">PEREJIL DESHIDRATADO X1KG AYS      </t>
        </is>
      </c>
      <c r="H862" t="inlineStr">
        <is>
          <t xml:space="preserve">UNIDAD              </t>
        </is>
      </c>
      <c r="I862" t="n">
        <v>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8</v>
      </c>
      <c r="P862" s="96">
        <f>_xlfn.XLOOKUP(Tabla5[[#This Row],[EAN CORREGIDO]],'Tabla Articulos'!B:B,'Tabla Articulos'!D:D)</f>
        <v/>
      </c>
      <c r="Q862" s="96">
        <f>_xlfn.XLOOKUP(S862,'Tabla Articulos'!B:B,'Tabla Articulos'!E:E)</f>
        <v/>
      </c>
      <c r="R862" s="96">
        <f>O862*Q862</f>
        <v/>
      </c>
      <c r="S862" s="97">
        <f>TRIM(E862)</f>
        <v/>
      </c>
    </row>
    <row r="863" hidden="1">
      <c r="A863" s="22" t="n">
        <v>1</v>
      </c>
      <c r="B863" t="inlineStr">
        <is>
          <t xml:space="preserve">CD MORENO                     </t>
        </is>
      </c>
      <c r="C863" t="inlineStr">
        <is>
          <t xml:space="preserve">GRUPO L.                      </t>
        </is>
      </c>
      <c r="D863" s="11" t="inlineStr">
        <is>
          <t>MANI CON CHOCOLATE</t>
        </is>
      </c>
      <c r="E863" t="inlineStr">
        <is>
          <t xml:space="preserve">7792860007932       </t>
        </is>
      </c>
      <c r="F863" t="n">
        <v>4049236</v>
      </c>
      <c r="G863" t="inlineStr">
        <is>
          <t xml:space="preserve"> MANI C/CHOC CONFIT 80GR LHERITIER </t>
        </is>
      </c>
      <c r="H863" t="inlineStr">
        <is>
          <t xml:space="preserve">UNIDAD              </t>
        </is>
      </c>
      <c r="I863" t="n">
        <v>84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84</v>
      </c>
      <c r="P863" s="96">
        <f>_xlfn.XLOOKUP(Tabla5[[#This Row],[EAN CORREGIDO]],'Tabla Articulos'!B:B,'Tabla Articulos'!D:D)</f>
        <v/>
      </c>
      <c r="Q863" s="96">
        <f>_xlfn.XLOOKUP(S863,'Tabla Articulos'!B:B,'Tabla Articulos'!E:E)</f>
        <v/>
      </c>
      <c r="R863" s="96">
        <f>O863*Q863</f>
        <v/>
      </c>
      <c r="S863" s="97">
        <f>TRIM(E863)</f>
        <v/>
      </c>
    </row>
    <row r="864" hidden="1">
      <c r="A864" s="22" t="n">
        <v>1</v>
      </c>
      <c r="B864" t="inlineStr">
        <is>
          <t xml:space="preserve">CD MORENO                     </t>
        </is>
      </c>
      <c r="C864" t="inlineStr">
        <is>
          <t xml:space="preserve">GRUPO L.                      </t>
        </is>
      </c>
      <c r="D864" t="inlineStr">
        <is>
          <t>MANTECA INDIVIDUAL</t>
        </is>
      </c>
      <c r="E864" t="inlineStr">
        <is>
          <t xml:space="preserve">7798011970650       </t>
        </is>
      </c>
      <c r="F864" t="n">
        <v>4018303</v>
      </c>
      <c r="G864" t="inlineStr">
        <is>
          <t xml:space="preserve">MANTECA IND X10GRX100U ABEDUL      </t>
        </is>
      </c>
      <c r="H864" t="inlineStr">
        <is>
          <t xml:space="preserve">UNIDAD              </t>
        </is>
      </c>
      <c r="I864" t="n">
        <v>12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12</v>
      </c>
      <c r="P864" s="96">
        <f>_xlfn.XLOOKUP(Tabla5[[#This Row],[EAN CORREGIDO]],'Tabla Articulos'!B:B,'Tabla Articulos'!D:D)</f>
        <v/>
      </c>
      <c r="Q864" s="96">
        <f>_xlfn.XLOOKUP(S864,'Tabla Articulos'!B:B,'Tabla Articulos'!E:E)</f>
        <v/>
      </c>
      <c r="R864" s="96">
        <f>O864*Q864</f>
        <v/>
      </c>
      <c r="S864" s="97">
        <f>TRIM(E864)</f>
        <v/>
      </c>
    </row>
    <row r="865" hidden="1">
      <c r="A865" s="22" t="n">
        <v>6</v>
      </c>
      <c r="B865" t="inlineStr">
        <is>
          <t xml:space="preserve">CDM03 - MORENO 3              </t>
        </is>
      </c>
      <c r="C865" t="inlineStr">
        <is>
          <t xml:space="preserve">GRUPO L.                      </t>
        </is>
      </c>
      <c r="E865" t="inlineStr">
        <is>
          <t xml:space="preserve">UNIF000216          </t>
        </is>
      </c>
      <c r="F865" t="n">
        <v>9003484</v>
      </c>
      <c r="G865" t="inlineStr">
        <is>
          <t xml:space="preserve">PANTAL CARG NEGRO NAR. 46 GL SUP   </t>
        </is>
      </c>
      <c r="H865" t="inlineStr">
        <is>
          <t xml:space="preserve">UNIDAD              </t>
        </is>
      </c>
      <c r="I865" t="n">
        <v>16</v>
      </c>
      <c r="J865" t="n">
        <v>15</v>
      </c>
      <c r="K865" t="n">
        <v>0</v>
      </c>
      <c r="L865" t="n">
        <v>0</v>
      </c>
      <c r="M865" t="n">
        <v>0</v>
      </c>
      <c r="N865" t="n">
        <v>0</v>
      </c>
      <c r="O865" t="n">
        <v>31</v>
      </c>
      <c r="P865" s="96">
        <f>_xlfn.XLOOKUP(Tabla5[[#This Row],[EAN CORREGIDO]],'Tabla Articulos'!B:B,'Tabla Articulos'!D:D)</f>
        <v/>
      </c>
      <c r="Q865" s="96">
        <f>_xlfn.XLOOKUP(S865,'Tabla Articulos'!B:B,'Tabla Articulos'!E:E)</f>
        <v/>
      </c>
      <c r="R865" s="96">
        <f>O865*Q865</f>
        <v/>
      </c>
      <c r="S865" s="97">
        <f>TRIM(E865)</f>
        <v/>
      </c>
    </row>
    <row r="866" hidden="1">
      <c r="A866" s="22" t="n">
        <v>6</v>
      </c>
      <c r="B866" t="inlineStr">
        <is>
          <t xml:space="preserve">CDM03 - MORENO 3              </t>
        </is>
      </c>
      <c r="C866" t="inlineStr">
        <is>
          <t xml:space="preserve">GRUPO L.                      </t>
        </is>
      </c>
      <c r="D866" s="11" t="n"/>
      <c r="E866" t="inlineStr">
        <is>
          <t xml:space="preserve">UNIF000441          </t>
        </is>
      </c>
      <c r="F866" t="n">
        <v>9003602</v>
      </c>
      <c r="G866" t="inlineStr">
        <is>
          <t xml:space="preserve">CAMPE. TRUCK A. MAR GL SUPP 4XL    </t>
        </is>
      </c>
      <c r="H866" t="inlineStr">
        <is>
          <t xml:space="preserve">UNIDAD              </t>
        </is>
      </c>
      <c r="I866" t="n">
        <v>39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39</v>
      </c>
      <c r="P866" s="96">
        <f>_xlfn.XLOOKUP(Tabla5[[#This Row],[EAN CORREGIDO]],'Tabla Articulos'!B:B,'Tabla Articulos'!D:D)</f>
        <v/>
      </c>
      <c r="Q866" s="96">
        <f>_xlfn.XLOOKUP(S866,'Tabla Articulos'!B:B,'Tabla Articulos'!E:E)</f>
        <v/>
      </c>
      <c r="R866" s="96">
        <f>O866*Q866</f>
        <v/>
      </c>
      <c r="S866" s="97">
        <f>TRIM(E866)</f>
        <v/>
      </c>
    </row>
    <row r="867" hidden="1">
      <c r="A867" s="22" t="n">
        <v>1</v>
      </c>
      <c r="B867" t="inlineStr">
        <is>
          <t xml:space="preserve">CD MORENO                     </t>
        </is>
      </c>
      <c r="C867" t="inlineStr">
        <is>
          <t xml:space="preserve">GRUPO L.                      </t>
        </is>
      </c>
      <c r="D867" t="inlineStr">
        <is>
          <t>CARNE PICADA VACUNA</t>
        </is>
      </c>
      <c r="E867" t="inlineStr">
        <is>
          <t xml:space="preserve">7790212031282       </t>
        </is>
      </c>
      <c r="F867" t="n">
        <v>4021759</v>
      </c>
      <c r="G867" t="inlineStr">
        <is>
          <t xml:space="preserve">CARNE PICADA CONG M.PROPIA KG      </t>
        </is>
      </c>
      <c r="H867" t="inlineStr">
        <is>
          <t xml:space="preserve">Kgs                 </t>
        </is>
      </c>
      <c r="I867" t="n">
        <v>604.1</v>
      </c>
      <c r="J867" t="n">
        <v>0</v>
      </c>
      <c r="K867" t="n">
        <v>0</v>
      </c>
      <c r="L867" t="n">
        <v>45.9</v>
      </c>
      <c r="M867" t="n">
        <v>45.9</v>
      </c>
      <c r="N867" t="n">
        <v>0</v>
      </c>
      <c r="O867" t="n">
        <v>512.3</v>
      </c>
      <c r="P867" s="96">
        <f>_xlfn.XLOOKUP(Tabla5[[#This Row],[EAN CORREGIDO]],'Tabla Articulos'!B:B,'Tabla Articulos'!D:D)</f>
        <v/>
      </c>
      <c r="Q867" s="96">
        <f>_xlfn.XLOOKUP(S867,'Tabla Articulos'!B:B,'Tabla Articulos'!E:E)</f>
        <v/>
      </c>
      <c r="R867" s="96">
        <f>O867*Q867</f>
        <v/>
      </c>
      <c r="S867" s="97">
        <f>TRIM(E867)</f>
        <v/>
      </c>
    </row>
    <row r="868" hidden="1">
      <c r="A868" s="22" t="n">
        <v>6</v>
      </c>
      <c r="B868" t="inlineStr">
        <is>
          <t xml:space="preserve">CDM03 - MORENO 3              </t>
        </is>
      </c>
      <c r="C868" t="inlineStr">
        <is>
          <t xml:space="preserve">GRUPO L.                      </t>
        </is>
      </c>
      <c r="E868" t="inlineStr">
        <is>
          <t xml:space="preserve">BAZ001175           </t>
        </is>
      </c>
      <c r="F868" t="n">
        <v>9003837</v>
      </c>
      <c r="G868" t="inlineStr">
        <is>
          <t xml:space="preserve">CACEROLA ALUM C/TAPA N°36X18 LTS   </t>
        </is>
      </c>
      <c r="H868" t="inlineStr">
        <is>
          <t xml:space="preserve">UNIDAD              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2</v>
      </c>
      <c r="P868" s="96">
        <f>_xlfn.XLOOKUP(Tabla5[[#This Row],[EAN CORREGIDO]],'Tabla Articulos'!B:B,'Tabla Articulos'!D:D)</f>
        <v/>
      </c>
      <c r="Q868" s="96">
        <f>_xlfn.XLOOKUP(S868,'Tabla Articulos'!B:B,'Tabla Articulos'!E:E)</f>
        <v/>
      </c>
      <c r="R868" s="96">
        <f>O868*Q868</f>
        <v/>
      </c>
      <c r="S868" s="97">
        <f>TRIM(E868)</f>
        <v/>
      </c>
    </row>
    <row r="869" hidden="1">
      <c r="A869" s="22" t="n">
        <v>6</v>
      </c>
      <c r="B869" t="inlineStr">
        <is>
          <t xml:space="preserve">CDM03 - MORENO 3              </t>
        </is>
      </c>
      <c r="C869" t="inlineStr">
        <is>
          <t xml:space="preserve">GRUPO L.                      </t>
        </is>
      </c>
      <c r="E869" t="inlineStr">
        <is>
          <t xml:space="preserve">7790000000707       </t>
        </is>
      </c>
      <c r="F869" t="n">
        <v>2016498</v>
      </c>
      <c r="G869" t="inlineStr">
        <is>
          <t xml:space="preserve">SERVILLETA 33X21.5 HEALTH X1000UN  </t>
        </is>
      </c>
      <c r="H869" t="inlineStr">
        <is>
          <t xml:space="preserve">UNIDAD              </t>
        </is>
      </c>
      <c r="I869" t="n">
        <v>198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198</v>
      </c>
      <c r="P869" s="96">
        <f>_xlfn.XLOOKUP(Tabla5[[#This Row],[EAN CORREGIDO]],'Tabla Articulos'!B:B,'Tabla Articulos'!D:D)</f>
        <v/>
      </c>
      <c r="Q869" s="96">
        <f>_xlfn.XLOOKUP(S869,'Tabla Articulos'!B:B,'Tabla Articulos'!E:E)</f>
        <v/>
      </c>
      <c r="R869" s="96">
        <f>O869*Q869</f>
        <v/>
      </c>
      <c r="S869" s="97">
        <f>TRIM(E869)</f>
        <v/>
      </c>
    </row>
    <row r="870" hidden="1">
      <c r="A870" s="22" t="n">
        <v>1</v>
      </c>
      <c r="B870" t="inlineStr">
        <is>
          <t xml:space="preserve">CD MORENO                     </t>
        </is>
      </c>
      <c r="C870" t="inlineStr">
        <is>
          <t xml:space="preserve">GRUPO L.                      </t>
        </is>
      </c>
      <c r="D870" s="11" t="inlineStr">
        <is>
          <t>MANI CON CHOCOLATE</t>
        </is>
      </c>
      <c r="E870" t="inlineStr">
        <is>
          <t xml:space="preserve">7790380037743       </t>
        </is>
      </c>
      <c r="F870" t="n">
        <v>4076532</v>
      </c>
      <c r="G870" t="inlineStr">
        <is>
          <t xml:space="preserve">MANI CHOCO X120GR GEORGALOS        </t>
        </is>
      </c>
      <c r="H870" t="inlineStr">
        <is>
          <t xml:space="preserve">UNIDAD              </t>
        </is>
      </c>
      <c r="I870" t="n">
        <v>472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472</v>
      </c>
      <c r="P870" s="96">
        <f>_xlfn.XLOOKUP(Tabla5[[#This Row],[EAN CORREGIDO]],'Tabla Articulos'!B:B,'Tabla Articulos'!D:D)</f>
        <v/>
      </c>
      <c r="Q870" s="96">
        <f>_xlfn.XLOOKUP(S870,'Tabla Articulos'!B:B,'Tabla Articulos'!E:E)</f>
        <v/>
      </c>
      <c r="R870" s="96">
        <f>O870*Q870</f>
        <v/>
      </c>
      <c r="S870" s="97">
        <f>TRIM(E870)</f>
        <v/>
      </c>
    </row>
    <row r="871" hidden="1">
      <c r="A871" s="22" t="n">
        <v>1</v>
      </c>
      <c r="B871" t="inlineStr">
        <is>
          <t xml:space="preserve">CD MORENO                     </t>
        </is>
      </c>
      <c r="C871" t="inlineStr">
        <is>
          <t xml:space="preserve">GRUPO L.                      </t>
        </is>
      </c>
      <c r="D871" t="inlineStr">
        <is>
          <t>CURCUMA</t>
        </is>
      </c>
      <c r="E871" t="inlineStr">
        <is>
          <t xml:space="preserve">7793875313056       </t>
        </is>
      </c>
      <c r="F871" t="n">
        <v>4020055</v>
      </c>
      <c r="G871" t="inlineStr">
        <is>
          <t>CURCUMA MOLIDA X 1 KG ALIMENTOS MYG</t>
        </is>
      </c>
      <c r="H871" t="inlineStr">
        <is>
          <t xml:space="preserve">UNIDAD              </t>
        </is>
      </c>
      <c r="I871" t="n">
        <v>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5</v>
      </c>
      <c r="P871" s="96">
        <f>_xlfn.XLOOKUP(Tabla5[[#This Row],[EAN CORREGIDO]],'Tabla Articulos'!B:B,'Tabla Articulos'!D:D)</f>
        <v/>
      </c>
      <c r="Q871" s="96">
        <f>_xlfn.XLOOKUP(S871,'Tabla Articulos'!B:B,'Tabla Articulos'!E:E)</f>
        <v/>
      </c>
      <c r="R871" s="96">
        <f>O871*Q871</f>
        <v/>
      </c>
      <c r="S871" s="97">
        <f>TRIM(E871)</f>
        <v/>
      </c>
    </row>
    <row r="872" hidden="1">
      <c r="A872" s="22" t="n">
        <v>5</v>
      </c>
      <c r="B872" t="inlineStr">
        <is>
          <t xml:space="preserve">CDM02 - MORENO 2              </t>
        </is>
      </c>
      <c r="C872" t="inlineStr">
        <is>
          <t xml:space="preserve">GRUPO L.                      </t>
        </is>
      </c>
      <c r="D872" t="inlineStr">
        <is>
          <t>FLAN CHOCOLATE</t>
        </is>
      </c>
      <c r="E872" t="inlineStr">
        <is>
          <t xml:space="preserve">7790530850093       </t>
        </is>
      </c>
      <c r="F872" t="n">
        <v>4019738</v>
      </c>
      <c r="G872" t="inlineStr">
        <is>
          <t xml:space="preserve">FLAN CHOCOLATE X1KG BEDIAL         </t>
        </is>
      </c>
      <c r="H872" t="inlineStr">
        <is>
          <t xml:space="preserve">UNIDAD              </t>
        </is>
      </c>
      <c r="I872" t="n">
        <v>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9</v>
      </c>
      <c r="P872" s="96">
        <f>_xlfn.XLOOKUP(Tabla5[[#This Row],[EAN CORREGIDO]],'Tabla Articulos'!B:B,'Tabla Articulos'!D:D)</f>
        <v/>
      </c>
      <c r="Q872" s="96">
        <f>_xlfn.XLOOKUP(S872,'Tabla Articulos'!B:B,'Tabla Articulos'!E:E)</f>
        <v/>
      </c>
      <c r="R872" s="96">
        <f>O872*Q872</f>
        <v/>
      </c>
      <c r="S872" s="97">
        <f>TRIM(E872)</f>
        <v/>
      </c>
    </row>
    <row r="873" hidden="1">
      <c r="A873" s="22" t="n">
        <v>6</v>
      </c>
      <c r="B873" t="inlineStr">
        <is>
          <t xml:space="preserve">CDM03 - MORENO 3              </t>
        </is>
      </c>
      <c r="C873" t="inlineStr">
        <is>
          <t xml:space="preserve">GRUPO L.                      </t>
        </is>
      </c>
      <c r="E873" t="inlineStr">
        <is>
          <t xml:space="preserve">UNIF000327          </t>
        </is>
      </c>
      <c r="F873" t="n">
        <v>9003201</v>
      </c>
      <c r="G873" t="inlineStr">
        <is>
          <t xml:space="preserve">REMERA-BLANCO C/REDONDO 2XL        </t>
        </is>
      </c>
      <c r="H873" t="inlineStr">
        <is>
          <t xml:space="preserve">UNIDAD              </t>
        </is>
      </c>
      <c r="I873" t="n">
        <v>83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83</v>
      </c>
      <c r="P873" s="96">
        <f>_xlfn.XLOOKUP(Tabla5[[#This Row],[EAN CORREGIDO]],'Tabla Articulos'!B:B,'Tabla Articulos'!D:D)</f>
        <v/>
      </c>
      <c r="Q873" s="96">
        <f>_xlfn.XLOOKUP(S873,'Tabla Articulos'!B:B,'Tabla Articulos'!E:E)</f>
        <v/>
      </c>
      <c r="R873" s="96">
        <f>O873*Q873</f>
        <v/>
      </c>
      <c r="S873" s="97">
        <f>TRIM(E873)</f>
        <v/>
      </c>
    </row>
    <row r="874" hidden="1">
      <c r="A874" s="22" t="n">
        <v>6</v>
      </c>
      <c r="B874" t="inlineStr">
        <is>
          <t xml:space="preserve">CDM03 - MORENO 3              </t>
        </is>
      </c>
      <c r="C874" t="inlineStr">
        <is>
          <t xml:space="preserve">GRUPO L.                      </t>
        </is>
      </c>
      <c r="E874" t="inlineStr">
        <is>
          <t xml:space="preserve">A1607C25T8          </t>
        </is>
      </c>
      <c r="F874" t="n">
        <v>9003029</v>
      </c>
      <c r="G874" t="inlineStr">
        <is>
          <t xml:space="preserve">ZAPATO SEG. NEG. 41 ATT CHUBUT     </t>
        </is>
      </c>
      <c r="H874" t="inlineStr">
        <is>
          <t xml:space="preserve">UNIDAD              </t>
        </is>
      </c>
      <c r="I874" t="n">
        <v>56</v>
      </c>
      <c r="J874" t="n">
        <v>130</v>
      </c>
      <c r="K874" t="n">
        <v>0</v>
      </c>
      <c r="L874" t="n">
        <v>10</v>
      </c>
      <c r="M874" t="n">
        <v>10</v>
      </c>
      <c r="N874" t="n">
        <v>0</v>
      </c>
      <c r="O874" t="n">
        <v>166</v>
      </c>
      <c r="P874" s="96">
        <f>_xlfn.XLOOKUP(Tabla5[[#This Row],[EAN CORREGIDO]],'Tabla Articulos'!B:B,'Tabla Articulos'!D:D)</f>
        <v/>
      </c>
      <c r="Q874" s="96">
        <f>_xlfn.XLOOKUP(S874,'Tabla Articulos'!B:B,'Tabla Articulos'!E:E)</f>
        <v/>
      </c>
      <c r="R874" s="96">
        <f>O874*Q874</f>
        <v/>
      </c>
      <c r="S874" s="97">
        <f>TRIM(E874)</f>
        <v/>
      </c>
    </row>
    <row r="875" hidden="1">
      <c r="A875" s="22" t="n">
        <v>6</v>
      </c>
      <c r="B875" t="inlineStr">
        <is>
          <t xml:space="preserve">CDM03 - MORENO 3              </t>
        </is>
      </c>
      <c r="C875" t="inlineStr">
        <is>
          <t xml:space="preserve">GRUPO L.                      </t>
        </is>
      </c>
      <c r="D875" t="inlineStr">
        <is>
          <t>BOLSAS RESIDUO CRISTAL</t>
        </is>
      </c>
      <c r="E875" t="inlineStr">
        <is>
          <t xml:space="preserve">7790321000058       </t>
        </is>
      </c>
      <c r="F875" t="n">
        <v>2006409</v>
      </c>
      <c r="G875" t="inlineStr">
        <is>
          <t xml:space="preserve">BOLSA RESIDUO CRISTAL 90X110X50U   </t>
        </is>
      </c>
      <c r="H875" t="inlineStr">
        <is>
          <t xml:space="preserve">UNIDAD              </t>
        </is>
      </c>
      <c r="I875" t="n">
        <v>334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334</v>
      </c>
      <c r="P875" s="96">
        <f>_xlfn.XLOOKUP(Tabla5[[#This Row],[EAN CORREGIDO]],'Tabla Articulos'!B:B,'Tabla Articulos'!D:D)</f>
        <v/>
      </c>
      <c r="Q875" s="96">
        <f>_xlfn.XLOOKUP(S875,'Tabla Articulos'!B:B,'Tabla Articulos'!E:E)</f>
        <v/>
      </c>
      <c r="R875" s="96">
        <f>O875*Q875</f>
        <v/>
      </c>
      <c r="S875" s="97">
        <f>TRIM(E875)</f>
        <v/>
      </c>
    </row>
    <row r="876" hidden="1">
      <c r="A876" s="22" t="n">
        <v>1</v>
      </c>
      <c r="B876" t="inlineStr">
        <is>
          <t xml:space="preserve">CD MORENO                     </t>
        </is>
      </c>
      <c r="C876" t="inlineStr">
        <is>
          <t xml:space="preserve">GRUPO L.                      </t>
        </is>
      </c>
      <c r="D876" t="inlineStr">
        <is>
          <t>GALLE DULCE VAINILLA</t>
        </is>
      </c>
      <c r="E876" t="inlineStr">
        <is>
          <t xml:space="preserve">7790040139176       </t>
        </is>
      </c>
      <c r="F876" t="n">
        <v>4049099</v>
      </c>
      <c r="G876" t="inlineStr">
        <is>
          <t xml:space="preserve">GALLETITAS POLVORITA X81GRS        </t>
        </is>
      </c>
      <c r="H876" t="inlineStr">
        <is>
          <t xml:space="preserve">UNIDAD              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2</v>
      </c>
      <c r="P876" s="96">
        <f>_xlfn.XLOOKUP(Tabla5[[#This Row],[EAN CORREGIDO]],'Tabla Articulos'!B:B,'Tabla Articulos'!D:D)</f>
        <v/>
      </c>
      <c r="Q876" s="96">
        <f>_xlfn.XLOOKUP(S876,'Tabla Articulos'!B:B,'Tabla Articulos'!E:E)</f>
        <v/>
      </c>
      <c r="R876" s="96">
        <f>O876*Q876</f>
        <v/>
      </c>
      <c r="S876" s="97">
        <f>TRIM(E876)</f>
        <v/>
      </c>
    </row>
    <row r="877" hidden="1">
      <c r="A877" s="22" t="n">
        <v>1</v>
      </c>
      <c r="B877" t="inlineStr">
        <is>
          <t xml:space="preserve">CD MORENO                     </t>
        </is>
      </c>
      <c r="C877" t="inlineStr">
        <is>
          <t xml:space="preserve">GRUPO L.                      </t>
        </is>
      </c>
      <c r="D877" s="11" t="inlineStr">
        <is>
          <t>MERMELADA LIGHT</t>
        </is>
      </c>
      <c r="E877" t="inlineStr">
        <is>
          <t xml:space="preserve">7791113001239       </t>
        </is>
      </c>
      <c r="F877" t="n">
        <v>4019807</v>
      </c>
      <c r="G877" t="inlineStr">
        <is>
          <t xml:space="preserve">MERMELADA FRU LIGHT X420G EMET     </t>
        </is>
      </c>
      <c r="H877" t="inlineStr">
        <is>
          <t xml:space="preserve">UNIDAD              </t>
        </is>
      </c>
      <c r="I877" t="n">
        <v>15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15</v>
      </c>
      <c r="P877" s="96">
        <f>_xlfn.XLOOKUP(Tabla5[[#This Row],[EAN CORREGIDO]],'Tabla Articulos'!B:B,'Tabla Articulos'!D:D)</f>
        <v/>
      </c>
      <c r="Q877" s="96">
        <f>_xlfn.XLOOKUP(S877,'Tabla Articulos'!B:B,'Tabla Articulos'!E:E)</f>
        <v/>
      </c>
      <c r="R877" s="96">
        <f>O877*Q877</f>
        <v/>
      </c>
      <c r="S877" s="97">
        <f>TRIM(E877)</f>
        <v/>
      </c>
    </row>
    <row r="878" hidden="1">
      <c r="A878" s="22" t="n">
        <v>6</v>
      </c>
      <c r="B878" t="inlineStr">
        <is>
          <t xml:space="preserve">CDM03 - MORENO 3              </t>
        </is>
      </c>
      <c r="C878" t="inlineStr">
        <is>
          <t xml:space="preserve">GRUPO L.                      </t>
        </is>
      </c>
      <c r="D878" t="inlineStr">
        <is>
          <t>DESODORANTE DE PISO</t>
        </is>
      </c>
      <c r="E878" t="inlineStr">
        <is>
          <t xml:space="preserve">7794782000374       </t>
        </is>
      </c>
      <c r="F878" t="n">
        <v>2007325</v>
      </c>
      <c r="G878" t="inlineStr">
        <is>
          <t xml:space="preserve">DESODORANTE X 5 LT CHERRY SERVID   </t>
        </is>
      </c>
      <c r="H878" t="inlineStr">
        <is>
          <t xml:space="preserve">UNIDAD              </t>
        </is>
      </c>
      <c r="I878" t="n">
        <v>351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351</v>
      </c>
      <c r="P878" s="96">
        <f>_xlfn.XLOOKUP(Tabla5[[#This Row],[EAN CORREGIDO]],'Tabla Articulos'!B:B,'Tabla Articulos'!D:D)</f>
        <v/>
      </c>
      <c r="Q878" s="96">
        <f>_xlfn.XLOOKUP(S878,'Tabla Articulos'!B:B,'Tabla Articulos'!E:E)</f>
        <v/>
      </c>
      <c r="R878" s="96">
        <f>O878*Q878</f>
        <v/>
      </c>
      <c r="S878" s="97">
        <f>TRIM(E878)</f>
        <v/>
      </c>
    </row>
    <row r="879" hidden="1">
      <c r="A879" s="22" t="n">
        <v>6</v>
      </c>
      <c r="B879" t="inlineStr">
        <is>
          <t xml:space="preserve">CDM03 - MORENO 3              </t>
        </is>
      </c>
      <c r="C879" t="inlineStr">
        <is>
          <t xml:space="preserve">GRUPO L.                      </t>
        </is>
      </c>
      <c r="D879" s="11" t="n"/>
      <c r="E879" t="inlineStr">
        <is>
          <t xml:space="preserve">BAZ001306           </t>
        </is>
      </c>
      <c r="F879" t="n">
        <v>9003778</v>
      </c>
      <c r="G879" t="inlineStr">
        <is>
          <t xml:space="preserve">PINZA AC INOX 30CM PLUS 1.20 MM    </t>
        </is>
      </c>
      <c r="H879" t="inlineStr">
        <is>
          <t xml:space="preserve">UNIDAD              </t>
        </is>
      </c>
      <c r="I879" t="n">
        <v>38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38</v>
      </c>
      <c r="P879" s="96">
        <f>_xlfn.XLOOKUP(Tabla5[[#This Row],[EAN CORREGIDO]],'Tabla Articulos'!B:B,'Tabla Articulos'!D:D)</f>
        <v/>
      </c>
      <c r="Q879" s="96">
        <f>_xlfn.XLOOKUP(S879,'Tabla Articulos'!B:B,'Tabla Articulos'!E:E)</f>
        <v/>
      </c>
      <c r="R879" s="96">
        <f>O879*Q879</f>
        <v/>
      </c>
      <c r="S879" s="97">
        <f>TRIM(E879)</f>
        <v/>
      </c>
    </row>
    <row r="880" hidden="1">
      <c r="A880" s="22" t="n">
        <v>6</v>
      </c>
      <c r="B880" t="inlineStr">
        <is>
          <t xml:space="preserve">CDM03 - MORENO 3              </t>
        </is>
      </c>
      <c r="C880" t="inlineStr">
        <is>
          <t xml:space="preserve">GRUPO L.                      </t>
        </is>
      </c>
      <c r="E880" t="inlineStr">
        <is>
          <t xml:space="preserve">UNIF000089          </t>
        </is>
      </c>
      <c r="F880" t="n">
        <v>9003550</v>
      </c>
      <c r="G880" t="inlineStr">
        <is>
          <t>CAMISA BLANCA LISA 50 BLUE CATERING</t>
        </is>
      </c>
      <c r="H880" t="inlineStr">
        <is>
          <t xml:space="preserve">UNIDAD              </t>
        </is>
      </c>
      <c r="I880" t="n">
        <v>25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25</v>
      </c>
      <c r="P880" s="96">
        <f>_xlfn.XLOOKUP(Tabla5[[#This Row],[EAN CORREGIDO]],'Tabla Articulos'!B:B,'Tabla Articulos'!D:D)</f>
        <v/>
      </c>
      <c r="Q880" s="96">
        <f>_xlfn.XLOOKUP(S880,'Tabla Articulos'!B:B,'Tabla Articulos'!E:E)</f>
        <v/>
      </c>
      <c r="R880" s="96">
        <f>O880*Q880</f>
        <v/>
      </c>
      <c r="S880" s="97">
        <f>TRIM(E880)</f>
        <v/>
      </c>
    </row>
    <row r="881" hidden="1">
      <c r="A881" s="22" t="n">
        <v>5</v>
      </c>
      <c r="B881" t="inlineStr">
        <is>
          <t xml:space="preserve">CDM02 - MORENO 2              </t>
        </is>
      </c>
      <c r="C881" t="inlineStr">
        <is>
          <t xml:space="preserve">GRUPO L.                      </t>
        </is>
      </c>
      <c r="D881" t="inlineStr">
        <is>
          <t>CANELA MOLIDA</t>
        </is>
      </c>
      <c r="E881" t="inlineStr">
        <is>
          <t xml:space="preserve">7793875312158       </t>
        </is>
      </c>
      <c r="F881" t="n">
        <v>4020753</v>
      </c>
      <c r="G881" t="inlineStr">
        <is>
          <t>CANELA MOLIDA X1KG AROMAS Y SABORES</t>
        </is>
      </c>
      <c r="H881" t="inlineStr">
        <is>
          <t xml:space="preserve">UNIDAD              </t>
        </is>
      </c>
      <c r="I881" t="n">
        <v>12</v>
      </c>
      <c r="J881" t="n">
        <v>0</v>
      </c>
      <c r="K881" t="n">
        <v>0</v>
      </c>
      <c r="L881" t="n">
        <v>3</v>
      </c>
      <c r="M881" t="n">
        <v>3</v>
      </c>
      <c r="N881" t="n">
        <v>0</v>
      </c>
      <c r="O881" t="n">
        <v>6</v>
      </c>
      <c r="P881" s="96">
        <f>_xlfn.XLOOKUP(Tabla5[[#This Row],[EAN CORREGIDO]],'Tabla Articulos'!B:B,'Tabla Articulos'!D:D)</f>
        <v/>
      </c>
      <c r="Q881" s="96">
        <f>_xlfn.XLOOKUP(S881,'Tabla Articulos'!B:B,'Tabla Articulos'!E:E)</f>
        <v/>
      </c>
      <c r="R881" s="96">
        <f>O881*Q881</f>
        <v/>
      </c>
      <c r="S881" s="97">
        <f>TRIM(E881)</f>
        <v/>
      </c>
    </row>
    <row r="882" hidden="1">
      <c r="A882" s="22" t="n">
        <v>1</v>
      </c>
      <c r="B882" t="inlineStr">
        <is>
          <t xml:space="preserve">CD MORENO                     </t>
        </is>
      </c>
      <c r="C882" t="inlineStr">
        <is>
          <t xml:space="preserve">GRUPO L.                      </t>
        </is>
      </c>
      <c r="D882" s="11" t="inlineStr">
        <is>
          <t>CANELA MOLIDA</t>
        </is>
      </c>
      <c r="E882" t="inlineStr">
        <is>
          <t xml:space="preserve">7793875312158       </t>
        </is>
      </c>
      <c r="F882" t="n">
        <v>4020753</v>
      </c>
      <c r="G882" t="inlineStr">
        <is>
          <t>CANELA MOLIDA X1KG AROMAS Y SABORES</t>
        </is>
      </c>
      <c r="H882" t="inlineStr">
        <is>
          <t xml:space="preserve">UNIDAD              </t>
        </is>
      </c>
      <c r="I882" t="n">
        <v>15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15</v>
      </c>
      <c r="P882" s="96">
        <f>_xlfn.XLOOKUP(Tabla5[[#This Row],[EAN CORREGIDO]],'Tabla Articulos'!B:B,'Tabla Articulos'!D:D)</f>
        <v/>
      </c>
      <c r="Q882" s="96">
        <f>_xlfn.XLOOKUP(S882,'Tabla Articulos'!B:B,'Tabla Articulos'!E:E)</f>
        <v/>
      </c>
      <c r="R882" s="96">
        <f>O882*Q882</f>
        <v/>
      </c>
      <c r="S882" s="97">
        <f>TRIM(E882)</f>
        <v/>
      </c>
    </row>
    <row r="883" hidden="1">
      <c r="A883" s="22" t="n">
        <v>1</v>
      </c>
      <c r="B883" t="inlineStr">
        <is>
          <t xml:space="preserve">CD MORENO                     </t>
        </is>
      </c>
      <c r="C883" t="inlineStr">
        <is>
          <t xml:space="preserve">GRUPO L.                      </t>
        </is>
      </c>
      <c r="D883" t="inlineStr">
        <is>
          <t>JARDINERA</t>
        </is>
      </c>
      <c r="E883" t="inlineStr">
        <is>
          <t xml:space="preserve">7798016195478       </t>
        </is>
      </c>
      <c r="F883" t="n">
        <v>4049281</v>
      </c>
      <c r="G883" t="inlineStr">
        <is>
          <t xml:space="preserve">JARDINERA X300GR AGROMAR           </t>
        </is>
      </c>
      <c r="H883" t="inlineStr">
        <is>
          <t xml:space="preserve">UNIDAD              </t>
        </is>
      </c>
      <c r="I883" t="n">
        <v>784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784</v>
      </c>
      <c r="P883" s="96">
        <f>_xlfn.XLOOKUP(Tabla5[[#This Row],[EAN CORREGIDO]],'Tabla Articulos'!B:B,'Tabla Articulos'!D:D)</f>
        <v/>
      </c>
      <c r="Q883" s="96">
        <f>_xlfn.XLOOKUP(S883,'Tabla Articulos'!B:B,'Tabla Articulos'!E:E)</f>
        <v/>
      </c>
      <c r="R883" s="96">
        <f>O883*Q883</f>
        <v/>
      </c>
      <c r="S883" s="97">
        <f>TRIM(E883)</f>
        <v/>
      </c>
    </row>
    <row r="884" hidden="1">
      <c r="A884" s="22" t="n">
        <v>5</v>
      </c>
      <c r="B884" t="inlineStr">
        <is>
          <t xml:space="preserve">CDM02 - MORENO 2              </t>
        </is>
      </c>
      <c r="C884" t="inlineStr">
        <is>
          <t xml:space="preserve">GRUPO L.                      </t>
        </is>
      </c>
      <c r="D884" s="11" t="inlineStr">
        <is>
          <t>JARDINERA</t>
        </is>
      </c>
      <c r="E884" t="inlineStr">
        <is>
          <t xml:space="preserve">7798016195478       </t>
        </is>
      </c>
      <c r="F884" t="n">
        <v>4049281</v>
      </c>
      <c r="G884" t="inlineStr">
        <is>
          <t xml:space="preserve">JARDINERA X300GR AGROMAR           </t>
        </is>
      </c>
      <c r="H884" t="inlineStr">
        <is>
          <t xml:space="preserve">UNIDAD              </t>
        </is>
      </c>
      <c r="I884" t="n">
        <v>13999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13999</v>
      </c>
      <c r="P884" s="96">
        <f>_xlfn.XLOOKUP(Tabla5[[#This Row],[EAN CORREGIDO]],'Tabla Articulos'!B:B,'Tabla Articulos'!D:D)</f>
        <v/>
      </c>
      <c r="Q884" s="96">
        <f>_xlfn.XLOOKUP(S884,'Tabla Articulos'!B:B,'Tabla Articulos'!E:E)</f>
        <v/>
      </c>
      <c r="R884" s="96">
        <f>O884*Q884</f>
        <v/>
      </c>
      <c r="S884" s="97">
        <f>TRIM(E884)</f>
        <v/>
      </c>
    </row>
    <row r="885" hidden="1">
      <c r="A885" s="22" t="n">
        <v>6</v>
      </c>
      <c r="B885" t="inlineStr">
        <is>
          <t xml:space="preserve">CDM03 - MORENO 3              </t>
        </is>
      </c>
      <c r="C885" t="inlineStr">
        <is>
          <t xml:space="preserve">GRUPO L.                      </t>
        </is>
      </c>
      <c r="D885" s="11" t="n"/>
      <c r="E885" t="inlineStr">
        <is>
          <t xml:space="preserve">BAZ001173           </t>
        </is>
      </c>
      <c r="F885" t="n">
        <v>9003747</v>
      </c>
      <c r="G885" t="inlineStr">
        <is>
          <t xml:space="preserve">COMPOT PORC. VERBANO TAVOLA        </t>
        </is>
      </c>
      <c r="H885" t="inlineStr">
        <is>
          <t xml:space="preserve">UNIDAD              </t>
        </is>
      </c>
      <c r="I885" t="n">
        <v>15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15</v>
      </c>
      <c r="P885" s="96">
        <f>_xlfn.XLOOKUP(Tabla5[[#This Row],[EAN CORREGIDO]],'Tabla Articulos'!B:B,'Tabla Articulos'!D:D)</f>
        <v/>
      </c>
      <c r="Q885" s="96">
        <f>_xlfn.XLOOKUP(S885,'Tabla Articulos'!B:B,'Tabla Articulos'!E:E)</f>
        <v/>
      </c>
      <c r="R885" s="96">
        <f>O885*Q885</f>
        <v/>
      </c>
      <c r="S885" s="97">
        <f>TRIM(E885)</f>
        <v/>
      </c>
    </row>
    <row r="886" hidden="1">
      <c r="A886" s="22" t="n">
        <v>1</v>
      </c>
      <c r="B886" t="inlineStr">
        <is>
          <t xml:space="preserve">CD MORENO                     </t>
        </is>
      </c>
      <c r="C886" t="inlineStr">
        <is>
          <t xml:space="preserve">GRUPO L.                      </t>
        </is>
      </c>
      <c r="D886" t="inlineStr">
        <is>
          <t>PIMIENTA BLANCA</t>
        </is>
      </c>
      <c r="E886" t="inlineStr">
        <is>
          <t xml:space="preserve">7790530340655       </t>
        </is>
      </c>
      <c r="F886" t="n">
        <v>4024191</v>
      </c>
      <c r="G886" t="inlineStr">
        <is>
          <t xml:space="preserve">PIMIENTA BLANCA x 25 G BEDIAL      </t>
        </is>
      </c>
      <c r="H886" t="inlineStr">
        <is>
          <t xml:space="preserve">UNIDAD              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</v>
      </c>
      <c r="P886" s="96">
        <f>_xlfn.XLOOKUP(Tabla5[[#This Row],[EAN CORREGIDO]],'Tabla Articulos'!B:B,'Tabla Articulos'!D:D)</f>
        <v/>
      </c>
      <c r="Q886" s="96">
        <f>_xlfn.XLOOKUP(S886,'Tabla Articulos'!B:B,'Tabla Articulos'!E:E)</f>
        <v/>
      </c>
      <c r="R886" s="96">
        <f>O886*Q886</f>
        <v/>
      </c>
      <c r="S886" s="97">
        <f>TRIM(E886)</f>
        <v/>
      </c>
    </row>
    <row r="887" hidden="1">
      <c r="A887" s="22" t="n">
        <v>6</v>
      </c>
      <c r="B887" t="inlineStr">
        <is>
          <t xml:space="preserve">CDM03 - MORENO 3              </t>
        </is>
      </c>
      <c r="C887" t="inlineStr">
        <is>
          <t xml:space="preserve">GRUPO L.                      </t>
        </is>
      </c>
      <c r="E887" t="inlineStr">
        <is>
          <t xml:space="preserve">UNIF000468          </t>
        </is>
      </c>
      <c r="F887" t="n">
        <v>9003240</v>
      </c>
      <c r="G887" t="inlineStr">
        <is>
          <t xml:space="preserve">PANTALON GRAF S. LOGO VERD 52      </t>
        </is>
      </c>
      <c r="H887" t="inlineStr">
        <is>
          <t xml:space="preserve">UNIDAD              </t>
        </is>
      </c>
      <c r="I887" t="n">
        <v>29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29</v>
      </c>
      <c r="P887" s="96">
        <f>_xlfn.XLOOKUP(Tabla5[[#This Row],[EAN CORREGIDO]],'Tabla Articulos'!B:B,'Tabla Articulos'!D:D)</f>
        <v/>
      </c>
      <c r="Q887" s="96">
        <f>_xlfn.XLOOKUP(S887,'Tabla Articulos'!B:B,'Tabla Articulos'!E:E)</f>
        <v/>
      </c>
      <c r="R887" s="96">
        <f>O887*Q887</f>
        <v/>
      </c>
      <c r="S887" s="97">
        <f>TRIM(E887)</f>
        <v/>
      </c>
    </row>
    <row r="888" hidden="1">
      <c r="A888" s="22" t="n">
        <v>6</v>
      </c>
      <c r="B888" t="inlineStr">
        <is>
          <t xml:space="preserve">CDM03 - MORENO 3              </t>
        </is>
      </c>
      <c r="C888" t="inlineStr">
        <is>
          <t xml:space="preserve">GRUPO L.                      </t>
        </is>
      </c>
      <c r="E888" t="inlineStr">
        <is>
          <t xml:space="preserve">BAZ001289           </t>
        </is>
      </c>
      <c r="F888" t="n">
        <v>9003870</v>
      </c>
      <c r="G888" t="inlineStr">
        <is>
          <t xml:space="preserve">TAZA CAFE LINEA RECTA BLANCO       </t>
        </is>
      </c>
      <c r="H888" t="inlineStr">
        <is>
          <t xml:space="preserve">UNIDAD              </t>
        </is>
      </c>
      <c r="I888" t="n">
        <v>84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84</v>
      </c>
      <c r="P888" s="96">
        <f>_xlfn.XLOOKUP(Tabla5[[#This Row],[EAN CORREGIDO]],'Tabla Articulos'!B:B,'Tabla Articulos'!D:D)</f>
        <v/>
      </c>
      <c r="Q888" s="96">
        <f>_xlfn.XLOOKUP(S888,'Tabla Articulos'!B:B,'Tabla Articulos'!E:E)</f>
        <v/>
      </c>
      <c r="R888" s="96">
        <f>O888*Q888</f>
        <v/>
      </c>
      <c r="S888" s="97">
        <f>TRIM(E888)</f>
        <v/>
      </c>
    </row>
    <row r="889" hidden="1">
      <c r="A889" s="22" t="n">
        <v>6</v>
      </c>
      <c r="B889" t="inlineStr">
        <is>
          <t xml:space="preserve">CDM03 - MORENO 3              </t>
        </is>
      </c>
      <c r="C889" t="inlineStr">
        <is>
          <t xml:space="preserve">GRUPO L.                      </t>
        </is>
      </c>
      <c r="E889" t="inlineStr">
        <is>
          <t xml:space="preserve">UNIF000183          </t>
        </is>
      </c>
      <c r="F889" t="n">
        <v>9003463</v>
      </c>
      <c r="G889" t="inlineStr">
        <is>
          <t xml:space="preserve">PANTALON CARGO GRIS 54 GL SUPP.    </t>
        </is>
      </c>
      <c r="H889" t="inlineStr">
        <is>
          <t xml:space="preserve">UNIDAD              </t>
        </is>
      </c>
      <c r="I889" t="n">
        <v>11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11</v>
      </c>
      <c r="P889" s="96">
        <f>_xlfn.XLOOKUP(Tabla5[[#This Row],[EAN CORREGIDO]],'Tabla Articulos'!B:B,'Tabla Articulos'!D:D)</f>
        <v/>
      </c>
      <c r="Q889" s="96">
        <f>_xlfn.XLOOKUP(S889,'Tabla Articulos'!B:B,'Tabla Articulos'!E:E)</f>
        <v/>
      </c>
      <c r="R889" s="96">
        <f>O889*Q889</f>
        <v/>
      </c>
      <c r="S889" s="97">
        <f>TRIM(E889)</f>
        <v/>
      </c>
    </row>
    <row r="890" hidden="1">
      <c r="A890" s="22" t="n">
        <v>1</v>
      </c>
      <c r="B890" t="inlineStr">
        <is>
          <t xml:space="preserve">CD MORENO                     </t>
        </is>
      </c>
      <c r="C890" t="inlineStr">
        <is>
          <t xml:space="preserve">GRUPO L.                      </t>
        </is>
      </c>
      <c r="D890" s="11" t="inlineStr">
        <is>
          <t>BUDIN MARMOLADO</t>
        </is>
      </c>
      <c r="E890" t="inlineStr">
        <is>
          <t xml:space="preserve">7790726031084       </t>
        </is>
      </c>
      <c r="F890" t="n">
        <v>4018418</v>
      </c>
      <c r="G890" t="inlineStr">
        <is>
          <t xml:space="preserve">BUDIN MARMOLADO X170G DULCYPAS     </t>
        </is>
      </c>
      <c r="H890" t="inlineStr">
        <is>
          <t xml:space="preserve">UNIDAD              </t>
        </is>
      </c>
      <c r="I890" t="n">
        <v>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4</v>
      </c>
      <c r="P890" s="96">
        <f>_xlfn.XLOOKUP(Tabla5[[#This Row],[EAN CORREGIDO]],'Tabla Articulos'!B:B,'Tabla Articulos'!D:D)</f>
        <v/>
      </c>
      <c r="Q890" s="96">
        <f>_xlfn.XLOOKUP(S890,'Tabla Articulos'!B:B,'Tabla Articulos'!E:E)</f>
        <v/>
      </c>
      <c r="R890" s="96">
        <f>O890*Q890</f>
        <v/>
      </c>
      <c r="S890" s="97">
        <f>TRIM(E890)</f>
        <v/>
      </c>
    </row>
    <row r="891" hidden="1">
      <c r="A891" s="22" t="n">
        <v>6</v>
      </c>
      <c r="B891" t="inlineStr">
        <is>
          <t xml:space="preserve">CDM03 - MORENO 3              </t>
        </is>
      </c>
      <c r="C891" t="inlineStr">
        <is>
          <t xml:space="preserve">GRUPO L.                      </t>
        </is>
      </c>
      <c r="D891" s="11" t="n"/>
      <c r="E891" t="inlineStr">
        <is>
          <t xml:space="preserve">UNIF000187          </t>
        </is>
      </c>
      <c r="F891" t="n">
        <v>9003427</v>
      </c>
      <c r="G891" t="inlineStr">
        <is>
          <t xml:space="preserve">PANTA. CARGO A.MAR 48 GL SUPPORT   </t>
        </is>
      </c>
      <c r="H891" t="inlineStr">
        <is>
          <t xml:space="preserve">UNIDAD              </t>
        </is>
      </c>
      <c r="I891" t="n">
        <v>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7</v>
      </c>
      <c r="P891" s="96">
        <f>_xlfn.XLOOKUP(Tabla5[[#This Row],[EAN CORREGIDO]],'Tabla Articulos'!B:B,'Tabla Articulos'!D:D)</f>
        <v/>
      </c>
      <c r="Q891" s="96">
        <f>_xlfn.XLOOKUP(S891,'Tabla Articulos'!B:B,'Tabla Articulos'!E:E)</f>
        <v/>
      </c>
      <c r="R891" s="96">
        <f>O891*Q891</f>
        <v/>
      </c>
      <c r="S891" s="97">
        <f>TRIM(E891)</f>
        <v/>
      </c>
    </row>
    <row r="892" hidden="1">
      <c r="A892" s="22" t="n">
        <v>1</v>
      </c>
      <c r="B892" t="inlineStr">
        <is>
          <t xml:space="preserve">CD MORENO                     </t>
        </is>
      </c>
      <c r="C892" t="inlineStr">
        <is>
          <t xml:space="preserve">GRUPO L.                      </t>
        </is>
      </c>
      <c r="D892" t="inlineStr">
        <is>
          <t>TAPA P/PASCUALINA</t>
        </is>
      </c>
      <c r="E892" t="inlineStr">
        <is>
          <t xml:space="preserve">7795711003701       </t>
        </is>
      </c>
      <c r="F892" t="n">
        <v>4022590</v>
      </c>
      <c r="G892" t="inlineStr">
        <is>
          <t xml:space="preserve">TAPA PASC 60X70 X2U VILLA DAGRI    </t>
        </is>
      </c>
      <c r="H892" t="inlineStr">
        <is>
          <t xml:space="preserve">UNIDAD              </t>
        </is>
      </c>
      <c r="I892" t="n">
        <v>1374</v>
      </c>
      <c r="J892" t="n">
        <v>0</v>
      </c>
      <c r="K892" t="n">
        <v>551</v>
      </c>
      <c r="L892" t="n">
        <v>30</v>
      </c>
      <c r="M892" t="n">
        <v>30</v>
      </c>
      <c r="N892" t="n">
        <v>0</v>
      </c>
      <c r="O892" t="n">
        <v>763</v>
      </c>
      <c r="P892" s="96">
        <f>_xlfn.XLOOKUP(Tabla5[[#This Row],[EAN CORREGIDO]],'Tabla Articulos'!B:B,'Tabla Articulos'!D:D)</f>
        <v/>
      </c>
      <c r="Q892" s="96">
        <f>_xlfn.XLOOKUP(S892,'Tabla Articulos'!B:B,'Tabla Articulos'!E:E)</f>
        <v/>
      </c>
      <c r="R892" s="96">
        <f>O892*Q892</f>
        <v/>
      </c>
      <c r="S892" s="97">
        <f>TRIM(E892)</f>
        <v/>
      </c>
    </row>
    <row r="893" hidden="1">
      <c r="A893" s="22" t="n">
        <v>6</v>
      </c>
      <c r="B893" t="inlineStr">
        <is>
          <t xml:space="preserve">CDM03 - MORENO 3              </t>
        </is>
      </c>
      <c r="C893" t="inlineStr">
        <is>
          <t xml:space="preserve">GRUPO L.                      </t>
        </is>
      </c>
      <c r="D893" s="11" t="n"/>
      <c r="E893" t="inlineStr">
        <is>
          <t xml:space="preserve">7790000000677       </t>
        </is>
      </c>
      <c r="F893" t="n">
        <v>5004252</v>
      </c>
      <c r="G893" t="inlineStr">
        <is>
          <t xml:space="preserve">VINO CUPRA G CORTE INCOR MALBEC    </t>
        </is>
      </c>
      <c r="H893" t="inlineStr">
        <is>
          <t xml:space="preserve">CAJAS               </t>
        </is>
      </c>
      <c r="I893" t="n">
        <v>209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209</v>
      </c>
      <c r="P893" s="96">
        <f>_xlfn.XLOOKUP(Tabla5[[#This Row],[EAN CORREGIDO]],'Tabla Articulos'!B:B,'Tabla Articulos'!D:D)</f>
        <v/>
      </c>
      <c r="Q893" s="96">
        <f>_xlfn.XLOOKUP(S893,'Tabla Articulos'!B:B,'Tabla Articulos'!E:E)</f>
        <v/>
      </c>
      <c r="R893" s="96">
        <f>O893*Q893</f>
        <v/>
      </c>
      <c r="S893" s="97">
        <f>TRIM(E893)</f>
        <v/>
      </c>
    </row>
    <row r="894" hidden="1">
      <c r="A894" s="22" t="n">
        <v>6</v>
      </c>
      <c r="B894" t="inlineStr">
        <is>
          <t xml:space="preserve">CDM03 - MORENO 3              </t>
        </is>
      </c>
      <c r="C894" t="inlineStr">
        <is>
          <t xml:space="preserve">GRUPO L.                      </t>
        </is>
      </c>
      <c r="D894" s="11" t="inlineStr">
        <is>
          <t>BOLSA RESIDUO</t>
        </is>
      </c>
      <c r="E894" t="inlineStr">
        <is>
          <t xml:space="preserve">7790000000828       </t>
        </is>
      </c>
      <c r="F894" t="n">
        <v>2016694</v>
      </c>
      <c r="G894" t="inlineStr">
        <is>
          <t>BOLSA RESID VERD 90X110X50U KIT ESC</t>
        </is>
      </c>
      <c r="H894" t="inlineStr">
        <is>
          <t xml:space="preserve">UNIDAD              </t>
        </is>
      </c>
      <c r="I894" t="n">
        <v>400</v>
      </c>
      <c r="J894" t="n">
        <v>1800</v>
      </c>
      <c r="K894" t="n">
        <v>0</v>
      </c>
      <c r="L894" t="n">
        <v>71</v>
      </c>
      <c r="M894" t="n">
        <v>71</v>
      </c>
      <c r="N894" t="n">
        <v>0</v>
      </c>
      <c r="O894" t="n">
        <v>2058</v>
      </c>
      <c r="P894" s="96">
        <f>_xlfn.XLOOKUP(Tabla5[[#This Row],[EAN CORREGIDO]],'Tabla Articulos'!B:B,'Tabla Articulos'!D:D)</f>
        <v/>
      </c>
      <c r="Q894" s="96">
        <f>_xlfn.XLOOKUP(S894,'Tabla Articulos'!B:B,'Tabla Articulos'!E:E)</f>
        <v/>
      </c>
      <c r="R894" s="96">
        <f>O894*Q894</f>
        <v/>
      </c>
      <c r="S894" s="97">
        <f>TRIM(E894)</f>
        <v/>
      </c>
    </row>
    <row r="895" hidden="1">
      <c r="A895" s="22" t="n">
        <v>6</v>
      </c>
      <c r="B895" t="inlineStr">
        <is>
          <t xml:space="preserve">CDM03 - MORENO 3              </t>
        </is>
      </c>
      <c r="C895" t="inlineStr">
        <is>
          <t xml:space="preserve">GRUPO L.                      </t>
        </is>
      </c>
      <c r="D895" s="11" t="n"/>
      <c r="E895" t="inlineStr">
        <is>
          <t xml:space="preserve">UNIF000103          </t>
        </is>
      </c>
      <c r="F895" t="n">
        <v>9003416</v>
      </c>
      <c r="G895" t="inlineStr">
        <is>
          <t xml:space="preserve">PANTALON CARGO A. MARINO 54        </t>
        </is>
      </c>
      <c r="H895" t="inlineStr">
        <is>
          <t xml:space="preserve">UNIDAD              </t>
        </is>
      </c>
      <c r="I895" t="n">
        <v>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5</v>
      </c>
      <c r="P895" s="96">
        <f>_xlfn.XLOOKUP(Tabla5[[#This Row],[EAN CORREGIDO]],'Tabla Articulos'!B:B,'Tabla Articulos'!D:D)</f>
        <v/>
      </c>
      <c r="Q895" s="96">
        <f>_xlfn.XLOOKUP(S895,'Tabla Articulos'!B:B,'Tabla Articulos'!E:E)</f>
        <v/>
      </c>
      <c r="R895" s="96">
        <f>O895*Q895</f>
        <v/>
      </c>
      <c r="S895" s="97">
        <f>TRIM(E895)</f>
        <v/>
      </c>
    </row>
    <row r="896" hidden="1">
      <c r="A896" s="22" t="n">
        <v>6</v>
      </c>
      <c r="B896" t="inlineStr">
        <is>
          <t xml:space="preserve">CDM03 - MORENO 3              </t>
        </is>
      </c>
      <c r="C896" t="inlineStr">
        <is>
          <t xml:space="preserve">GRUPO L.                      </t>
        </is>
      </c>
      <c r="E896" t="inlineStr">
        <is>
          <t xml:space="preserve">UNIF000078          </t>
        </is>
      </c>
      <c r="F896" t="n">
        <v>9003539</v>
      </c>
      <c r="G896" t="inlineStr">
        <is>
          <t xml:space="preserve">CAMISA BLANCA LISA 48 S. LOGO      </t>
        </is>
      </c>
      <c r="H896" t="inlineStr">
        <is>
          <t xml:space="preserve">UNIDAD              </t>
        </is>
      </c>
      <c r="I896" t="n">
        <v>23</v>
      </c>
      <c r="J896" t="n">
        <v>25</v>
      </c>
      <c r="K896" t="n">
        <v>0</v>
      </c>
      <c r="L896" t="n">
        <v>1</v>
      </c>
      <c r="M896" t="n">
        <v>1</v>
      </c>
      <c r="N896" t="n">
        <v>0</v>
      </c>
      <c r="O896" t="n">
        <v>46</v>
      </c>
      <c r="P896" s="96">
        <f>_xlfn.XLOOKUP(Tabla5[[#This Row],[EAN CORREGIDO]],'Tabla Articulos'!B:B,'Tabla Articulos'!D:D)</f>
        <v/>
      </c>
      <c r="Q896" s="96">
        <f>_xlfn.XLOOKUP(S896,'Tabla Articulos'!B:B,'Tabla Articulos'!E:E)</f>
        <v/>
      </c>
      <c r="R896" s="96">
        <f>O896*Q896</f>
        <v/>
      </c>
      <c r="S896" s="97">
        <f>TRIM(E896)</f>
        <v/>
      </c>
    </row>
    <row r="897" hidden="1">
      <c r="A897" s="22" t="n">
        <v>6</v>
      </c>
      <c r="B897" t="inlineStr">
        <is>
          <t xml:space="preserve">CDM03 - MORENO 3              </t>
        </is>
      </c>
      <c r="C897" t="inlineStr">
        <is>
          <t xml:space="preserve">GRUPO L.                      </t>
        </is>
      </c>
      <c r="D897" s="11" t="inlineStr">
        <is>
          <t>URINAL</t>
        </is>
      </c>
      <c r="E897" t="inlineStr">
        <is>
          <t xml:space="preserve">779090000501        </t>
        </is>
      </c>
      <c r="F897" t="n">
        <v>2016732</v>
      </c>
      <c r="G897" t="inlineStr">
        <is>
          <t xml:space="preserve">FILTRO URINAL XUN IBERIA           </t>
        </is>
      </c>
      <c r="H897" t="inlineStr">
        <is>
          <t xml:space="preserve">UNIDAD              </t>
        </is>
      </c>
      <c r="I897" t="n">
        <v>789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789</v>
      </c>
      <c r="P897" s="96">
        <f>_xlfn.XLOOKUP(Tabla5[[#This Row],[EAN CORREGIDO]],'Tabla Articulos'!B:B,'Tabla Articulos'!D:D)</f>
        <v/>
      </c>
      <c r="Q897" s="96">
        <f>_xlfn.XLOOKUP(S897,'Tabla Articulos'!B:B,'Tabla Articulos'!E:E)</f>
        <v/>
      </c>
      <c r="R897" s="96">
        <f>O897*Q897</f>
        <v/>
      </c>
      <c r="S897" s="97">
        <f>TRIM(E897)</f>
        <v/>
      </c>
    </row>
    <row r="898" hidden="1">
      <c r="A898" s="22" t="n">
        <v>6</v>
      </c>
      <c r="B898" t="inlineStr">
        <is>
          <t xml:space="preserve">CDM03 - MORENO 3              </t>
        </is>
      </c>
      <c r="C898" t="inlineStr">
        <is>
          <t xml:space="preserve">GRUPO L.                      </t>
        </is>
      </c>
      <c r="D898" s="11" t="inlineStr">
        <is>
          <t>ESCOBILLA BAÑO</t>
        </is>
      </c>
      <c r="E898" t="inlineStr">
        <is>
          <t xml:space="preserve">7791625008528       </t>
        </is>
      </c>
      <c r="F898" t="n">
        <v>2006497</v>
      </c>
      <c r="G898" t="inlineStr">
        <is>
          <t xml:space="preserve">ESCOBILLA P/BAÑO WC INYEC XU       </t>
        </is>
      </c>
      <c r="H898" t="inlineStr">
        <is>
          <t xml:space="preserve">UNIDAD              </t>
        </is>
      </c>
      <c r="I898" t="n">
        <v>30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30</v>
      </c>
      <c r="P898" s="96">
        <f>_xlfn.XLOOKUP(Tabla5[[#This Row],[EAN CORREGIDO]],'Tabla Articulos'!B:B,'Tabla Articulos'!D:D)</f>
        <v/>
      </c>
      <c r="Q898" s="96">
        <f>_xlfn.XLOOKUP(S898,'Tabla Articulos'!B:B,'Tabla Articulos'!E:E)</f>
        <v/>
      </c>
      <c r="R898" s="96">
        <f>O898*Q898</f>
        <v/>
      </c>
      <c r="S898" s="97">
        <f>TRIM(E898)</f>
        <v/>
      </c>
    </row>
    <row r="899" hidden="1">
      <c r="A899" s="22" t="n">
        <v>6</v>
      </c>
      <c r="B899" t="inlineStr">
        <is>
          <t xml:space="preserve">CDM03 - MORENO 3              </t>
        </is>
      </c>
      <c r="C899" t="inlineStr">
        <is>
          <t xml:space="preserve">GRUPO L.                      </t>
        </is>
      </c>
      <c r="D899" s="11" t="n"/>
      <c r="E899" t="inlineStr">
        <is>
          <t xml:space="preserve">UNIF000442          </t>
        </is>
      </c>
      <c r="F899" t="n">
        <v>9003603</v>
      </c>
      <c r="G899" t="inlineStr">
        <is>
          <t xml:space="preserve">CAMPE. TRUCKER A. MAR GRUPO L S    </t>
        </is>
      </c>
      <c r="H899" t="inlineStr">
        <is>
          <t xml:space="preserve">UNIDAD              </t>
        </is>
      </c>
      <c r="I899" t="n">
        <v>37</v>
      </c>
      <c r="J899" t="n">
        <v>40</v>
      </c>
      <c r="K899" t="n">
        <v>0</v>
      </c>
      <c r="L899" t="n">
        <v>0</v>
      </c>
      <c r="M899" t="n">
        <v>0</v>
      </c>
      <c r="N899" t="n">
        <v>0</v>
      </c>
      <c r="O899" t="n">
        <v>77</v>
      </c>
      <c r="P899" s="96">
        <f>_xlfn.XLOOKUP(Tabla5[[#This Row],[EAN CORREGIDO]],'Tabla Articulos'!B:B,'Tabla Articulos'!D:D)</f>
        <v/>
      </c>
      <c r="Q899" s="96">
        <f>_xlfn.XLOOKUP(S899,'Tabla Articulos'!B:B,'Tabla Articulos'!E:E)</f>
        <v/>
      </c>
      <c r="R899" s="96">
        <f>O899*Q899</f>
        <v/>
      </c>
      <c r="S899" s="97">
        <f>TRIM(E899)</f>
        <v/>
      </c>
    </row>
    <row r="900" hidden="1">
      <c r="A900" s="22" t="n">
        <v>6</v>
      </c>
      <c r="B900" t="inlineStr">
        <is>
          <t xml:space="preserve">CDM03 - MORENO 3              </t>
        </is>
      </c>
      <c r="C900" t="inlineStr">
        <is>
          <t xml:space="preserve">GRUPO L.                      </t>
        </is>
      </c>
      <c r="E900" t="inlineStr">
        <is>
          <t xml:space="preserve">UNIF000746          </t>
        </is>
      </c>
      <c r="F900" t="n">
        <v>9004200</v>
      </c>
      <c r="G900" t="inlineStr">
        <is>
          <t xml:space="preserve">CAMISA POPLIN ML BLUE CAFÉ M       </t>
        </is>
      </c>
      <c r="H900" t="inlineStr">
        <is>
          <t xml:space="preserve">UNIDAD              </t>
        </is>
      </c>
      <c r="I900" t="n">
        <v>30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30</v>
      </c>
      <c r="P900" s="96">
        <f>_xlfn.XLOOKUP(Tabla5[[#This Row],[EAN CORREGIDO]],'Tabla Articulos'!B:B,'Tabla Articulos'!D:D)</f>
        <v/>
      </c>
      <c r="Q900" s="96">
        <f>_xlfn.XLOOKUP(S900,'Tabla Articulos'!B:B,'Tabla Articulos'!E:E)</f>
        <v/>
      </c>
      <c r="R900" s="96">
        <f>O900*Q900</f>
        <v/>
      </c>
      <c r="S900" s="97">
        <f>TRIM(E900)</f>
        <v/>
      </c>
    </row>
    <row r="901" hidden="1">
      <c r="A901" s="22" t="n">
        <v>6</v>
      </c>
      <c r="B901" t="inlineStr">
        <is>
          <t xml:space="preserve">CDM03 - MORENO 3              </t>
        </is>
      </c>
      <c r="C901" t="inlineStr">
        <is>
          <t xml:space="preserve">GRUPO L.                      </t>
        </is>
      </c>
      <c r="E901" t="inlineStr">
        <is>
          <t xml:space="preserve">UNIF000347          </t>
        </is>
      </c>
      <c r="F901" t="n">
        <v>9003520</v>
      </c>
      <c r="G901" t="inlineStr">
        <is>
          <t xml:space="preserve">CHAQ CUE.MAO AY/CAM/PEON 5 NUTRI   </t>
        </is>
      </c>
      <c r="H901" t="inlineStr">
        <is>
          <t xml:space="preserve">UNIDAD              </t>
        </is>
      </c>
      <c r="I901" t="n">
        <v>11</v>
      </c>
      <c r="J901" t="n">
        <v>0</v>
      </c>
      <c r="K901" t="n">
        <v>0</v>
      </c>
      <c r="L901" t="n">
        <v>1</v>
      </c>
      <c r="M901" t="n">
        <v>1</v>
      </c>
      <c r="N901" t="n">
        <v>0</v>
      </c>
      <c r="O901" t="n">
        <v>9</v>
      </c>
      <c r="P901" s="96">
        <f>_xlfn.XLOOKUP(Tabla5[[#This Row],[EAN CORREGIDO]],'Tabla Articulos'!B:B,'Tabla Articulos'!D:D)</f>
        <v/>
      </c>
      <c r="Q901" s="96">
        <f>_xlfn.XLOOKUP(S901,'Tabla Articulos'!B:B,'Tabla Articulos'!E:E)</f>
        <v/>
      </c>
      <c r="R901" s="96">
        <f>O901*Q901</f>
        <v/>
      </c>
      <c r="S901" s="97">
        <f>TRIM(E901)</f>
        <v/>
      </c>
    </row>
    <row r="902" hidden="1">
      <c r="A902" s="22" t="n">
        <v>6</v>
      </c>
      <c r="B902" t="inlineStr">
        <is>
          <t xml:space="preserve">CDM03 - MORENO 3              </t>
        </is>
      </c>
      <c r="C902" t="inlineStr">
        <is>
          <t xml:space="preserve">GRUPO L.                      </t>
        </is>
      </c>
      <c r="E902" t="inlineStr">
        <is>
          <t xml:space="preserve">UNIF000478          </t>
        </is>
      </c>
      <c r="F902" t="n">
        <v>9003250</v>
      </c>
      <c r="G902" t="inlineStr">
        <is>
          <t xml:space="preserve">PANTAL. GRAFA S. LOGO A. MAR 54    </t>
        </is>
      </c>
      <c r="H902" t="inlineStr">
        <is>
          <t xml:space="preserve">UNIDAD              </t>
        </is>
      </c>
      <c r="I902" t="n">
        <v>94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94</v>
      </c>
      <c r="P902" s="96">
        <f>_xlfn.XLOOKUP(Tabla5[[#This Row],[EAN CORREGIDO]],'Tabla Articulos'!B:B,'Tabla Articulos'!D:D)</f>
        <v/>
      </c>
      <c r="Q902" s="96">
        <f>_xlfn.XLOOKUP(S902,'Tabla Articulos'!B:B,'Tabla Articulos'!E:E)</f>
        <v/>
      </c>
      <c r="R902" s="96">
        <f>O902*Q902</f>
        <v/>
      </c>
      <c r="S902" s="97">
        <f>TRIM(E902)</f>
        <v/>
      </c>
    </row>
    <row r="903" hidden="1">
      <c r="A903" s="22" t="n">
        <v>1</v>
      </c>
      <c r="B903" t="inlineStr">
        <is>
          <t xml:space="preserve">CD MORENO                     </t>
        </is>
      </c>
      <c r="C903" t="inlineStr">
        <is>
          <t xml:space="preserve">GRUPO L.                      </t>
        </is>
      </c>
      <c r="D903" s="11" t="inlineStr">
        <is>
          <t>MATE COCIDO SAQ</t>
        </is>
      </c>
      <c r="E903" t="inlineStr">
        <is>
          <t xml:space="preserve">7791680601108       </t>
        </is>
      </c>
      <c r="F903" t="n">
        <v>4019904</v>
      </c>
      <c r="G903" t="inlineStr">
        <is>
          <t xml:space="preserve">MATE COC EN SAQ X 25 LA HOJA       </t>
        </is>
      </c>
      <c r="H903" t="inlineStr">
        <is>
          <t xml:space="preserve">UNIDAD              </t>
        </is>
      </c>
      <c r="I903" t="n">
        <v>21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21</v>
      </c>
      <c r="P903" s="96">
        <f>_xlfn.XLOOKUP(Tabla5[[#This Row],[EAN CORREGIDO]],'Tabla Articulos'!B:B,'Tabla Articulos'!D:D)</f>
        <v/>
      </c>
      <c r="Q903" s="96">
        <f>_xlfn.XLOOKUP(S903,'Tabla Articulos'!B:B,'Tabla Articulos'!E:E)</f>
        <v/>
      </c>
      <c r="R903" s="96">
        <f>O903*Q903</f>
        <v/>
      </c>
      <c r="S903" s="97">
        <f>TRIM(E903)</f>
        <v/>
      </c>
    </row>
    <row r="904" hidden="1">
      <c r="A904" s="22" t="n">
        <v>6</v>
      </c>
      <c r="B904" t="inlineStr">
        <is>
          <t xml:space="preserve">CDM03 - MORENO 3              </t>
        </is>
      </c>
      <c r="C904" t="inlineStr">
        <is>
          <t xml:space="preserve">GRUPO L.                      </t>
        </is>
      </c>
      <c r="D904" s="11" t="n"/>
      <c r="E904" t="inlineStr">
        <is>
          <t xml:space="preserve">UNIF000572          </t>
        </is>
      </c>
      <c r="F904" t="n">
        <v>9003110</v>
      </c>
      <c r="G904" t="inlineStr">
        <is>
          <t xml:space="preserve">CAMISA GRIS T42                    </t>
        </is>
      </c>
      <c r="H904" t="inlineStr">
        <is>
          <t xml:space="preserve">UNIDAD              </t>
        </is>
      </c>
      <c r="I904" t="n">
        <v>10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10</v>
      </c>
      <c r="P904" s="96">
        <f>_xlfn.XLOOKUP(Tabla5[[#This Row],[EAN CORREGIDO]],'Tabla Articulos'!B:B,'Tabla Articulos'!D:D)</f>
        <v/>
      </c>
      <c r="Q904" s="96">
        <f>_xlfn.XLOOKUP(S904,'Tabla Articulos'!B:B,'Tabla Articulos'!E:E)</f>
        <v/>
      </c>
      <c r="R904" s="96">
        <f>O904*Q904</f>
        <v/>
      </c>
      <c r="S904" s="97">
        <f>TRIM(E904)</f>
        <v/>
      </c>
    </row>
    <row r="905" hidden="1">
      <c r="A905" s="22" t="n">
        <v>6</v>
      </c>
      <c r="B905" t="inlineStr">
        <is>
          <t xml:space="preserve">CDM03 - MORENO 3              </t>
        </is>
      </c>
      <c r="C905" t="inlineStr">
        <is>
          <t xml:space="preserve">GRUPO L.                      </t>
        </is>
      </c>
      <c r="E905" t="inlineStr">
        <is>
          <t xml:space="preserve">UNIF000642          </t>
        </is>
      </c>
      <c r="F905" t="n">
        <v>9003972</v>
      </c>
      <c r="G905" t="inlineStr">
        <is>
          <t xml:space="preserve">BUZO A. MAR. FRISA CGOUR L         </t>
        </is>
      </c>
      <c r="H905" t="inlineStr">
        <is>
          <t xml:space="preserve">UNIDAD              </t>
        </is>
      </c>
      <c r="I905" t="n">
        <v>18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18</v>
      </c>
      <c r="P905" s="96">
        <f>_xlfn.XLOOKUP(Tabla5[[#This Row],[EAN CORREGIDO]],'Tabla Articulos'!B:B,'Tabla Articulos'!D:D)</f>
        <v/>
      </c>
      <c r="Q905" s="96">
        <f>_xlfn.XLOOKUP(S905,'Tabla Articulos'!B:B,'Tabla Articulos'!E:E)</f>
        <v/>
      </c>
      <c r="R905" s="96">
        <f>O905*Q905</f>
        <v/>
      </c>
      <c r="S905" s="97">
        <f>TRIM(E905)</f>
        <v/>
      </c>
    </row>
    <row r="906" hidden="1">
      <c r="A906" s="22" t="n">
        <v>6</v>
      </c>
      <c r="B906" t="inlineStr">
        <is>
          <t xml:space="preserve">CDM03 - MORENO 3              </t>
        </is>
      </c>
      <c r="C906" t="inlineStr">
        <is>
          <t xml:space="preserve">GRUPO L.                      </t>
        </is>
      </c>
      <c r="D906" t="inlineStr">
        <is>
          <t>BALDE PLAST 9LT</t>
        </is>
      </c>
      <c r="E906" t="inlineStr">
        <is>
          <t xml:space="preserve">798065720034        </t>
        </is>
      </c>
      <c r="F906" t="n">
        <v>2016495</v>
      </c>
      <c r="G906" t="inlineStr">
        <is>
          <t xml:space="preserve">BALDE 9LT ECO XUN MPROPIA          </t>
        </is>
      </c>
      <c r="H906" t="inlineStr">
        <is>
          <t xml:space="preserve">UNIDAD              </t>
        </is>
      </c>
      <c r="I906" t="n">
        <v>2635</v>
      </c>
      <c r="J906" t="n">
        <v>1500</v>
      </c>
      <c r="K906" t="n">
        <v>0</v>
      </c>
      <c r="L906" t="n">
        <v>147</v>
      </c>
      <c r="M906" t="n">
        <v>147</v>
      </c>
      <c r="N906" t="n">
        <v>0</v>
      </c>
      <c r="O906" t="n">
        <v>3841</v>
      </c>
      <c r="P906" s="96">
        <f>_xlfn.XLOOKUP(Tabla5[[#This Row],[EAN CORREGIDO]],'Tabla Articulos'!B:B,'Tabla Articulos'!D:D)</f>
        <v/>
      </c>
      <c r="Q906" s="96">
        <f>_xlfn.XLOOKUP(S906,'Tabla Articulos'!B:B,'Tabla Articulos'!E:E)</f>
        <v/>
      </c>
      <c r="R906" s="96">
        <f>O906*Q906</f>
        <v/>
      </c>
      <c r="S906" s="97">
        <f>TRIM(E906)</f>
        <v/>
      </c>
    </row>
    <row r="907" hidden="1">
      <c r="A907" s="22" t="n">
        <v>5</v>
      </c>
      <c r="B907" t="inlineStr">
        <is>
          <t xml:space="preserve">CDM02 - MORENO 2              </t>
        </is>
      </c>
      <c r="C907" t="inlineStr">
        <is>
          <t xml:space="preserve">GRUPO L.                      </t>
        </is>
      </c>
      <c r="D907" t="inlineStr">
        <is>
          <t>ARVEJA</t>
        </is>
      </c>
      <c r="E907" t="inlineStr">
        <is>
          <t xml:space="preserve">7798096031055       </t>
        </is>
      </c>
      <c r="F907" t="n">
        <v>4020729</v>
      </c>
      <c r="G907" t="inlineStr">
        <is>
          <t xml:space="preserve">ARVEJA TETRA X 340 G DOÑA PUPA     </t>
        </is>
      </c>
      <c r="H907" t="inlineStr">
        <is>
          <t xml:space="preserve">UNIDAD              </t>
        </is>
      </c>
      <c r="I907" t="n">
        <v>1211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1211</v>
      </c>
      <c r="P907" s="96">
        <f>_xlfn.XLOOKUP(Tabla5[[#This Row],[EAN CORREGIDO]],'Tabla Articulos'!B:B,'Tabla Articulos'!D:D)</f>
        <v/>
      </c>
      <c r="Q907" s="96">
        <f>_xlfn.XLOOKUP(S907,'Tabla Articulos'!B:B,'Tabla Articulos'!E:E)</f>
        <v/>
      </c>
      <c r="R907" s="96">
        <f>O907*Q907</f>
        <v/>
      </c>
      <c r="S907" s="97">
        <f>TRIM(E907)</f>
        <v/>
      </c>
    </row>
    <row r="908" hidden="1">
      <c r="A908" s="22" t="n">
        <v>5</v>
      </c>
      <c r="B908" t="inlineStr">
        <is>
          <t xml:space="preserve">CDM02 - MORENO 2              </t>
        </is>
      </c>
      <c r="C908" t="inlineStr">
        <is>
          <t xml:space="preserve">GRUPO L.                      </t>
        </is>
      </c>
      <c r="D908" t="inlineStr">
        <is>
          <t xml:space="preserve">REPOLLO BLANCO  </t>
        </is>
      </c>
      <c r="E908" t="inlineStr">
        <is>
          <t xml:space="preserve">7790216012655       </t>
        </is>
      </c>
      <c r="F908" t="n">
        <v>4018003</v>
      </c>
      <c r="G908" t="inlineStr">
        <is>
          <t xml:space="preserve">REPOLLO BLANCO X KG                </t>
        </is>
      </c>
      <c r="H908" t="inlineStr">
        <is>
          <t xml:space="preserve">Kgs                 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1</v>
      </c>
      <c r="P908" s="96">
        <f>_xlfn.XLOOKUP(Tabla5[[#This Row],[EAN CORREGIDO]],'Tabla Articulos'!B:B,'Tabla Articulos'!D:D)</f>
        <v/>
      </c>
      <c r="Q908" s="96">
        <f>_xlfn.XLOOKUP(S908,'Tabla Articulos'!B:B,'Tabla Articulos'!E:E)</f>
        <v/>
      </c>
      <c r="R908" s="96">
        <f>O908*Q908</f>
        <v/>
      </c>
      <c r="S908" s="97">
        <f>TRIM(E908)</f>
        <v/>
      </c>
    </row>
    <row r="909" hidden="1">
      <c r="A909" s="22" t="n">
        <v>1</v>
      </c>
      <c r="B909" t="inlineStr">
        <is>
          <t xml:space="preserve">CD MORENO                     </t>
        </is>
      </c>
      <c r="C909" t="inlineStr">
        <is>
          <t xml:space="preserve">GRUPO L.                      </t>
        </is>
      </c>
      <c r="D909" t="inlineStr">
        <is>
          <t xml:space="preserve">REPOLLO BLANCO  </t>
        </is>
      </c>
      <c r="E909" t="inlineStr">
        <is>
          <t xml:space="preserve">7790216012655       </t>
        </is>
      </c>
      <c r="F909" t="n">
        <v>4018003</v>
      </c>
      <c r="G909" t="inlineStr">
        <is>
          <t xml:space="preserve">REPOLLO BLANCO X KG                </t>
        </is>
      </c>
      <c r="H909" t="inlineStr">
        <is>
          <t xml:space="preserve">Kgs                 </t>
        </is>
      </c>
      <c r="I909" t="n">
        <v>14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14</v>
      </c>
      <c r="P909" s="96">
        <f>_xlfn.XLOOKUP(Tabla5[[#This Row],[EAN CORREGIDO]],'Tabla Articulos'!B:B,'Tabla Articulos'!D:D)</f>
        <v/>
      </c>
      <c r="Q909" s="96">
        <f>_xlfn.XLOOKUP(S909,'Tabla Articulos'!B:B,'Tabla Articulos'!E:E)</f>
        <v/>
      </c>
      <c r="R909" s="96">
        <f>O909*Q909</f>
        <v/>
      </c>
      <c r="S909" s="97">
        <f>TRIM(E909)</f>
        <v/>
      </c>
    </row>
    <row r="910" hidden="1">
      <c r="A910" s="22" t="n">
        <v>5</v>
      </c>
      <c r="B910" t="inlineStr">
        <is>
          <t xml:space="preserve">CDM02 - MORENO 2              </t>
        </is>
      </c>
      <c r="C910" t="inlineStr">
        <is>
          <t xml:space="preserve">GRUPO L.                      </t>
        </is>
      </c>
      <c r="D910" t="inlineStr">
        <is>
          <t>TOMILLO</t>
        </is>
      </c>
      <c r="E910" t="inlineStr">
        <is>
          <t xml:space="preserve">7793875317405       </t>
        </is>
      </c>
      <c r="F910" t="n">
        <v>4020623</v>
      </c>
      <c r="G910" t="inlineStr">
        <is>
          <t xml:space="preserve">TOMILLO X 25G AROMAS Y SAB         </t>
        </is>
      </c>
      <c r="H910" t="inlineStr">
        <is>
          <t xml:space="preserve">UNIDAD              </t>
        </is>
      </c>
      <c r="I910" t="n">
        <v>26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26</v>
      </c>
      <c r="P910" s="96">
        <f>_xlfn.XLOOKUP(Tabla5[[#This Row],[EAN CORREGIDO]],'Tabla Articulos'!B:B,'Tabla Articulos'!D:D)</f>
        <v/>
      </c>
      <c r="Q910" s="96">
        <f>_xlfn.XLOOKUP(S910,'Tabla Articulos'!B:B,'Tabla Articulos'!E:E)</f>
        <v/>
      </c>
      <c r="R910" s="96">
        <f>O910*Q910</f>
        <v/>
      </c>
      <c r="S910" s="97">
        <f>TRIM(E910)</f>
        <v/>
      </c>
    </row>
    <row r="911" hidden="1">
      <c r="A911" s="22" t="n">
        <v>6</v>
      </c>
      <c r="B911" t="inlineStr">
        <is>
          <t xml:space="preserve">CDM03 - MORENO 3              </t>
        </is>
      </c>
      <c r="C911" t="inlineStr">
        <is>
          <t xml:space="preserve">GRUPO L.                      </t>
        </is>
      </c>
      <c r="E911" t="inlineStr">
        <is>
          <t xml:space="preserve">UNIF000559          </t>
        </is>
      </c>
      <c r="F911" t="n">
        <v>9003097</v>
      </c>
      <c r="G911" t="inlineStr">
        <is>
          <t xml:space="preserve">PANTALON JEAN 54                   </t>
        </is>
      </c>
      <c r="H911" t="inlineStr">
        <is>
          <t xml:space="preserve">UNIDAD              </t>
        </is>
      </c>
      <c r="I911" t="n">
        <v>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8</v>
      </c>
      <c r="P911" s="96">
        <f>_xlfn.XLOOKUP(Tabla5[[#This Row],[EAN CORREGIDO]],'Tabla Articulos'!B:B,'Tabla Articulos'!D:D)</f>
        <v/>
      </c>
      <c r="Q911" s="96">
        <f>_xlfn.XLOOKUP(S911,'Tabla Articulos'!B:B,'Tabla Articulos'!E:E)</f>
        <v/>
      </c>
      <c r="R911" s="96">
        <f>O911*Q911</f>
        <v/>
      </c>
      <c r="S911" s="97">
        <f>TRIM(E911)</f>
        <v/>
      </c>
    </row>
    <row r="912" hidden="1">
      <c r="A912" s="22" t="n">
        <v>6</v>
      </c>
      <c r="B912" t="inlineStr">
        <is>
          <t xml:space="preserve">CDM03 - MORENO 3              </t>
        </is>
      </c>
      <c r="C912" t="inlineStr">
        <is>
          <t xml:space="preserve">GRUPO L.                      </t>
        </is>
      </c>
      <c r="E912" t="inlineStr">
        <is>
          <t xml:space="preserve">BAZ001283           </t>
        </is>
      </c>
      <c r="F912" t="n">
        <v>9003796</v>
      </c>
      <c r="G912" t="inlineStr">
        <is>
          <t xml:space="preserve">BOTELLA VIDRIO CON PICO VERTED     </t>
        </is>
      </c>
      <c r="H912" t="inlineStr">
        <is>
          <t xml:space="preserve">UNIDAD              </t>
        </is>
      </c>
      <c r="I912" t="n">
        <v>68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68</v>
      </c>
      <c r="P912" s="96">
        <f>_xlfn.XLOOKUP(Tabla5[[#This Row],[EAN CORREGIDO]],'Tabla Articulos'!B:B,'Tabla Articulos'!D:D)</f>
        <v/>
      </c>
      <c r="Q912" s="96">
        <f>_xlfn.XLOOKUP(S912,'Tabla Articulos'!B:B,'Tabla Articulos'!E:E)</f>
        <v/>
      </c>
      <c r="R912" s="96">
        <f>O912*Q912</f>
        <v/>
      </c>
      <c r="S912" s="97">
        <f>TRIM(E912)</f>
        <v/>
      </c>
    </row>
    <row r="913" hidden="1">
      <c r="A913" s="22" t="n">
        <v>6</v>
      </c>
      <c r="B913" t="inlineStr">
        <is>
          <t xml:space="preserve">CDM03 - MORENO 3              </t>
        </is>
      </c>
      <c r="C913" t="inlineStr">
        <is>
          <t xml:space="preserve">GRUPO L.                      </t>
        </is>
      </c>
      <c r="E913" t="inlineStr">
        <is>
          <t xml:space="preserve">UNIF000484          </t>
        </is>
      </c>
      <c r="F913" t="n">
        <v>9003256</v>
      </c>
      <c r="G913" t="inlineStr">
        <is>
          <t xml:space="preserve">PANTAL. GRAFA S. LOGO BLANCO 48    </t>
        </is>
      </c>
      <c r="H913" t="inlineStr">
        <is>
          <t xml:space="preserve">UNIDAD              </t>
        </is>
      </c>
      <c r="I913" t="n">
        <v>39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39</v>
      </c>
      <c r="P913" s="96">
        <f>_xlfn.XLOOKUP(Tabla5[[#This Row],[EAN CORREGIDO]],'Tabla Articulos'!B:B,'Tabla Articulos'!D:D)</f>
        <v/>
      </c>
      <c r="Q913" s="96">
        <f>_xlfn.XLOOKUP(S913,'Tabla Articulos'!B:B,'Tabla Articulos'!E:E)</f>
        <v/>
      </c>
      <c r="R913" s="96">
        <f>O913*Q913</f>
        <v/>
      </c>
      <c r="S913" s="97">
        <f>TRIM(E913)</f>
        <v/>
      </c>
    </row>
    <row r="914" hidden="1">
      <c r="A914" s="22" t="n">
        <v>6</v>
      </c>
      <c r="B914" t="inlineStr">
        <is>
          <t xml:space="preserve">CDM03 - MORENO 3              </t>
        </is>
      </c>
      <c r="C914" t="inlineStr">
        <is>
          <t xml:space="preserve">GRUPO L.                      </t>
        </is>
      </c>
      <c r="E914" t="inlineStr">
        <is>
          <t xml:space="preserve">UNIF000403          </t>
        </is>
      </c>
      <c r="F914" t="n">
        <v>9003464</v>
      </c>
      <c r="G914" t="inlineStr">
        <is>
          <t xml:space="preserve">PANTAL NEG GU/MOZO/CAJERO/ADM 1    </t>
        </is>
      </c>
      <c r="H914" t="inlineStr">
        <is>
          <t xml:space="preserve">UNIDAD              </t>
        </is>
      </c>
      <c r="I914" t="n">
        <v>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4</v>
      </c>
      <c r="P914" s="96">
        <f>_xlfn.XLOOKUP(Tabla5[[#This Row],[EAN CORREGIDO]],'Tabla Articulos'!B:B,'Tabla Articulos'!D:D)</f>
        <v/>
      </c>
      <c r="Q914" s="96">
        <f>_xlfn.XLOOKUP(S914,'Tabla Articulos'!B:B,'Tabla Articulos'!E:E)</f>
        <v/>
      </c>
      <c r="R914" s="96">
        <f>O914*Q914</f>
        <v/>
      </c>
      <c r="S914" s="97">
        <f>TRIM(E914)</f>
        <v/>
      </c>
    </row>
    <row r="915" hidden="1">
      <c r="A915" s="22" t="n">
        <v>6</v>
      </c>
      <c r="B915" t="inlineStr">
        <is>
          <t xml:space="preserve">CDM03 - MORENO 3              </t>
        </is>
      </c>
      <c r="C915" t="inlineStr">
        <is>
          <t xml:space="preserve">GRUPO L.                      </t>
        </is>
      </c>
      <c r="E915" t="inlineStr">
        <is>
          <t xml:space="preserve">UNIF000162          </t>
        </is>
      </c>
      <c r="F915" t="n">
        <v>9003654</v>
      </c>
      <c r="G915" t="inlineStr">
        <is>
          <t xml:space="preserve">CHAQUETA CHEF 2 C. GOURMET         </t>
        </is>
      </c>
      <c r="H915" t="inlineStr">
        <is>
          <t xml:space="preserve">UNIDAD              </t>
        </is>
      </c>
      <c r="I915" t="n">
        <v>38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38</v>
      </c>
      <c r="P915" s="96">
        <f>_xlfn.XLOOKUP(Tabla5[[#This Row],[EAN CORREGIDO]],'Tabla Articulos'!B:B,'Tabla Articulos'!D:D)</f>
        <v/>
      </c>
      <c r="Q915" s="96">
        <f>_xlfn.XLOOKUP(S915,'Tabla Articulos'!B:B,'Tabla Articulos'!E:E)</f>
        <v/>
      </c>
      <c r="R915" s="96">
        <f>O915*Q915</f>
        <v/>
      </c>
      <c r="S915" s="97">
        <f>TRIM(E915)</f>
        <v/>
      </c>
    </row>
    <row r="916" hidden="1">
      <c r="A916" s="22" t="n">
        <v>1</v>
      </c>
      <c r="B916" t="inlineStr">
        <is>
          <t xml:space="preserve">CD MORENO                     </t>
        </is>
      </c>
      <c r="C916" t="inlineStr">
        <is>
          <t xml:space="preserve">GRUPO L.                      </t>
        </is>
      </c>
      <c r="D916" s="11" t="inlineStr">
        <is>
          <t>ESENCIA LIMON</t>
        </is>
      </c>
      <c r="E916" t="inlineStr">
        <is>
          <t xml:space="preserve">7791113005411       </t>
        </is>
      </c>
      <c r="F916" t="n">
        <v>4019943</v>
      </c>
      <c r="G916" t="inlineStr">
        <is>
          <t xml:space="preserve">ESENCIA LIMON X 1LT EMETH          </t>
        </is>
      </c>
      <c r="H916" t="inlineStr">
        <is>
          <t xml:space="preserve">UNIDAD              </t>
        </is>
      </c>
      <c r="I916" t="n">
        <v>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7</v>
      </c>
      <c r="P916" s="96">
        <f>_xlfn.XLOOKUP(Tabla5[[#This Row],[EAN CORREGIDO]],'Tabla Articulos'!B:B,'Tabla Articulos'!D:D)</f>
        <v/>
      </c>
      <c r="Q916" s="96">
        <f>_xlfn.XLOOKUP(S916,'Tabla Articulos'!B:B,'Tabla Articulos'!E:E)</f>
        <v/>
      </c>
      <c r="R916" s="96">
        <f>O916*Q916</f>
        <v/>
      </c>
      <c r="S916" s="97">
        <f>TRIM(E916)</f>
        <v/>
      </c>
    </row>
    <row r="917" hidden="1">
      <c r="A917" s="22" t="n">
        <v>6</v>
      </c>
      <c r="B917" t="inlineStr">
        <is>
          <t xml:space="preserve">CDM03 - MORENO 3              </t>
        </is>
      </c>
      <c r="C917" t="inlineStr">
        <is>
          <t xml:space="preserve">GRUPO L.                      </t>
        </is>
      </c>
      <c r="E917" t="inlineStr">
        <is>
          <t xml:space="preserve">UNIF000173          </t>
        </is>
      </c>
      <c r="F917" t="n">
        <v>9003208</v>
      </c>
      <c r="G917" t="inlineStr">
        <is>
          <t xml:space="preserve">GORRO ALTO CHEF                    </t>
        </is>
      </c>
      <c r="H917" t="inlineStr">
        <is>
          <t xml:space="preserve">UNIDAD              </t>
        </is>
      </c>
      <c r="I917" t="n">
        <v>98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98</v>
      </c>
      <c r="P917" s="96">
        <f>_xlfn.XLOOKUP(Tabla5[[#This Row],[EAN CORREGIDO]],'Tabla Articulos'!B:B,'Tabla Articulos'!D:D)</f>
        <v/>
      </c>
      <c r="Q917" s="96">
        <f>_xlfn.XLOOKUP(S917,'Tabla Articulos'!B:B,'Tabla Articulos'!E:E)</f>
        <v/>
      </c>
      <c r="R917" s="96">
        <f>O917*Q917</f>
        <v/>
      </c>
      <c r="S917" s="97">
        <f>TRIM(E917)</f>
        <v/>
      </c>
    </row>
    <row r="918" hidden="1">
      <c r="A918" s="22" t="n">
        <v>6</v>
      </c>
      <c r="B918" t="inlineStr">
        <is>
          <t xml:space="preserve">CDM03 - MORENO 3              </t>
        </is>
      </c>
      <c r="C918" t="inlineStr">
        <is>
          <t xml:space="preserve">GRUPO L.                      </t>
        </is>
      </c>
      <c r="E918" t="inlineStr">
        <is>
          <t xml:space="preserve">BAZ001191           </t>
        </is>
      </c>
      <c r="F918" t="n">
        <v>9003772</v>
      </c>
      <c r="G918" t="inlineStr">
        <is>
          <t xml:space="preserve">CUCHARON DE ACERO INOX. N° 12      </t>
        </is>
      </c>
      <c r="H918" t="inlineStr">
        <is>
          <t xml:space="preserve">UNIDAD              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2</v>
      </c>
      <c r="P918" s="96">
        <f>_xlfn.XLOOKUP(Tabla5[[#This Row],[EAN CORREGIDO]],'Tabla Articulos'!B:B,'Tabla Articulos'!D:D)</f>
        <v/>
      </c>
      <c r="Q918" s="96">
        <f>_xlfn.XLOOKUP(S918,'Tabla Articulos'!B:B,'Tabla Articulos'!E:E)</f>
        <v/>
      </c>
      <c r="R918" s="96">
        <f>O918*Q918</f>
        <v/>
      </c>
      <c r="S918" s="97">
        <f>TRIM(E918)</f>
        <v/>
      </c>
    </row>
    <row r="919" hidden="1">
      <c r="A919" s="22" t="n">
        <v>6</v>
      </c>
      <c r="B919" t="inlineStr">
        <is>
          <t xml:space="preserve">CDM03 - MORENO 3              </t>
        </is>
      </c>
      <c r="C919" t="inlineStr">
        <is>
          <t xml:space="preserve">GRUPO L.                      </t>
        </is>
      </c>
      <c r="E919" t="inlineStr">
        <is>
          <t xml:space="preserve">100ND36             </t>
        </is>
      </c>
      <c r="F919" t="n">
        <v>9004403</v>
      </c>
      <c r="G919" t="inlineStr">
        <is>
          <t xml:space="preserve">GL ZAPATO SEG. NEG.36 GAMAX        </t>
        </is>
      </c>
      <c r="H919" t="inlineStr">
        <is>
          <t xml:space="preserve">UNIDAD              </t>
        </is>
      </c>
      <c r="I919" t="n">
        <v>0</v>
      </c>
      <c r="J919" t="n">
        <v>30</v>
      </c>
      <c r="K919" t="n">
        <v>0</v>
      </c>
      <c r="L919" t="n">
        <v>10</v>
      </c>
      <c r="M919" t="n">
        <v>10</v>
      </c>
      <c r="N919" t="n">
        <v>0</v>
      </c>
      <c r="O919" t="n">
        <v>10</v>
      </c>
      <c r="P919" s="96">
        <f>_xlfn.XLOOKUP(Tabla5[[#This Row],[EAN CORREGIDO]],'Tabla Articulos'!B:B,'Tabla Articulos'!D:D)</f>
        <v/>
      </c>
      <c r="Q919" s="96">
        <f>_xlfn.XLOOKUP(S919,'Tabla Articulos'!B:B,'Tabla Articulos'!E:E)</f>
        <v/>
      </c>
      <c r="R919" s="96">
        <f>O919*Q919</f>
        <v/>
      </c>
      <c r="S919" s="97">
        <f>TRIM(E919)</f>
        <v/>
      </c>
    </row>
    <row r="920" hidden="1">
      <c r="A920" s="22" t="n">
        <v>6</v>
      </c>
      <c r="B920" t="inlineStr">
        <is>
          <t xml:space="preserve">CDM03 - MORENO 3              </t>
        </is>
      </c>
      <c r="C920" t="inlineStr">
        <is>
          <t xml:space="preserve">GRUPO L.                      </t>
        </is>
      </c>
      <c r="E920" t="inlineStr">
        <is>
          <t xml:space="preserve">LIM000465           </t>
        </is>
      </c>
      <c r="F920" t="n">
        <v>2006768</v>
      </c>
      <c r="G920" t="inlineStr">
        <is>
          <t xml:space="preserve">MICROFIBRA DE MANO AMARILLA X U    </t>
        </is>
      </c>
      <c r="H920" t="inlineStr">
        <is>
          <t xml:space="preserve">UNIDAD              </t>
        </is>
      </c>
      <c r="I920" t="n">
        <v>654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654</v>
      </c>
      <c r="P920" s="96">
        <f>_xlfn.XLOOKUP(Tabla5[[#This Row],[EAN CORREGIDO]],'Tabla Articulos'!B:B,'Tabla Articulos'!D:D)</f>
        <v/>
      </c>
      <c r="Q920" s="96">
        <f>_xlfn.XLOOKUP(S920,'Tabla Articulos'!B:B,'Tabla Articulos'!E:E)</f>
        <v/>
      </c>
      <c r="R920" s="96">
        <f>O920*Q920</f>
        <v/>
      </c>
      <c r="S920" s="97">
        <f>TRIM(E920)</f>
        <v/>
      </c>
    </row>
    <row r="921" hidden="1">
      <c r="A921" s="22" t="n">
        <v>1</v>
      </c>
      <c r="B921" t="inlineStr">
        <is>
          <t xml:space="preserve">CD MORENO                     </t>
        </is>
      </c>
      <c r="C921" t="inlineStr">
        <is>
          <t xml:space="preserve">GRUPO L.                      </t>
        </is>
      </c>
      <c r="D921" t="inlineStr">
        <is>
          <t>QUESO BARRA</t>
        </is>
      </c>
      <c r="E921" t="inlineStr">
        <is>
          <t xml:space="preserve">7790000000636       </t>
        </is>
      </c>
      <c r="F921" t="n">
        <v>4024740</v>
      </c>
      <c r="G921" t="inlineStr">
        <is>
          <t xml:space="preserve"> QUESO BARRA MD LA PAULINA  KG     </t>
        </is>
      </c>
      <c r="H921" t="inlineStr">
        <is>
          <t xml:space="preserve">Kgs                 </t>
        </is>
      </c>
      <c r="I921" t="n">
        <v>14.9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14.9</v>
      </c>
      <c r="P921" s="96">
        <f>_xlfn.XLOOKUP(Tabla5[[#This Row],[EAN CORREGIDO]],'Tabla Articulos'!B:B,'Tabla Articulos'!D:D)</f>
        <v/>
      </c>
      <c r="Q921" s="96">
        <f>_xlfn.XLOOKUP(S921,'Tabla Articulos'!B:B,'Tabla Articulos'!E:E)</f>
        <v/>
      </c>
      <c r="R921" s="96">
        <f>O921*Q921</f>
        <v/>
      </c>
      <c r="S921" s="97">
        <f>TRIM(E921)</f>
        <v/>
      </c>
    </row>
    <row r="922" hidden="1">
      <c r="A922" s="22" t="n">
        <v>6</v>
      </c>
      <c r="B922" t="inlineStr">
        <is>
          <t xml:space="preserve">CDM03 - MORENO 3              </t>
        </is>
      </c>
      <c r="C922" t="inlineStr">
        <is>
          <t xml:space="preserve">GRUPO L.                      </t>
        </is>
      </c>
      <c r="D922" t="inlineStr">
        <is>
          <t>GUANTE GOMA</t>
        </is>
      </c>
      <c r="E922" t="inlineStr">
        <is>
          <t xml:space="preserve">3245424854106       </t>
        </is>
      </c>
      <c r="F922" t="n">
        <v>2016721</v>
      </c>
      <c r="G922" t="inlineStr">
        <is>
          <t xml:space="preserve">GUANTE ULTRAN.485 T10 X12          </t>
        </is>
      </c>
      <c r="H922" t="inlineStr">
        <is>
          <t xml:space="preserve">UNIDAD              </t>
        </is>
      </c>
      <c r="I922" t="n">
        <v>108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108</v>
      </c>
      <c r="P922" s="96">
        <f>_xlfn.XLOOKUP(Tabla5[[#This Row],[EAN CORREGIDO]],'Tabla Articulos'!B:B,'Tabla Articulos'!D:D)</f>
        <v/>
      </c>
      <c r="Q922" s="96">
        <f>_xlfn.XLOOKUP(S922,'Tabla Articulos'!B:B,'Tabla Articulos'!E:E)</f>
        <v/>
      </c>
      <c r="R922" s="96">
        <f>O922*Q922</f>
        <v/>
      </c>
      <c r="S922" s="97">
        <f>TRIM(E922)</f>
        <v/>
      </c>
    </row>
    <row r="923" hidden="1">
      <c r="A923" s="22" t="n">
        <v>6</v>
      </c>
      <c r="B923" t="inlineStr">
        <is>
          <t xml:space="preserve">CDM03 - MORENO 3              </t>
        </is>
      </c>
      <c r="C923" t="inlineStr">
        <is>
          <t xml:space="preserve">GRUPO L.                      </t>
        </is>
      </c>
      <c r="E923" t="inlineStr">
        <is>
          <t xml:space="preserve">BAZ001244           </t>
        </is>
      </c>
      <c r="F923" t="n">
        <v>9003694</v>
      </c>
      <c r="G923" t="inlineStr">
        <is>
          <t xml:space="preserve">CUCHILLMANGO PLASTI ROJO           </t>
        </is>
      </c>
      <c r="H923" t="inlineStr">
        <is>
          <t xml:space="preserve">UNIDAD              </t>
        </is>
      </c>
      <c r="I923" t="n">
        <v>720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720</v>
      </c>
      <c r="P923" s="96">
        <f>_xlfn.XLOOKUP(Tabla5[[#This Row],[EAN CORREGIDO]],'Tabla Articulos'!B:B,'Tabla Articulos'!D:D)</f>
        <v/>
      </c>
      <c r="Q923" s="96">
        <f>_xlfn.XLOOKUP(S923,'Tabla Articulos'!B:B,'Tabla Articulos'!E:E)</f>
        <v/>
      </c>
      <c r="R923" s="96">
        <f>O923*Q923</f>
        <v/>
      </c>
      <c r="S923" s="97">
        <f>TRIM(E923)</f>
        <v/>
      </c>
    </row>
    <row r="924" hidden="1">
      <c r="A924" s="22" t="n">
        <v>6</v>
      </c>
      <c r="B924" t="inlineStr">
        <is>
          <t xml:space="preserve">CDM03 - MORENO 3              </t>
        </is>
      </c>
      <c r="C924" t="inlineStr">
        <is>
          <t xml:space="preserve">GRUPO L.                      </t>
        </is>
      </c>
      <c r="E924" t="inlineStr">
        <is>
          <t xml:space="preserve">100ND42             </t>
        </is>
      </c>
      <c r="F924" t="n">
        <v>9004409</v>
      </c>
      <c r="G924" t="inlineStr">
        <is>
          <t xml:space="preserve">GL ZAPATO SEG. NEG. 42 GAMAX       </t>
        </is>
      </c>
      <c r="H924" t="inlineStr">
        <is>
          <t xml:space="preserve">UNIDAD              </t>
        </is>
      </c>
      <c r="I924" t="n">
        <v>0</v>
      </c>
      <c r="J924" t="n">
        <v>440</v>
      </c>
      <c r="K924" t="n">
        <v>0</v>
      </c>
      <c r="L924" t="n">
        <v>11</v>
      </c>
      <c r="M924" t="n">
        <v>11</v>
      </c>
      <c r="N924" t="n">
        <v>0</v>
      </c>
      <c r="O924" t="n">
        <v>418</v>
      </c>
      <c r="P924" s="96">
        <f>_xlfn.XLOOKUP(Tabla5[[#This Row],[EAN CORREGIDO]],'Tabla Articulos'!B:B,'Tabla Articulos'!D:D)</f>
        <v/>
      </c>
      <c r="Q924" s="96">
        <f>_xlfn.XLOOKUP(S924,'Tabla Articulos'!B:B,'Tabla Articulos'!E:E)</f>
        <v/>
      </c>
      <c r="R924" s="96">
        <f>O924*Q924</f>
        <v/>
      </c>
      <c r="S924" s="97">
        <f>TRIM(E924)</f>
        <v/>
      </c>
    </row>
    <row r="925" hidden="1">
      <c r="A925" s="22" t="n">
        <v>1</v>
      </c>
      <c r="B925" t="inlineStr">
        <is>
          <t xml:space="preserve">CD MORENO                     </t>
        </is>
      </c>
      <c r="C925" t="inlineStr">
        <is>
          <t xml:space="preserve">GRUPO L.                      </t>
        </is>
      </c>
      <c r="D925" t="inlineStr">
        <is>
          <t>FILET MERLUZA CONGELADA</t>
        </is>
      </c>
      <c r="E925" t="inlineStr">
        <is>
          <t xml:space="preserve">7798221742566       </t>
        </is>
      </c>
      <c r="F925" t="n">
        <v>4048933</v>
      </c>
      <c r="G925" t="inlineStr">
        <is>
          <t xml:space="preserve">FILET MERLUZA IQF X6KG PAMPA FIS   </t>
        </is>
      </c>
      <c r="H925" t="inlineStr">
        <is>
          <t xml:space="preserve">UNIDAD              </t>
        </is>
      </c>
      <c r="I925" t="n">
        <v>83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83</v>
      </c>
      <c r="P925" s="96">
        <f>_xlfn.XLOOKUP(Tabla5[[#This Row],[EAN CORREGIDO]],'Tabla Articulos'!B:B,'Tabla Articulos'!D:D)</f>
        <v/>
      </c>
      <c r="Q925" s="96">
        <f>_xlfn.XLOOKUP(S925,'Tabla Articulos'!B:B,'Tabla Articulos'!E:E)</f>
        <v/>
      </c>
      <c r="R925" s="96">
        <f>O925*Q925</f>
        <v/>
      </c>
      <c r="S925" s="97">
        <f>TRIM(E925)</f>
        <v/>
      </c>
    </row>
    <row r="926" hidden="1">
      <c r="A926" s="22" t="n">
        <v>6</v>
      </c>
      <c r="B926" t="inlineStr">
        <is>
          <t xml:space="preserve">CDM03 - MORENO 3              </t>
        </is>
      </c>
      <c r="C926" t="inlineStr">
        <is>
          <t xml:space="preserve">GRUPO L.                      </t>
        </is>
      </c>
      <c r="E926" t="inlineStr">
        <is>
          <t xml:space="preserve">UNIF000189          </t>
        </is>
      </c>
      <c r="F926" t="n">
        <v>9003429</v>
      </c>
      <c r="G926" t="inlineStr">
        <is>
          <t xml:space="preserve">PANTA. CARGO A.MAR 52 GL SUPPORT   </t>
        </is>
      </c>
      <c r="H926" t="inlineStr">
        <is>
          <t xml:space="preserve">UNIDAD              </t>
        </is>
      </c>
      <c r="I926" t="n">
        <v>8</v>
      </c>
      <c r="J926" t="n">
        <v>0</v>
      </c>
      <c r="K926" t="n">
        <v>0</v>
      </c>
      <c r="L926" t="n">
        <v>1</v>
      </c>
      <c r="M926" t="n">
        <v>1</v>
      </c>
      <c r="N926" t="n">
        <v>0</v>
      </c>
      <c r="O926" t="n">
        <v>6</v>
      </c>
      <c r="P926" s="96">
        <f>_xlfn.XLOOKUP(Tabla5[[#This Row],[EAN CORREGIDO]],'Tabla Articulos'!B:B,'Tabla Articulos'!D:D)</f>
        <v/>
      </c>
      <c r="Q926" s="96">
        <f>_xlfn.XLOOKUP(S926,'Tabla Articulos'!B:B,'Tabla Articulos'!E:E)</f>
        <v/>
      </c>
      <c r="R926" s="96">
        <f>O926*Q926</f>
        <v/>
      </c>
      <c r="S926" s="97">
        <f>TRIM(E926)</f>
        <v/>
      </c>
    </row>
    <row r="927" hidden="1">
      <c r="A927" s="22" t="n">
        <v>6</v>
      </c>
      <c r="B927" t="inlineStr">
        <is>
          <t xml:space="preserve">CDM03 - MORENO 3              </t>
        </is>
      </c>
      <c r="C927" t="inlineStr">
        <is>
          <t xml:space="preserve">GRUPO L.                      </t>
        </is>
      </c>
      <c r="E927" t="inlineStr">
        <is>
          <t xml:space="preserve">7790000000706       </t>
        </is>
      </c>
      <c r="F927" t="n">
        <v>2016497</v>
      </c>
      <c r="G927" t="inlineStr">
        <is>
          <t xml:space="preserve"> SERVILLETA 33X21.5 GL SUPPORT X100</t>
        </is>
      </c>
      <c r="H927" t="inlineStr">
        <is>
          <t xml:space="preserve">UNIDAD              </t>
        </is>
      </c>
      <c r="I927" t="n">
        <v>100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100</v>
      </c>
      <c r="P927" s="96">
        <f>_xlfn.XLOOKUP(Tabla5[[#This Row],[EAN CORREGIDO]],'Tabla Articulos'!B:B,'Tabla Articulos'!D:D)</f>
        <v/>
      </c>
      <c r="Q927" s="96">
        <f>_xlfn.XLOOKUP(S927,'Tabla Articulos'!B:B,'Tabla Articulos'!E:E)</f>
        <v/>
      </c>
      <c r="R927" s="96">
        <f>O927*Q927</f>
        <v/>
      </c>
      <c r="S927" s="97">
        <f>TRIM(E927)</f>
        <v/>
      </c>
    </row>
    <row r="928" hidden="1">
      <c r="A928" s="22" t="n">
        <v>5</v>
      </c>
      <c r="B928" t="inlineStr">
        <is>
          <t xml:space="preserve">CDM02 - MORENO 2              </t>
        </is>
      </c>
      <c r="C928" t="inlineStr">
        <is>
          <t xml:space="preserve">GRUPO L.                      </t>
        </is>
      </c>
      <c r="D928" s="11" t="inlineStr">
        <is>
          <t>KETCHUP INDIV</t>
        </is>
      </c>
      <c r="E928" t="inlineStr">
        <is>
          <t xml:space="preserve">67794000006012      </t>
        </is>
      </c>
      <c r="F928" t="n">
        <v>4023366</v>
      </c>
      <c r="G928" t="inlineStr">
        <is>
          <t xml:space="preserve">KETCHUP IND 1CJX196UN FANACOA      </t>
        </is>
      </c>
      <c r="H928" t="inlineStr">
        <is>
          <t xml:space="preserve">UNIDAD              </t>
        </is>
      </c>
      <c r="I928" t="n">
        <v>36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36</v>
      </c>
      <c r="P928" s="96">
        <f>_xlfn.XLOOKUP(Tabla5[[#This Row],[EAN CORREGIDO]],'Tabla Articulos'!B:B,'Tabla Articulos'!D:D)</f>
        <v/>
      </c>
      <c r="Q928" s="96">
        <f>_xlfn.XLOOKUP(S928,'Tabla Articulos'!B:B,'Tabla Articulos'!E:E)</f>
        <v/>
      </c>
      <c r="R928" s="96">
        <f>O928*Q928</f>
        <v/>
      </c>
      <c r="S928" s="97">
        <f>TRIM(E928)</f>
        <v/>
      </c>
    </row>
    <row r="929" hidden="1">
      <c r="A929" s="22" t="n">
        <v>6</v>
      </c>
      <c r="B929" t="inlineStr">
        <is>
          <t xml:space="preserve">CDM03 - MORENO 3              </t>
        </is>
      </c>
      <c r="C929" t="inlineStr">
        <is>
          <t xml:space="preserve">GRUPO L.                      </t>
        </is>
      </c>
      <c r="D929" s="11" t="n"/>
      <c r="E929" t="inlineStr">
        <is>
          <t xml:space="preserve">BAZ001215           </t>
        </is>
      </c>
      <c r="F929" t="n">
        <v>9003804</v>
      </c>
      <c r="G929" t="inlineStr">
        <is>
          <t xml:space="preserve">PIEDRA AFILAR DOBLE 200/50/25 MM   </t>
        </is>
      </c>
      <c r="H929" t="inlineStr">
        <is>
          <t xml:space="preserve">UNIDAD              </t>
        </is>
      </c>
      <c r="I929" t="n">
        <v>38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38</v>
      </c>
      <c r="P929" s="96">
        <f>_xlfn.XLOOKUP(Tabla5[[#This Row],[EAN CORREGIDO]],'Tabla Articulos'!B:B,'Tabla Articulos'!D:D)</f>
        <v/>
      </c>
      <c r="Q929" s="96">
        <f>_xlfn.XLOOKUP(S929,'Tabla Articulos'!B:B,'Tabla Articulos'!E:E)</f>
        <v/>
      </c>
      <c r="R929" s="96">
        <f>O929*Q929</f>
        <v/>
      </c>
      <c r="S929" s="97">
        <f>TRIM(E929)</f>
        <v/>
      </c>
    </row>
    <row r="930" hidden="1">
      <c r="A930" s="22" t="n">
        <v>6</v>
      </c>
      <c r="B930" t="inlineStr">
        <is>
          <t xml:space="preserve">CDM03 - MORENO 3              </t>
        </is>
      </c>
      <c r="C930" t="inlineStr">
        <is>
          <t xml:space="preserve">GRUPO L.                      </t>
        </is>
      </c>
      <c r="E930" t="inlineStr">
        <is>
          <t xml:space="preserve">UNIF000625          </t>
        </is>
      </c>
      <c r="F930" t="n">
        <v>9003163</v>
      </c>
      <c r="G930" t="inlineStr">
        <is>
          <t xml:space="preserve">PANTALON NAUTICO NEG S LOGO T4     </t>
        </is>
      </c>
      <c r="H930" t="inlineStr">
        <is>
          <t xml:space="preserve">UNIDAD              </t>
        </is>
      </c>
      <c r="I930" t="n">
        <v>56</v>
      </c>
      <c r="J930" t="n">
        <v>750</v>
      </c>
      <c r="K930" t="n">
        <v>0</v>
      </c>
      <c r="L930" t="n">
        <v>10</v>
      </c>
      <c r="M930" t="n">
        <v>10</v>
      </c>
      <c r="N930" t="n">
        <v>0</v>
      </c>
      <c r="O930" t="n">
        <v>786</v>
      </c>
      <c r="P930" s="96">
        <f>_xlfn.XLOOKUP(Tabla5[[#This Row],[EAN CORREGIDO]],'Tabla Articulos'!B:B,'Tabla Articulos'!D:D)</f>
        <v/>
      </c>
      <c r="Q930" s="96">
        <f>_xlfn.XLOOKUP(S930,'Tabla Articulos'!B:B,'Tabla Articulos'!E:E)</f>
        <v/>
      </c>
      <c r="R930" s="96">
        <f>O930*Q930</f>
        <v/>
      </c>
      <c r="S930" s="97">
        <f>TRIM(E930)</f>
        <v/>
      </c>
    </row>
    <row r="931" hidden="1">
      <c r="A931" s="22" t="n">
        <v>1</v>
      </c>
      <c r="B931" t="inlineStr">
        <is>
          <t xml:space="preserve">CD MORENO                     </t>
        </is>
      </c>
      <c r="C931" t="inlineStr">
        <is>
          <t xml:space="preserve">GRUPO L.                      </t>
        </is>
      </c>
      <c r="D931" t="inlineStr">
        <is>
          <t>VINAGRE ALCOHOL</t>
        </is>
      </c>
      <c r="E931" t="inlineStr">
        <is>
          <t xml:space="preserve">7797470133620       </t>
        </is>
      </c>
      <c r="F931" t="n">
        <v>4020274</v>
      </c>
      <c r="G931" t="inlineStr">
        <is>
          <t xml:space="preserve">VINAGRE ALCOHOL X1L MAROLIO        </t>
        </is>
      </c>
      <c r="H931" t="inlineStr">
        <is>
          <t xml:space="preserve">UNIDAD              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1</v>
      </c>
      <c r="P931" s="96">
        <f>_xlfn.XLOOKUP(Tabla5[[#This Row],[EAN CORREGIDO]],'Tabla Articulos'!B:B,'Tabla Articulos'!D:D)</f>
        <v/>
      </c>
      <c r="Q931" s="96">
        <f>_xlfn.XLOOKUP(S931,'Tabla Articulos'!B:B,'Tabla Articulos'!E:E)</f>
        <v/>
      </c>
      <c r="R931" s="96">
        <f>O931*Q931</f>
        <v/>
      </c>
      <c r="S931" s="97">
        <f>TRIM(E931)</f>
        <v/>
      </c>
    </row>
    <row r="932" hidden="1">
      <c r="A932" s="22" t="n">
        <v>6</v>
      </c>
      <c r="B932" t="inlineStr">
        <is>
          <t xml:space="preserve">CDM03 - MORENO 3              </t>
        </is>
      </c>
      <c r="C932" t="inlineStr">
        <is>
          <t xml:space="preserve">GRUPO L.                      </t>
        </is>
      </c>
      <c r="D932" s="11" t="n"/>
      <c r="E932" t="inlineStr">
        <is>
          <t xml:space="preserve">UNIF000110          </t>
        </is>
      </c>
      <c r="F932" t="n">
        <v>9003423</v>
      </c>
      <c r="G932" t="inlineStr">
        <is>
          <t xml:space="preserve">PANTALON CARGO S. LOGO NEGRO 58    </t>
        </is>
      </c>
      <c r="H932" t="inlineStr">
        <is>
          <t xml:space="preserve">UNIDAD              </t>
        </is>
      </c>
      <c r="I932" t="n">
        <v>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9</v>
      </c>
      <c r="P932" s="96">
        <f>_xlfn.XLOOKUP(Tabla5[[#This Row],[EAN CORREGIDO]],'Tabla Articulos'!B:B,'Tabla Articulos'!D:D)</f>
        <v/>
      </c>
      <c r="Q932" s="96">
        <f>_xlfn.XLOOKUP(S932,'Tabla Articulos'!B:B,'Tabla Articulos'!E:E)</f>
        <v/>
      </c>
      <c r="R932" s="96">
        <f>O932*Q932</f>
        <v/>
      </c>
      <c r="S932" s="97">
        <f>TRIM(E932)</f>
        <v/>
      </c>
    </row>
    <row r="933" hidden="1">
      <c r="A933" s="22" t="n">
        <v>6</v>
      </c>
      <c r="B933" t="inlineStr">
        <is>
          <t xml:space="preserve">CDM03 - MORENO 3              </t>
        </is>
      </c>
      <c r="C933" t="inlineStr">
        <is>
          <t xml:space="preserve">GRUPO L.                      </t>
        </is>
      </c>
      <c r="D933" t="inlineStr">
        <is>
          <t>TAPA VASO TERMICO 240CC</t>
        </is>
      </c>
      <c r="E933" t="inlineStr">
        <is>
          <t xml:space="preserve">7790321020326       </t>
        </is>
      </c>
      <c r="F933" t="n">
        <v>2006393</v>
      </c>
      <c r="G933" t="inlineStr">
        <is>
          <t xml:space="preserve">TAPA VASO TERM 240 CC X 100 U      </t>
        </is>
      </c>
      <c r="H933" t="inlineStr">
        <is>
          <t xml:space="preserve">UNIDAD              </t>
        </is>
      </c>
      <c r="I933" t="n">
        <v>149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149</v>
      </c>
      <c r="P933" s="96">
        <f>_xlfn.XLOOKUP(Tabla5[[#This Row],[EAN CORREGIDO]],'Tabla Articulos'!B:B,'Tabla Articulos'!D:D)</f>
        <v/>
      </c>
      <c r="Q933" s="96">
        <f>_xlfn.XLOOKUP(S933,'Tabla Articulos'!B:B,'Tabla Articulos'!E:E)</f>
        <v/>
      </c>
      <c r="R933" s="96">
        <f>O933*Q933</f>
        <v/>
      </c>
      <c r="S933" s="97">
        <f>TRIM(E933)</f>
        <v/>
      </c>
    </row>
    <row r="934" hidden="1">
      <c r="A934" s="22" t="n">
        <v>6</v>
      </c>
      <c r="B934" t="inlineStr">
        <is>
          <t xml:space="preserve">CDM03 - MORENO 3              </t>
        </is>
      </c>
      <c r="C934" t="inlineStr">
        <is>
          <t xml:space="preserve">GRUPO L.                      </t>
        </is>
      </c>
      <c r="E934" t="inlineStr">
        <is>
          <t xml:space="preserve">UNIF000107          </t>
        </is>
      </c>
      <c r="F934" t="n">
        <v>9003420</v>
      </c>
      <c r="G934" t="inlineStr">
        <is>
          <t xml:space="preserve">PANTALON CARGO NEGRO 46            </t>
        </is>
      </c>
      <c r="H934" t="inlineStr">
        <is>
          <t xml:space="preserve">UNIDAD              </t>
        </is>
      </c>
      <c r="I934" t="n">
        <v>87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87</v>
      </c>
      <c r="P934" s="96">
        <f>_xlfn.XLOOKUP(Tabla5[[#This Row],[EAN CORREGIDO]],'Tabla Articulos'!B:B,'Tabla Articulos'!D:D)</f>
        <v/>
      </c>
      <c r="Q934" s="96">
        <f>_xlfn.XLOOKUP(S934,'Tabla Articulos'!B:B,'Tabla Articulos'!E:E)</f>
        <v/>
      </c>
      <c r="R934" s="96">
        <f>O934*Q934</f>
        <v/>
      </c>
      <c r="S934" s="97">
        <f>TRIM(E934)</f>
        <v/>
      </c>
    </row>
    <row r="935" hidden="1">
      <c r="A935" s="22" t="n">
        <v>5</v>
      </c>
      <c r="B935" t="inlineStr">
        <is>
          <t xml:space="preserve">CDM02 - MORENO 2              </t>
        </is>
      </c>
      <c r="C935" t="inlineStr">
        <is>
          <t xml:space="preserve">GRUPO L.                      </t>
        </is>
      </c>
      <c r="D935" t="inlineStr">
        <is>
          <t>CARAMELO LIQUIDO</t>
        </is>
      </c>
      <c r="E935" t="inlineStr">
        <is>
          <t xml:space="preserve">7790198000311       </t>
        </is>
      </c>
      <c r="F935" t="n">
        <v>4076620</v>
      </c>
      <c r="G935" t="inlineStr">
        <is>
          <t xml:space="preserve">SALSA CARAMELO BACIGALUPO X1.25KG  </t>
        </is>
      </c>
      <c r="H935" t="inlineStr">
        <is>
          <t xml:space="preserve">UNIDAD              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1</v>
      </c>
      <c r="P935" s="96">
        <f>_xlfn.XLOOKUP(Tabla5[[#This Row],[EAN CORREGIDO]],'Tabla Articulos'!B:B,'Tabla Articulos'!D:D)</f>
        <v/>
      </c>
      <c r="Q935" s="96">
        <f>_xlfn.XLOOKUP(S935,'Tabla Articulos'!B:B,'Tabla Articulos'!E:E)</f>
        <v/>
      </c>
      <c r="R935" s="96">
        <f>O935*Q935</f>
        <v/>
      </c>
      <c r="S935" s="97">
        <f>TRIM(E935)</f>
        <v/>
      </c>
    </row>
    <row r="936" hidden="1">
      <c r="A936" s="22" t="n">
        <v>6</v>
      </c>
      <c r="B936" t="inlineStr">
        <is>
          <t xml:space="preserve">CDM03 - MORENO 3              </t>
        </is>
      </c>
      <c r="C936" t="inlineStr">
        <is>
          <t xml:space="preserve">GRUPO L.                      </t>
        </is>
      </c>
      <c r="E936" t="inlineStr">
        <is>
          <t xml:space="preserve">UNIF000611          </t>
        </is>
      </c>
      <c r="F936" t="n">
        <v>9003149</v>
      </c>
      <c r="G936" t="inlineStr">
        <is>
          <t xml:space="preserve">GUARDAPOLVO C LOGO C GOUR XXL      </t>
        </is>
      </c>
      <c r="H936" t="inlineStr">
        <is>
          <t xml:space="preserve">UNIDAD              </t>
        </is>
      </c>
      <c r="I936" t="n">
        <v>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9</v>
      </c>
      <c r="P936" s="96">
        <f>_xlfn.XLOOKUP(Tabla5[[#This Row],[EAN CORREGIDO]],'Tabla Articulos'!B:B,'Tabla Articulos'!D:D)</f>
        <v/>
      </c>
      <c r="Q936" s="96">
        <f>_xlfn.XLOOKUP(S936,'Tabla Articulos'!B:B,'Tabla Articulos'!E:E)</f>
        <v/>
      </c>
      <c r="R936" s="96">
        <f>O936*Q936</f>
        <v/>
      </c>
      <c r="S936" s="97">
        <f>TRIM(E936)</f>
        <v/>
      </c>
    </row>
    <row r="937" hidden="1">
      <c r="A937" s="22" t="n">
        <v>6</v>
      </c>
      <c r="B937" t="inlineStr">
        <is>
          <t xml:space="preserve">CDM03 - MORENO 3              </t>
        </is>
      </c>
      <c r="C937" t="inlineStr">
        <is>
          <t xml:space="preserve">GRUPO L.                      </t>
        </is>
      </c>
      <c r="D937" s="11" t="n"/>
      <c r="E937" t="inlineStr">
        <is>
          <t xml:space="preserve">UNIF000033          </t>
        </is>
      </c>
      <c r="F937" t="n">
        <v>9003280</v>
      </c>
      <c r="G937" t="inlineStr">
        <is>
          <t xml:space="preserve">BUZO AZUL MARINO GRUPO L M         </t>
        </is>
      </c>
      <c r="H937" t="inlineStr">
        <is>
          <t xml:space="preserve">UNIDAD              </t>
        </is>
      </c>
      <c r="I937" t="n">
        <v>11</v>
      </c>
      <c r="J937" t="n">
        <v>200</v>
      </c>
      <c r="K937" t="n">
        <v>0</v>
      </c>
      <c r="L937" t="n">
        <v>0</v>
      </c>
      <c r="M937" t="n">
        <v>0</v>
      </c>
      <c r="N937" t="n">
        <v>0</v>
      </c>
      <c r="O937" t="n">
        <v>211</v>
      </c>
      <c r="P937" s="96">
        <f>_xlfn.XLOOKUP(Tabla5[[#This Row],[EAN CORREGIDO]],'Tabla Articulos'!B:B,'Tabla Articulos'!D:D)</f>
        <v/>
      </c>
      <c r="Q937" s="96">
        <f>_xlfn.XLOOKUP(S937,'Tabla Articulos'!B:B,'Tabla Articulos'!E:E)</f>
        <v/>
      </c>
      <c r="R937" s="96">
        <f>O937*Q937</f>
        <v/>
      </c>
      <c r="S937" s="97">
        <f>TRIM(E937)</f>
        <v/>
      </c>
    </row>
    <row r="938" hidden="1">
      <c r="A938" s="22" t="n">
        <v>6</v>
      </c>
      <c r="B938" t="inlineStr">
        <is>
          <t xml:space="preserve">CDM03 - MORENO 3              </t>
        </is>
      </c>
      <c r="C938" t="inlineStr">
        <is>
          <t xml:space="preserve">GRUPO L.                      </t>
        </is>
      </c>
      <c r="E938" t="inlineStr">
        <is>
          <t xml:space="preserve">UNIF000087          </t>
        </is>
      </c>
      <c r="F938" t="n">
        <v>9003548</v>
      </c>
      <c r="G938" t="inlineStr">
        <is>
          <t>CAMISA BLANCA LISA 46 BLUE CATERING</t>
        </is>
      </c>
      <c r="H938" t="inlineStr">
        <is>
          <t xml:space="preserve">UNIDAD              </t>
        </is>
      </c>
      <c r="I938" t="n">
        <v>27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27</v>
      </c>
      <c r="P938" s="96">
        <f>_xlfn.XLOOKUP(Tabla5[[#This Row],[EAN CORREGIDO]],'Tabla Articulos'!B:B,'Tabla Articulos'!D:D)</f>
        <v/>
      </c>
      <c r="Q938" s="96">
        <f>_xlfn.XLOOKUP(S938,'Tabla Articulos'!B:B,'Tabla Articulos'!E:E)</f>
        <v/>
      </c>
      <c r="R938" s="96">
        <f>O938*Q938</f>
        <v/>
      </c>
      <c r="S938" s="97">
        <f>TRIM(E938)</f>
        <v/>
      </c>
    </row>
    <row r="939" hidden="1">
      <c r="A939" s="22" t="n">
        <v>6</v>
      </c>
      <c r="B939" t="inlineStr">
        <is>
          <t xml:space="preserve">CDM03 - MORENO 3              </t>
        </is>
      </c>
      <c r="C939" t="inlineStr">
        <is>
          <t xml:space="preserve">GRUPO L.                      </t>
        </is>
      </c>
      <c r="E939" t="inlineStr">
        <is>
          <t xml:space="preserve">2006884             </t>
        </is>
      </c>
      <c r="F939" t="n">
        <v>2006884</v>
      </c>
      <c r="G939" t="inlineStr">
        <is>
          <t xml:space="preserve">PULVERIZADORES C/GATILLO X 1LT B   </t>
        </is>
      </c>
      <c r="H939" t="inlineStr">
        <is>
          <t xml:space="preserve">UNIDAD              </t>
        </is>
      </c>
      <c r="I939" t="n">
        <v>23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23</v>
      </c>
      <c r="P939" s="96">
        <f>_xlfn.XLOOKUP(Tabla5[[#This Row],[EAN CORREGIDO]],'Tabla Articulos'!B:B,'Tabla Articulos'!D:D)</f>
        <v/>
      </c>
      <c r="Q939" s="96">
        <f>_xlfn.XLOOKUP(S939,'Tabla Articulos'!B:B,'Tabla Articulos'!E:E)</f>
        <v/>
      </c>
      <c r="R939" s="96">
        <f>O939*Q939</f>
        <v/>
      </c>
      <c r="S939" s="97">
        <f>TRIM(E939)</f>
        <v/>
      </c>
    </row>
    <row r="940" hidden="1">
      <c r="A940" s="22" t="n">
        <v>1</v>
      </c>
      <c r="B940" t="inlineStr">
        <is>
          <t xml:space="preserve">CD MORENO                     </t>
        </is>
      </c>
      <c r="C940" t="inlineStr">
        <is>
          <t xml:space="preserve">GRUPO L.                      </t>
        </is>
      </c>
      <c r="D940" t="inlineStr">
        <is>
          <t>ALFAJOR DE ARROZ</t>
        </is>
      </c>
      <c r="E940" t="inlineStr">
        <is>
          <t xml:space="preserve">77987853            </t>
        </is>
      </c>
      <c r="F940" t="n">
        <v>4022696</v>
      </c>
      <c r="G940" t="inlineStr">
        <is>
          <t xml:space="preserve">ALF DE ARROZ MARROC 22GR LULEMUU   </t>
        </is>
      </c>
      <c r="H940" t="inlineStr">
        <is>
          <t xml:space="preserve">UNIDAD              </t>
        </is>
      </c>
      <c r="I940" t="n">
        <v>692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692</v>
      </c>
      <c r="P940" s="96">
        <f>_xlfn.XLOOKUP(Tabla5[[#This Row],[EAN CORREGIDO]],'Tabla Articulos'!B:B,'Tabla Articulos'!D:D)</f>
        <v/>
      </c>
      <c r="Q940" s="96">
        <f>_xlfn.XLOOKUP(S940,'Tabla Articulos'!B:B,'Tabla Articulos'!E:E)</f>
        <v/>
      </c>
      <c r="R940" s="96">
        <f>O940*Q940</f>
        <v/>
      </c>
      <c r="S940" s="97">
        <f>TRIM(E940)</f>
        <v/>
      </c>
    </row>
    <row r="941" hidden="1">
      <c r="A941" s="22" t="n">
        <v>5</v>
      </c>
      <c r="B941" t="inlineStr">
        <is>
          <t xml:space="preserve">CDM02 - MORENO 2              </t>
        </is>
      </c>
      <c r="C941" t="inlineStr">
        <is>
          <t xml:space="preserve">GRUPO L.                      </t>
        </is>
      </c>
      <c r="D941" t="inlineStr">
        <is>
          <t>ALFAJOR DE ARROZ</t>
        </is>
      </c>
      <c r="E941" t="inlineStr">
        <is>
          <t xml:space="preserve">77987853            </t>
        </is>
      </c>
      <c r="F941" t="n">
        <v>4022696</v>
      </c>
      <c r="G941" t="inlineStr">
        <is>
          <t xml:space="preserve">ALF DE ARROZ MARROC 22GR LULEMUU   </t>
        </is>
      </c>
      <c r="H941" t="inlineStr">
        <is>
          <t xml:space="preserve">UNIDAD              </t>
        </is>
      </c>
      <c r="I941" t="n">
        <v>20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20</v>
      </c>
      <c r="P941" s="96">
        <f>_xlfn.XLOOKUP(Tabla5[[#This Row],[EAN CORREGIDO]],'Tabla Articulos'!B:B,'Tabla Articulos'!D:D)</f>
        <v/>
      </c>
      <c r="Q941" s="96">
        <f>_xlfn.XLOOKUP(S941,'Tabla Articulos'!B:B,'Tabla Articulos'!E:E)</f>
        <v/>
      </c>
      <c r="R941" s="96">
        <f>O941*Q941</f>
        <v/>
      </c>
      <c r="S941" s="97">
        <f>TRIM(E941)</f>
        <v/>
      </c>
    </row>
    <row r="942" hidden="1">
      <c r="A942" s="22" t="n">
        <v>5</v>
      </c>
      <c r="B942" t="inlineStr">
        <is>
          <t xml:space="preserve">CDM02 - MORENO 2              </t>
        </is>
      </c>
      <c r="C942" t="inlineStr">
        <is>
          <t xml:space="preserve">GRUPO L.                      </t>
        </is>
      </c>
      <c r="D942" t="inlineStr">
        <is>
          <t>FLAN CHOCOLATE</t>
        </is>
      </c>
      <c r="E942" t="inlineStr">
        <is>
          <t xml:space="preserve">7791254185423       </t>
        </is>
      </c>
      <c r="F942" t="n">
        <v>4019684</v>
      </c>
      <c r="G942" t="inlineStr">
        <is>
          <t xml:space="preserve">FLAN CHOCOLATE X1KG JUMALA         </t>
        </is>
      </c>
      <c r="H942" t="inlineStr">
        <is>
          <t xml:space="preserve">UNIDAD              </t>
        </is>
      </c>
      <c r="I942" t="n">
        <v>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3</v>
      </c>
      <c r="P942" s="96">
        <f>_xlfn.XLOOKUP(Tabla5[[#This Row],[EAN CORREGIDO]],'Tabla Articulos'!B:B,'Tabla Articulos'!D:D)</f>
        <v/>
      </c>
      <c r="Q942" s="96">
        <f>_xlfn.XLOOKUP(S942,'Tabla Articulos'!B:B,'Tabla Articulos'!E:E)</f>
        <v/>
      </c>
      <c r="R942" s="96">
        <f>O942*Q942</f>
        <v/>
      </c>
      <c r="S942" s="97">
        <f>TRIM(E942)</f>
        <v/>
      </c>
    </row>
    <row r="943" hidden="1">
      <c r="A943" s="22" t="n">
        <v>1</v>
      </c>
      <c r="B943" t="inlineStr">
        <is>
          <t xml:space="preserve">CD MORENO                     </t>
        </is>
      </c>
      <c r="C943" t="inlineStr">
        <is>
          <t xml:space="preserve">GRUPO L.                      </t>
        </is>
      </c>
      <c r="D943" t="inlineStr">
        <is>
          <t>ACEITE GIRASOL</t>
        </is>
      </c>
      <c r="E943" t="inlineStr">
        <is>
          <t xml:space="preserve">7797470005514       </t>
        </is>
      </c>
      <c r="F943" t="n">
        <v>4022237</v>
      </c>
      <c r="G943" t="inlineStr">
        <is>
          <t xml:space="preserve">ACEITE GIR S/TACC X900CC MAROLIO   </t>
        </is>
      </c>
      <c r="H943" t="inlineStr">
        <is>
          <t xml:space="preserve">UNIDAD              </t>
        </is>
      </c>
      <c r="I943" t="n">
        <v>25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25</v>
      </c>
      <c r="P943" s="96">
        <f>_xlfn.XLOOKUP(Tabla5[[#This Row],[EAN CORREGIDO]],'Tabla Articulos'!B:B,'Tabla Articulos'!D:D)</f>
        <v/>
      </c>
      <c r="Q943" s="96">
        <f>_xlfn.XLOOKUP(S943,'Tabla Articulos'!B:B,'Tabla Articulos'!E:E)</f>
        <v/>
      </c>
      <c r="R943" s="96">
        <f>O943*Q943</f>
        <v/>
      </c>
      <c r="S943" s="97">
        <f>TRIM(E943)</f>
        <v/>
      </c>
    </row>
    <row r="944" hidden="1">
      <c r="A944" s="22" t="n">
        <v>6</v>
      </c>
      <c r="B944" t="inlineStr">
        <is>
          <t xml:space="preserve">CDM03 - MORENO 3              </t>
        </is>
      </c>
      <c r="C944" t="inlineStr">
        <is>
          <t xml:space="preserve">GRUPO L.                      </t>
        </is>
      </c>
      <c r="D944" t="inlineStr">
        <is>
          <t>LIMPIA VIDRIOS</t>
        </is>
      </c>
      <c r="E944" t="inlineStr">
        <is>
          <t xml:space="preserve">7798121851047       </t>
        </is>
      </c>
      <c r="F944" t="n">
        <v>2006562</v>
      </c>
      <c r="G944" t="inlineStr">
        <is>
          <t xml:space="preserve">LIQUIDO LIMPIAVIDRIOS X1L JAC      </t>
        </is>
      </c>
      <c r="H944" t="inlineStr">
        <is>
          <t xml:space="preserve">UNIDAD              </t>
        </is>
      </c>
      <c r="I944" t="n">
        <v>1188</v>
      </c>
      <c r="J944" t="n">
        <v>36</v>
      </c>
      <c r="K944" t="n">
        <v>0</v>
      </c>
      <c r="L944" t="n">
        <v>147</v>
      </c>
      <c r="M944" t="n">
        <v>147</v>
      </c>
      <c r="N944" t="n">
        <v>0</v>
      </c>
      <c r="O944" t="n">
        <v>930</v>
      </c>
      <c r="P944" s="96">
        <f>_xlfn.XLOOKUP(Tabla5[[#This Row],[EAN CORREGIDO]],'Tabla Articulos'!B:B,'Tabla Articulos'!D:D)</f>
        <v/>
      </c>
      <c r="Q944" s="96">
        <f>_xlfn.XLOOKUP(S944,'Tabla Articulos'!B:B,'Tabla Articulos'!E:E)</f>
        <v/>
      </c>
      <c r="R944" s="96">
        <f>O944*Q944</f>
        <v/>
      </c>
      <c r="S944" s="97">
        <f>TRIM(E944)</f>
        <v/>
      </c>
    </row>
    <row r="945" hidden="1">
      <c r="A945" s="22" t="n">
        <v>5</v>
      </c>
      <c r="B945" t="inlineStr">
        <is>
          <t xml:space="preserve">CDM02 - MORENO 2              </t>
        </is>
      </c>
      <c r="C945" t="inlineStr">
        <is>
          <t xml:space="preserve">GRUPO L.                      </t>
        </is>
      </c>
      <c r="D945" t="inlineStr">
        <is>
          <t>MERMELADA CIRUELA</t>
        </is>
      </c>
      <c r="E945" t="inlineStr">
        <is>
          <t xml:space="preserve">7792260640210       </t>
        </is>
      </c>
      <c r="F945" t="n">
        <v>4023829</v>
      </c>
      <c r="G945" t="inlineStr">
        <is>
          <t xml:space="preserve">MERMELADA CIR 420G ORIETA          </t>
        </is>
      </c>
      <c r="H945" t="inlineStr">
        <is>
          <t xml:space="preserve">UNIDAD              </t>
        </is>
      </c>
      <c r="I945" t="n">
        <v>100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100</v>
      </c>
      <c r="P945" s="96">
        <f>_xlfn.XLOOKUP(Tabla5[[#This Row],[EAN CORREGIDO]],'Tabla Articulos'!B:B,'Tabla Articulos'!D:D)</f>
        <v/>
      </c>
      <c r="Q945" s="96">
        <f>_xlfn.XLOOKUP(S945,'Tabla Articulos'!B:B,'Tabla Articulos'!E:E)</f>
        <v/>
      </c>
      <c r="R945" s="96">
        <f>O945*Q945</f>
        <v/>
      </c>
      <c r="S945" s="97">
        <f>TRIM(E945)</f>
        <v/>
      </c>
    </row>
    <row r="946" hidden="1">
      <c r="A946" s="22" t="n">
        <v>1</v>
      </c>
      <c r="B946" t="inlineStr">
        <is>
          <t xml:space="preserve">CD MORENO                     </t>
        </is>
      </c>
      <c r="C946" t="inlineStr">
        <is>
          <t xml:space="preserve">GRUPO L.                      </t>
        </is>
      </c>
      <c r="D946" t="inlineStr">
        <is>
          <t>MERMELADA CIRUELA</t>
        </is>
      </c>
      <c r="E946" t="inlineStr">
        <is>
          <t xml:space="preserve">7792260640210       </t>
        </is>
      </c>
      <c r="F946" t="n">
        <v>4023829</v>
      </c>
      <c r="G946" t="inlineStr">
        <is>
          <t xml:space="preserve">MERMELADA CIR 420G ORIETA          </t>
        </is>
      </c>
      <c r="H946" t="inlineStr">
        <is>
          <t xml:space="preserve">UNIDAD              </t>
        </is>
      </c>
      <c r="I946" t="n">
        <v>3300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3300</v>
      </c>
      <c r="P946" s="96">
        <f>_xlfn.XLOOKUP(Tabla5[[#This Row],[EAN CORREGIDO]],'Tabla Articulos'!B:B,'Tabla Articulos'!D:D)</f>
        <v/>
      </c>
      <c r="Q946" s="96">
        <f>_xlfn.XLOOKUP(S946,'Tabla Articulos'!B:B,'Tabla Articulos'!E:E)</f>
        <v/>
      </c>
      <c r="R946" s="96">
        <f>O946*Q946</f>
        <v/>
      </c>
      <c r="S946" s="97">
        <f>TRIM(E946)</f>
        <v/>
      </c>
    </row>
    <row r="947" hidden="1">
      <c r="A947" s="22" t="n">
        <v>6</v>
      </c>
      <c r="B947" t="inlineStr">
        <is>
          <t xml:space="preserve">CDM03 - MORENO 3              </t>
        </is>
      </c>
      <c r="C947" t="inlineStr">
        <is>
          <t xml:space="preserve">GRUPO L.                      </t>
        </is>
      </c>
      <c r="E947" t="inlineStr">
        <is>
          <t xml:space="preserve">UNIF000646          </t>
        </is>
      </c>
      <c r="F947" t="n">
        <v>9003976</v>
      </c>
      <c r="G947" t="inlineStr">
        <is>
          <t xml:space="preserve">BUZO CELES -FRISA CGOUR- 4XL       </t>
        </is>
      </c>
      <c r="H947" t="inlineStr">
        <is>
          <t xml:space="preserve">UNIDAD              </t>
        </is>
      </c>
      <c r="I947" t="n">
        <v>10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10</v>
      </c>
      <c r="P947" s="96">
        <f>_xlfn.XLOOKUP(Tabla5[[#This Row],[EAN CORREGIDO]],'Tabla Articulos'!B:B,'Tabla Articulos'!D:D)</f>
        <v/>
      </c>
      <c r="Q947" s="96">
        <f>_xlfn.XLOOKUP(S947,'Tabla Articulos'!B:B,'Tabla Articulos'!E:E)</f>
        <v/>
      </c>
      <c r="R947" s="96">
        <f>O947*Q947</f>
        <v/>
      </c>
      <c r="S947" s="97">
        <f>TRIM(E947)</f>
        <v/>
      </c>
    </row>
    <row r="948" hidden="1">
      <c r="A948" s="22" t="n">
        <v>1</v>
      </c>
      <c r="B948" t="inlineStr">
        <is>
          <t xml:space="preserve">CD MORENO                     </t>
        </is>
      </c>
      <c r="C948" t="inlineStr">
        <is>
          <t xml:space="preserve">GRUPO L.                      </t>
        </is>
      </c>
      <c r="D948" t="inlineStr">
        <is>
          <t>MORTADELA</t>
        </is>
      </c>
      <c r="E948" t="inlineStr">
        <is>
          <t xml:space="preserve">7790212050100       </t>
        </is>
      </c>
      <c r="F948" t="n">
        <v>4017771</v>
      </c>
      <c r="G948" t="inlineStr">
        <is>
          <t xml:space="preserve">MORTADELA X KG                     </t>
        </is>
      </c>
      <c r="H948" t="inlineStr">
        <is>
          <t xml:space="preserve">Kgs                 </t>
        </is>
      </c>
      <c r="I948" t="n">
        <v>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3</v>
      </c>
      <c r="P948" s="96">
        <f>_xlfn.XLOOKUP(Tabla5[[#This Row],[EAN CORREGIDO]],'Tabla Articulos'!B:B,'Tabla Articulos'!D:D)</f>
        <v/>
      </c>
      <c r="Q948" s="96">
        <f>_xlfn.XLOOKUP(S948,'Tabla Articulos'!B:B,'Tabla Articulos'!E:E)</f>
        <v/>
      </c>
      <c r="R948" s="96">
        <f>O948*Q948</f>
        <v/>
      </c>
      <c r="S948" s="97">
        <f>TRIM(E948)</f>
        <v/>
      </c>
    </row>
    <row r="949" hidden="1">
      <c r="A949" s="22" t="n">
        <v>6</v>
      </c>
      <c r="B949" t="inlineStr">
        <is>
          <t xml:space="preserve">CDM03 - MORENO 3              </t>
        </is>
      </c>
      <c r="C949" t="inlineStr">
        <is>
          <t xml:space="preserve">GRUPO L.                      </t>
        </is>
      </c>
      <c r="D949" t="inlineStr">
        <is>
          <t>FRANELA</t>
        </is>
      </c>
      <c r="E949" t="inlineStr">
        <is>
          <t xml:space="preserve">LIM000210           </t>
        </is>
      </c>
      <c r="F949" t="n">
        <v>2006303</v>
      </c>
      <c r="G949" t="inlineStr">
        <is>
          <t xml:space="preserve">FRANELA 40 X 50 X U                </t>
        </is>
      </c>
      <c r="H949" t="inlineStr">
        <is>
          <t xml:space="preserve">UNIDAD              </t>
        </is>
      </c>
      <c r="I949" t="n">
        <v>3000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3000</v>
      </c>
      <c r="P949" s="96">
        <f>_xlfn.XLOOKUP(Tabla5[[#This Row],[EAN CORREGIDO]],'Tabla Articulos'!B:B,'Tabla Articulos'!D:D)</f>
        <v/>
      </c>
      <c r="Q949" s="96">
        <f>_xlfn.XLOOKUP(S949,'Tabla Articulos'!B:B,'Tabla Articulos'!E:E)</f>
        <v/>
      </c>
      <c r="R949" s="96">
        <f>O949*Q949</f>
        <v/>
      </c>
      <c r="S949" s="97">
        <f>TRIM(E949)</f>
        <v/>
      </c>
    </row>
    <row r="950" hidden="1">
      <c r="A950" s="22" t="n">
        <v>6</v>
      </c>
      <c r="B950" t="inlineStr">
        <is>
          <t xml:space="preserve">CDM03 - MORENO 3              </t>
        </is>
      </c>
      <c r="C950" t="inlineStr">
        <is>
          <t xml:space="preserve">GRUPO L.                      </t>
        </is>
      </c>
      <c r="D950" t="inlineStr">
        <is>
          <t>BOLSA RESIDUO</t>
        </is>
      </c>
      <c r="E950" t="inlineStr">
        <is>
          <t xml:space="preserve">7790000000479       </t>
        </is>
      </c>
      <c r="F950" t="n">
        <v>2007505</v>
      </c>
      <c r="G950" t="inlineStr">
        <is>
          <t xml:space="preserve">BOLSA P/CESTO AMARILLA 45X60X50U   </t>
        </is>
      </c>
      <c r="H950" t="inlineStr">
        <is>
          <t xml:space="preserve">UNIDAD              </t>
        </is>
      </c>
      <c r="I950" t="n">
        <v>31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31</v>
      </c>
      <c r="P950" s="96">
        <f>_xlfn.XLOOKUP(Tabla5[[#This Row],[EAN CORREGIDO]],'Tabla Articulos'!B:B,'Tabla Articulos'!D:D)</f>
        <v/>
      </c>
      <c r="Q950" s="96">
        <f>_xlfn.XLOOKUP(S950,'Tabla Articulos'!B:B,'Tabla Articulos'!E:E)</f>
        <v/>
      </c>
      <c r="R950" s="96">
        <f>O950*Q950</f>
        <v/>
      </c>
      <c r="S950" s="97">
        <f>TRIM(E950)</f>
        <v/>
      </c>
    </row>
    <row r="951" hidden="1">
      <c r="A951" s="22" t="n">
        <v>1</v>
      </c>
      <c r="B951" t="inlineStr">
        <is>
          <t xml:space="preserve">CD MORENO                     </t>
        </is>
      </c>
      <c r="C951" t="inlineStr">
        <is>
          <t xml:space="preserve">GRUPO L.                      </t>
        </is>
      </c>
      <c r="D951" s="11" t="inlineStr">
        <is>
          <t>SIDRA S/ALCOHOL</t>
        </is>
      </c>
      <c r="E951" t="inlineStr">
        <is>
          <t xml:space="preserve">7790154007781       </t>
        </is>
      </c>
      <c r="F951" t="n">
        <v>4021136</v>
      </c>
      <c r="G951" t="inlineStr">
        <is>
          <t xml:space="preserve">SIDRA S/ALC X720CC DEL VALLE       </t>
        </is>
      </c>
      <c r="H951" t="inlineStr">
        <is>
          <t xml:space="preserve">UNIDAD              </t>
        </is>
      </c>
      <c r="I951" t="n">
        <v>11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11</v>
      </c>
      <c r="P951" s="96">
        <f>_xlfn.XLOOKUP(Tabla5[[#This Row],[EAN CORREGIDO]],'Tabla Articulos'!B:B,'Tabla Articulos'!D:D)</f>
        <v/>
      </c>
      <c r="Q951" s="96">
        <f>_xlfn.XLOOKUP(S951,'Tabla Articulos'!B:B,'Tabla Articulos'!E:E)</f>
        <v/>
      </c>
      <c r="R951" s="96">
        <f>O951*Q951</f>
        <v/>
      </c>
      <c r="S951" s="97">
        <f>TRIM(E951)</f>
        <v/>
      </c>
    </row>
    <row r="952" hidden="1">
      <c r="A952" s="22" t="n">
        <v>6</v>
      </c>
      <c r="B952" t="inlineStr">
        <is>
          <t xml:space="preserve">CDM03 - MORENO 3              </t>
        </is>
      </c>
      <c r="C952" t="inlineStr">
        <is>
          <t xml:space="preserve">GRUPO L.                      </t>
        </is>
      </c>
      <c r="E952" t="inlineStr">
        <is>
          <t xml:space="preserve">UNIF000593          </t>
        </is>
      </c>
      <c r="F952" t="n">
        <v>9003131</v>
      </c>
      <c r="G952" t="inlineStr">
        <is>
          <t xml:space="preserve">CHAQUETA CUELLO MAO T1 C GOURM     </t>
        </is>
      </c>
      <c r="H952" t="inlineStr">
        <is>
          <t xml:space="preserve">UNIDAD              </t>
        </is>
      </c>
      <c r="I952" t="n">
        <v>117</v>
      </c>
      <c r="J952" t="n">
        <v>150</v>
      </c>
      <c r="K952" t="n">
        <v>0</v>
      </c>
      <c r="L952" t="n">
        <v>1</v>
      </c>
      <c r="M952" t="n">
        <v>1</v>
      </c>
      <c r="N952" t="n">
        <v>0</v>
      </c>
      <c r="O952" t="n">
        <v>265</v>
      </c>
      <c r="P952" s="96">
        <f>_xlfn.XLOOKUP(Tabla5[[#This Row],[EAN CORREGIDO]],'Tabla Articulos'!B:B,'Tabla Articulos'!D:D)</f>
        <v/>
      </c>
      <c r="Q952" s="96">
        <f>_xlfn.XLOOKUP(S952,'Tabla Articulos'!B:B,'Tabla Articulos'!E:E)</f>
        <v/>
      </c>
      <c r="R952" s="96">
        <f>O952*Q952</f>
        <v/>
      </c>
      <c r="S952" s="97">
        <f>TRIM(E952)</f>
        <v/>
      </c>
    </row>
    <row r="953" hidden="1">
      <c r="A953" s="22" t="n">
        <v>6</v>
      </c>
      <c r="B953" t="inlineStr">
        <is>
          <t xml:space="preserve">CDM03 - MORENO 3              </t>
        </is>
      </c>
      <c r="C953" t="inlineStr">
        <is>
          <t xml:space="preserve">GRUPO L.                      </t>
        </is>
      </c>
      <c r="D953" t="inlineStr">
        <is>
          <t>TRAPOS DE PISO</t>
        </is>
      </c>
      <c r="E953" t="inlineStr">
        <is>
          <t xml:space="preserve">LIM00437            </t>
        </is>
      </c>
      <c r="F953" t="n">
        <v>2006612</v>
      </c>
      <c r="G953" t="inlineStr">
        <is>
          <t xml:space="preserve">TRAPO DE PISO ECO GRIS 50X 60      </t>
        </is>
      </c>
      <c r="H953" t="inlineStr">
        <is>
          <t xml:space="preserve">UNIDAD              </t>
        </is>
      </c>
      <c r="I953" t="n">
        <v>3037</v>
      </c>
      <c r="J953" t="n">
        <v>0</v>
      </c>
      <c r="K953" t="n">
        <v>0</v>
      </c>
      <c r="L953" t="n">
        <v>441</v>
      </c>
      <c r="M953" t="n">
        <v>441</v>
      </c>
      <c r="N953" t="n">
        <v>0</v>
      </c>
      <c r="O953" t="n">
        <v>2155</v>
      </c>
      <c r="P953" s="96">
        <f>_xlfn.XLOOKUP(Tabla5[[#This Row],[EAN CORREGIDO]],'Tabla Articulos'!B:B,'Tabla Articulos'!D:D)</f>
        <v/>
      </c>
      <c r="Q953" s="96">
        <f>_xlfn.XLOOKUP(S953,'Tabla Articulos'!B:B,'Tabla Articulos'!E:E)</f>
        <v/>
      </c>
      <c r="R953" s="96">
        <f>O953*Q953</f>
        <v/>
      </c>
      <c r="S953" s="97">
        <f>TRIM(E953)</f>
        <v/>
      </c>
    </row>
    <row r="954" hidden="1">
      <c r="A954" s="22" t="n">
        <v>5</v>
      </c>
      <c r="B954" t="inlineStr">
        <is>
          <t xml:space="preserve">CDM02 - MORENO 2              </t>
        </is>
      </c>
      <c r="C954" t="inlineStr">
        <is>
          <t xml:space="preserve">GRUPO L.                      </t>
        </is>
      </c>
      <c r="D954" s="11" t="inlineStr">
        <is>
          <t>YERBA MATE</t>
        </is>
      </c>
      <c r="E954" t="inlineStr">
        <is>
          <t xml:space="preserve">7797470000106       </t>
        </is>
      </c>
      <c r="F954" t="n">
        <v>4076741</v>
      </c>
      <c r="G954" t="inlineStr">
        <is>
          <t xml:space="preserve">YERBA MATE X1KG MAROLIO            </t>
        </is>
      </c>
      <c r="H954" t="inlineStr">
        <is>
          <t xml:space="preserve">UNIDAD              </t>
        </is>
      </c>
      <c r="I954" t="n">
        <v>1500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1500</v>
      </c>
      <c r="P954" s="96">
        <f>_xlfn.XLOOKUP(Tabla5[[#This Row],[EAN CORREGIDO]],'Tabla Articulos'!B:B,'Tabla Articulos'!D:D)</f>
        <v/>
      </c>
      <c r="Q954" s="96">
        <f>_xlfn.XLOOKUP(S954,'Tabla Articulos'!B:B,'Tabla Articulos'!E:E)</f>
        <v/>
      </c>
      <c r="R954" s="96">
        <f>O954*Q954</f>
        <v/>
      </c>
      <c r="S954" s="97">
        <f>TRIM(E954)</f>
        <v/>
      </c>
    </row>
    <row r="955" hidden="1">
      <c r="A955" s="22" t="n">
        <v>1</v>
      </c>
      <c r="B955" t="inlineStr">
        <is>
          <t xml:space="preserve">CD MORENO                     </t>
        </is>
      </c>
      <c r="C955" t="inlineStr">
        <is>
          <t xml:space="preserve">GRUPO L.                      </t>
        </is>
      </c>
      <c r="D955" t="inlineStr">
        <is>
          <t>YERBA MATE</t>
        </is>
      </c>
      <c r="E955" t="inlineStr">
        <is>
          <t xml:space="preserve">7797470000106       </t>
        </is>
      </c>
      <c r="F955" t="n">
        <v>4076741</v>
      </c>
      <c r="G955" t="inlineStr">
        <is>
          <t xml:space="preserve">YERBA MATE X1KG MAROLIO            </t>
        </is>
      </c>
      <c r="H955" t="inlineStr">
        <is>
          <t xml:space="preserve">UNIDAD              </t>
        </is>
      </c>
      <c r="I955" t="n">
        <v>325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325</v>
      </c>
      <c r="P955" s="96">
        <f>_xlfn.XLOOKUP(Tabla5[[#This Row],[EAN CORREGIDO]],'Tabla Articulos'!B:B,'Tabla Articulos'!D:D)</f>
        <v/>
      </c>
      <c r="Q955" s="96">
        <f>_xlfn.XLOOKUP(S955,'Tabla Articulos'!B:B,'Tabla Articulos'!E:E)</f>
        <v/>
      </c>
      <c r="R955" s="96">
        <f>O955*Q955</f>
        <v/>
      </c>
      <c r="S955" s="97">
        <f>TRIM(E955)</f>
        <v/>
      </c>
    </row>
    <row r="956" hidden="1">
      <c r="A956" s="22" t="n">
        <v>6</v>
      </c>
      <c r="B956" t="inlineStr">
        <is>
          <t xml:space="preserve">CDM03 - MORENO 3              </t>
        </is>
      </c>
      <c r="C956" t="inlineStr">
        <is>
          <t xml:space="preserve">GRUPO L.                      </t>
        </is>
      </c>
      <c r="E956" t="inlineStr">
        <is>
          <t xml:space="preserve">BAZ001329           </t>
        </is>
      </c>
      <c r="F956" t="n">
        <v>9003686</v>
      </c>
      <c r="G956" t="inlineStr">
        <is>
          <t xml:space="preserve">TABL PICAR USO SANI 35X50 CELEST   </t>
        </is>
      </c>
      <c r="H956" t="inlineStr">
        <is>
          <t xml:space="preserve">UNIDAD              </t>
        </is>
      </c>
      <c r="I956" t="n">
        <v>53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53</v>
      </c>
      <c r="P956" s="96">
        <f>_xlfn.XLOOKUP(Tabla5[[#This Row],[EAN CORREGIDO]],'Tabla Articulos'!B:B,'Tabla Articulos'!D:D)</f>
        <v/>
      </c>
      <c r="Q956" s="96">
        <f>_xlfn.XLOOKUP(S956,'Tabla Articulos'!B:B,'Tabla Articulos'!E:E)</f>
        <v/>
      </c>
      <c r="R956" s="96">
        <f>O956*Q956</f>
        <v/>
      </c>
      <c r="S956" s="97">
        <f>TRIM(E956)</f>
        <v/>
      </c>
    </row>
    <row r="957" hidden="1">
      <c r="A957" s="22" t="n">
        <v>6</v>
      </c>
      <c r="B957" t="inlineStr">
        <is>
          <t xml:space="preserve">CDM03 - MORENO 3              </t>
        </is>
      </c>
      <c r="C957" t="inlineStr">
        <is>
          <t xml:space="preserve">GRUPO L.                      </t>
        </is>
      </c>
      <c r="E957" t="inlineStr">
        <is>
          <t xml:space="preserve">UNIF000075          </t>
        </is>
      </c>
      <c r="F957" t="n">
        <v>9003536</v>
      </c>
      <c r="G957" t="inlineStr">
        <is>
          <t xml:space="preserve">CAMISA BLANCA LISA 42 S. LOGO      </t>
        </is>
      </c>
      <c r="H957" t="inlineStr">
        <is>
          <t xml:space="preserve">UNIDAD              </t>
        </is>
      </c>
      <c r="I957" t="n">
        <v>0</v>
      </c>
      <c r="J957" t="n">
        <v>60</v>
      </c>
      <c r="K957" t="n">
        <v>0</v>
      </c>
      <c r="L957" t="n">
        <v>2</v>
      </c>
      <c r="M957" t="n">
        <v>2</v>
      </c>
      <c r="N957" t="n">
        <v>0</v>
      </c>
      <c r="O957" t="n">
        <v>56</v>
      </c>
      <c r="P957" s="96">
        <f>_xlfn.XLOOKUP(Tabla5[[#This Row],[EAN CORREGIDO]],'Tabla Articulos'!B:B,'Tabla Articulos'!D:D)</f>
        <v/>
      </c>
      <c r="Q957" s="96">
        <f>_xlfn.XLOOKUP(S957,'Tabla Articulos'!B:B,'Tabla Articulos'!E:E)</f>
        <v/>
      </c>
      <c r="R957" s="96">
        <f>O957*Q957</f>
        <v/>
      </c>
      <c r="S957" s="97">
        <f>TRIM(E957)</f>
        <v/>
      </c>
    </row>
    <row r="958" hidden="1">
      <c r="A958" s="22" t="n">
        <v>6</v>
      </c>
      <c r="B958" t="inlineStr">
        <is>
          <t xml:space="preserve">CDM03 - MORENO 3              </t>
        </is>
      </c>
      <c r="C958" t="inlineStr">
        <is>
          <t xml:space="preserve">GRUPO L.                      </t>
        </is>
      </c>
      <c r="E958" t="inlineStr">
        <is>
          <t xml:space="preserve">4040337565625       </t>
        </is>
      </c>
      <c r="F958" t="n">
        <v>9004124</v>
      </c>
      <c r="G958" t="inlineStr">
        <is>
          <t xml:space="preserve">PASTILLA AZUL ABRILLANT X150U      </t>
        </is>
      </c>
      <c r="H958" t="inlineStr">
        <is>
          <t xml:space="preserve">UNIDAD              </t>
        </is>
      </c>
      <c r="I958" t="n">
        <v>25</v>
      </c>
      <c r="J958" t="n">
        <v>0</v>
      </c>
      <c r="K958" t="n">
        <v>0</v>
      </c>
      <c r="L958" t="n">
        <v>1</v>
      </c>
      <c r="M958" t="n">
        <v>1</v>
      </c>
      <c r="N958" t="n">
        <v>0</v>
      </c>
      <c r="O958" t="n">
        <v>23</v>
      </c>
      <c r="P958" s="96">
        <f>_xlfn.XLOOKUP(Tabla5[[#This Row],[EAN CORREGIDO]],'Tabla Articulos'!B:B,'Tabla Articulos'!D:D)</f>
        <v/>
      </c>
      <c r="Q958" s="96">
        <f>_xlfn.XLOOKUP(S958,'Tabla Articulos'!B:B,'Tabla Articulos'!E:E)</f>
        <v/>
      </c>
      <c r="R958" s="96">
        <f>O958*Q958</f>
        <v/>
      </c>
      <c r="S958" s="97">
        <f>TRIM(E958)</f>
        <v/>
      </c>
    </row>
    <row r="959" hidden="1">
      <c r="A959" s="22" t="n">
        <v>6</v>
      </c>
      <c r="B959" t="inlineStr">
        <is>
          <t xml:space="preserve">CDM03 - MORENO 3              </t>
        </is>
      </c>
      <c r="C959" t="inlineStr">
        <is>
          <t xml:space="preserve">GRUPO L.                      </t>
        </is>
      </c>
      <c r="D959" t="inlineStr">
        <is>
          <t xml:space="preserve">ESCOBILLON  </t>
        </is>
      </c>
      <c r="E959" t="inlineStr">
        <is>
          <t xml:space="preserve">7795513059159       </t>
        </is>
      </c>
      <c r="F959" t="n">
        <v>2006501</v>
      </c>
      <c r="G959" t="inlineStr">
        <is>
          <t xml:space="preserve">ESCOBILLON 80CM XU	                </t>
        </is>
      </c>
      <c r="H959" t="inlineStr">
        <is>
          <t xml:space="preserve">UNIDAD              </t>
        </is>
      </c>
      <c r="I959" t="n">
        <v>1036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1036</v>
      </c>
      <c r="P959" s="96">
        <f>_xlfn.XLOOKUP(Tabla5[[#This Row],[EAN CORREGIDO]],'Tabla Articulos'!B:B,'Tabla Articulos'!D:D)</f>
        <v/>
      </c>
      <c r="Q959" s="96">
        <f>_xlfn.XLOOKUP(S959,'Tabla Articulos'!B:B,'Tabla Articulos'!E:E)</f>
        <v/>
      </c>
      <c r="R959" s="96">
        <f>O959*Q959</f>
        <v/>
      </c>
      <c r="S959" s="97">
        <f>TRIM(E959)</f>
        <v/>
      </c>
    </row>
    <row r="960" hidden="1">
      <c r="A960" s="22" t="n">
        <v>6</v>
      </c>
      <c r="B960" t="inlineStr">
        <is>
          <t xml:space="preserve">CDM03 - MORENO 3              </t>
        </is>
      </c>
      <c r="C960" t="inlineStr">
        <is>
          <t xml:space="preserve">GRUPO L.                      </t>
        </is>
      </c>
      <c r="E960" t="inlineStr">
        <is>
          <t xml:space="preserve">BAZ001277           </t>
        </is>
      </c>
      <c r="F960" t="n">
        <v>9003793</v>
      </c>
      <c r="G960" t="inlineStr">
        <is>
          <t xml:space="preserve">CONTENEDOR PLASTICO VIRGEN BCO 5   </t>
        </is>
      </c>
      <c r="H960" t="inlineStr">
        <is>
          <t xml:space="preserve">UNIDAD              </t>
        </is>
      </c>
      <c r="I960" t="n">
        <v>45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45</v>
      </c>
      <c r="P960" s="96">
        <f>_xlfn.XLOOKUP(Tabla5[[#This Row],[EAN CORREGIDO]],'Tabla Articulos'!B:B,'Tabla Articulos'!D:D)</f>
        <v/>
      </c>
      <c r="Q960" s="96">
        <f>_xlfn.XLOOKUP(S960,'Tabla Articulos'!B:B,'Tabla Articulos'!E:E)</f>
        <v/>
      </c>
      <c r="R960" s="96">
        <f>O960*Q960</f>
        <v/>
      </c>
      <c r="S960" s="97">
        <f>TRIM(E960)</f>
        <v/>
      </c>
    </row>
    <row r="961" hidden="1">
      <c r="A961" s="22" t="n">
        <v>5</v>
      </c>
      <c r="B961" t="inlineStr">
        <is>
          <t xml:space="preserve">CDM02 - MORENO 2              </t>
        </is>
      </c>
      <c r="C961" t="inlineStr">
        <is>
          <t xml:space="preserve">GRUPO L.                      </t>
        </is>
      </c>
      <c r="D961" s="11" t="inlineStr">
        <is>
          <t>CACAO AMARGO</t>
        </is>
      </c>
      <c r="E961" t="inlineStr">
        <is>
          <t xml:space="preserve">7790530900200       </t>
        </is>
      </c>
      <c r="F961" t="n">
        <v>4019579</v>
      </c>
      <c r="G961" t="inlineStr">
        <is>
          <t xml:space="preserve">CACAO AMARGO X 1KG BEDIAL          </t>
        </is>
      </c>
      <c r="H961" t="inlineStr">
        <is>
          <t xml:space="preserve">UNIDAD              </t>
        </is>
      </c>
      <c r="I961" t="n">
        <v>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8</v>
      </c>
      <c r="P961" s="96">
        <f>_xlfn.XLOOKUP(Tabla5[[#This Row],[EAN CORREGIDO]],'Tabla Articulos'!B:B,'Tabla Articulos'!D:D)</f>
        <v/>
      </c>
      <c r="Q961" s="96">
        <f>_xlfn.XLOOKUP(S961,'Tabla Articulos'!B:B,'Tabla Articulos'!E:E)</f>
        <v/>
      </c>
      <c r="R961" s="96">
        <f>O961*Q961</f>
        <v/>
      </c>
      <c r="S961" s="97">
        <f>TRIM(E961)</f>
        <v/>
      </c>
    </row>
    <row r="962" hidden="1">
      <c r="A962" s="22" t="n">
        <v>1</v>
      </c>
      <c r="B962" t="inlineStr">
        <is>
          <t xml:space="preserve">CD MORENO                     </t>
        </is>
      </c>
      <c r="C962" t="inlineStr">
        <is>
          <t xml:space="preserve">GRUPO L.                      </t>
        </is>
      </c>
      <c r="D962" t="inlineStr">
        <is>
          <t>CHOCLO CONGELADO</t>
        </is>
      </c>
      <c r="E962" t="inlineStr">
        <is>
          <t xml:space="preserve">7798184272742       </t>
        </is>
      </c>
      <c r="F962" t="n">
        <v>4023335</v>
      </c>
      <c r="G962" t="inlineStr">
        <is>
          <t xml:space="preserve">CHOCLO CONG IQF 500G BIOMAC        </t>
        </is>
      </c>
      <c r="H962" t="inlineStr">
        <is>
          <t xml:space="preserve">UNIDAD              </t>
        </is>
      </c>
      <c r="I962" t="n">
        <v>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8</v>
      </c>
      <c r="P962" s="96">
        <f>_xlfn.XLOOKUP(Tabla5[[#This Row],[EAN CORREGIDO]],'Tabla Articulos'!B:B,'Tabla Articulos'!D:D)</f>
        <v/>
      </c>
      <c r="Q962" s="96">
        <f>_xlfn.XLOOKUP(S962,'Tabla Articulos'!B:B,'Tabla Articulos'!E:E)</f>
        <v/>
      </c>
      <c r="R962" s="96">
        <f>O962*Q962</f>
        <v/>
      </c>
      <c r="S962" s="97">
        <f>TRIM(E962)</f>
        <v/>
      </c>
    </row>
    <row r="963" hidden="1">
      <c r="A963" s="22" t="n">
        <v>6</v>
      </c>
      <c r="B963" t="inlineStr">
        <is>
          <t xml:space="preserve">CDM03 - MORENO 3              </t>
        </is>
      </c>
      <c r="C963" t="inlineStr">
        <is>
          <t xml:space="preserve">GRUPO L.                      </t>
        </is>
      </c>
      <c r="E963" t="inlineStr">
        <is>
          <t xml:space="preserve">BAZ001226           </t>
        </is>
      </c>
      <c r="F963" t="n">
        <v>9003813</v>
      </c>
      <c r="G963" t="inlineStr">
        <is>
          <t xml:space="preserve">SARTEN MANG PLAS CHAPAN°40         </t>
        </is>
      </c>
      <c r="H963" t="inlineStr">
        <is>
          <t xml:space="preserve">UNIDAD              </t>
        </is>
      </c>
      <c r="I963" t="n">
        <v>20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20</v>
      </c>
      <c r="P963" s="96">
        <f>_xlfn.XLOOKUP(Tabla5[[#This Row],[EAN CORREGIDO]],'Tabla Articulos'!B:B,'Tabla Articulos'!D:D)</f>
        <v/>
      </c>
      <c r="Q963" s="96">
        <f>_xlfn.XLOOKUP(S963,'Tabla Articulos'!B:B,'Tabla Articulos'!E:E)</f>
        <v/>
      </c>
      <c r="R963" s="96">
        <f>O963*Q963</f>
        <v/>
      </c>
      <c r="S963" s="97">
        <f>TRIM(E963)</f>
        <v/>
      </c>
    </row>
    <row r="964" hidden="1">
      <c r="A964" s="22" t="n">
        <v>6</v>
      </c>
      <c r="B964" t="inlineStr">
        <is>
          <t xml:space="preserve">CDM03 - MORENO 3              </t>
        </is>
      </c>
      <c r="C964" t="inlineStr">
        <is>
          <t xml:space="preserve">GRUPO L.                      </t>
        </is>
      </c>
      <c r="E964" t="inlineStr">
        <is>
          <t xml:space="preserve">BAZ001262           </t>
        </is>
      </c>
      <c r="F964" t="n">
        <v>9003738</v>
      </c>
      <c r="G964" t="inlineStr">
        <is>
          <t xml:space="preserve">JARRA PLAST C/T 2.15L18.5X23 CM    </t>
        </is>
      </c>
      <c r="H964" t="inlineStr">
        <is>
          <t xml:space="preserve">UNIDAD              </t>
        </is>
      </c>
      <c r="I964" t="n">
        <v>193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193</v>
      </c>
      <c r="P964" s="96">
        <f>_xlfn.XLOOKUP(Tabla5[[#This Row],[EAN CORREGIDO]],'Tabla Articulos'!B:B,'Tabla Articulos'!D:D)</f>
        <v/>
      </c>
      <c r="Q964" s="96">
        <f>_xlfn.XLOOKUP(S964,'Tabla Articulos'!B:B,'Tabla Articulos'!E:E)</f>
        <v/>
      </c>
      <c r="R964" s="96">
        <f>O964*Q964</f>
        <v/>
      </c>
      <c r="S964" s="97">
        <f>TRIM(E964)</f>
        <v/>
      </c>
    </row>
    <row r="965" hidden="1">
      <c r="A965" s="22" t="n">
        <v>5</v>
      </c>
      <c r="B965" t="inlineStr">
        <is>
          <t xml:space="preserve">CDM02 - MORENO 2              </t>
        </is>
      </c>
      <c r="C965" t="inlineStr">
        <is>
          <t xml:space="preserve">GRUPO L.                      </t>
        </is>
      </c>
      <c r="D965" s="11" t="inlineStr">
        <is>
          <t>POSTRE CHOCOLATE</t>
        </is>
      </c>
      <c r="E965" t="inlineStr">
        <is>
          <t xml:space="preserve">7790530850147       </t>
        </is>
      </c>
      <c r="F965" t="n">
        <v>4019876</v>
      </c>
      <c r="G965" t="inlineStr">
        <is>
          <t xml:space="preserve">POSTRE CHOCOLATE X1KG BEDIAL       </t>
        </is>
      </c>
      <c r="H965" t="inlineStr">
        <is>
          <t xml:space="preserve">UNIDAD              </t>
        </is>
      </c>
      <c r="I965" t="n">
        <v>19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19</v>
      </c>
      <c r="P965" s="96">
        <f>_xlfn.XLOOKUP(Tabla5[[#This Row],[EAN CORREGIDO]],'Tabla Articulos'!B:B,'Tabla Articulos'!D:D)</f>
        <v/>
      </c>
      <c r="Q965" s="96">
        <f>_xlfn.XLOOKUP(S965,'Tabla Articulos'!B:B,'Tabla Articulos'!E:E)</f>
        <v/>
      </c>
      <c r="R965" s="96">
        <f>O965*Q965</f>
        <v/>
      </c>
      <c r="S965" s="97">
        <f>TRIM(E965)</f>
        <v/>
      </c>
    </row>
    <row r="966" hidden="1">
      <c r="A966" s="22" t="n">
        <v>1</v>
      </c>
      <c r="B966" t="inlineStr">
        <is>
          <t xml:space="preserve">CD MORENO                     </t>
        </is>
      </c>
      <c r="C966" t="inlineStr">
        <is>
          <t xml:space="preserve">GRUPO L.                      </t>
        </is>
      </c>
      <c r="D966" t="inlineStr">
        <is>
          <t>POSTRE CHOCOLATE</t>
        </is>
      </c>
      <c r="E966" t="inlineStr">
        <is>
          <t xml:space="preserve">7790530850147       </t>
        </is>
      </c>
      <c r="F966" t="n">
        <v>4019876</v>
      </c>
      <c r="G966" t="inlineStr">
        <is>
          <t xml:space="preserve">POSTRE CHOCOLATE X1KG BEDIAL       </t>
        </is>
      </c>
      <c r="H966" t="inlineStr">
        <is>
          <t xml:space="preserve">UNIDAD              </t>
        </is>
      </c>
      <c r="I966" t="n">
        <v>330</v>
      </c>
      <c r="J966" t="n">
        <v>0</v>
      </c>
      <c r="K966" t="n">
        <v>0</v>
      </c>
      <c r="L966" t="n">
        <v>5</v>
      </c>
      <c r="M966" t="n">
        <v>5</v>
      </c>
      <c r="N966" t="n">
        <v>0</v>
      </c>
      <c r="O966" t="n">
        <v>320</v>
      </c>
      <c r="P966" s="96">
        <f>_xlfn.XLOOKUP(Tabla5[[#This Row],[EAN CORREGIDO]],'Tabla Articulos'!B:B,'Tabla Articulos'!D:D)</f>
        <v/>
      </c>
      <c r="Q966" s="96">
        <f>_xlfn.XLOOKUP(S966,'Tabla Articulos'!B:B,'Tabla Articulos'!E:E)</f>
        <v/>
      </c>
      <c r="R966" s="96">
        <f>O966*Q966</f>
        <v/>
      </c>
      <c r="S966" s="97">
        <f>TRIM(E966)</f>
        <v/>
      </c>
    </row>
    <row r="967" hidden="1">
      <c r="A967" s="22" t="n">
        <v>6</v>
      </c>
      <c r="B967" t="inlineStr">
        <is>
          <t xml:space="preserve">CDM03 - MORENO 3              </t>
        </is>
      </c>
      <c r="C967" t="inlineStr">
        <is>
          <t xml:space="preserve">GRUPO L.                      </t>
        </is>
      </c>
      <c r="D967" t="inlineStr">
        <is>
          <t>ESCOBILLA BAÑO</t>
        </is>
      </c>
      <c r="E967" t="inlineStr">
        <is>
          <t xml:space="preserve">LIM000137           </t>
        </is>
      </c>
      <c r="F967" t="n">
        <v>2006322</v>
      </c>
      <c r="G967" t="inlineStr">
        <is>
          <t xml:space="preserve">ESCOBILLA DE WC INYECTADA          </t>
        </is>
      </c>
      <c r="H967" t="inlineStr">
        <is>
          <t xml:space="preserve">UNIDAD              </t>
        </is>
      </c>
      <c r="I967" t="n">
        <v>391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391</v>
      </c>
      <c r="P967" s="96">
        <f>_xlfn.XLOOKUP(Tabla5[[#This Row],[EAN CORREGIDO]],'Tabla Articulos'!B:B,'Tabla Articulos'!D:D)</f>
        <v/>
      </c>
      <c r="Q967" s="96">
        <f>_xlfn.XLOOKUP(S967,'Tabla Articulos'!B:B,'Tabla Articulos'!E:E)</f>
        <v/>
      </c>
      <c r="R967" s="96">
        <f>O967*Q967</f>
        <v/>
      </c>
      <c r="S967" s="97">
        <f>TRIM(E967)</f>
        <v/>
      </c>
    </row>
    <row r="968" hidden="1">
      <c r="A968" s="22" t="n">
        <v>6</v>
      </c>
      <c r="B968" t="inlineStr">
        <is>
          <t xml:space="preserve">CDM03 - MORENO 3              </t>
        </is>
      </c>
      <c r="C968" t="inlineStr">
        <is>
          <t xml:space="preserve">GRUPO L.                      </t>
        </is>
      </c>
      <c r="D968" t="inlineStr">
        <is>
          <t>PULVERIZADORES C/GATILLO</t>
        </is>
      </c>
      <c r="E968" t="inlineStr">
        <is>
          <t xml:space="preserve">LIM000470           </t>
        </is>
      </c>
      <c r="F968" t="n">
        <v>2006313</v>
      </c>
      <c r="G968" t="inlineStr">
        <is>
          <t>PULVERIZADORES C/GATILLO X 500CC TR</t>
        </is>
      </c>
      <c r="H968" t="inlineStr">
        <is>
          <t xml:space="preserve">UNIDAD              </t>
        </is>
      </c>
      <c r="I968" t="n">
        <v>12</v>
      </c>
      <c r="J968" t="n">
        <v>0</v>
      </c>
      <c r="K968" t="n">
        <v>0</v>
      </c>
      <c r="L968" t="n">
        <v>0</v>
      </c>
      <c r="M968" t="n">
        <v>3</v>
      </c>
      <c r="N968" t="n">
        <v>0</v>
      </c>
      <c r="O968" t="n">
        <v>9</v>
      </c>
      <c r="P968" s="96">
        <f>_xlfn.XLOOKUP(Tabla5[[#This Row],[EAN CORREGIDO]],'Tabla Articulos'!B:B,'Tabla Articulos'!D:D)</f>
        <v/>
      </c>
      <c r="Q968" s="96">
        <f>_xlfn.XLOOKUP(S968,'Tabla Articulos'!B:B,'Tabla Articulos'!E:E)</f>
        <v/>
      </c>
      <c r="R968" s="96">
        <f>O968*Q968</f>
        <v/>
      </c>
      <c r="S968" s="97">
        <f>TRIM(E968)</f>
        <v/>
      </c>
    </row>
    <row r="969" hidden="1">
      <c r="A969" s="22" t="n">
        <v>6</v>
      </c>
      <c r="B969" t="inlineStr">
        <is>
          <t xml:space="preserve">CDM03 - MORENO 3              </t>
        </is>
      </c>
      <c r="C969" t="inlineStr">
        <is>
          <t xml:space="preserve">GRUPO L.                      </t>
        </is>
      </c>
      <c r="E969" t="inlineStr">
        <is>
          <t xml:space="preserve">UNIF000125          </t>
        </is>
      </c>
      <c r="F969" t="n">
        <v>9003225</v>
      </c>
      <c r="G969" t="inlineStr">
        <is>
          <t xml:space="preserve">PANTALON NAUTICO BLANCO 7          </t>
        </is>
      </c>
      <c r="H969" t="inlineStr">
        <is>
          <t xml:space="preserve">UNIDAD              </t>
        </is>
      </c>
      <c r="I969" t="n">
        <v>13</v>
      </c>
      <c r="J969" t="n">
        <v>150</v>
      </c>
      <c r="K969" t="n">
        <v>0</v>
      </c>
      <c r="L969" t="n">
        <v>0</v>
      </c>
      <c r="M969" t="n">
        <v>0</v>
      </c>
      <c r="N969" t="n">
        <v>0</v>
      </c>
      <c r="O969" t="n">
        <v>163</v>
      </c>
      <c r="P969" s="96">
        <f>_xlfn.XLOOKUP(Tabla5[[#This Row],[EAN CORREGIDO]],'Tabla Articulos'!B:B,'Tabla Articulos'!D:D)</f>
        <v/>
      </c>
      <c r="Q969" s="96">
        <f>_xlfn.XLOOKUP(S969,'Tabla Articulos'!B:B,'Tabla Articulos'!E:E)</f>
        <v/>
      </c>
      <c r="R969" s="96">
        <f>O969*Q969</f>
        <v/>
      </c>
      <c r="S969" s="97">
        <f>TRIM(E969)</f>
        <v/>
      </c>
    </row>
    <row r="970" hidden="1">
      <c r="A970" s="22" t="n">
        <v>6</v>
      </c>
      <c r="B970" t="inlineStr">
        <is>
          <t xml:space="preserve">CDM03 - MORENO 3              </t>
        </is>
      </c>
      <c r="C970" t="inlineStr">
        <is>
          <t xml:space="preserve">GRUPO L.                      </t>
        </is>
      </c>
      <c r="E970" t="inlineStr">
        <is>
          <t xml:space="preserve">BAZ001164           </t>
        </is>
      </c>
      <c r="F970" t="n">
        <v>9003773</v>
      </c>
      <c r="G970" t="inlineStr">
        <is>
          <t xml:space="preserve">COP POSTRE 118X115 ADANA ARTIC     </t>
        </is>
      </c>
      <c r="H970" t="inlineStr">
        <is>
          <t xml:space="preserve">UNIDAD              </t>
        </is>
      </c>
      <c r="I970" t="n">
        <v>136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136</v>
      </c>
      <c r="P970" s="96">
        <f>_xlfn.XLOOKUP(Tabla5[[#This Row],[EAN CORREGIDO]],'Tabla Articulos'!B:B,'Tabla Articulos'!D:D)</f>
        <v/>
      </c>
      <c r="Q970" s="96">
        <f>_xlfn.XLOOKUP(S970,'Tabla Articulos'!B:B,'Tabla Articulos'!E:E)</f>
        <v/>
      </c>
      <c r="R970" s="96">
        <f>O970*Q970</f>
        <v/>
      </c>
      <c r="S970" s="97">
        <f>TRIM(E970)</f>
        <v/>
      </c>
    </row>
    <row r="971" hidden="1">
      <c r="A971" s="22" t="n">
        <v>6</v>
      </c>
      <c r="B971" t="inlineStr">
        <is>
          <t xml:space="preserve">CDM03 - MORENO 3              </t>
        </is>
      </c>
      <c r="C971" t="inlineStr">
        <is>
          <t xml:space="preserve">GRUPO L.                      </t>
        </is>
      </c>
      <c r="E971" t="inlineStr">
        <is>
          <t xml:space="preserve">UNIF000515          </t>
        </is>
      </c>
      <c r="F971" t="n">
        <v>9003398</v>
      </c>
      <c r="G971" t="inlineStr">
        <is>
          <t xml:space="preserve">CAMPERA POLAR NEGRA 3XL GL. SUP    </t>
        </is>
      </c>
      <c r="H971" t="inlineStr">
        <is>
          <t xml:space="preserve">UNIDAD              </t>
        </is>
      </c>
      <c r="I971" t="n">
        <v>38</v>
      </c>
      <c r="J971" t="n">
        <v>20</v>
      </c>
      <c r="K971" t="n">
        <v>0</v>
      </c>
      <c r="L971" t="n">
        <v>1</v>
      </c>
      <c r="M971" t="n">
        <v>1</v>
      </c>
      <c r="N971" t="n">
        <v>0</v>
      </c>
      <c r="O971" t="n">
        <v>56</v>
      </c>
      <c r="P971" s="96">
        <f>_xlfn.XLOOKUP(Tabla5[[#This Row],[EAN CORREGIDO]],'Tabla Articulos'!B:B,'Tabla Articulos'!D:D)</f>
        <v/>
      </c>
      <c r="Q971" s="96">
        <f>_xlfn.XLOOKUP(S971,'Tabla Articulos'!B:B,'Tabla Articulos'!E:E)</f>
        <v/>
      </c>
      <c r="R971" s="96">
        <f>O971*Q971</f>
        <v/>
      </c>
      <c r="S971" s="97">
        <f>TRIM(E971)</f>
        <v/>
      </c>
    </row>
    <row r="972" hidden="1">
      <c r="A972" s="22" t="n">
        <v>1</v>
      </c>
      <c r="B972" t="inlineStr">
        <is>
          <t xml:space="preserve">CD MORENO                     </t>
        </is>
      </c>
      <c r="C972" t="inlineStr">
        <is>
          <t xml:space="preserve">GRUPO L.                      </t>
        </is>
      </c>
      <c r="D972" t="inlineStr">
        <is>
          <t>PAN CONGELADO</t>
        </is>
      </c>
      <c r="E972" t="inlineStr">
        <is>
          <t xml:space="preserve">17792180005738      </t>
        </is>
      </c>
      <c r="F972" t="n">
        <v>4024755</v>
      </c>
      <c r="G972" t="inlineStr">
        <is>
          <t xml:space="preserve">PAN LOMITERO CONG.CJX65 CA#UELAS   </t>
        </is>
      </c>
      <c r="H972" t="inlineStr">
        <is>
          <t xml:space="preserve">UNIDAD              </t>
        </is>
      </c>
      <c r="I972" t="n">
        <v>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</v>
      </c>
      <c r="P972" s="96">
        <f>_xlfn.XLOOKUP(Tabla5[[#This Row],[EAN CORREGIDO]],'Tabla Articulos'!B:B,'Tabla Articulos'!D:D)</f>
        <v/>
      </c>
      <c r="Q972" s="96">
        <f>_xlfn.XLOOKUP(S972,'Tabla Articulos'!B:B,'Tabla Articulos'!E:E)</f>
        <v/>
      </c>
      <c r="R972" s="96">
        <f>O972*Q972</f>
        <v/>
      </c>
      <c r="S972" s="97">
        <f>TRIM(E972)</f>
        <v/>
      </c>
    </row>
    <row r="973" hidden="1">
      <c r="A973" s="22" t="n">
        <v>6</v>
      </c>
      <c r="B973" t="inlineStr">
        <is>
          <t xml:space="preserve">CDM03 - MORENO 3              </t>
        </is>
      </c>
      <c r="C973" t="inlineStr">
        <is>
          <t xml:space="preserve">GRUPO L.                      </t>
        </is>
      </c>
      <c r="E973" t="inlineStr">
        <is>
          <t xml:space="preserve">UNIF000613          </t>
        </is>
      </c>
      <c r="F973" t="n">
        <v>9003151</v>
      </c>
      <c r="G973" t="inlineStr">
        <is>
          <t xml:space="preserve">GUARDAPOLV C LOGO GL SUP TALLE M   </t>
        </is>
      </c>
      <c r="H973" t="inlineStr">
        <is>
          <t xml:space="preserve">UNIDAD              </t>
        </is>
      </c>
      <c r="I973" t="n">
        <v>17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17</v>
      </c>
      <c r="P973" s="96">
        <f>_xlfn.XLOOKUP(Tabla5[[#This Row],[EAN CORREGIDO]],'Tabla Articulos'!B:B,'Tabla Articulos'!D:D)</f>
        <v/>
      </c>
      <c r="Q973" s="96">
        <f>_xlfn.XLOOKUP(S973,'Tabla Articulos'!B:B,'Tabla Articulos'!E:E)</f>
        <v/>
      </c>
      <c r="R973" s="96">
        <f>O973*Q973</f>
        <v/>
      </c>
      <c r="S973" s="97">
        <f>TRIM(E973)</f>
        <v/>
      </c>
    </row>
    <row r="974" hidden="1">
      <c r="A974" s="22" t="n">
        <v>5</v>
      </c>
      <c r="B974" t="inlineStr">
        <is>
          <t xml:space="preserve">CDM02 - MORENO 2              </t>
        </is>
      </c>
      <c r="C974" t="inlineStr">
        <is>
          <t xml:space="preserve">GRUPO L.                      </t>
        </is>
      </c>
      <c r="D974" t="inlineStr">
        <is>
          <t>TE MANZANILLA ENSOBR</t>
        </is>
      </c>
      <c r="E974" t="inlineStr">
        <is>
          <t xml:space="preserve">7790150330166       </t>
        </is>
      </c>
      <c r="F974" t="n">
        <v>4019462</v>
      </c>
      <c r="G974" t="inlineStr">
        <is>
          <t xml:space="preserve">TE MANZANILLA SOB X25U LA VIRGINIA </t>
        </is>
      </c>
      <c r="H974" t="inlineStr">
        <is>
          <t xml:space="preserve">UNIDAD              </t>
        </is>
      </c>
      <c r="I974" t="n">
        <v>10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10</v>
      </c>
      <c r="P974" s="96">
        <f>_xlfn.XLOOKUP(Tabla5[[#This Row],[EAN CORREGIDO]],'Tabla Articulos'!B:B,'Tabla Articulos'!D:D)</f>
        <v/>
      </c>
      <c r="Q974" s="96">
        <f>_xlfn.XLOOKUP(S974,'Tabla Articulos'!B:B,'Tabla Articulos'!E:E)</f>
        <v/>
      </c>
      <c r="R974" s="96">
        <f>O974*Q974</f>
        <v/>
      </c>
      <c r="S974" s="97">
        <f>TRIM(E974)</f>
        <v/>
      </c>
    </row>
    <row r="975" hidden="1">
      <c r="A975" s="22" t="n">
        <v>6</v>
      </c>
      <c r="B975" t="inlineStr">
        <is>
          <t xml:space="preserve">CDM03 - MORENO 3              </t>
        </is>
      </c>
      <c r="C975" t="inlineStr">
        <is>
          <t xml:space="preserve">GRUPO L.                      </t>
        </is>
      </c>
      <c r="D975" s="11" t="n"/>
      <c r="E975" t="inlineStr">
        <is>
          <t xml:space="preserve">UNIF000637          </t>
        </is>
      </c>
      <c r="F975" t="n">
        <v>9003913</v>
      </c>
      <c r="G975" t="inlineStr">
        <is>
          <t xml:space="preserve">CHOMBA PIQUE GR M CHEF G           </t>
        </is>
      </c>
      <c r="H975" t="inlineStr">
        <is>
          <t xml:space="preserve">UNIDAD              </t>
        </is>
      </c>
      <c r="I975" t="n">
        <v>56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56</v>
      </c>
      <c r="P975" s="96">
        <f>_xlfn.XLOOKUP(Tabla5[[#This Row],[EAN CORREGIDO]],'Tabla Articulos'!B:B,'Tabla Articulos'!D:D)</f>
        <v/>
      </c>
      <c r="Q975" s="96">
        <f>_xlfn.XLOOKUP(S975,'Tabla Articulos'!B:B,'Tabla Articulos'!E:E)</f>
        <v/>
      </c>
      <c r="R975" s="96">
        <f>O975*Q975</f>
        <v/>
      </c>
      <c r="S975" s="97">
        <f>TRIM(E975)</f>
        <v/>
      </c>
    </row>
    <row r="976" hidden="1">
      <c r="A976" s="22" t="n">
        <v>6</v>
      </c>
      <c r="B976" t="inlineStr">
        <is>
          <t xml:space="preserve">CDM03 - MORENO 3              </t>
        </is>
      </c>
      <c r="C976" t="inlineStr">
        <is>
          <t xml:space="preserve">GRUPO L.                      </t>
        </is>
      </c>
      <c r="D976" s="11" t="inlineStr">
        <is>
          <t>MANTEL LOGO CHEF</t>
        </is>
      </c>
      <c r="E976" t="inlineStr">
        <is>
          <t xml:space="preserve">7790000000236       </t>
        </is>
      </c>
      <c r="F976" t="n">
        <v>2007192</v>
      </c>
      <c r="G976" t="inlineStr">
        <is>
          <t>INDIVIDUAL CHEF GOURMET FOOD UN X10</t>
        </is>
      </c>
      <c r="H976" t="inlineStr">
        <is>
          <t xml:space="preserve">UNIDAD              </t>
        </is>
      </c>
      <c r="I976" t="n">
        <v>504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504</v>
      </c>
      <c r="P976" s="96">
        <f>_xlfn.XLOOKUP(Tabla5[[#This Row],[EAN CORREGIDO]],'Tabla Articulos'!B:B,'Tabla Articulos'!D:D)</f>
        <v/>
      </c>
      <c r="Q976" s="96">
        <f>_xlfn.XLOOKUP(S976,'Tabla Articulos'!B:B,'Tabla Articulos'!E:E)</f>
        <v/>
      </c>
      <c r="R976" s="96">
        <f>O976*Q976</f>
        <v/>
      </c>
      <c r="S976" s="97">
        <f>TRIM(E976)</f>
        <v/>
      </c>
    </row>
    <row r="977" hidden="1">
      <c r="A977" s="22" t="n">
        <v>5</v>
      </c>
      <c r="B977" t="inlineStr">
        <is>
          <t xml:space="preserve">CDM02 - MORENO 2              </t>
        </is>
      </c>
      <c r="C977" t="inlineStr">
        <is>
          <t xml:space="preserve">GRUPO L.                      </t>
        </is>
      </c>
      <c r="D977" t="inlineStr">
        <is>
          <t>AZUCAR</t>
        </is>
      </c>
      <c r="E977" t="inlineStr">
        <is>
          <t xml:space="preserve">7797470001394       </t>
        </is>
      </c>
      <c r="F977" t="n">
        <v>4022249</v>
      </c>
      <c r="G977" t="inlineStr">
        <is>
          <t xml:space="preserve">AZUCAR X 1KG MAROLIO               </t>
        </is>
      </c>
      <c r="H977" t="inlineStr">
        <is>
          <t xml:space="preserve">UNIDAD              </t>
        </is>
      </c>
      <c r="I977" t="n">
        <v>279</v>
      </c>
      <c r="J977" t="n">
        <v>0</v>
      </c>
      <c r="K977" t="n">
        <v>0</v>
      </c>
      <c r="L977" t="n">
        <v>11</v>
      </c>
      <c r="M977" t="n">
        <v>11</v>
      </c>
      <c r="N977" t="n">
        <v>0</v>
      </c>
      <c r="O977" t="n">
        <v>257</v>
      </c>
      <c r="P977" s="96">
        <f>_xlfn.XLOOKUP(Tabla5[[#This Row],[EAN CORREGIDO]],'Tabla Articulos'!B:B,'Tabla Articulos'!D:D)</f>
        <v/>
      </c>
      <c r="Q977" s="96">
        <f>_xlfn.XLOOKUP(S977,'Tabla Articulos'!B:B,'Tabla Articulos'!E:E)</f>
        <v/>
      </c>
      <c r="R977" s="96">
        <f>O977*Q977</f>
        <v/>
      </c>
      <c r="S977" s="97">
        <f>TRIM(E977)</f>
        <v/>
      </c>
    </row>
    <row r="978" hidden="1">
      <c r="A978" s="22" t="n">
        <v>6</v>
      </c>
      <c r="B978" t="inlineStr">
        <is>
          <t xml:space="preserve">CDM03 - MORENO 3              </t>
        </is>
      </c>
      <c r="C978" t="inlineStr">
        <is>
          <t xml:space="preserve">GRUPO L.                      </t>
        </is>
      </c>
      <c r="E978" t="inlineStr">
        <is>
          <t xml:space="preserve">UNIF000132          </t>
        </is>
      </c>
      <c r="F978" t="n">
        <v>9003324</v>
      </c>
      <c r="G978" t="inlineStr">
        <is>
          <t xml:space="preserve">BUZO GRIS FRISA GL SUPPORT S       </t>
        </is>
      </c>
      <c r="H978" t="inlineStr">
        <is>
          <t xml:space="preserve">UNIDAD              </t>
        </is>
      </c>
      <c r="I978" t="n">
        <v>49</v>
      </c>
      <c r="J978" t="n">
        <v>60</v>
      </c>
      <c r="K978" t="n">
        <v>0</v>
      </c>
      <c r="L978" t="n">
        <v>0</v>
      </c>
      <c r="M978" t="n">
        <v>0</v>
      </c>
      <c r="N978" t="n">
        <v>0</v>
      </c>
      <c r="O978" t="n">
        <v>109</v>
      </c>
      <c r="P978" s="96">
        <f>_xlfn.XLOOKUP(Tabla5[[#This Row],[EAN CORREGIDO]],'Tabla Articulos'!B:B,'Tabla Articulos'!D:D)</f>
        <v/>
      </c>
      <c r="Q978" s="96">
        <f>_xlfn.XLOOKUP(S978,'Tabla Articulos'!B:B,'Tabla Articulos'!E:E)</f>
        <v/>
      </c>
      <c r="R978" s="96">
        <f>O978*Q978</f>
        <v/>
      </c>
      <c r="S978" s="97">
        <f>TRIM(E978)</f>
        <v/>
      </c>
    </row>
    <row r="979" hidden="1">
      <c r="A979" s="22" t="n">
        <v>6</v>
      </c>
      <c r="B979" t="inlineStr">
        <is>
          <t xml:space="preserve">CDM03 - MORENO 3              </t>
        </is>
      </c>
      <c r="C979" t="inlineStr">
        <is>
          <t xml:space="preserve">GRUPO L.                      </t>
        </is>
      </c>
      <c r="D979" s="11" t="n"/>
      <c r="E979" t="inlineStr">
        <is>
          <t xml:space="preserve">UNIF000325          </t>
        </is>
      </c>
      <c r="F979" t="n">
        <v>9003199</v>
      </c>
      <c r="G979" t="inlineStr">
        <is>
          <t xml:space="preserve">REMERA CUELLO RED BLAN NUTRI L     </t>
        </is>
      </c>
      <c r="H979" t="inlineStr">
        <is>
          <t xml:space="preserve">UNIDAD              </t>
        </is>
      </c>
      <c r="I979" t="n">
        <v>36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36</v>
      </c>
      <c r="P979" s="96">
        <f>_xlfn.XLOOKUP(Tabla5[[#This Row],[EAN CORREGIDO]],'Tabla Articulos'!B:B,'Tabla Articulos'!D:D)</f>
        <v/>
      </c>
      <c r="Q979" s="96">
        <f>_xlfn.XLOOKUP(S979,'Tabla Articulos'!B:B,'Tabla Articulos'!E:E)</f>
        <v/>
      </c>
      <c r="R979" s="96">
        <f>O979*Q979</f>
        <v/>
      </c>
      <c r="S979" s="97">
        <f>TRIM(E979)</f>
        <v/>
      </c>
    </row>
    <row r="980" hidden="1">
      <c r="A980" s="22" t="n">
        <v>1</v>
      </c>
      <c r="B980" t="inlineStr">
        <is>
          <t xml:space="preserve">CD MORENO                     </t>
        </is>
      </c>
      <c r="C980" t="inlineStr">
        <is>
          <t xml:space="preserve">GRUPO L.                      </t>
        </is>
      </c>
      <c r="D980" t="inlineStr">
        <is>
          <t>HARINA INTEGRAL</t>
        </is>
      </c>
      <c r="E980" t="inlineStr">
        <is>
          <t xml:space="preserve">7790199603856       </t>
        </is>
      </c>
      <c r="F980" t="n">
        <v>4019751</v>
      </c>
      <c r="G980" t="inlineStr">
        <is>
          <t xml:space="preserve">HARINA INTEGRAL X 1 KG MORIXE      </t>
        </is>
      </c>
      <c r="H980" t="inlineStr">
        <is>
          <t xml:space="preserve">UNIDAD              </t>
        </is>
      </c>
      <c r="I980" t="n">
        <v>1012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1012</v>
      </c>
      <c r="P980" s="96">
        <f>_xlfn.XLOOKUP(Tabla5[[#This Row],[EAN CORREGIDO]],'Tabla Articulos'!B:B,'Tabla Articulos'!D:D)</f>
        <v/>
      </c>
      <c r="Q980" s="96">
        <f>_xlfn.XLOOKUP(S980,'Tabla Articulos'!B:B,'Tabla Articulos'!E:E)</f>
        <v/>
      </c>
      <c r="R980" s="96">
        <f>O980*Q980</f>
        <v/>
      </c>
      <c r="S980" s="97">
        <f>TRIM(E980)</f>
        <v/>
      </c>
    </row>
    <row r="981" hidden="1">
      <c r="A981" s="22" t="n">
        <v>6</v>
      </c>
      <c r="B981" t="inlineStr">
        <is>
          <t xml:space="preserve">CDM03 - MORENO 3              </t>
        </is>
      </c>
      <c r="C981" t="inlineStr">
        <is>
          <t xml:space="preserve">GRUPO L.                      </t>
        </is>
      </c>
      <c r="E981" t="inlineStr">
        <is>
          <t xml:space="preserve">BAZ001146           </t>
        </is>
      </c>
      <c r="F981" t="n">
        <v>9003818</v>
      </c>
      <c r="G981" t="inlineStr">
        <is>
          <t xml:space="preserve">ASADERA CHAP ENLOZ REF 50 X 60CM   </t>
        </is>
      </c>
      <c r="H981" t="inlineStr">
        <is>
          <t xml:space="preserve">UNIDAD              </t>
        </is>
      </c>
      <c r="I981" t="n">
        <v>113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113</v>
      </c>
      <c r="P981" s="96">
        <f>_xlfn.XLOOKUP(Tabla5[[#This Row],[EAN CORREGIDO]],'Tabla Articulos'!B:B,'Tabla Articulos'!D:D)</f>
        <v/>
      </c>
      <c r="Q981" s="96">
        <f>_xlfn.XLOOKUP(S981,'Tabla Articulos'!B:B,'Tabla Articulos'!E:E)</f>
        <v/>
      </c>
      <c r="R981" s="96">
        <f>O981*Q981</f>
        <v/>
      </c>
      <c r="S981" s="97">
        <f>TRIM(E981)</f>
        <v/>
      </c>
    </row>
    <row r="982" hidden="1">
      <c r="A982" s="22" t="n">
        <v>1</v>
      </c>
      <c r="B982" t="inlineStr">
        <is>
          <t xml:space="preserve">CD MORENO                     </t>
        </is>
      </c>
      <c r="C982" t="inlineStr">
        <is>
          <t xml:space="preserve">GRUPO L.                      </t>
        </is>
      </c>
      <c r="D982" t="inlineStr">
        <is>
          <t>SIDRA</t>
        </is>
      </c>
      <c r="E982" t="inlineStr">
        <is>
          <t xml:space="preserve">7790154000485       </t>
        </is>
      </c>
      <c r="F982" t="n">
        <v>4019472</v>
      </c>
      <c r="G982" t="inlineStr">
        <is>
          <t xml:space="preserve">SIDRA DEMI SECC 750XCC 1930        </t>
        </is>
      </c>
      <c r="H982" t="inlineStr">
        <is>
          <t xml:space="preserve">UNIDAD              </t>
        </is>
      </c>
      <c r="I982" t="n">
        <v>39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39</v>
      </c>
      <c r="P982" s="96">
        <f>_xlfn.XLOOKUP(Tabla5[[#This Row],[EAN CORREGIDO]],'Tabla Articulos'!B:B,'Tabla Articulos'!D:D)</f>
        <v/>
      </c>
      <c r="Q982" s="96">
        <f>_xlfn.XLOOKUP(S982,'Tabla Articulos'!B:B,'Tabla Articulos'!E:E)</f>
        <v/>
      </c>
      <c r="R982" s="96">
        <f>O982*Q982</f>
        <v/>
      </c>
      <c r="S982" s="97">
        <f>TRIM(E982)</f>
        <v/>
      </c>
    </row>
    <row r="983" hidden="1">
      <c r="A983" s="22" t="n">
        <v>5</v>
      </c>
      <c r="B983" t="inlineStr">
        <is>
          <t xml:space="preserve">CDM02 - MORENO 2              </t>
        </is>
      </c>
      <c r="C983" t="inlineStr">
        <is>
          <t xml:space="preserve">GRUPO L.                      </t>
        </is>
      </c>
      <c r="D983" s="11" t="inlineStr">
        <is>
          <t>SIDRA</t>
        </is>
      </c>
      <c r="E983" t="inlineStr">
        <is>
          <t xml:space="preserve">7790154000485       </t>
        </is>
      </c>
      <c r="F983" t="n">
        <v>4019472</v>
      </c>
      <c r="G983" t="inlineStr">
        <is>
          <t xml:space="preserve">SIDRA DEMI SECC 750XCC 1930        </t>
        </is>
      </c>
      <c r="H983" t="inlineStr">
        <is>
          <t xml:space="preserve">UNIDAD              </t>
        </is>
      </c>
      <c r="I983" t="n">
        <v>1078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1078</v>
      </c>
      <c r="P983" s="96">
        <f>_xlfn.XLOOKUP(Tabla5[[#This Row],[EAN CORREGIDO]],'Tabla Articulos'!B:B,'Tabla Articulos'!D:D)</f>
        <v/>
      </c>
      <c r="Q983" s="96">
        <f>_xlfn.XLOOKUP(S983,'Tabla Articulos'!B:B,'Tabla Articulos'!E:E)</f>
        <v/>
      </c>
      <c r="R983" s="96">
        <f>O983*Q983</f>
        <v/>
      </c>
      <c r="S983" s="97">
        <f>TRIM(E983)</f>
        <v/>
      </c>
    </row>
    <row r="984" hidden="1">
      <c r="A984" s="22" t="n">
        <v>1</v>
      </c>
      <c r="B984" t="inlineStr">
        <is>
          <t xml:space="preserve">CD MORENO                     </t>
        </is>
      </c>
      <c r="C984" t="inlineStr">
        <is>
          <t xml:space="preserve">GRUPO L.                      </t>
        </is>
      </c>
      <c r="D984" s="11" t="inlineStr">
        <is>
          <t>BONDIOLA</t>
        </is>
      </c>
      <c r="E984" t="inlineStr">
        <is>
          <t xml:space="preserve">7790212031220       </t>
        </is>
      </c>
      <c r="F984" t="n">
        <v>4017778</v>
      </c>
      <c r="G984" t="inlineStr">
        <is>
          <t xml:space="preserve">BONDIOLA DE CERDO X KG             </t>
        </is>
      </c>
      <c r="H984" t="inlineStr">
        <is>
          <t xml:space="preserve">Kgs                 </t>
        </is>
      </c>
      <c r="I984" t="n">
        <v>628.47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628.47</v>
      </c>
      <c r="P984" s="96">
        <f>_xlfn.XLOOKUP(Tabla5[[#This Row],[EAN CORREGIDO]],'Tabla Articulos'!B:B,'Tabla Articulos'!D:D)</f>
        <v/>
      </c>
      <c r="Q984" s="96">
        <f>_xlfn.XLOOKUP(S984,'Tabla Articulos'!B:B,'Tabla Articulos'!E:E)</f>
        <v/>
      </c>
      <c r="R984" s="96">
        <f>O984*Q984</f>
        <v/>
      </c>
      <c r="S984" s="97">
        <f>TRIM(E984)</f>
        <v/>
      </c>
    </row>
    <row r="985" hidden="1">
      <c r="A985" s="22" t="n">
        <v>1</v>
      </c>
      <c r="B985" t="inlineStr">
        <is>
          <t xml:space="preserve">CD MORENO                     </t>
        </is>
      </c>
      <c r="C985" t="inlineStr">
        <is>
          <t xml:space="preserve">GRUPO L.                      </t>
        </is>
      </c>
      <c r="D985" s="11" t="inlineStr">
        <is>
          <t>CIABATTA CONGELADA</t>
        </is>
      </c>
      <c r="E985" t="inlineStr">
        <is>
          <t xml:space="preserve">17792180009422      </t>
        </is>
      </c>
      <c r="F985" t="n">
        <v>4077141</v>
      </c>
      <c r="G985" t="inlineStr">
        <is>
          <t xml:space="preserve">CIABATTA CONG 112GX69U CANUELAS    </t>
        </is>
      </c>
      <c r="H985" t="inlineStr">
        <is>
          <t xml:space="preserve">UNIDAD              </t>
        </is>
      </c>
      <c r="I985" t="n">
        <v>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5</v>
      </c>
      <c r="P985" s="96">
        <f>_xlfn.XLOOKUP(Tabla5[[#This Row],[EAN CORREGIDO]],'Tabla Articulos'!B:B,'Tabla Articulos'!D:D)</f>
        <v/>
      </c>
      <c r="Q985" s="96">
        <f>_xlfn.XLOOKUP(S985,'Tabla Articulos'!B:B,'Tabla Articulos'!E:E)</f>
        <v/>
      </c>
      <c r="R985" s="96">
        <f>O985*Q985</f>
        <v/>
      </c>
      <c r="S985" s="97">
        <f>TRIM(E985)</f>
        <v/>
      </c>
    </row>
    <row r="986" hidden="1">
      <c r="A986" s="22" t="n">
        <v>6</v>
      </c>
      <c r="B986" t="inlineStr">
        <is>
          <t xml:space="preserve">CDM03 - MORENO 3              </t>
        </is>
      </c>
      <c r="C986" t="inlineStr">
        <is>
          <t xml:space="preserve">GRUPO L.                      </t>
        </is>
      </c>
      <c r="E986" t="inlineStr">
        <is>
          <t xml:space="preserve">UNIF000526          </t>
        </is>
      </c>
      <c r="F986" t="n">
        <v>9003649</v>
      </c>
      <c r="G986" t="inlineStr">
        <is>
          <t xml:space="preserve">SWEETER GRIS LANA GL SUP LIMP M    </t>
        </is>
      </c>
      <c r="H986" t="inlineStr">
        <is>
          <t xml:space="preserve">UNIDAD              </t>
        </is>
      </c>
      <c r="I986" t="n">
        <v>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8</v>
      </c>
      <c r="P986" s="96">
        <f>_xlfn.XLOOKUP(Tabla5[[#This Row],[EAN CORREGIDO]],'Tabla Articulos'!B:B,'Tabla Articulos'!D:D)</f>
        <v/>
      </c>
      <c r="Q986" s="96">
        <f>_xlfn.XLOOKUP(S986,'Tabla Articulos'!B:B,'Tabla Articulos'!E:E)</f>
        <v/>
      </c>
      <c r="R986" s="96">
        <f>O986*Q986</f>
        <v/>
      </c>
      <c r="S986" s="97">
        <f>TRIM(E986)</f>
        <v/>
      </c>
    </row>
    <row r="987" hidden="1">
      <c r="A987" s="22" t="n">
        <v>5</v>
      </c>
      <c r="B987" t="inlineStr">
        <is>
          <t xml:space="preserve">CDM02 - MORENO 2              </t>
        </is>
      </c>
      <c r="C987" t="inlineStr">
        <is>
          <t xml:space="preserve">GRUPO L.                      </t>
        </is>
      </c>
      <c r="D987" t="inlineStr">
        <is>
          <t>PREMEZCLA P/CELIACOS</t>
        </is>
      </c>
      <c r="E987" t="inlineStr">
        <is>
          <t xml:space="preserve">7798082000188       </t>
        </is>
      </c>
      <c r="F987" t="n">
        <v>4020793</v>
      </c>
      <c r="G987" t="inlineStr">
        <is>
          <t xml:space="preserve">PREMEZCLA UNIVERSAL X450G NATU     </t>
        </is>
      </c>
      <c r="H987" t="inlineStr">
        <is>
          <t xml:space="preserve">UNIDAD              </t>
        </is>
      </c>
      <c r="I987" t="n">
        <v>638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638</v>
      </c>
      <c r="P987" s="96">
        <f>_xlfn.XLOOKUP(Tabla5[[#This Row],[EAN CORREGIDO]],'Tabla Articulos'!B:B,'Tabla Articulos'!D:D)</f>
        <v/>
      </c>
      <c r="Q987" s="96">
        <f>_xlfn.XLOOKUP(S987,'Tabla Articulos'!B:B,'Tabla Articulos'!E:E)</f>
        <v/>
      </c>
      <c r="R987" s="96">
        <f>O987*Q987</f>
        <v/>
      </c>
      <c r="S987" s="97">
        <f>TRIM(E987)</f>
        <v/>
      </c>
    </row>
    <row r="988" hidden="1">
      <c r="A988" s="22" t="n">
        <v>1</v>
      </c>
      <c r="B988" t="inlineStr">
        <is>
          <t xml:space="preserve">CD MORENO                     </t>
        </is>
      </c>
      <c r="C988" t="inlineStr">
        <is>
          <t xml:space="preserve">GRUPO L.                      </t>
        </is>
      </c>
      <c r="D988" t="inlineStr">
        <is>
          <t>PREMEZCLA P/CELIACOS</t>
        </is>
      </c>
      <c r="E988" t="inlineStr">
        <is>
          <t xml:space="preserve">7798082000188       </t>
        </is>
      </c>
      <c r="F988" t="n">
        <v>4020793</v>
      </c>
      <c r="G988" t="inlineStr">
        <is>
          <t xml:space="preserve">PREMEZCLA UNIVERSAL X450G NATU     </t>
        </is>
      </c>
      <c r="H988" t="inlineStr">
        <is>
          <t xml:space="preserve">UNIDAD              </t>
        </is>
      </c>
      <c r="I988" t="n">
        <v>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8</v>
      </c>
      <c r="P988" s="96">
        <f>_xlfn.XLOOKUP(Tabla5[[#This Row],[EAN CORREGIDO]],'Tabla Articulos'!B:B,'Tabla Articulos'!D:D)</f>
        <v/>
      </c>
      <c r="Q988" s="96">
        <f>_xlfn.XLOOKUP(S988,'Tabla Articulos'!B:B,'Tabla Articulos'!E:E)</f>
        <v/>
      </c>
      <c r="R988" s="96">
        <f>O988*Q988</f>
        <v/>
      </c>
      <c r="S988" s="97">
        <f>TRIM(E988)</f>
        <v/>
      </c>
    </row>
    <row r="989" hidden="1">
      <c r="A989" s="22" t="n">
        <v>6</v>
      </c>
      <c r="B989" t="inlineStr">
        <is>
          <t xml:space="preserve">CDM03 - MORENO 3              </t>
        </is>
      </c>
      <c r="C989" t="inlineStr">
        <is>
          <t xml:space="preserve">GRUPO L.                      </t>
        </is>
      </c>
      <c r="D989" t="inlineStr">
        <is>
          <t>CERA ROJA</t>
        </is>
      </c>
      <c r="E989" t="inlineStr">
        <is>
          <t xml:space="preserve">7798057861622       </t>
        </is>
      </c>
      <c r="F989" t="n">
        <v>2007610</v>
      </c>
      <c r="G989" t="inlineStr">
        <is>
          <t xml:space="preserve">CERA 8M ROJA 4X5L DIVERSEY         </t>
        </is>
      </c>
      <c r="H989" t="inlineStr">
        <is>
          <t xml:space="preserve">UNIDAD              </t>
        </is>
      </c>
      <c r="I989" t="n">
        <v>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9</v>
      </c>
      <c r="P989" s="96">
        <f>_xlfn.XLOOKUP(Tabla5[[#This Row],[EAN CORREGIDO]],'Tabla Articulos'!B:B,'Tabla Articulos'!D:D)</f>
        <v/>
      </c>
      <c r="Q989" s="96">
        <f>_xlfn.XLOOKUP(S989,'Tabla Articulos'!B:B,'Tabla Articulos'!E:E)</f>
        <v/>
      </c>
      <c r="R989" s="96">
        <f>O989*Q989</f>
        <v/>
      </c>
      <c r="S989" s="97">
        <f>TRIM(E989)</f>
        <v/>
      </c>
    </row>
    <row r="990" hidden="1">
      <c r="A990" s="22" t="n">
        <v>6</v>
      </c>
      <c r="B990" t="inlineStr">
        <is>
          <t xml:space="preserve">CDM03 - MORENO 3              </t>
        </is>
      </c>
      <c r="C990" t="inlineStr">
        <is>
          <t xml:space="preserve">GRUPO L.                      </t>
        </is>
      </c>
      <c r="D990" t="inlineStr">
        <is>
          <t>SECADOR DE GOMA</t>
        </is>
      </c>
      <c r="E990" t="inlineStr">
        <is>
          <t xml:space="preserve">7798092965552       </t>
        </is>
      </c>
      <c r="F990" t="n">
        <v>2006558</v>
      </c>
      <c r="G990" t="inlineStr">
        <is>
          <t xml:space="preserve">SECADOR NEGRO N40  ECO             </t>
        </is>
      </c>
      <c r="H990" t="inlineStr">
        <is>
          <t xml:space="preserve">UNIDAD              </t>
        </is>
      </c>
      <c r="I990" t="n">
        <v>1797</v>
      </c>
      <c r="J990" t="n">
        <v>0</v>
      </c>
      <c r="K990" t="n">
        <v>0</v>
      </c>
      <c r="L990" t="n">
        <v>147</v>
      </c>
      <c r="M990" t="n">
        <v>147</v>
      </c>
      <c r="N990" t="n">
        <v>0</v>
      </c>
      <c r="O990" t="n">
        <v>1503</v>
      </c>
      <c r="P990" s="96">
        <f>_xlfn.XLOOKUP(Tabla5[[#This Row],[EAN CORREGIDO]],'Tabla Articulos'!B:B,'Tabla Articulos'!D:D)</f>
        <v/>
      </c>
      <c r="Q990" s="96">
        <f>_xlfn.XLOOKUP(S990,'Tabla Articulos'!B:B,'Tabla Articulos'!E:E)</f>
        <v/>
      </c>
      <c r="R990" s="96">
        <f>O990*Q990</f>
        <v/>
      </c>
      <c r="S990" s="97">
        <f>TRIM(E990)</f>
        <v/>
      </c>
    </row>
    <row r="991" hidden="1">
      <c r="A991" s="22" t="n">
        <v>6</v>
      </c>
      <c r="B991" t="inlineStr">
        <is>
          <t xml:space="preserve">CDM03 - MORENO 3              </t>
        </is>
      </c>
      <c r="C991" t="inlineStr">
        <is>
          <t xml:space="preserve">GRUPO L.                      </t>
        </is>
      </c>
      <c r="D991" s="11" t="inlineStr">
        <is>
          <t>GUANTE GOMA</t>
        </is>
      </c>
      <c r="E991" t="inlineStr">
        <is>
          <t xml:space="preserve">7798092969789       </t>
        </is>
      </c>
      <c r="F991" t="n">
        <v>2016670</v>
      </c>
      <c r="G991" t="inlineStr">
        <is>
          <t xml:space="preserve">GUANTES FLEX S                     </t>
        </is>
      </c>
      <c r="H991" t="inlineStr">
        <is>
          <t xml:space="preserve">UNIDAD              </t>
        </is>
      </c>
      <c r="I991" t="n">
        <v>5263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5263</v>
      </c>
      <c r="P991" s="96">
        <f>_xlfn.XLOOKUP(Tabla5[[#This Row],[EAN CORREGIDO]],'Tabla Articulos'!B:B,'Tabla Articulos'!D:D)</f>
        <v/>
      </c>
      <c r="Q991" s="96">
        <f>_xlfn.XLOOKUP(S991,'Tabla Articulos'!B:B,'Tabla Articulos'!E:E)</f>
        <v/>
      </c>
      <c r="R991" s="96">
        <f>O991*Q991</f>
        <v/>
      </c>
      <c r="S991" s="97">
        <f>TRIM(E991)</f>
        <v/>
      </c>
    </row>
    <row r="992" hidden="1">
      <c r="A992" s="22" t="n">
        <v>6</v>
      </c>
      <c r="B992" t="inlineStr">
        <is>
          <t xml:space="preserve">CDM03 - MORENO 3              </t>
        </is>
      </c>
      <c r="C992" t="inlineStr">
        <is>
          <t xml:space="preserve">GRUPO L.                      </t>
        </is>
      </c>
      <c r="E992" t="inlineStr">
        <is>
          <t xml:space="preserve">BUE00274            </t>
        </is>
      </c>
      <c r="F992" t="n">
        <v>2006987</v>
      </c>
      <c r="G992" t="inlineStr">
        <is>
          <t xml:space="preserve">CEPILLO ZOCALERA XUN               </t>
        </is>
      </c>
      <c r="H992" t="inlineStr">
        <is>
          <t xml:space="preserve">UNIDAD              </t>
        </is>
      </c>
      <c r="I992" t="n">
        <v>45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45</v>
      </c>
      <c r="P992" s="96">
        <f>_xlfn.XLOOKUP(Tabla5[[#This Row],[EAN CORREGIDO]],'Tabla Articulos'!B:B,'Tabla Articulos'!D:D)</f>
        <v/>
      </c>
      <c r="Q992" s="96">
        <f>_xlfn.XLOOKUP(S992,'Tabla Articulos'!B:B,'Tabla Articulos'!E:E)</f>
        <v/>
      </c>
      <c r="R992" s="96">
        <f>O992*Q992</f>
        <v/>
      </c>
      <c r="S992" s="97">
        <f>TRIM(E992)</f>
        <v/>
      </c>
    </row>
    <row r="993" hidden="1">
      <c r="A993" s="22" t="n">
        <v>6</v>
      </c>
      <c r="B993" t="inlineStr">
        <is>
          <t xml:space="preserve">CDM03 - MORENO 3              </t>
        </is>
      </c>
      <c r="C993" t="inlineStr">
        <is>
          <t xml:space="preserve">GRUPO L.                      </t>
        </is>
      </c>
      <c r="E993" t="inlineStr">
        <is>
          <t xml:space="preserve">UNIF000207          </t>
        </is>
      </c>
      <c r="F993" t="n">
        <v>9003475</v>
      </c>
      <c r="G993" t="inlineStr">
        <is>
          <t xml:space="preserve">PANTAL CARG NEGRO AZ. 46 GL SUP    </t>
        </is>
      </c>
      <c r="H993" t="inlineStr">
        <is>
          <t xml:space="preserve">UNIDAD              </t>
        </is>
      </c>
      <c r="I993" t="n">
        <v>7</v>
      </c>
      <c r="J993" t="n">
        <v>25</v>
      </c>
      <c r="K993" t="n">
        <v>0</v>
      </c>
      <c r="L993" t="n">
        <v>7</v>
      </c>
      <c r="M993" t="n">
        <v>7</v>
      </c>
      <c r="N993" t="n">
        <v>0</v>
      </c>
      <c r="O993" t="n">
        <v>18</v>
      </c>
      <c r="P993" s="96">
        <f>_xlfn.XLOOKUP(Tabla5[[#This Row],[EAN CORREGIDO]],'Tabla Articulos'!B:B,'Tabla Articulos'!D:D)</f>
        <v/>
      </c>
      <c r="Q993" s="96">
        <f>_xlfn.XLOOKUP(S993,'Tabla Articulos'!B:B,'Tabla Articulos'!E:E)</f>
        <v/>
      </c>
      <c r="R993" s="96">
        <f>O993*Q993</f>
        <v/>
      </c>
      <c r="S993" s="97">
        <f>TRIM(E993)</f>
        <v/>
      </c>
    </row>
    <row r="994" hidden="1">
      <c r="A994" s="22" t="n">
        <v>5</v>
      </c>
      <c r="B994" t="inlineStr">
        <is>
          <t xml:space="preserve">CDM02 - MORENO 2              </t>
        </is>
      </c>
      <c r="C994" t="inlineStr">
        <is>
          <t xml:space="preserve">GRUPO L.                      </t>
        </is>
      </c>
      <c r="D994" s="11" t="inlineStr">
        <is>
          <t>GELATINA FRUTILLA LIGHT</t>
        </is>
      </c>
      <c r="E994" t="inlineStr">
        <is>
          <t xml:space="preserve">7790971000651       </t>
        </is>
      </c>
      <c r="F994" t="n">
        <v>4019860</v>
      </c>
      <c r="G994" t="inlineStr">
        <is>
          <t xml:space="preserve">GELATINA FRUTI LIGHT X1K RAVAN     </t>
        </is>
      </c>
      <c r="H994" t="inlineStr">
        <is>
          <t xml:space="preserve">UNIDAD              </t>
        </is>
      </c>
      <c r="I994" t="n">
        <v>7</v>
      </c>
      <c r="J994" t="n">
        <v>0</v>
      </c>
      <c r="K994" t="n">
        <v>0</v>
      </c>
      <c r="L994" t="n">
        <v>2</v>
      </c>
      <c r="M994" t="n">
        <v>2</v>
      </c>
      <c r="N994" t="n">
        <v>0</v>
      </c>
      <c r="O994" t="n">
        <v>3</v>
      </c>
      <c r="P994" s="96">
        <f>_xlfn.XLOOKUP(Tabla5[[#This Row],[EAN CORREGIDO]],'Tabla Articulos'!B:B,'Tabla Articulos'!D:D)</f>
        <v/>
      </c>
      <c r="Q994" s="96">
        <f>_xlfn.XLOOKUP(S994,'Tabla Articulos'!B:B,'Tabla Articulos'!E:E)</f>
        <v/>
      </c>
      <c r="R994" s="96">
        <f>O994*Q994</f>
        <v/>
      </c>
      <c r="S994" s="97">
        <f>TRIM(E994)</f>
        <v/>
      </c>
    </row>
    <row r="995" hidden="1">
      <c r="A995" s="22" t="n">
        <v>6</v>
      </c>
      <c r="B995" t="inlineStr">
        <is>
          <t xml:space="preserve">CDM03 - MORENO 3              </t>
        </is>
      </c>
      <c r="C995" t="inlineStr">
        <is>
          <t xml:space="preserve">GRUPO L.                      </t>
        </is>
      </c>
      <c r="D995" s="11" t="n"/>
      <c r="E995" t="inlineStr">
        <is>
          <t xml:space="preserve">UNIF000371          </t>
        </is>
      </c>
      <c r="F995" t="n">
        <v>9003635</v>
      </c>
      <c r="G995" t="inlineStr">
        <is>
          <t xml:space="preserve">SWEET. GRIS LANA GL SUP LIMP XL    </t>
        </is>
      </c>
      <c r="H995" t="inlineStr">
        <is>
          <t xml:space="preserve">UNIDAD              </t>
        </is>
      </c>
      <c r="I995" t="n">
        <v>11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11</v>
      </c>
      <c r="P995" s="96">
        <f>_xlfn.XLOOKUP(Tabla5[[#This Row],[EAN CORREGIDO]],'Tabla Articulos'!B:B,'Tabla Articulos'!D:D)</f>
        <v/>
      </c>
      <c r="Q995" s="96">
        <f>_xlfn.XLOOKUP(S995,'Tabla Articulos'!B:B,'Tabla Articulos'!E:E)</f>
        <v/>
      </c>
      <c r="R995" s="96">
        <f>O995*Q995</f>
        <v/>
      </c>
      <c r="S995" s="97">
        <f>TRIM(E995)</f>
        <v/>
      </c>
    </row>
    <row r="996" hidden="1">
      <c r="A996" s="22" t="n">
        <v>6</v>
      </c>
      <c r="B996" t="inlineStr">
        <is>
          <t xml:space="preserve">CDM03 - MORENO 3              </t>
        </is>
      </c>
      <c r="C996" t="inlineStr">
        <is>
          <t xml:space="preserve">GRUPO L.                      </t>
        </is>
      </c>
      <c r="E996" t="inlineStr">
        <is>
          <t xml:space="preserve">UNIF000657          </t>
        </is>
      </c>
      <c r="F996" t="n">
        <v>9003993</v>
      </c>
      <c r="G996" t="inlineStr">
        <is>
          <t xml:space="preserve">PANTALON CARGO A. MARINO 52        </t>
        </is>
      </c>
      <c r="H996" t="inlineStr">
        <is>
          <t xml:space="preserve">UNIDAD              </t>
        </is>
      </c>
      <c r="I996" t="n">
        <v>24</v>
      </c>
      <c r="J996" t="n">
        <v>0</v>
      </c>
      <c r="K996" t="n">
        <v>0</v>
      </c>
      <c r="L996" t="n">
        <v>6</v>
      </c>
      <c r="M996" t="n">
        <v>6</v>
      </c>
      <c r="N996" t="n">
        <v>0</v>
      </c>
      <c r="O996" t="n">
        <v>12</v>
      </c>
      <c r="P996" s="96">
        <f>_xlfn.XLOOKUP(Tabla5[[#This Row],[EAN CORREGIDO]],'Tabla Articulos'!B:B,'Tabla Articulos'!D:D)</f>
        <v/>
      </c>
      <c r="Q996" s="96">
        <f>_xlfn.XLOOKUP(S996,'Tabla Articulos'!B:B,'Tabla Articulos'!E:E)</f>
        <v/>
      </c>
      <c r="R996" s="96">
        <f>O996*Q996</f>
        <v/>
      </c>
      <c r="S996" s="97">
        <f>TRIM(E996)</f>
        <v/>
      </c>
    </row>
    <row r="997" hidden="1">
      <c r="A997" s="22" t="n">
        <v>6</v>
      </c>
      <c r="B997" t="inlineStr">
        <is>
          <t xml:space="preserve">CDM03 - MORENO 3              </t>
        </is>
      </c>
      <c r="C997" t="inlineStr">
        <is>
          <t xml:space="preserve">GRUPO L.                      </t>
        </is>
      </c>
      <c r="E997" t="inlineStr">
        <is>
          <t xml:space="preserve">BAZ001194           </t>
        </is>
      </c>
      <c r="F997" t="n">
        <v>9003765</v>
      </c>
      <c r="G997" t="inlineStr">
        <is>
          <t xml:space="preserve">CUCHARON DE ACERO INOX.N° 8        </t>
        </is>
      </c>
      <c r="H997" t="inlineStr">
        <is>
          <t xml:space="preserve">UNIDAD              </t>
        </is>
      </c>
      <c r="I997" t="n">
        <v>13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13</v>
      </c>
      <c r="P997" s="96">
        <f>_xlfn.XLOOKUP(Tabla5[[#This Row],[EAN CORREGIDO]],'Tabla Articulos'!B:B,'Tabla Articulos'!D:D)</f>
        <v/>
      </c>
      <c r="Q997" s="96">
        <f>_xlfn.XLOOKUP(S997,'Tabla Articulos'!B:B,'Tabla Articulos'!E:E)</f>
        <v/>
      </c>
      <c r="R997" s="96">
        <f>O997*Q997</f>
        <v/>
      </c>
      <c r="S997" s="97">
        <f>TRIM(E997)</f>
        <v/>
      </c>
    </row>
    <row r="998" hidden="1">
      <c r="A998" s="22" t="n">
        <v>1</v>
      </c>
      <c r="B998" t="inlineStr">
        <is>
          <t xml:space="preserve">CD MORENO                     </t>
        </is>
      </c>
      <c r="C998" t="inlineStr">
        <is>
          <t xml:space="preserve">GRUPO L.                      </t>
        </is>
      </c>
      <c r="D998" t="inlineStr">
        <is>
          <t>GELATINA MANZANA</t>
        </is>
      </c>
      <c r="E998" t="inlineStr">
        <is>
          <t xml:space="preserve">7790530370904       </t>
        </is>
      </c>
      <c r="F998" t="n">
        <v>4019841</v>
      </c>
      <c r="G998" t="inlineStr">
        <is>
          <t xml:space="preserve">GELATINA MANZANA X1KG BEDIAL       </t>
        </is>
      </c>
      <c r="H998" t="inlineStr">
        <is>
          <t xml:space="preserve">UNIDAD              </t>
        </is>
      </c>
      <c r="I998" t="n">
        <v>31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31</v>
      </c>
      <c r="P998" s="96">
        <f>_xlfn.XLOOKUP(Tabla5[[#This Row],[EAN CORREGIDO]],'Tabla Articulos'!B:B,'Tabla Articulos'!D:D)</f>
        <v/>
      </c>
      <c r="Q998" s="96">
        <f>_xlfn.XLOOKUP(S998,'Tabla Articulos'!B:B,'Tabla Articulos'!E:E)</f>
        <v/>
      </c>
      <c r="R998" s="96">
        <f>O998*Q998</f>
        <v/>
      </c>
      <c r="S998" s="97">
        <f>TRIM(E998)</f>
        <v/>
      </c>
    </row>
    <row r="999" hidden="1">
      <c r="A999" s="22" t="n">
        <v>5</v>
      </c>
      <c r="B999" t="inlineStr">
        <is>
          <t xml:space="preserve">CDM02 - MORENO 2              </t>
        </is>
      </c>
      <c r="C999" t="inlineStr">
        <is>
          <t xml:space="preserve">GRUPO L.                      </t>
        </is>
      </c>
      <c r="D999" t="inlineStr">
        <is>
          <t>GELATINA MANZANA</t>
        </is>
      </c>
      <c r="E999" t="inlineStr">
        <is>
          <t xml:space="preserve">7790530370904       </t>
        </is>
      </c>
      <c r="F999" t="n">
        <v>4019841</v>
      </c>
      <c r="G999" t="inlineStr">
        <is>
          <t xml:space="preserve">GELATINA MANZANA X1KG BEDIAL       </t>
        </is>
      </c>
      <c r="H999" t="inlineStr">
        <is>
          <t xml:space="preserve">UNIDAD              </t>
        </is>
      </c>
      <c r="I999" t="n">
        <v>31</v>
      </c>
      <c r="J999" t="n">
        <v>0</v>
      </c>
      <c r="K999" t="n">
        <v>0</v>
      </c>
      <c r="L999" t="n">
        <v>7</v>
      </c>
      <c r="M999" t="n">
        <v>7</v>
      </c>
      <c r="N999" t="n">
        <v>0</v>
      </c>
      <c r="O999" t="n">
        <v>17</v>
      </c>
      <c r="P999" s="96">
        <f>_xlfn.XLOOKUP(Tabla5[[#This Row],[EAN CORREGIDO]],'Tabla Articulos'!B:B,'Tabla Articulos'!D:D)</f>
        <v/>
      </c>
      <c r="Q999" s="96">
        <f>_xlfn.XLOOKUP(S999,'Tabla Articulos'!B:B,'Tabla Articulos'!E:E)</f>
        <v/>
      </c>
      <c r="R999" s="96">
        <f>O999*Q999</f>
        <v/>
      </c>
      <c r="S999" s="97">
        <f>TRIM(E999)</f>
        <v/>
      </c>
    </row>
    <row r="1000" hidden="1">
      <c r="A1000" s="22" t="n">
        <v>1</v>
      </c>
      <c r="B1000" t="inlineStr">
        <is>
          <t xml:space="preserve">CD MORENO                     </t>
        </is>
      </c>
      <c r="C1000" t="inlineStr">
        <is>
          <t xml:space="preserve">GRUPO L.                      </t>
        </is>
      </c>
      <c r="D1000" t="inlineStr">
        <is>
          <t xml:space="preserve">TURRON MANI </t>
        </is>
      </c>
      <c r="E1000" t="inlineStr">
        <is>
          <t xml:space="preserve">7792860005860       </t>
        </is>
      </c>
      <c r="F1000" t="n">
        <v>4018841</v>
      </c>
      <c r="G1000" t="inlineStr">
        <is>
          <t xml:space="preserve">TURRON DE MANI  X120GR LHERITIER   </t>
        </is>
      </c>
      <c r="H1000" t="inlineStr">
        <is>
          <t xml:space="preserve">UNIDAD              </t>
        </is>
      </c>
      <c r="I1000" t="n">
        <v>80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80</v>
      </c>
      <c r="P1000" s="96">
        <f>_xlfn.XLOOKUP(Tabla5[[#This Row],[EAN CORREGIDO]],'Tabla Articulos'!B:B,'Tabla Articulos'!D:D)</f>
        <v/>
      </c>
      <c r="Q1000" s="96">
        <f>_xlfn.XLOOKUP(S1000,'Tabla Articulos'!B:B,'Tabla Articulos'!E:E)</f>
        <v/>
      </c>
      <c r="R1000" s="96">
        <f>O1000*Q1000</f>
        <v/>
      </c>
      <c r="S1000" s="97">
        <f>TRIM(E1000)</f>
        <v/>
      </c>
    </row>
    <row r="1001" hidden="1">
      <c r="A1001" s="22" t="n">
        <v>5</v>
      </c>
      <c r="B1001" t="inlineStr">
        <is>
          <t xml:space="preserve">CDM02 - MORENO 2              </t>
        </is>
      </c>
      <c r="C1001" t="inlineStr">
        <is>
          <t xml:space="preserve">GRUPO L.                      </t>
        </is>
      </c>
      <c r="D1001" t="inlineStr">
        <is>
          <t>PALTA</t>
        </is>
      </c>
      <c r="E1001" t="inlineStr">
        <is>
          <t xml:space="preserve">7790216012624       </t>
        </is>
      </c>
      <c r="F1001" t="n">
        <v>4017963</v>
      </c>
      <c r="G1001" t="inlineStr">
        <is>
          <t xml:space="preserve">PALTA X KG                         </t>
        </is>
      </c>
      <c r="H1001" t="inlineStr">
        <is>
          <t xml:space="preserve">Kgs                 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3</v>
      </c>
      <c r="P1001" s="96">
        <f>_xlfn.XLOOKUP(Tabla5[[#This Row],[EAN CORREGIDO]],'Tabla Articulos'!B:B,'Tabla Articulos'!D:D)</f>
        <v/>
      </c>
      <c r="Q1001" s="96">
        <f>_xlfn.XLOOKUP(S1001,'Tabla Articulos'!B:B,'Tabla Articulos'!E:E)</f>
        <v/>
      </c>
      <c r="R1001" s="96">
        <f>O1001*Q1001</f>
        <v/>
      </c>
      <c r="S1001" s="97">
        <f>TRIM(E1001)</f>
        <v/>
      </c>
    </row>
    <row r="1002" hidden="1">
      <c r="A1002" s="22" t="n">
        <v>6</v>
      </c>
      <c r="B1002" t="inlineStr">
        <is>
          <t xml:space="preserve">CDM03 - MORENO 3              </t>
        </is>
      </c>
      <c r="C1002" t="inlineStr">
        <is>
          <t xml:space="preserve">GRUPO L.                      </t>
        </is>
      </c>
      <c r="D1002" s="11" t="n"/>
      <c r="E1002" t="inlineStr">
        <is>
          <t xml:space="preserve">UNIF000146          </t>
        </is>
      </c>
      <c r="F1002" t="n">
        <v>9003563</v>
      </c>
      <c r="G1002" t="inlineStr">
        <is>
          <t xml:space="preserve">CAMI.3/4 BLAN SALUD MUJ 3 C.GOUR   </t>
        </is>
      </c>
      <c r="H1002" t="inlineStr">
        <is>
          <t xml:space="preserve">UNIDAD              </t>
        </is>
      </c>
      <c r="I1002" t="n">
        <v>24</v>
      </c>
      <c r="J1002" t="n">
        <v>0</v>
      </c>
      <c r="K1002" t="n">
        <v>0</v>
      </c>
      <c r="L1002" t="n">
        <v>1</v>
      </c>
      <c r="M1002" t="n">
        <v>1</v>
      </c>
      <c r="N1002" t="n">
        <v>0</v>
      </c>
      <c r="O1002" t="n">
        <v>22</v>
      </c>
      <c r="P1002" s="96">
        <f>_xlfn.XLOOKUP(Tabla5[[#This Row],[EAN CORREGIDO]],'Tabla Articulos'!B:B,'Tabla Articulos'!D:D)</f>
        <v/>
      </c>
      <c r="Q1002" s="96">
        <f>_xlfn.XLOOKUP(S1002,'Tabla Articulos'!B:B,'Tabla Articulos'!E:E)</f>
        <v/>
      </c>
      <c r="R1002" s="96">
        <f>O1002*Q1002</f>
        <v/>
      </c>
      <c r="S1002" s="97">
        <f>TRIM(E1002)</f>
        <v/>
      </c>
    </row>
    <row r="1003" hidden="1">
      <c r="A1003" s="22" t="n">
        <v>1</v>
      </c>
      <c r="B1003" t="inlineStr">
        <is>
          <t xml:space="preserve">CD MORENO                     </t>
        </is>
      </c>
      <c r="C1003" t="inlineStr">
        <is>
          <t xml:space="preserve">GRUPO L.                      </t>
        </is>
      </c>
      <c r="D1003" t="inlineStr">
        <is>
          <t>GALLE AGUA</t>
        </is>
      </c>
      <c r="E1003" t="inlineStr">
        <is>
          <t xml:space="preserve">7792683000370       </t>
        </is>
      </c>
      <c r="F1003" t="n">
        <v>4018840</v>
      </c>
      <c r="G1003" t="inlineStr">
        <is>
          <t xml:space="preserve">GALLET AGUA X300G NOGALITAS        </t>
        </is>
      </c>
      <c r="H1003" t="inlineStr">
        <is>
          <t xml:space="preserve">UNIDAD              </t>
        </is>
      </c>
      <c r="I1003" t="n">
        <v>29417</v>
      </c>
      <c r="J1003" t="n">
        <v>2700</v>
      </c>
      <c r="K1003" t="n">
        <v>900</v>
      </c>
      <c r="L1003" t="n">
        <v>0</v>
      </c>
      <c r="M1003" t="n">
        <v>0</v>
      </c>
      <c r="N1003" t="n">
        <v>0</v>
      </c>
      <c r="O1003" t="n">
        <v>31217</v>
      </c>
      <c r="P1003" s="96">
        <f>_xlfn.XLOOKUP(Tabla5[[#This Row],[EAN CORREGIDO]],'Tabla Articulos'!B:B,'Tabla Articulos'!D:D)</f>
        <v/>
      </c>
      <c r="Q1003" s="96">
        <f>_xlfn.XLOOKUP(S1003,'Tabla Articulos'!B:B,'Tabla Articulos'!E:E)</f>
        <v/>
      </c>
      <c r="R1003" s="96">
        <f>O1003*Q1003</f>
        <v/>
      </c>
      <c r="S1003" s="97">
        <f>TRIM(E1003)</f>
        <v/>
      </c>
    </row>
    <row r="1004" hidden="1">
      <c r="A1004" s="22" t="n">
        <v>5</v>
      </c>
      <c r="B1004" t="inlineStr">
        <is>
          <t xml:space="preserve">CDM02 - MORENO 2              </t>
        </is>
      </c>
      <c r="C1004" t="inlineStr">
        <is>
          <t xml:space="preserve">GRUPO L.                      </t>
        </is>
      </c>
      <c r="D1004" t="inlineStr">
        <is>
          <t>GALLE AGUA</t>
        </is>
      </c>
      <c r="E1004" t="inlineStr">
        <is>
          <t xml:space="preserve">7792683000370       </t>
        </is>
      </c>
      <c r="F1004" t="n">
        <v>4018840</v>
      </c>
      <c r="G1004" t="inlineStr">
        <is>
          <t xml:space="preserve">GALLET AGUA X300G NOGALITAS        </t>
        </is>
      </c>
      <c r="H1004" t="inlineStr">
        <is>
          <t xml:space="preserve">UNIDAD              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1</v>
      </c>
      <c r="P1004" s="96">
        <f>_xlfn.XLOOKUP(Tabla5[[#This Row],[EAN CORREGIDO]],'Tabla Articulos'!B:B,'Tabla Articulos'!D:D)</f>
        <v/>
      </c>
      <c r="Q1004" s="96">
        <f>_xlfn.XLOOKUP(S1004,'Tabla Articulos'!B:B,'Tabla Articulos'!E:E)</f>
        <v/>
      </c>
      <c r="R1004" s="96">
        <f>O1004*Q1004</f>
        <v/>
      </c>
      <c r="S1004" s="97">
        <f>TRIM(E1004)</f>
        <v/>
      </c>
    </row>
    <row r="1005" hidden="1">
      <c r="A1005" s="22" t="n">
        <v>6</v>
      </c>
      <c r="B1005" t="inlineStr">
        <is>
          <t xml:space="preserve">CDM03 - MORENO 3              </t>
        </is>
      </c>
      <c r="C1005" t="inlineStr">
        <is>
          <t xml:space="preserve">GRUPO L.                      </t>
        </is>
      </c>
      <c r="D1005" t="inlineStr">
        <is>
          <t>BOLSAS RESIDUO 30 MICRO NEGRA</t>
        </is>
      </c>
      <c r="E1005" t="inlineStr">
        <is>
          <t xml:space="preserve">7790321000062       </t>
        </is>
      </c>
      <c r="F1005" t="n">
        <v>2006161</v>
      </c>
      <c r="G1005" t="inlineStr">
        <is>
          <t xml:space="preserve">BOLSA RESID NEGR 50X70X35MIC X50UN </t>
        </is>
      </c>
      <c r="H1005" t="inlineStr">
        <is>
          <t xml:space="preserve">BULTOS              </t>
        </is>
      </c>
      <c r="I1005" t="n">
        <v>21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21</v>
      </c>
      <c r="P1005" s="96">
        <f>_xlfn.XLOOKUP(Tabla5[[#This Row],[EAN CORREGIDO]],'Tabla Articulos'!B:B,'Tabla Articulos'!D:D)</f>
        <v/>
      </c>
      <c r="Q1005" s="96">
        <f>_xlfn.XLOOKUP(S1005,'Tabla Articulos'!B:B,'Tabla Articulos'!E:E)</f>
        <v/>
      </c>
      <c r="R1005" s="96">
        <f>O1005*Q1005</f>
        <v/>
      </c>
      <c r="S1005" s="97">
        <f>TRIM(E1005)</f>
        <v/>
      </c>
    </row>
    <row r="1006" hidden="1">
      <c r="A1006" s="22" t="n">
        <v>6</v>
      </c>
      <c r="B1006" t="inlineStr">
        <is>
          <t xml:space="preserve">CDM03 - MORENO 3              </t>
        </is>
      </c>
      <c r="C1006" t="inlineStr">
        <is>
          <t xml:space="preserve">GRUPO L.                      </t>
        </is>
      </c>
      <c r="E1006" t="inlineStr">
        <is>
          <t xml:space="preserve">BAZ001297           </t>
        </is>
      </c>
      <c r="F1006" t="n">
        <v>9003696</v>
      </c>
      <c r="G1006" t="inlineStr">
        <is>
          <t xml:space="preserve">CUCHARA DE MESA M/ PLASTICO RO     </t>
        </is>
      </c>
      <c r="H1006" t="inlineStr">
        <is>
          <t xml:space="preserve">UNIDAD              </t>
        </is>
      </c>
      <c r="I1006" t="n">
        <v>1664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1664</v>
      </c>
      <c r="P1006" s="96">
        <f>_xlfn.XLOOKUP(Tabla5[[#This Row],[EAN CORREGIDO]],'Tabla Articulos'!B:B,'Tabla Articulos'!D:D)</f>
        <v/>
      </c>
      <c r="Q1006" s="96">
        <f>_xlfn.XLOOKUP(S1006,'Tabla Articulos'!B:B,'Tabla Articulos'!E:E)</f>
        <v/>
      </c>
      <c r="R1006" s="96">
        <f>O1006*Q1006</f>
        <v/>
      </c>
      <c r="S1006" s="97">
        <f>TRIM(E1006)</f>
        <v/>
      </c>
    </row>
    <row r="1007" hidden="1">
      <c r="A1007" s="22" t="n">
        <v>5</v>
      </c>
      <c r="B1007" t="inlineStr">
        <is>
          <t xml:space="preserve">CDM02 - MORENO 2              </t>
        </is>
      </c>
      <c r="C1007" t="inlineStr">
        <is>
          <t xml:space="preserve">GRUPO L.                      </t>
        </is>
      </c>
      <c r="D1007" s="11" t="inlineStr">
        <is>
          <t>ATUN A/A DESMEN</t>
        </is>
      </c>
      <c r="E1007" t="inlineStr">
        <is>
          <t xml:space="preserve">7790199604792       </t>
        </is>
      </c>
      <c r="F1007" t="n">
        <v>4023173</v>
      </c>
      <c r="G1007" t="inlineStr">
        <is>
          <t xml:space="preserve">ATUN DESM E/AC 170GR MORIXE        </t>
        </is>
      </c>
      <c r="H1007" t="inlineStr">
        <is>
          <t xml:space="preserve">UNIDAD              </t>
        </is>
      </c>
      <c r="I1007" t="n">
        <v>55593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55593</v>
      </c>
      <c r="P1007" s="96">
        <f>_xlfn.XLOOKUP(Tabla5[[#This Row],[EAN CORREGIDO]],'Tabla Articulos'!B:B,'Tabla Articulos'!D:D)</f>
        <v/>
      </c>
      <c r="Q1007" s="96">
        <f>_xlfn.XLOOKUP(S1007,'Tabla Articulos'!B:B,'Tabla Articulos'!E:E)</f>
        <v/>
      </c>
      <c r="R1007" s="96">
        <f>O1007*Q1007</f>
        <v/>
      </c>
      <c r="S1007" s="97">
        <f>TRIM(E1007)</f>
        <v/>
      </c>
    </row>
    <row r="1008" hidden="1">
      <c r="A1008" s="22" t="n">
        <v>6</v>
      </c>
      <c r="B1008" t="inlineStr">
        <is>
          <t xml:space="preserve">CDM03 - MORENO 3              </t>
        </is>
      </c>
      <c r="C1008" t="inlineStr">
        <is>
          <t xml:space="preserve">GRUPO L.                      </t>
        </is>
      </c>
      <c r="D1008" s="11" t="inlineStr">
        <is>
          <t>DISPENSER TOALLAS</t>
        </is>
      </c>
      <c r="E1008" t="inlineStr">
        <is>
          <t xml:space="preserve">BAZ000374           </t>
        </is>
      </c>
      <c r="F1008" t="n">
        <v>5003000</v>
      </c>
      <c r="G1008" t="inlineStr">
        <is>
          <t xml:space="preserve">DISPENSER TOALLAS XUN CRIS-ZEL     </t>
        </is>
      </c>
      <c r="H1008" t="inlineStr">
        <is>
          <t xml:space="preserve">UNIDAD              </t>
        </is>
      </c>
      <c r="I1008" t="n">
        <v>26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26</v>
      </c>
      <c r="P1008" s="96">
        <f>_xlfn.XLOOKUP(Tabla5[[#This Row],[EAN CORREGIDO]],'Tabla Articulos'!B:B,'Tabla Articulos'!D:D)</f>
        <v/>
      </c>
      <c r="Q1008" s="96">
        <f>_xlfn.XLOOKUP(S1008,'Tabla Articulos'!B:B,'Tabla Articulos'!E:E)</f>
        <v/>
      </c>
      <c r="R1008" s="96">
        <f>O1008*Q1008</f>
        <v/>
      </c>
      <c r="S1008" s="97">
        <f>TRIM(E1008)</f>
        <v/>
      </c>
    </row>
    <row r="1009" hidden="1">
      <c r="A1009" s="22" t="n">
        <v>5</v>
      </c>
      <c r="B1009" t="inlineStr">
        <is>
          <t xml:space="preserve">CDM02 - MORENO 2              </t>
        </is>
      </c>
      <c r="C1009" t="inlineStr">
        <is>
          <t xml:space="preserve">GRUPO L.                      </t>
        </is>
      </c>
      <c r="D1009" t="inlineStr">
        <is>
          <t>CAJAS CARTON</t>
        </is>
      </c>
      <c r="E1009" t="inlineStr">
        <is>
          <t xml:space="preserve">7790321626936       </t>
        </is>
      </c>
      <c r="F1009" t="n">
        <v>2006241</v>
      </c>
      <c r="G1009" t="inlineStr">
        <is>
          <t xml:space="preserve">CAJA 30X28X26 LOGO MESA/LANUS 90L	 </t>
        </is>
      </c>
      <c r="H1009" t="inlineStr">
        <is>
          <t xml:space="preserve">UNIDAD              </t>
        </is>
      </c>
      <c r="I1009" t="n">
        <v>10161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10161</v>
      </c>
      <c r="P1009" s="96">
        <f>_xlfn.XLOOKUP(Tabla5[[#This Row],[EAN CORREGIDO]],'Tabla Articulos'!B:B,'Tabla Articulos'!D:D)</f>
        <v/>
      </c>
      <c r="Q1009" s="96">
        <f>_xlfn.XLOOKUP(S1009,'Tabla Articulos'!B:B,'Tabla Articulos'!E:E)</f>
        <v/>
      </c>
      <c r="R1009" s="96">
        <f>O1009*Q1009</f>
        <v/>
      </c>
      <c r="S1009" s="97">
        <f>TRIM(E1009)</f>
        <v/>
      </c>
    </row>
    <row r="1010" hidden="1">
      <c r="A1010" s="22" t="n">
        <v>5</v>
      </c>
      <c r="B1010" t="inlineStr">
        <is>
          <t xml:space="preserve">CDM02 - MORENO 2              </t>
        </is>
      </c>
      <c r="C1010" t="inlineStr">
        <is>
          <t xml:space="preserve">GRUPO L.                      </t>
        </is>
      </c>
      <c r="E1010" t="inlineStr">
        <is>
          <t xml:space="preserve">7795618000094       </t>
        </is>
      </c>
      <c r="F1010" t="n">
        <v>2007210</v>
      </c>
      <c r="G1010" t="inlineStr">
        <is>
          <t>ROLLO BOLSA ARRAN.15X20 SONBUENAS 2</t>
        </is>
      </c>
      <c r="H1010" t="inlineStr">
        <is>
          <t xml:space="preserve">BULTOS              </t>
        </is>
      </c>
      <c r="I1010" t="n">
        <v>30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30</v>
      </c>
      <c r="P1010" s="96">
        <f>_xlfn.XLOOKUP(Tabla5[[#This Row],[EAN CORREGIDO]],'Tabla Articulos'!B:B,'Tabla Articulos'!D:D)</f>
        <v/>
      </c>
      <c r="Q1010" s="96">
        <f>_xlfn.XLOOKUP(S1010,'Tabla Articulos'!B:B,'Tabla Articulos'!E:E)</f>
        <v/>
      </c>
      <c r="R1010" s="96">
        <f>O1010*Q1010</f>
        <v/>
      </c>
      <c r="S1010" s="97">
        <f>TRIM(E1010)</f>
        <v/>
      </c>
    </row>
    <row r="1011" hidden="1">
      <c r="A1011" s="22" t="n">
        <v>1</v>
      </c>
      <c r="B1011" t="inlineStr">
        <is>
          <t xml:space="preserve">CD MORENO                     </t>
        </is>
      </c>
      <c r="C1011" t="inlineStr">
        <is>
          <t xml:space="preserve">GRUPO L.                      </t>
        </is>
      </c>
      <c r="D1011" t="inlineStr">
        <is>
          <t>CALDO GRANULADO</t>
        </is>
      </c>
      <c r="E1011" t="inlineStr">
        <is>
          <t xml:space="preserve">7794000004030       </t>
        </is>
      </c>
      <c r="F1011" t="n">
        <v>4020761</v>
      </c>
      <c r="G1011" t="inlineStr">
        <is>
          <t xml:space="preserve">CALDO VERDURA GRANU X650G KNORR    </t>
        </is>
      </c>
      <c r="H1011" t="inlineStr">
        <is>
          <t xml:space="preserve">UNIDAD              </t>
        </is>
      </c>
      <c r="I1011" t="n">
        <v>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6</v>
      </c>
      <c r="P1011" s="96">
        <f>_xlfn.XLOOKUP(Tabla5[[#This Row],[EAN CORREGIDO]],'Tabla Articulos'!B:B,'Tabla Articulos'!D:D)</f>
        <v/>
      </c>
      <c r="Q1011" s="96">
        <f>_xlfn.XLOOKUP(S1011,'Tabla Articulos'!B:B,'Tabla Articulos'!E:E)</f>
        <v/>
      </c>
      <c r="R1011" s="96">
        <f>O1011*Q1011</f>
        <v/>
      </c>
      <c r="S1011" s="97">
        <f>TRIM(E1011)</f>
        <v/>
      </c>
    </row>
    <row r="1012" hidden="1">
      <c r="A1012" s="22" t="n">
        <v>5</v>
      </c>
      <c r="B1012" t="inlineStr">
        <is>
          <t xml:space="preserve">CDM02 - MORENO 2              </t>
        </is>
      </c>
      <c r="C1012" t="inlineStr">
        <is>
          <t xml:space="preserve">GRUPO L.                      </t>
        </is>
      </c>
      <c r="D1012" s="11" t="inlineStr">
        <is>
          <t>YERBA MATE</t>
        </is>
      </c>
      <c r="E1012" t="inlineStr">
        <is>
          <t xml:space="preserve">7790387014617       </t>
        </is>
      </c>
      <c r="F1012" t="n">
        <v>4077160</v>
      </c>
      <c r="G1012" t="inlineStr">
        <is>
          <t xml:space="preserve">YERBA UNIÓN CON PALO X1000G        </t>
        </is>
      </c>
      <c r="H1012" t="inlineStr">
        <is>
          <t xml:space="preserve">UNIDAD              </t>
        </is>
      </c>
      <c r="I1012" t="n">
        <v>200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200</v>
      </c>
      <c r="P1012" s="96">
        <f>_xlfn.XLOOKUP(Tabla5[[#This Row],[EAN CORREGIDO]],'Tabla Articulos'!B:B,'Tabla Articulos'!D:D)</f>
        <v/>
      </c>
      <c r="Q1012" s="96">
        <f>_xlfn.XLOOKUP(S1012,'Tabla Articulos'!B:B,'Tabla Articulos'!E:E)</f>
        <v/>
      </c>
      <c r="R1012" s="96">
        <f>O1012*Q1012</f>
        <v/>
      </c>
      <c r="S1012" s="97">
        <f>TRIM(E1012)</f>
        <v/>
      </c>
    </row>
    <row r="1013" hidden="1">
      <c r="A1013" s="22" t="n">
        <v>1</v>
      </c>
      <c r="B1013" t="inlineStr">
        <is>
          <t xml:space="preserve">CD MORENO                     </t>
        </is>
      </c>
      <c r="C1013" t="inlineStr">
        <is>
          <t xml:space="preserve">GRUPO L.                      </t>
        </is>
      </c>
      <c r="D1013" t="inlineStr">
        <is>
          <t>LIMON</t>
        </is>
      </c>
      <c r="E1013" t="inlineStr">
        <is>
          <t xml:space="preserve">7790216020098       </t>
        </is>
      </c>
      <c r="F1013" t="n">
        <v>4018059</v>
      </c>
      <c r="G1013" t="inlineStr">
        <is>
          <t xml:space="preserve">LIMON X KG                         </t>
        </is>
      </c>
      <c r="H1013" t="inlineStr">
        <is>
          <t xml:space="preserve">Kgs                 </t>
        </is>
      </c>
      <c r="I1013" t="n">
        <v>17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17</v>
      </c>
      <c r="P1013" s="96">
        <f>_xlfn.XLOOKUP(Tabla5[[#This Row],[EAN CORREGIDO]],'Tabla Articulos'!B:B,'Tabla Articulos'!D:D)</f>
        <v/>
      </c>
      <c r="Q1013" s="96">
        <f>_xlfn.XLOOKUP(S1013,'Tabla Articulos'!B:B,'Tabla Articulos'!E:E)</f>
        <v/>
      </c>
      <c r="R1013" s="96">
        <f>O1013*Q1013</f>
        <v/>
      </c>
      <c r="S1013" s="97">
        <f>TRIM(E1013)</f>
        <v/>
      </c>
    </row>
    <row r="1014" hidden="1">
      <c r="A1014" s="22" t="n">
        <v>6</v>
      </c>
      <c r="B1014" t="inlineStr">
        <is>
          <t xml:space="preserve">CDM03 - MORENO 3              </t>
        </is>
      </c>
      <c r="C1014" t="inlineStr">
        <is>
          <t xml:space="preserve">GRUPO L.                      </t>
        </is>
      </c>
      <c r="D1014" t="inlineStr">
        <is>
          <t xml:space="preserve">TENEDOR </t>
        </is>
      </c>
      <c r="E1014" t="inlineStr">
        <is>
          <t xml:space="preserve">7790000000251       </t>
        </is>
      </c>
      <c r="F1014" t="n">
        <v>2007128</v>
      </c>
      <c r="G1014" t="inlineStr">
        <is>
          <t xml:space="preserve">TENEDOR DESC. BLANCO ALUM X1000UN  </t>
        </is>
      </c>
      <c r="H1014" t="inlineStr">
        <is>
          <t xml:space="preserve">UNIDAD              </t>
        </is>
      </c>
      <c r="I1014" t="n">
        <v>109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109</v>
      </c>
      <c r="P1014" s="96">
        <f>_xlfn.XLOOKUP(Tabla5[[#This Row],[EAN CORREGIDO]],'Tabla Articulos'!B:B,'Tabla Articulos'!D:D)</f>
        <v/>
      </c>
      <c r="Q1014" s="96">
        <f>_xlfn.XLOOKUP(S1014,'Tabla Articulos'!B:B,'Tabla Articulos'!E:E)</f>
        <v/>
      </c>
      <c r="R1014" s="96">
        <f>O1014*Q1014</f>
        <v/>
      </c>
      <c r="S1014" s="97">
        <f>TRIM(E1014)</f>
        <v/>
      </c>
    </row>
    <row r="1015" hidden="1">
      <c r="A1015" s="22" t="n">
        <v>6</v>
      </c>
      <c r="B1015" t="inlineStr">
        <is>
          <t xml:space="preserve">CDM03 - MORENO 3              </t>
        </is>
      </c>
      <c r="C1015" t="inlineStr">
        <is>
          <t xml:space="preserve">GRUPO L.                      </t>
        </is>
      </c>
      <c r="D1015" s="11" t="n"/>
      <c r="E1015" t="inlineStr">
        <is>
          <t xml:space="preserve">UNIF000737          </t>
        </is>
      </c>
      <c r="F1015" t="n">
        <v>9004191</v>
      </c>
      <c r="G1015" t="inlineStr">
        <is>
          <t xml:space="preserve">CHAQUETA CHEF BLUE CAFÉ S          </t>
        </is>
      </c>
      <c r="H1015" t="inlineStr">
        <is>
          <t xml:space="preserve">PALLET              </t>
        </is>
      </c>
      <c r="I1015" t="n">
        <v>30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30</v>
      </c>
      <c r="P1015" s="96">
        <f>_xlfn.XLOOKUP(Tabla5[[#This Row],[EAN CORREGIDO]],'Tabla Articulos'!B:B,'Tabla Articulos'!D:D)</f>
        <v/>
      </c>
      <c r="Q1015" s="96">
        <f>_xlfn.XLOOKUP(S1015,'Tabla Articulos'!B:B,'Tabla Articulos'!E:E)</f>
        <v/>
      </c>
      <c r="R1015" s="96">
        <f>O1015*Q1015</f>
        <v/>
      </c>
      <c r="S1015" s="97">
        <f>TRIM(E1015)</f>
        <v/>
      </c>
    </row>
    <row r="1016" hidden="1">
      <c r="A1016" s="22" t="n">
        <v>1</v>
      </c>
      <c r="B1016" t="inlineStr">
        <is>
          <t xml:space="preserve">CD MORENO                     </t>
        </is>
      </c>
      <c r="C1016" t="inlineStr">
        <is>
          <t xml:space="preserve">GRUPO L.                      </t>
        </is>
      </c>
      <c r="D1016" t="inlineStr">
        <is>
          <t>LECHE LV ENTERA</t>
        </is>
      </c>
      <c r="E1016" t="inlineStr">
        <is>
          <t xml:space="preserve">7798338290103       </t>
        </is>
      </c>
      <c r="F1016" t="n">
        <v>4021262</v>
      </c>
      <c r="G1016" t="inlineStr">
        <is>
          <t xml:space="preserve">LECHE ENTERA LV X 1 L APOSTOLES    </t>
        </is>
      </c>
      <c r="H1016" t="inlineStr">
        <is>
          <t xml:space="preserve">UNIDAD              </t>
        </is>
      </c>
      <c r="I1016" t="n">
        <v>1795</v>
      </c>
      <c r="J1016" t="n">
        <v>-900</v>
      </c>
      <c r="K1016" t="n">
        <v>0</v>
      </c>
      <c r="L1016" t="n">
        <v>0</v>
      </c>
      <c r="M1016" t="n">
        <v>0</v>
      </c>
      <c r="N1016" t="n">
        <v>0</v>
      </c>
      <c r="O1016" t="n">
        <v>895</v>
      </c>
      <c r="P1016" s="96">
        <f>_xlfn.XLOOKUP(Tabla5[[#This Row],[EAN CORREGIDO]],'Tabla Articulos'!B:B,'Tabla Articulos'!D:D)</f>
        <v/>
      </c>
      <c r="Q1016" s="96">
        <f>_xlfn.XLOOKUP(S1016,'Tabla Articulos'!B:B,'Tabla Articulos'!E:E)</f>
        <v/>
      </c>
      <c r="R1016" s="96">
        <f>O1016*Q1016</f>
        <v/>
      </c>
      <c r="S1016" s="97">
        <f>TRIM(E1016)</f>
        <v/>
      </c>
    </row>
    <row r="1017" hidden="1">
      <c r="A1017" s="22" t="n">
        <v>6</v>
      </c>
      <c r="B1017" t="inlineStr">
        <is>
          <t xml:space="preserve">CDM03 - MORENO 3              </t>
        </is>
      </c>
      <c r="C1017" t="inlineStr">
        <is>
          <t xml:space="preserve">GRUPO L.                      </t>
        </is>
      </c>
      <c r="D1017" s="11" t="inlineStr">
        <is>
          <t>PAPEL HIGIENICO</t>
        </is>
      </c>
      <c r="E1017" t="inlineStr">
        <is>
          <t xml:space="preserve">7790000000823       </t>
        </is>
      </c>
      <c r="F1017" t="n">
        <v>2016676</v>
      </c>
      <c r="G1017" t="inlineStr">
        <is>
          <t xml:space="preserve">PAPEL HIG 200MTX8U 1.6KG PEXPRESS  </t>
        </is>
      </c>
      <c r="H1017" t="inlineStr">
        <is>
          <t xml:space="preserve">UNIDAD              </t>
        </is>
      </c>
      <c r="I1017" t="n">
        <v>370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370</v>
      </c>
      <c r="P1017" s="96">
        <f>_xlfn.XLOOKUP(Tabla5[[#This Row],[EAN CORREGIDO]],'Tabla Articulos'!B:B,'Tabla Articulos'!D:D)</f>
        <v/>
      </c>
      <c r="Q1017" s="96">
        <f>_xlfn.XLOOKUP(S1017,'Tabla Articulos'!B:B,'Tabla Articulos'!E:E)</f>
        <v/>
      </c>
      <c r="R1017" s="96">
        <f>O1017*Q1017</f>
        <v/>
      </c>
      <c r="S1017" s="97">
        <f>TRIM(E1017)</f>
        <v/>
      </c>
    </row>
    <row r="1018" hidden="1">
      <c r="A1018" s="22" t="n">
        <v>6</v>
      </c>
      <c r="B1018" t="inlineStr">
        <is>
          <t xml:space="preserve">CDM03 - MORENO 3              </t>
        </is>
      </c>
      <c r="C1018" t="inlineStr">
        <is>
          <t xml:space="preserve">GRUPO L.                      </t>
        </is>
      </c>
      <c r="D1018" s="11" t="n"/>
      <c r="E1018" t="inlineStr">
        <is>
          <t xml:space="preserve">UNIF000596          </t>
        </is>
      </c>
      <c r="F1018" t="n">
        <v>9003134</v>
      </c>
      <c r="G1018" t="inlineStr">
        <is>
          <t xml:space="preserve">CHAQUETA CUELLO MAO T4 C GOURM     </t>
        </is>
      </c>
      <c r="H1018" t="inlineStr">
        <is>
          <t xml:space="preserve">UNIDAD              </t>
        </is>
      </c>
      <c r="I1018" t="n">
        <v>0</v>
      </c>
      <c r="J1018" t="n">
        <v>750</v>
      </c>
      <c r="K1018" t="n">
        <v>0</v>
      </c>
      <c r="L1018" t="n">
        <v>7</v>
      </c>
      <c r="M1018" t="n">
        <v>7</v>
      </c>
      <c r="N1018" t="n">
        <v>0</v>
      </c>
      <c r="O1018" t="n">
        <v>736</v>
      </c>
      <c r="P1018" s="96">
        <f>_xlfn.XLOOKUP(Tabla5[[#This Row],[EAN CORREGIDO]],'Tabla Articulos'!B:B,'Tabla Articulos'!D:D)</f>
        <v/>
      </c>
      <c r="Q1018" s="96">
        <f>_xlfn.XLOOKUP(S1018,'Tabla Articulos'!B:B,'Tabla Articulos'!E:E)</f>
        <v/>
      </c>
      <c r="R1018" s="96">
        <f>O1018*Q1018</f>
        <v/>
      </c>
      <c r="S1018" s="97">
        <f>TRIM(E1018)</f>
        <v/>
      </c>
    </row>
    <row r="1019" hidden="1">
      <c r="A1019" s="22" t="n">
        <v>6</v>
      </c>
      <c r="B1019" t="inlineStr">
        <is>
          <t xml:space="preserve">CDM03 - MORENO 3              </t>
        </is>
      </c>
      <c r="C1019" t="inlineStr">
        <is>
          <t xml:space="preserve">GRUPO L.                      </t>
        </is>
      </c>
      <c r="D1019" t="inlineStr">
        <is>
          <t>PLATOS DESCARTABLES</t>
        </is>
      </c>
      <c r="E1019" t="inlineStr">
        <is>
          <t xml:space="preserve">7798102570653       </t>
        </is>
      </c>
      <c r="F1019" t="n">
        <v>2016703</v>
      </c>
      <c r="G1019" t="inlineStr">
        <is>
          <t xml:space="preserve">PLATO DESCARTABLE 17CM X50UN       </t>
        </is>
      </c>
      <c r="H1019" t="inlineStr">
        <is>
          <t xml:space="preserve">UNIDAD              </t>
        </is>
      </c>
      <c r="I1019" t="n">
        <v>40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40</v>
      </c>
      <c r="P1019" s="96">
        <f>_xlfn.XLOOKUP(Tabla5[[#This Row],[EAN CORREGIDO]],'Tabla Articulos'!B:B,'Tabla Articulos'!D:D)</f>
        <v/>
      </c>
      <c r="Q1019" s="96">
        <f>_xlfn.XLOOKUP(S1019,'Tabla Articulos'!B:B,'Tabla Articulos'!E:E)</f>
        <v/>
      </c>
      <c r="R1019" s="96">
        <f>O1019*Q1019</f>
        <v/>
      </c>
      <c r="S1019" s="97">
        <f>TRIM(E1019)</f>
        <v/>
      </c>
    </row>
    <row r="1020" hidden="1">
      <c r="A1020" s="22" t="n">
        <v>6</v>
      </c>
      <c r="B1020" t="inlineStr">
        <is>
          <t xml:space="preserve">CDM03 - MORENO 3              </t>
        </is>
      </c>
      <c r="C1020" t="inlineStr">
        <is>
          <t xml:space="preserve">GRUPO L.                      </t>
        </is>
      </c>
      <c r="E1020" t="inlineStr">
        <is>
          <t xml:space="preserve">UNIF000626          </t>
        </is>
      </c>
      <c r="F1020" t="n">
        <v>9003164</v>
      </c>
      <c r="G1020" t="inlineStr">
        <is>
          <t xml:space="preserve">PANTALON NAUTICO NEG S LOGO T5     </t>
        </is>
      </c>
      <c r="H1020" t="inlineStr">
        <is>
          <t xml:space="preserve">UNIDAD              </t>
        </is>
      </c>
      <c r="I1020" t="n">
        <v>16</v>
      </c>
      <c r="J1020" t="n">
        <v>500</v>
      </c>
      <c r="K1020" t="n">
        <v>0</v>
      </c>
      <c r="L1020" t="n">
        <v>9</v>
      </c>
      <c r="M1020" t="n">
        <v>9</v>
      </c>
      <c r="N1020" t="n">
        <v>0</v>
      </c>
      <c r="O1020" t="n">
        <v>498</v>
      </c>
      <c r="P1020" s="96">
        <f>_xlfn.XLOOKUP(Tabla5[[#This Row],[EAN CORREGIDO]],'Tabla Articulos'!B:B,'Tabla Articulos'!D:D)</f>
        <v/>
      </c>
      <c r="Q1020" s="96">
        <f>_xlfn.XLOOKUP(S1020,'Tabla Articulos'!B:B,'Tabla Articulos'!E:E)</f>
        <v/>
      </c>
      <c r="R1020" s="96">
        <f>O1020*Q1020</f>
        <v/>
      </c>
      <c r="S1020" s="97">
        <f>TRIM(E1020)</f>
        <v/>
      </c>
    </row>
    <row r="1021" hidden="1">
      <c r="A1021" s="22" t="n">
        <v>6</v>
      </c>
      <c r="B1021" t="inlineStr">
        <is>
          <t xml:space="preserve">CDM03 - MORENO 3              </t>
        </is>
      </c>
      <c r="C1021" t="inlineStr">
        <is>
          <t xml:space="preserve">GRUPO L.                      </t>
        </is>
      </c>
      <c r="D1021" s="11" t="n"/>
      <c r="E1021" t="inlineStr">
        <is>
          <t xml:space="preserve">7891172433719       </t>
        </is>
      </c>
      <c r="F1021" t="n">
        <v>2011454</v>
      </c>
      <c r="G1021" t="inlineStr">
        <is>
          <t xml:space="preserve">GL JABON ESPUMA X6UN X800ML        </t>
        </is>
      </c>
      <c r="H1021" t="inlineStr">
        <is>
          <t xml:space="preserve">UNIDAD              </t>
        </is>
      </c>
      <c r="I1021" t="n">
        <v>26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26</v>
      </c>
      <c r="P1021" s="96">
        <f>_xlfn.XLOOKUP(Tabla5[[#This Row],[EAN CORREGIDO]],'Tabla Articulos'!B:B,'Tabla Articulos'!D:D)</f>
        <v/>
      </c>
      <c r="Q1021" s="96">
        <f>_xlfn.XLOOKUP(S1021,'Tabla Articulos'!B:B,'Tabla Articulos'!E:E)</f>
        <v/>
      </c>
      <c r="R1021" s="96">
        <f>O1021*Q1021</f>
        <v/>
      </c>
      <c r="S1021" s="97">
        <f>TRIM(E1021)</f>
        <v/>
      </c>
    </row>
    <row r="1022" hidden="1">
      <c r="A1022" s="22" t="n">
        <v>6</v>
      </c>
      <c r="B1022" t="inlineStr">
        <is>
          <t xml:space="preserve">CDM03 - MORENO 3              </t>
        </is>
      </c>
      <c r="C1022" t="inlineStr">
        <is>
          <t xml:space="preserve">GRUPO L.                      </t>
        </is>
      </c>
      <c r="E1022" t="inlineStr">
        <is>
          <t xml:space="preserve">UNIF000752          </t>
        </is>
      </c>
      <c r="F1022" t="n">
        <v>9004206</v>
      </c>
      <c r="G1022" t="inlineStr">
        <is>
          <t xml:space="preserve">CHOMBA PIQ GRIS MELANGE BLUECAFÉ M </t>
        </is>
      </c>
      <c r="H1022" t="inlineStr">
        <is>
          <t xml:space="preserve">UNIDAD              </t>
        </is>
      </c>
      <c r="I1022" t="n">
        <v>16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16</v>
      </c>
      <c r="P1022" s="96">
        <f>_xlfn.XLOOKUP(Tabla5[[#This Row],[EAN CORREGIDO]],'Tabla Articulos'!B:B,'Tabla Articulos'!D:D)</f>
        <v/>
      </c>
      <c r="Q1022" s="96">
        <f>_xlfn.XLOOKUP(S1022,'Tabla Articulos'!B:B,'Tabla Articulos'!E:E)</f>
        <v/>
      </c>
      <c r="R1022" s="96">
        <f>O1022*Q1022</f>
        <v/>
      </c>
      <c r="S1022" s="97">
        <f>TRIM(E1022)</f>
        <v/>
      </c>
    </row>
    <row r="1023" hidden="1">
      <c r="A1023" s="22" t="n">
        <v>6</v>
      </c>
      <c r="B1023" t="inlineStr">
        <is>
          <t xml:space="preserve">CDM03 - MORENO 3              </t>
        </is>
      </c>
      <c r="C1023" t="inlineStr">
        <is>
          <t xml:space="preserve">GRUPO L.                      </t>
        </is>
      </c>
      <c r="E1023" t="inlineStr">
        <is>
          <t xml:space="preserve">UNIF000623          </t>
        </is>
      </c>
      <c r="F1023" t="n">
        <v>9003161</v>
      </c>
      <c r="G1023" t="inlineStr">
        <is>
          <t xml:space="preserve">PANTALON NAUTICO NEG S LOGO T2     </t>
        </is>
      </c>
      <c r="H1023" t="inlineStr">
        <is>
          <t xml:space="preserve">UNIDAD              </t>
        </is>
      </c>
      <c r="I1023" t="n">
        <v>92</v>
      </c>
      <c r="J1023" t="n">
        <v>550</v>
      </c>
      <c r="K1023" t="n">
        <v>0</v>
      </c>
      <c r="L1023" t="n">
        <v>20</v>
      </c>
      <c r="M1023" t="n">
        <v>20</v>
      </c>
      <c r="N1023" t="n">
        <v>0</v>
      </c>
      <c r="O1023" t="n">
        <v>602</v>
      </c>
      <c r="P1023" s="96">
        <f>_xlfn.XLOOKUP(Tabla5[[#This Row],[EAN CORREGIDO]],'Tabla Articulos'!B:B,'Tabla Articulos'!D:D)</f>
        <v/>
      </c>
      <c r="Q1023" s="96">
        <f>_xlfn.XLOOKUP(S1023,'Tabla Articulos'!B:B,'Tabla Articulos'!E:E)</f>
        <v/>
      </c>
      <c r="R1023" s="96">
        <f>O1023*Q1023</f>
        <v/>
      </c>
      <c r="S1023" s="97">
        <f>TRIM(E1023)</f>
        <v/>
      </c>
    </row>
    <row r="1024" hidden="1">
      <c r="A1024" s="22" t="n">
        <v>6</v>
      </c>
      <c r="B1024" t="inlineStr">
        <is>
          <t xml:space="preserve">CDM03 - MORENO 3              </t>
        </is>
      </c>
      <c r="C1024" t="inlineStr">
        <is>
          <t xml:space="preserve">GRUPO L.                      </t>
        </is>
      </c>
      <c r="D1024" s="11" t="inlineStr">
        <is>
          <t>BALLERINA</t>
        </is>
      </c>
      <c r="E1024" t="inlineStr">
        <is>
          <t xml:space="preserve">7798349550296       </t>
        </is>
      </c>
      <c r="F1024" t="n">
        <v>2016613</v>
      </c>
      <c r="G1024" t="inlineStr">
        <is>
          <t xml:space="preserve">BALLERINA AMARILLA X U             </t>
        </is>
      </c>
      <c r="H1024" t="inlineStr">
        <is>
          <t xml:space="preserve">UNIDAD              </t>
        </is>
      </c>
      <c r="I1024" t="n">
        <v>24571</v>
      </c>
      <c r="J1024" t="n">
        <v>0</v>
      </c>
      <c r="K1024" t="n">
        <v>0</v>
      </c>
      <c r="L1024" t="n">
        <v>598</v>
      </c>
      <c r="M1024" t="n">
        <v>598</v>
      </c>
      <c r="N1024" t="n">
        <v>0</v>
      </c>
      <c r="O1024" t="n">
        <v>23375</v>
      </c>
      <c r="P1024" s="96">
        <f>_xlfn.XLOOKUP(Tabla5[[#This Row],[EAN CORREGIDO]],'Tabla Articulos'!B:B,'Tabla Articulos'!D:D)</f>
        <v/>
      </c>
      <c r="Q1024" s="96">
        <f>_xlfn.XLOOKUP(S1024,'Tabla Articulos'!B:B,'Tabla Articulos'!E:E)</f>
        <v/>
      </c>
      <c r="R1024" s="96">
        <f>O1024*Q1024</f>
        <v/>
      </c>
      <c r="S1024" s="97">
        <f>TRIM(E1024)</f>
        <v/>
      </c>
    </row>
    <row r="1025" hidden="1">
      <c r="A1025" s="22" t="n">
        <v>6</v>
      </c>
      <c r="B1025" t="inlineStr">
        <is>
          <t xml:space="preserve">CDM03 - MORENO 3              </t>
        </is>
      </c>
      <c r="C1025" t="inlineStr">
        <is>
          <t xml:space="preserve">GRUPO L.                      </t>
        </is>
      </c>
      <c r="D1025" s="11" t="n"/>
      <c r="E1025" t="inlineStr">
        <is>
          <t xml:space="preserve">LIM000438           </t>
        </is>
      </c>
      <c r="F1025" t="n">
        <v>2006924</v>
      </c>
      <c r="G1025" t="inlineStr">
        <is>
          <t xml:space="preserve">LAVANDINA GRANULADA X 25 G ISOCL   </t>
        </is>
      </c>
      <c r="H1025" t="inlineStr">
        <is>
          <t xml:space="preserve">UNIDAD              </t>
        </is>
      </c>
      <c r="I1025" t="n">
        <v>3332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3332</v>
      </c>
      <c r="P1025" s="96">
        <f>_xlfn.XLOOKUP(Tabla5[[#This Row],[EAN CORREGIDO]],'Tabla Articulos'!B:B,'Tabla Articulos'!D:D)</f>
        <v/>
      </c>
      <c r="Q1025" s="96">
        <f>_xlfn.XLOOKUP(S1025,'Tabla Articulos'!B:B,'Tabla Articulos'!E:E)</f>
        <v/>
      </c>
      <c r="R1025" s="96">
        <f>O1025*Q1025</f>
        <v/>
      </c>
      <c r="S1025" s="97">
        <f>TRIM(E1025)</f>
        <v/>
      </c>
    </row>
    <row r="1026" hidden="1">
      <c r="A1026" s="22" t="n">
        <v>1</v>
      </c>
      <c r="B1026" t="inlineStr">
        <is>
          <t xml:space="preserve">CD MORENO                     </t>
        </is>
      </c>
      <c r="C1026" t="inlineStr">
        <is>
          <t xml:space="preserve">GRUPO L.                      </t>
        </is>
      </c>
      <c r="D1026" t="inlineStr">
        <is>
          <t>JUGO POLVO NARANJA</t>
        </is>
      </c>
      <c r="E1026" t="inlineStr">
        <is>
          <t xml:space="preserve">7790971001481       </t>
        </is>
      </c>
      <c r="F1026" t="n">
        <v>4019992</v>
      </c>
      <c r="G1026" t="inlineStr">
        <is>
          <t xml:space="preserve">JUGO POLVO NARANJA X KG ORLOC      </t>
        </is>
      </c>
      <c r="H1026" t="inlineStr">
        <is>
          <t xml:space="preserve">UNIDAD              </t>
        </is>
      </c>
      <c r="I1026" t="n">
        <v>4646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4646</v>
      </c>
      <c r="P1026" s="96">
        <f>_xlfn.XLOOKUP(Tabla5[[#This Row],[EAN CORREGIDO]],'Tabla Articulos'!B:B,'Tabla Articulos'!D:D)</f>
        <v/>
      </c>
      <c r="Q1026" s="96">
        <f>_xlfn.XLOOKUP(S1026,'Tabla Articulos'!B:B,'Tabla Articulos'!E:E)</f>
        <v/>
      </c>
      <c r="R1026" s="96">
        <f>O1026*Q1026</f>
        <v/>
      </c>
      <c r="S1026" s="97">
        <f>TRIM(E1026)</f>
        <v/>
      </c>
    </row>
    <row r="1027" hidden="1">
      <c r="A1027" s="22" t="n">
        <v>1</v>
      </c>
      <c r="B1027" t="inlineStr">
        <is>
          <t xml:space="preserve">CD MORENO                     </t>
        </is>
      </c>
      <c r="C1027" t="inlineStr">
        <is>
          <t xml:space="preserve">GRUPO L.                      </t>
        </is>
      </c>
      <c r="D1027" t="inlineStr">
        <is>
          <t>POROTOS DE SOJA</t>
        </is>
      </c>
      <c r="E1027" t="inlineStr">
        <is>
          <t xml:space="preserve">7790279000070       </t>
        </is>
      </c>
      <c r="F1027" t="n">
        <v>4019754</v>
      </c>
      <c r="G1027" t="inlineStr">
        <is>
          <t xml:space="preserve">POROTOS DE SOJA X500G RAMONEDA     </t>
        </is>
      </c>
      <c r="H1027" t="inlineStr">
        <is>
          <t xml:space="preserve">UNIDAD              </t>
        </is>
      </c>
      <c r="I1027" t="n">
        <v>540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540</v>
      </c>
      <c r="P1027" s="96">
        <f>_xlfn.XLOOKUP(Tabla5[[#This Row],[EAN CORREGIDO]],'Tabla Articulos'!B:B,'Tabla Articulos'!D:D)</f>
        <v/>
      </c>
      <c r="Q1027" s="96">
        <f>_xlfn.XLOOKUP(S1027,'Tabla Articulos'!B:B,'Tabla Articulos'!E:E)</f>
        <v/>
      </c>
      <c r="R1027" s="96">
        <f>O1027*Q1027</f>
        <v/>
      </c>
      <c r="S1027" s="97">
        <f>TRIM(E1027)</f>
        <v/>
      </c>
    </row>
    <row r="1028" hidden="1">
      <c r="A1028" s="22" t="n">
        <v>5</v>
      </c>
      <c r="B1028" t="inlineStr">
        <is>
          <t xml:space="preserve">CDM02 - MORENO 2              </t>
        </is>
      </c>
      <c r="C1028" t="inlineStr">
        <is>
          <t xml:space="preserve">GRUPO L.                      </t>
        </is>
      </c>
      <c r="D1028" s="11" t="inlineStr">
        <is>
          <t>POROTOS DE SOJA</t>
        </is>
      </c>
      <c r="E1028" t="inlineStr">
        <is>
          <t xml:space="preserve">7790279000070       </t>
        </is>
      </c>
      <c r="F1028" t="n">
        <v>4019754</v>
      </c>
      <c r="G1028" t="inlineStr">
        <is>
          <t xml:space="preserve">POROTOS DE SOJA X500G RAMONEDA     </t>
        </is>
      </c>
      <c r="H1028" t="inlineStr">
        <is>
          <t xml:space="preserve">UNIDAD              </t>
        </is>
      </c>
      <c r="I1028" t="n">
        <v>20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20</v>
      </c>
      <c r="P1028" s="96">
        <f>_xlfn.XLOOKUP(Tabla5[[#This Row],[EAN CORREGIDO]],'Tabla Articulos'!B:B,'Tabla Articulos'!D:D)</f>
        <v/>
      </c>
      <c r="Q1028" s="96">
        <f>_xlfn.XLOOKUP(S1028,'Tabla Articulos'!B:B,'Tabla Articulos'!E:E)</f>
        <v/>
      </c>
      <c r="R1028" s="96">
        <f>O1028*Q1028</f>
        <v/>
      </c>
      <c r="S1028" s="97">
        <f>TRIM(E1028)</f>
        <v/>
      </c>
    </row>
    <row r="1029" hidden="1">
      <c r="A1029" s="22" t="n">
        <v>6</v>
      </c>
      <c r="B1029" t="inlineStr">
        <is>
          <t xml:space="preserve">CDM03 - MORENO 3              </t>
        </is>
      </c>
      <c r="C1029" t="inlineStr">
        <is>
          <t xml:space="preserve">GRUPO L.                      </t>
        </is>
      </c>
      <c r="D1029" s="11" t="n"/>
      <c r="E1029" t="inlineStr">
        <is>
          <t xml:space="preserve">BAZ001265           </t>
        </is>
      </c>
      <c r="F1029" t="n">
        <v>9003774</v>
      </c>
      <c r="G1029" t="inlineStr">
        <is>
          <t xml:space="preserve">COPA POST OTO#AL 120X1141M ADA     </t>
        </is>
      </c>
      <c r="H1029" t="inlineStr">
        <is>
          <t xml:space="preserve">UNIDAD              </t>
        </is>
      </c>
      <c r="I1029" t="n">
        <v>1246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1246</v>
      </c>
      <c r="P1029" s="96">
        <f>_xlfn.XLOOKUP(Tabla5[[#This Row],[EAN CORREGIDO]],'Tabla Articulos'!B:B,'Tabla Articulos'!D:D)</f>
        <v/>
      </c>
      <c r="Q1029" s="96">
        <f>_xlfn.XLOOKUP(S1029,'Tabla Articulos'!B:B,'Tabla Articulos'!E:E)</f>
        <v/>
      </c>
      <c r="R1029" s="96">
        <f>O1029*Q1029</f>
        <v/>
      </c>
      <c r="S1029" s="97">
        <f>TRIM(E1029)</f>
        <v/>
      </c>
    </row>
    <row r="1030" hidden="1">
      <c r="A1030" s="22" t="n">
        <v>6</v>
      </c>
      <c r="B1030" t="inlineStr">
        <is>
          <t xml:space="preserve">CDM03 - MORENO 3              </t>
        </is>
      </c>
      <c r="C1030" t="inlineStr">
        <is>
          <t xml:space="preserve">GRUPO L.                      </t>
        </is>
      </c>
      <c r="D1030" s="11" t="inlineStr">
        <is>
          <t>BOLSA CAMISETA REFORZADA</t>
        </is>
      </c>
      <c r="E1030" t="inlineStr">
        <is>
          <t xml:space="preserve">7790321020167       </t>
        </is>
      </c>
      <c r="F1030" t="n">
        <v>2006162</v>
      </c>
      <c r="G1030" t="inlineStr">
        <is>
          <t xml:space="preserve">BOLSA CAMISETA 50 X 60 X 100U      </t>
        </is>
      </c>
      <c r="H1030" t="inlineStr">
        <is>
          <t xml:space="preserve">UNIDAD              </t>
        </is>
      </c>
      <c r="I1030" t="n">
        <v>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3</v>
      </c>
      <c r="P1030" s="96">
        <f>_xlfn.XLOOKUP(Tabla5[[#This Row],[EAN CORREGIDO]],'Tabla Articulos'!B:B,'Tabla Articulos'!D:D)</f>
        <v/>
      </c>
      <c r="Q1030" s="96">
        <f>_xlfn.XLOOKUP(S1030,'Tabla Articulos'!B:B,'Tabla Articulos'!E:E)</f>
        <v/>
      </c>
      <c r="R1030" s="96">
        <f>O1030*Q1030</f>
        <v/>
      </c>
      <c r="S1030" s="97">
        <f>TRIM(E1030)</f>
        <v/>
      </c>
    </row>
    <row r="1031" hidden="1">
      <c r="A1031" s="22" t="n">
        <v>5</v>
      </c>
      <c r="B1031" t="inlineStr">
        <is>
          <t xml:space="preserve">CDM02 - MORENO 2              </t>
        </is>
      </c>
      <c r="C1031" t="inlineStr">
        <is>
          <t xml:space="preserve">GRUPO L.                      </t>
        </is>
      </c>
      <c r="D1031" t="inlineStr">
        <is>
          <t>EDULCORANTE SOBRE GL SUPPORT</t>
        </is>
      </c>
      <c r="E1031" t="inlineStr">
        <is>
          <t xml:space="preserve">7798011977390       </t>
        </is>
      </c>
      <c r="F1031" t="n">
        <v>4022177</v>
      </c>
      <c r="G1031" t="inlineStr">
        <is>
          <t xml:space="preserve"> EDULC SOB  8GR GL SUPPORT 400U    </t>
        </is>
      </c>
      <c r="H1031" t="inlineStr">
        <is>
          <t xml:space="preserve">UNIDAD              </t>
        </is>
      </c>
      <c r="I1031" t="n">
        <v>10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10</v>
      </c>
      <c r="P1031" s="96">
        <f>_xlfn.XLOOKUP(Tabla5[[#This Row],[EAN CORREGIDO]],'Tabla Articulos'!B:B,'Tabla Articulos'!D:D)</f>
        <v/>
      </c>
      <c r="Q1031" s="96">
        <f>_xlfn.XLOOKUP(S1031,'Tabla Articulos'!B:B,'Tabla Articulos'!E:E)</f>
        <v/>
      </c>
      <c r="R1031" s="96">
        <f>O1031*Q1031</f>
        <v/>
      </c>
      <c r="S1031" s="97">
        <f>TRIM(E1031)</f>
        <v/>
      </c>
    </row>
    <row r="1032" hidden="1">
      <c r="A1032" s="22" t="n">
        <v>1</v>
      </c>
      <c r="B1032" t="inlineStr">
        <is>
          <t xml:space="preserve">CD MORENO                     </t>
        </is>
      </c>
      <c r="C1032" t="inlineStr">
        <is>
          <t xml:space="preserve">GRUPO L.                      </t>
        </is>
      </c>
      <c r="D1032" t="inlineStr">
        <is>
          <t>EDULCORANTE SOBRE GL SUPPORT</t>
        </is>
      </c>
      <c r="E1032" t="inlineStr">
        <is>
          <t xml:space="preserve">7798011977390       </t>
        </is>
      </c>
      <c r="F1032" t="n">
        <v>4022177</v>
      </c>
      <c r="G1032" t="inlineStr">
        <is>
          <t xml:space="preserve"> EDULC SOB  8GR GL SUPPORT 400U    </t>
        </is>
      </c>
      <c r="H1032" t="inlineStr">
        <is>
          <t xml:space="preserve">UNIDAD              </t>
        </is>
      </c>
      <c r="I1032" t="n">
        <v>14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14</v>
      </c>
      <c r="P1032" s="96">
        <f>_xlfn.XLOOKUP(Tabla5[[#This Row],[EAN CORREGIDO]],'Tabla Articulos'!B:B,'Tabla Articulos'!D:D)</f>
        <v/>
      </c>
      <c r="Q1032" s="96">
        <f>_xlfn.XLOOKUP(S1032,'Tabla Articulos'!B:B,'Tabla Articulos'!E:E)</f>
        <v/>
      </c>
      <c r="R1032" s="96">
        <f>O1032*Q1032</f>
        <v/>
      </c>
      <c r="S1032" s="97">
        <f>TRIM(E1032)</f>
        <v/>
      </c>
    </row>
    <row r="1033" hidden="1">
      <c r="A1033" s="22" t="n">
        <v>6</v>
      </c>
      <c r="B1033" t="inlineStr">
        <is>
          <t xml:space="preserve">CDM03 - MORENO 3              </t>
        </is>
      </c>
      <c r="C1033" t="inlineStr">
        <is>
          <t xml:space="preserve">GRUPO L.                      </t>
        </is>
      </c>
      <c r="D1033" s="11" t="n"/>
      <c r="E1033" t="inlineStr">
        <is>
          <t xml:space="preserve">BUM00247            </t>
        </is>
      </c>
      <c r="F1033" t="n">
        <v>1000212</v>
      </c>
      <c r="G1033" t="inlineStr">
        <is>
          <t xml:space="preserve">CARRO AMARILLO L ESTADIO           </t>
        </is>
      </c>
      <c r="H1033" t="inlineStr">
        <is>
          <t xml:space="preserve">UNIDAD              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1</v>
      </c>
      <c r="P1033" s="96">
        <f>_xlfn.XLOOKUP(Tabla5[[#This Row],[EAN CORREGIDO]],'Tabla Articulos'!B:B,'Tabla Articulos'!D:D)</f>
        <v/>
      </c>
      <c r="Q1033" s="96">
        <f>_xlfn.XLOOKUP(S1033,'Tabla Articulos'!B:B,'Tabla Articulos'!E:E)</f>
        <v/>
      </c>
      <c r="R1033" s="96">
        <f>O1033*Q1033</f>
        <v/>
      </c>
      <c r="S1033" s="97">
        <f>TRIM(E1033)</f>
        <v/>
      </c>
    </row>
    <row r="1034" hidden="1">
      <c r="A1034" s="22" t="n">
        <v>1</v>
      </c>
      <c r="B1034" t="inlineStr">
        <is>
          <t xml:space="preserve">CD MORENO                     </t>
        </is>
      </c>
      <c r="C1034" t="inlineStr">
        <is>
          <t xml:space="preserve">GRUPO L.                      </t>
        </is>
      </c>
      <c r="D1034" t="inlineStr">
        <is>
          <t>PANADERIA CONGELADA</t>
        </is>
      </c>
      <c r="E1034" t="inlineStr">
        <is>
          <t xml:space="preserve">7798041132477       </t>
        </is>
      </c>
      <c r="F1034" t="n">
        <v>4018465</v>
      </c>
      <c r="G1034" t="inlineStr">
        <is>
          <t xml:space="preserve">BROWNIE CON NUEZ X18U SELYGEL      </t>
        </is>
      </c>
      <c r="H1034" t="inlineStr">
        <is>
          <t xml:space="preserve">UNIDAD              </t>
        </is>
      </c>
      <c r="I1034" t="n">
        <v>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5</v>
      </c>
      <c r="P1034" s="96">
        <f>_xlfn.XLOOKUP(Tabla5[[#This Row],[EAN CORREGIDO]],'Tabla Articulos'!B:B,'Tabla Articulos'!D:D)</f>
        <v/>
      </c>
      <c r="Q1034" s="96">
        <f>_xlfn.XLOOKUP(S1034,'Tabla Articulos'!B:B,'Tabla Articulos'!E:E)</f>
        <v/>
      </c>
      <c r="R1034" s="96">
        <f>O1034*Q1034</f>
        <v/>
      </c>
      <c r="S1034" s="97">
        <f>TRIM(E1034)</f>
        <v/>
      </c>
    </row>
    <row r="1035" hidden="1">
      <c r="A1035" s="22" t="n">
        <v>6</v>
      </c>
      <c r="B1035" t="inlineStr">
        <is>
          <t xml:space="preserve">CDM03 - MORENO 3              </t>
        </is>
      </c>
      <c r="C1035" t="inlineStr">
        <is>
          <t xml:space="preserve">GRUPO L.                      </t>
        </is>
      </c>
      <c r="D1035" t="inlineStr">
        <is>
          <t>PAPEL FOLEX</t>
        </is>
      </c>
      <c r="E1035" t="inlineStr">
        <is>
          <t xml:space="preserve">7791101002132       </t>
        </is>
      </c>
      <c r="F1035" t="n">
        <v>2007310</v>
      </c>
      <c r="G1035" t="inlineStr">
        <is>
          <t xml:space="preserve">FOLEX 20CMX25CM XKG MPROPIA        </t>
        </is>
      </c>
      <c r="H1035" t="inlineStr">
        <is>
          <t xml:space="preserve">Kgs                 </t>
        </is>
      </c>
      <c r="I1035" t="n">
        <v>10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10</v>
      </c>
      <c r="P1035" s="96">
        <f>_xlfn.XLOOKUP(Tabla5[[#This Row],[EAN CORREGIDO]],'Tabla Articulos'!B:B,'Tabla Articulos'!D:D)</f>
        <v/>
      </c>
      <c r="Q1035" s="96">
        <f>_xlfn.XLOOKUP(S1035,'Tabla Articulos'!B:B,'Tabla Articulos'!E:E)</f>
        <v/>
      </c>
      <c r="R1035" s="96">
        <f>O1035*Q1035</f>
        <v/>
      </c>
      <c r="S1035" s="97">
        <f>TRIM(E1035)</f>
        <v/>
      </c>
    </row>
    <row r="1036" hidden="1">
      <c r="A1036" s="22" t="n">
        <v>6</v>
      </c>
      <c r="B1036" t="inlineStr">
        <is>
          <t xml:space="preserve">CDM03 - MORENO 3              </t>
        </is>
      </c>
      <c r="C1036" t="inlineStr">
        <is>
          <t xml:space="preserve">GRUPO L.                      </t>
        </is>
      </c>
      <c r="E1036" t="inlineStr">
        <is>
          <t xml:space="preserve">UNIF000385          </t>
        </is>
      </c>
      <c r="F1036" t="n">
        <v>9003452</v>
      </c>
      <c r="G1036" t="inlineStr">
        <is>
          <t xml:space="preserve">PANTALON NAUTICO-JEAN 2            </t>
        </is>
      </c>
      <c r="H1036" t="inlineStr">
        <is>
          <t xml:space="preserve">UNIDAD              </t>
        </is>
      </c>
      <c r="I1036" t="n">
        <v>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4</v>
      </c>
      <c r="P1036" s="96">
        <f>_xlfn.XLOOKUP(Tabla5[[#This Row],[EAN CORREGIDO]],'Tabla Articulos'!B:B,'Tabla Articulos'!D:D)</f>
        <v/>
      </c>
      <c r="Q1036" s="96">
        <f>_xlfn.XLOOKUP(S1036,'Tabla Articulos'!B:B,'Tabla Articulos'!E:E)</f>
        <v/>
      </c>
      <c r="R1036" s="96">
        <f>O1036*Q1036</f>
        <v/>
      </c>
      <c r="S1036" s="97">
        <f>TRIM(E1036)</f>
        <v/>
      </c>
    </row>
    <row r="1037" hidden="1">
      <c r="A1037" s="22" t="n">
        <v>6</v>
      </c>
      <c r="B1037" t="inlineStr">
        <is>
          <t xml:space="preserve">CDM03 - MORENO 3              </t>
        </is>
      </c>
      <c r="C1037" t="inlineStr">
        <is>
          <t xml:space="preserve">GRUPO L.                      </t>
        </is>
      </c>
      <c r="E1037" t="inlineStr">
        <is>
          <t xml:space="preserve">UNIF000413          </t>
        </is>
      </c>
      <c r="F1037" t="n">
        <v>9003273</v>
      </c>
      <c r="G1037" t="inlineStr">
        <is>
          <t xml:space="preserve">BUZO BLANCO NUTRIRE FRISA L        </t>
        </is>
      </c>
      <c r="H1037" t="inlineStr">
        <is>
          <t xml:space="preserve">UNIDAD              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4</v>
      </c>
      <c r="P1037" s="96">
        <f>_xlfn.XLOOKUP(Tabla5[[#This Row],[EAN CORREGIDO]],'Tabla Articulos'!B:B,'Tabla Articulos'!D:D)</f>
        <v/>
      </c>
      <c r="Q1037" s="96">
        <f>_xlfn.XLOOKUP(S1037,'Tabla Articulos'!B:B,'Tabla Articulos'!E:E)</f>
        <v/>
      </c>
      <c r="R1037" s="96">
        <f>O1037*Q1037</f>
        <v/>
      </c>
      <c r="S1037" s="97">
        <f>TRIM(E1037)</f>
        <v/>
      </c>
    </row>
    <row r="1038" hidden="1">
      <c r="A1038" s="22" t="n">
        <v>6</v>
      </c>
      <c r="B1038" t="inlineStr">
        <is>
          <t xml:space="preserve">CDM03 - MORENO 3              </t>
        </is>
      </c>
      <c r="C1038" t="inlineStr">
        <is>
          <t xml:space="preserve">GRUPO L.                      </t>
        </is>
      </c>
      <c r="D1038" s="11" t="n"/>
      <c r="E1038" t="inlineStr">
        <is>
          <t xml:space="preserve">UNIF000323          </t>
        </is>
      </c>
      <c r="F1038" t="n">
        <v>9003197</v>
      </c>
      <c r="G1038" t="inlineStr">
        <is>
          <t xml:space="preserve">REMERA CUELLO RED BLAN NUTRI S     </t>
        </is>
      </c>
      <c r="H1038" t="inlineStr">
        <is>
          <t xml:space="preserve">UNIDAD              </t>
        </is>
      </c>
      <c r="I1038" t="n">
        <v>50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50</v>
      </c>
      <c r="P1038" s="96">
        <f>_xlfn.XLOOKUP(Tabla5[[#This Row],[EAN CORREGIDO]],'Tabla Articulos'!B:B,'Tabla Articulos'!D:D)</f>
        <v/>
      </c>
      <c r="Q1038" s="96">
        <f>_xlfn.XLOOKUP(S1038,'Tabla Articulos'!B:B,'Tabla Articulos'!E:E)</f>
        <v/>
      </c>
      <c r="R1038" s="96">
        <f>O1038*Q1038</f>
        <v/>
      </c>
      <c r="S1038" s="97">
        <f>TRIM(E1038)</f>
        <v/>
      </c>
    </row>
    <row r="1039" hidden="1">
      <c r="A1039" s="22" t="n">
        <v>6</v>
      </c>
      <c r="B1039" t="inlineStr">
        <is>
          <t xml:space="preserve">CDM03 - MORENO 3              </t>
        </is>
      </c>
      <c r="C1039" t="inlineStr">
        <is>
          <t xml:space="preserve">GRUPO L.                      </t>
        </is>
      </c>
      <c r="D1039" s="11" t="n"/>
      <c r="E1039" t="inlineStr">
        <is>
          <t xml:space="preserve">UNIF000204          </t>
        </is>
      </c>
      <c r="F1039" t="n">
        <v>9003472</v>
      </c>
      <c r="G1039" t="inlineStr">
        <is>
          <t xml:space="preserve">PANTAL CARG NEGRO AZ. 40 GL SUP    </t>
        </is>
      </c>
      <c r="H1039" t="inlineStr">
        <is>
          <t xml:space="preserve">UNIDAD              </t>
        </is>
      </c>
      <c r="I1039" t="n">
        <v>0</v>
      </c>
      <c r="J1039" t="n">
        <v>10</v>
      </c>
      <c r="K1039" t="n">
        <v>0</v>
      </c>
      <c r="L1039" t="n">
        <v>4</v>
      </c>
      <c r="M1039" t="n">
        <v>4</v>
      </c>
      <c r="N1039" t="n">
        <v>0</v>
      </c>
      <c r="O1039" t="n">
        <v>2</v>
      </c>
      <c r="P1039" s="96">
        <f>_xlfn.XLOOKUP(Tabla5[[#This Row],[EAN CORREGIDO]],'Tabla Articulos'!B:B,'Tabla Articulos'!D:D)</f>
        <v/>
      </c>
      <c r="Q1039" s="96">
        <f>_xlfn.XLOOKUP(S1039,'Tabla Articulos'!B:B,'Tabla Articulos'!E:E)</f>
        <v/>
      </c>
      <c r="R1039" s="96">
        <f>O1039*Q1039</f>
        <v/>
      </c>
      <c r="S1039" s="97">
        <f>TRIM(E1039)</f>
        <v/>
      </c>
    </row>
    <row r="1040" hidden="1">
      <c r="A1040" s="22" t="n">
        <v>6</v>
      </c>
      <c r="B1040" t="inlineStr">
        <is>
          <t xml:space="preserve">CDM03 - MORENO 3              </t>
        </is>
      </c>
      <c r="C1040" t="inlineStr">
        <is>
          <t xml:space="preserve">GRUPO L.                      </t>
        </is>
      </c>
      <c r="E1040" t="inlineStr">
        <is>
          <t xml:space="preserve">UNIF000740          </t>
        </is>
      </c>
      <c r="F1040" t="n">
        <v>9004194</v>
      </c>
      <c r="G1040" t="inlineStr">
        <is>
          <t xml:space="preserve">CHAQUETA CHEF BLUE CAFÉ XL         </t>
        </is>
      </c>
      <c r="H1040" t="inlineStr">
        <is>
          <t xml:space="preserve">UNIDAD              </t>
        </is>
      </c>
      <c r="I1040" t="n">
        <v>10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10</v>
      </c>
      <c r="P1040" s="96">
        <f>_xlfn.XLOOKUP(Tabla5[[#This Row],[EAN CORREGIDO]],'Tabla Articulos'!B:B,'Tabla Articulos'!D:D)</f>
        <v/>
      </c>
      <c r="Q1040" s="96">
        <f>_xlfn.XLOOKUP(S1040,'Tabla Articulos'!B:B,'Tabla Articulos'!E:E)</f>
        <v/>
      </c>
      <c r="R1040" s="96">
        <f>O1040*Q1040</f>
        <v/>
      </c>
      <c r="S1040" s="97">
        <f>TRIM(E1040)</f>
        <v/>
      </c>
    </row>
    <row r="1041" hidden="1">
      <c r="A1041" s="22" t="n">
        <v>6</v>
      </c>
      <c r="B1041" t="inlineStr">
        <is>
          <t xml:space="preserve">CDM03 - MORENO 3              </t>
        </is>
      </c>
      <c r="C1041" t="inlineStr">
        <is>
          <t xml:space="preserve">GRUPO L.                      </t>
        </is>
      </c>
      <c r="E1041" t="inlineStr">
        <is>
          <t xml:space="preserve">UNIF000537          </t>
        </is>
      </c>
      <c r="F1041" t="n">
        <v>9003074</v>
      </c>
      <c r="G1041" t="inlineStr">
        <is>
          <t xml:space="preserve">ROMPEVIENTOS-AZUL MARINO 3XL       </t>
        </is>
      </c>
      <c r="H1041" t="inlineStr">
        <is>
          <t xml:space="preserve">UNIDAD              </t>
        </is>
      </c>
      <c r="I1041" t="n">
        <v>94</v>
      </c>
      <c r="J1041" t="n">
        <v>0</v>
      </c>
      <c r="K1041" t="n">
        <v>0</v>
      </c>
      <c r="L1041" t="n">
        <v>1</v>
      </c>
      <c r="M1041" t="n">
        <v>1</v>
      </c>
      <c r="N1041" t="n">
        <v>0</v>
      </c>
      <c r="O1041" t="n">
        <v>92</v>
      </c>
      <c r="P1041" s="96">
        <f>_xlfn.XLOOKUP(Tabla5[[#This Row],[EAN CORREGIDO]],'Tabla Articulos'!B:B,'Tabla Articulos'!D:D)</f>
        <v/>
      </c>
      <c r="Q1041" s="96">
        <f>_xlfn.XLOOKUP(S1041,'Tabla Articulos'!B:B,'Tabla Articulos'!E:E)</f>
        <v/>
      </c>
      <c r="R1041" s="96">
        <f>O1041*Q1041</f>
        <v/>
      </c>
      <c r="S1041" s="97">
        <f>TRIM(E1041)</f>
        <v/>
      </c>
    </row>
    <row r="1042" hidden="1">
      <c r="A1042" s="22" t="n">
        <v>1</v>
      </c>
      <c r="B1042" t="inlineStr">
        <is>
          <t xml:space="preserve">CD MORENO                     </t>
        </is>
      </c>
      <c r="C1042" t="inlineStr">
        <is>
          <t xml:space="preserve">GRUPO L.                      </t>
        </is>
      </c>
      <c r="D1042" t="inlineStr">
        <is>
          <t>PAN CONGELADO</t>
        </is>
      </c>
      <c r="E1042" t="inlineStr">
        <is>
          <t xml:space="preserve">17792180136838      </t>
        </is>
      </c>
      <c r="F1042" t="n">
        <v>4024760</v>
      </c>
      <c r="G1042" t="inlineStr">
        <is>
          <t xml:space="preserve">PAN MIGNON BCO.CONG.X329 CAÑUELAS  </t>
        </is>
      </c>
      <c r="H1042" t="inlineStr">
        <is>
          <t xml:space="preserve">UNIDAD              </t>
        </is>
      </c>
      <c r="I1042" t="n">
        <v>99</v>
      </c>
      <c r="J1042" t="n">
        <v>0</v>
      </c>
      <c r="K1042" t="n">
        <v>0</v>
      </c>
      <c r="L1042" t="n">
        <v>1</v>
      </c>
      <c r="M1042" t="n">
        <v>1</v>
      </c>
      <c r="N1042" t="n">
        <v>0</v>
      </c>
      <c r="O1042" t="n">
        <v>97</v>
      </c>
      <c r="P1042" s="96">
        <f>_xlfn.XLOOKUP(Tabla5[[#This Row],[EAN CORREGIDO]],'Tabla Articulos'!B:B,'Tabla Articulos'!D:D)</f>
        <v/>
      </c>
      <c r="Q1042" s="96">
        <f>_xlfn.XLOOKUP(S1042,'Tabla Articulos'!B:B,'Tabla Articulos'!E:E)</f>
        <v/>
      </c>
      <c r="R1042" s="96">
        <f>O1042*Q1042</f>
        <v/>
      </c>
      <c r="S1042" s="97">
        <f>TRIM(E1042)</f>
        <v/>
      </c>
    </row>
    <row r="1043" hidden="1">
      <c r="A1043" s="22" t="n">
        <v>5</v>
      </c>
      <c r="B1043" t="inlineStr">
        <is>
          <t xml:space="preserve">CDM02 - MORENO 2              </t>
        </is>
      </c>
      <c r="C1043" t="inlineStr">
        <is>
          <t xml:space="preserve">GRUPO L.                      </t>
        </is>
      </c>
      <c r="D1043" t="inlineStr">
        <is>
          <t>POROTOS SECOS COLORADOS</t>
        </is>
      </c>
      <c r="E1043" t="inlineStr">
        <is>
          <t xml:space="preserve">7790279000193       </t>
        </is>
      </c>
      <c r="F1043" t="n">
        <v>4019633</v>
      </c>
      <c r="G1043" t="inlineStr">
        <is>
          <t xml:space="preserve">POROTOS COLORADOS X500G RAMONEDA   </t>
        </is>
      </c>
      <c r="H1043" t="inlineStr">
        <is>
          <t xml:space="preserve">UNIDAD              </t>
        </is>
      </c>
      <c r="I1043" t="n">
        <v>87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87</v>
      </c>
      <c r="P1043" s="96">
        <f>_xlfn.XLOOKUP(Tabla5[[#This Row],[EAN CORREGIDO]],'Tabla Articulos'!B:B,'Tabla Articulos'!D:D)</f>
        <v/>
      </c>
      <c r="Q1043" s="96">
        <f>_xlfn.XLOOKUP(S1043,'Tabla Articulos'!B:B,'Tabla Articulos'!E:E)</f>
        <v/>
      </c>
      <c r="R1043" s="96">
        <f>O1043*Q1043</f>
        <v/>
      </c>
      <c r="S1043" s="97">
        <f>TRIM(E1043)</f>
        <v/>
      </c>
    </row>
    <row r="1044" hidden="1">
      <c r="A1044" s="22" t="n">
        <v>6</v>
      </c>
      <c r="B1044" t="inlineStr">
        <is>
          <t xml:space="preserve">CDM03 - MORENO 3              </t>
        </is>
      </c>
      <c r="C1044" t="inlineStr">
        <is>
          <t xml:space="preserve">GRUPO L.                      </t>
        </is>
      </c>
      <c r="D1044" s="11" t="n"/>
      <c r="E1044" t="inlineStr">
        <is>
          <t xml:space="preserve">2007077             </t>
        </is>
      </c>
      <c r="F1044" t="n">
        <v>2007077</v>
      </c>
      <c r="G1044" t="inlineStr">
        <is>
          <t>PA#O MICRO MULT.35X30 AMARILLO CLEA</t>
        </is>
      </c>
      <c r="H1044" t="inlineStr">
        <is>
          <t xml:space="preserve">UNIDAD              </t>
        </is>
      </c>
      <c r="I1044" t="n">
        <v>76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76</v>
      </c>
      <c r="P1044" s="96">
        <f>_xlfn.XLOOKUP(Tabla5[[#This Row],[EAN CORREGIDO]],'Tabla Articulos'!B:B,'Tabla Articulos'!D:D)</f>
        <v/>
      </c>
      <c r="Q1044" s="96">
        <f>_xlfn.XLOOKUP(S1044,'Tabla Articulos'!B:B,'Tabla Articulos'!E:E)</f>
        <v/>
      </c>
      <c r="R1044" s="96">
        <f>O1044*Q1044</f>
        <v/>
      </c>
      <c r="S1044" s="97">
        <f>TRIM(E1044)</f>
        <v/>
      </c>
    </row>
    <row r="1045" hidden="1">
      <c r="A1045" s="22" t="n">
        <v>5</v>
      </c>
      <c r="B1045" t="inlineStr">
        <is>
          <t xml:space="preserve">CDM02 - MORENO 2              </t>
        </is>
      </c>
      <c r="C1045" t="inlineStr">
        <is>
          <t xml:space="preserve">GRUPO L.                      </t>
        </is>
      </c>
      <c r="D1045" t="inlineStr">
        <is>
          <t>FIDEOS LARGO</t>
        </is>
      </c>
      <c r="E1045" t="inlineStr">
        <is>
          <t xml:space="preserve">7791599000269       </t>
        </is>
      </c>
      <c r="F1045" t="n">
        <v>4048942</v>
      </c>
      <c r="G1045" t="inlineStr">
        <is>
          <t xml:space="preserve">FID TALLARIN X500GR TORINO         </t>
        </is>
      </c>
      <c r="H1045" t="inlineStr">
        <is>
          <t xml:space="preserve">UNIDAD              </t>
        </is>
      </c>
      <c r="I1045" t="n">
        <v>56391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56391</v>
      </c>
      <c r="P1045" s="96">
        <f>_xlfn.XLOOKUP(Tabla5[[#This Row],[EAN CORREGIDO]],'Tabla Articulos'!B:B,'Tabla Articulos'!D:D)</f>
        <v/>
      </c>
      <c r="Q1045" s="96">
        <f>_xlfn.XLOOKUP(S1045,'Tabla Articulos'!B:B,'Tabla Articulos'!E:E)</f>
        <v/>
      </c>
      <c r="R1045" s="96">
        <f>O1045*Q1045</f>
        <v/>
      </c>
      <c r="S1045" s="97">
        <f>TRIM(E1045)</f>
        <v/>
      </c>
    </row>
    <row r="1046" hidden="1">
      <c r="A1046" s="22" t="n">
        <v>6</v>
      </c>
      <c r="B1046" t="inlineStr">
        <is>
          <t xml:space="preserve">CDM03 - MORENO 3              </t>
        </is>
      </c>
      <c r="C1046" t="inlineStr">
        <is>
          <t xml:space="preserve">GRUPO L.                      </t>
        </is>
      </c>
      <c r="D1046" s="11" t="inlineStr">
        <is>
          <t>BALLERINA</t>
        </is>
      </c>
      <c r="E1046" t="inlineStr">
        <is>
          <t xml:space="preserve">7796322010270       </t>
        </is>
      </c>
      <c r="F1046" t="n">
        <v>2007431</v>
      </c>
      <c r="G1046" t="inlineStr">
        <is>
          <t xml:space="preserve">BALLERINA AMARILLA XUN MPROP       </t>
        </is>
      </c>
      <c r="H1046" t="inlineStr">
        <is>
          <t xml:space="preserve">UNIDAD              </t>
        </is>
      </c>
      <c r="I1046" t="n">
        <v>3146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3146</v>
      </c>
      <c r="P1046" s="96">
        <f>_xlfn.XLOOKUP(Tabla5[[#This Row],[EAN CORREGIDO]],'Tabla Articulos'!B:B,'Tabla Articulos'!D:D)</f>
        <v/>
      </c>
      <c r="Q1046" s="96">
        <f>_xlfn.XLOOKUP(S1046,'Tabla Articulos'!B:B,'Tabla Articulos'!E:E)</f>
        <v/>
      </c>
      <c r="R1046" s="96">
        <f>O1046*Q1046</f>
        <v/>
      </c>
      <c r="S1046" s="97">
        <f>TRIM(E1046)</f>
        <v/>
      </c>
    </row>
    <row r="1047" hidden="1">
      <c r="A1047" s="22" t="n">
        <v>5</v>
      </c>
      <c r="B1047" t="inlineStr">
        <is>
          <t xml:space="preserve">CDM02 - MORENO 2              </t>
        </is>
      </c>
      <c r="C1047" t="inlineStr">
        <is>
          <t xml:space="preserve">GRUPO L.                      </t>
        </is>
      </c>
      <c r="D1047" t="inlineStr">
        <is>
          <t>ARROZ 00000</t>
        </is>
      </c>
      <c r="E1047" t="inlineStr">
        <is>
          <t xml:space="preserve">7797470003718       </t>
        </is>
      </c>
      <c r="F1047" t="n">
        <v>4022301</v>
      </c>
      <c r="G1047" t="inlineStr">
        <is>
          <t xml:space="preserve">ARROZ 00000 S/TACC X1KG MAROLIO    </t>
        </is>
      </c>
      <c r="H1047" t="inlineStr">
        <is>
          <t xml:space="preserve">UNIDAD              </t>
        </is>
      </c>
      <c r="I1047" t="n">
        <v>58551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58551</v>
      </c>
      <c r="P1047" s="96">
        <f>_xlfn.XLOOKUP(Tabla5[[#This Row],[EAN CORREGIDO]],'Tabla Articulos'!B:B,'Tabla Articulos'!D:D)</f>
        <v/>
      </c>
      <c r="Q1047" s="96">
        <f>_xlfn.XLOOKUP(S1047,'Tabla Articulos'!B:B,'Tabla Articulos'!E:E)</f>
        <v/>
      </c>
      <c r="R1047" s="96">
        <f>O1047*Q1047</f>
        <v/>
      </c>
      <c r="S1047" s="97">
        <f>TRIM(E1047)</f>
        <v/>
      </c>
    </row>
    <row r="1048" hidden="1">
      <c r="A1048" s="22" t="n">
        <v>6</v>
      </c>
      <c r="B1048" t="inlineStr">
        <is>
          <t xml:space="preserve">CDM03 - MORENO 3              </t>
        </is>
      </c>
      <c r="C1048" t="inlineStr">
        <is>
          <t xml:space="preserve">GRUPO L.                      </t>
        </is>
      </c>
      <c r="D1048" s="11" t="inlineStr">
        <is>
          <t>BOLSAS RESIDUO 30 MICRO ROJAS</t>
        </is>
      </c>
      <c r="E1048" t="inlineStr">
        <is>
          <t xml:space="preserve">LIM000301           </t>
        </is>
      </c>
      <c r="F1048" t="n">
        <v>2006803</v>
      </c>
      <c r="G1048" t="inlineStr">
        <is>
          <t xml:space="preserve">BOLSA RESID 45X60X50 ROJA 30MIC    </t>
        </is>
      </c>
      <c r="H1048" t="inlineStr">
        <is>
          <t xml:space="preserve">UNIDAD              </t>
        </is>
      </c>
      <c r="I1048" t="n">
        <v>147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147</v>
      </c>
      <c r="P1048" s="96">
        <f>_xlfn.XLOOKUP(Tabla5[[#This Row],[EAN CORREGIDO]],'Tabla Articulos'!B:B,'Tabla Articulos'!D:D)</f>
        <v/>
      </c>
      <c r="Q1048" s="96">
        <f>_xlfn.XLOOKUP(S1048,'Tabla Articulos'!B:B,'Tabla Articulos'!E:E)</f>
        <v/>
      </c>
      <c r="R1048" s="96">
        <f>O1048*Q1048</f>
        <v/>
      </c>
      <c r="S1048" s="97">
        <f>TRIM(E1048)</f>
        <v/>
      </c>
    </row>
    <row r="1049" hidden="1">
      <c r="A1049" s="22" t="n">
        <v>6</v>
      </c>
      <c r="B1049" t="inlineStr">
        <is>
          <t xml:space="preserve">CDM03 - MORENO 3              </t>
        </is>
      </c>
      <c r="C1049" t="inlineStr">
        <is>
          <t xml:space="preserve">GRUPO L.                      </t>
        </is>
      </c>
      <c r="D1049" t="inlineStr">
        <is>
          <t>SERVILLETA DESC S/LOGO</t>
        </is>
      </c>
      <c r="E1049" t="inlineStr">
        <is>
          <t xml:space="preserve">7798188651727       </t>
        </is>
      </c>
      <c r="F1049" t="n">
        <v>2016626</v>
      </c>
      <c r="G1049" t="inlineStr">
        <is>
          <t xml:space="preserve">SERVILLETA S/LOGO 30X30X1000U      </t>
        </is>
      </c>
      <c r="H1049" t="inlineStr">
        <is>
          <t xml:space="preserve">UNIDAD              </t>
        </is>
      </c>
      <c r="I1049" t="n">
        <v>374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374</v>
      </c>
      <c r="P1049" s="96">
        <f>_xlfn.XLOOKUP(Tabla5[[#This Row],[EAN CORREGIDO]],'Tabla Articulos'!B:B,'Tabla Articulos'!D:D)</f>
        <v/>
      </c>
      <c r="Q1049" s="96">
        <f>_xlfn.XLOOKUP(S1049,'Tabla Articulos'!B:B,'Tabla Articulos'!E:E)</f>
        <v/>
      </c>
      <c r="R1049" s="96">
        <f>O1049*Q1049</f>
        <v/>
      </c>
      <c r="S1049" s="97">
        <f>TRIM(E1049)</f>
        <v/>
      </c>
    </row>
    <row r="1050" hidden="1">
      <c r="A1050" s="22" t="n">
        <v>6</v>
      </c>
      <c r="B1050" t="inlineStr">
        <is>
          <t xml:space="preserve">CDM03 - MORENO 3              </t>
        </is>
      </c>
      <c r="C1050" t="inlineStr">
        <is>
          <t xml:space="preserve">GRUPO L.                      </t>
        </is>
      </c>
      <c r="E1050" t="inlineStr">
        <is>
          <t xml:space="preserve">UNIF000053          </t>
        </is>
      </c>
      <c r="F1050" t="n">
        <v>9003306</v>
      </c>
      <c r="G1050" t="inlineStr">
        <is>
          <t xml:space="preserve">BUZO A. MAR. FRISA GL SUP S        </t>
        </is>
      </c>
      <c r="H1050" t="inlineStr">
        <is>
          <t xml:space="preserve">UNIDAD              </t>
        </is>
      </c>
      <c r="I1050" t="n">
        <v>0</v>
      </c>
      <c r="J1050" t="n">
        <v>60</v>
      </c>
      <c r="K1050" t="n">
        <v>0</v>
      </c>
      <c r="L1050" t="n">
        <v>0</v>
      </c>
      <c r="M1050" t="n">
        <v>0</v>
      </c>
      <c r="N1050" t="n">
        <v>0</v>
      </c>
      <c r="O1050" t="n">
        <v>60</v>
      </c>
      <c r="P1050" s="96">
        <f>_xlfn.XLOOKUP(Tabla5[[#This Row],[EAN CORREGIDO]],'Tabla Articulos'!B:B,'Tabla Articulos'!D:D)</f>
        <v/>
      </c>
      <c r="Q1050" s="96">
        <f>_xlfn.XLOOKUP(S1050,'Tabla Articulos'!B:B,'Tabla Articulos'!E:E)</f>
        <v/>
      </c>
      <c r="R1050" s="96">
        <f>O1050*Q1050</f>
        <v/>
      </c>
      <c r="S1050" s="97">
        <f>TRIM(E1050)</f>
        <v/>
      </c>
    </row>
    <row r="1051" hidden="1">
      <c r="A1051" s="22" t="n">
        <v>6</v>
      </c>
      <c r="B1051" t="inlineStr">
        <is>
          <t xml:space="preserve">CDM03 - MORENO 3              </t>
        </is>
      </c>
      <c r="C1051" t="inlineStr">
        <is>
          <t xml:space="preserve">GRUPO L.                      </t>
        </is>
      </c>
      <c r="E1051" t="inlineStr">
        <is>
          <t xml:space="preserve">UNIF000565          </t>
        </is>
      </c>
      <c r="F1051" t="n">
        <v>9003103</v>
      </c>
      <c r="G1051" t="inlineStr">
        <is>
          <t xml:space="preserve">REMERA GRIS MANGA CORTA XL         </t>
        </is>
      </c>
      <c r="H1051" t="inlineStr">
        <is>
          <t xml:space="preserve">UNIDAD              </t>
        </is>
      </c>
      <c r="I1051" t="n">
        <v>15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15</v>
      </c>
      <c r="P1051" s="96">
        <f>_xlfn.XLOOKUP(Tabla5[[#This Row],[EAN CORREGIDO]],'Tabla Articulos'!B:B,'Tabla Articulos'!D:D)</f>
        <v/>
      </c>
      <c r="Q1051" s="96">
        <f>_xlfn.XLOOKUP(S1051,'Tabla Articulos'!B:B,'Tabla Articulos'!E:E)</f>
        <v/>
      </c>
      <c r="R1051" s="96">
        <f>O1051*Q1051</f>
        <v/>
      </c>
      <c r="S1051" s="97">
        <f>TRIM(E1051)</f>
        <v/>
      </c>
    </row>
    <row r="1052" hidden="1">
      <c r="A1052" s="22" t="n">
        <v>6</v>
      </c>
      <c r="B1052" t="inlineStr">
        <is>
          <t xml:space="preserve">CDM03 - MORENO 3              </t>
        </is>
      </c>
      <c r="C1052" t="inlineStr">
        <is>
          <t xml:space="preserve">GRUPO L.                      </t>
        </is>
      </c>
      <c r="D1052" s="11" t="n"/>
      <c r="E1052" t="inlineStr">
        <is>
          <t xml:space="preserve">UNIF000604          </t>
        </is>
      </c>
      <c r="F1052" t="n">
        <v>9003142</v>
      </c>
      <c r="G1052" t="inlineStr">
        <is>
          <t xml:space="preserve">CHAQ. ESCOTE V GU NUTRICION T2     </t>
        </is>
      </c>
      <c r="H1052" t="inlineStr">
        <is>
          <t xml:space="preserve">UNIDAD              </t>
        </is>
      </c>
      <c r="I1052" t="n">
        <v>10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10</v>
      </c>
      <c r="P1052" s="96">
        <f>_xlfn.XLOOKUP(Tabla5[[#This Row],[EAN CORREGIDO]],'Tabla Articulos'!B:B,'Tabla Articulos'!D:D)</f>
        <v/>
      </c>
      <c r="Q1052" s="96">
        <f>_xlfn.XLOOKUP(S1052,'Tabla Articulos'!B:B,'Tabla Articulos'!E:E)</f>
        <v/>
      </c>
      <c r="R1052" s="96">
        <f>O1052*Q1052</f>
        <v/>
      </c>
      <c r="S1052" s="97">
        <f>TRIM(E1052)</f>
        <v/>
      </c>
    </row>
    <row r="1053" hidden="1">
      <c r="A1053" s="22" t="n">
        <v>6</v>
      </c>
      <c r="B1053" t="inlineStr">
        <is>
          <t xml:space="preserve">CDM03 - MORENO 3              </t>
        </is>
      </c>
      <c r="C1053" t="inlineStr">
        <is>
          <t xml:space="preserve">GRUPO L.                      </t>
        </is>
      </c>
      <c r="E1053" t="inlineStr">
        <is>
          <t xml:space="preserve">BAZ001165           </t>
        </is>
      </c>
      <c r="F1053" t="n">
        <v>9003759</v>
      </c>
      <c r="G1053" t="inlineStr">
        <is>
          <t xml:space="preserve">CONTEN PLAST RECT 2.4LT            </t>
        </is>
      </c>
      <c r="H1053" t="inlineStr">
        <is>
          <t xml:space="preserve">UNIDAD              </t>
        </is>
      </c>
      <c r="I1053" t="n">
        <v>141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141</v>
      </c>
      <c r="P1053" s="96">
        <f>_xlfn.XLOOKUP(Tabla5[[#This Row],[EAN CORREGIDO]],'Tabla Articulos'!B:B,'Tabla Articulos'!D:D)</f>
        <v/>
      </c>
      <c r="Q1053" s="96">
        <f>_xlfn.XLOOKUP(S1053,'Tabla Articulos'!B:B,'Tabla Articulos'!E:E)</f>
        <v/>
      </c>
      <c r="R1053" s="96">
        <f>O1053*Q1053</f>
        <v/>
      </c>
      <c r="S1053" s="97">
        <f>TRIM(E1053)</f>
        <v/>
      </c>
    </row>
    <row r="1054" hidden="1">
      <c r="A1054" s="22" t="n">
        <v>6</v>
      </c>
      <c r="B1054" t="inlineStr">
        <is>
          <t xml:space="preserve">CDM03 - MORENO 3              </t>
        </is>
      </c>
      <c r="C1054" t="inlineStr">
        <is>
          <t xml:space="preserve">GRUPO L.                      </t>
        </is>
      </c>
      <c r="D1054" t="inlineStr">
        <is>
          <t>BOLSAS ARRANQUE</t>
        </is>
      </c>
      <c r="E1054" t="inlineStr">
        <is>
          <t xml:space="preserve">7794459003547       </t>
        </is>
      </c>
      <c r="F1054" t="n">
        <v>2016603</v>
      </c>
      <c r="G1054" t="inlineStr">
        <is>
          <t xml:space="preserve">ROLLO ARRANQUE 40X60 X6U 1500GR    </t>
        </is>
      </c>
      <c r="H1054" t="inlineStr">
        <is>
          <t xml:space="preserve">UNIDAD              </t>
        </is>
      </c>
      <c r="I1054" t="n">
        <v>25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25</v>
      </c>
      <c r="P1054" s="96">
        <f>_xlfn.XLOOKUP(Tabla5[[#This Row],[EAN CORREGIDO]],'Tabla Articulos'!B:B,'Tabla Articulos'!D:D)</f>
        <v/>
      </c>
      <c r="Q1054" s="96">
        <f>_xlfn.XLOOKUP(S1054,'Tabla Articulos'!B:B,'Tabla Articulos'!E:E)</f>
        <v/>
      </c>
      <c r="R1054" s="96">
        <f>O1054*Q1054</f>
        <v/>
      </c>
      <c r="S1054" s="97">
        <f>TRIM(E1054)</f>
        <v/>
      </c>
    </row>
    <row r="1055" hidden="1">
      <c r="A1055" s="22" t="n">
        <v>1</v>
      </c>
      <c r="B1055" t="inlineStr">
        <is>
          <t xml:space="preserve">CD MORENO                     </t>
        </is>
      </c>
      <c r="C1055" t="inlineStr">
        <is>
          <t xml:space="preserve">GRUPO L.                      </t>
        </is>
      </c>
      <c r="D1055" t="inlineStr">
        <is>
          <t>PIMIENTA BLANCA</t>
        </is>
      </c>
      <c r="E1055" t="inlineStr">
        <is>
          <t xml:space="preserve">7798186160993       </t>
        </is>
      </c>
      <c r="F1055" t="n">
        <v>4024625</v>
      </c>
      <c r="G1055" t="inlineStr">
        <is>
          <t xml:space="preserve">PIMIENTA BCA MOL X1KG EL CRIOLLO   </t>
        </is>
      </c>
      <c r="H1055" t="inlineStr">
        <is>
          <t xml:space="preserve">UNIDAD              </t>
        </is>
      </c>
      <c r="I1055" t="n">
        <v>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2</v>
      </c>
      <c r="P1055" s="96">
        <f>_xlfn.XLOOKUP(Tabla5[[#This Row],[EAN CORREGIDO]],'Tabla Articulos'!B:B,'Tabla Articulos'!D:D)</f>
        <v/>
      </c>
      <c r="Q1055" s="96">
        <f>_xlfn.XLOOKUP(S1055,'Tabla Articulos'!B:B,'Tabla Articulos'!E:E)</f>
        <v/>
      </c>
      <c r="R1055" s="96">
        <f>O1055*Q1055</f>
        <v/>
      </c>
      <c r="S1055" s="97">
        <f>TRIM(E1055)</f>
        <v/>
      </c>
    </row>
    <row r="1056" hidden="1">
      <c r="A1056" s="22" t="n">
        <v>6</v>
      </c>
      <c r="B1056" t="inlineStr">
        <is>
          <t xml:space="preserve">CDM03 - MORENO 3              </t>
        </is>
      </c>
      <c r="C1056" t="inlineStr">
        <is>
          <t xml:space="preserve">GRUPO L.                      </t>
        </is>
      </c>
      <c r="E1056" t="inlineStr">
        <is>
          <t xml:space="preserve">BAZ000870           </t>
        </is>
      </c>
      <c r="F1056" t="n">
        <v>5002940</v>
      </c>
      <c r="G1056" t="inlineStr">
        <is>
          <t xml:space="preserve">CUCHARA DE TE MANGO PLAST ROJO     </t>
        </is>
      </c>
      <c r="H1056" t="inlineStr">
        <is>
          <t xml:space="preserve">UNIDAD              </t>
        </is>
      </c>
      <c r="I1056" t="n">
        <v>100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100</v>
      </c>
      <c r="P1056" s="96">
        <f>_xlfn.XLOOKUP(Tabla5[[#This Row],[EAN CORREGIDO]],'Tabla Articulos'!B:B,'Tabla Articulos'!D:D)</f>
        <v/>
      </c>
      <c r="Q1056" s="96">
        <f>_xlfn.XLOOKUP(S1056,'Tabla Articulos'!B:B,'Tabla Articulos'!E:E)</f>
        <v/>
      </c>
      <c r="R1056" s="96">
        <f>O1056*Q1056</f>
        <v/>
      </c>
      <c r="S1056" s="97">
        <f>TRIM(E1056)</f>
        <v/>
      </c>
    </row>
    <row r="1057" hidden="1">
      <c r="A1057" s="22" t="n">
        <v>5</v>
      </c>
      <c r="B1057" t="inlineStr">
        <is>
          <t xml:space="preserve">CDM02 - MORENO 2              </t>
        </is>
      </c>
      <c r="C1057" t="inlineStr">
        <is>
          <t xml:space="preserve">GRUPO L.                      </t>
        </is>
      </c>
      <c r="D1057" t="inlineStr">
        <is>
          <t>NUEZ CUARTA</t>
        </is>
      </c>
      <c r="E1057" t="inlineStr">
        <is>
          <t xml:space="preserve">724751080240        </t>
        </is>
      </c>
      <c r="F1057" t="n">
        <v>4024234</v>
      </c>
      <c r="G1057" t="inlineStr">
        <is>
          <t xml:space="preserve">NUEZ PELADA CUARTO X1KG P.GOURMET  </t>
        </is>
      </c>
      <c r="H1057" t="inlineStr">
        <is>
          <t xml:space="preserve">UNIDAD              </t>
        </is>
      </c>
      <c r="I1057" t="n">
        <v>12</v>
      </c>
      <c r="J1057" t="n">
        <v>0</v>
      </c>
      <c r="K1057" t="n">
        <v>0</v>
      </c>
      <c r="L1057" t="n">
        <v>1</v>
      </c>
      <c r="M1057" t="n">
        <v>1</v>
      </c>
      <c r="N1057" t="n">
        <v>0</v>
      </c>
      <c r="O1057" t="n">
        <v>10</v>
      </c>
      <c r="P1057" s="96">
        <f>_xlfn.XLOOKUP(Tabla5[[#This Row],[EAN CORREGIDO]],'Tabla Articulos'!B:B,'Tabla Articulos'!D:D)</f>
        <v/>
      </c>
      <c r="Q1057" s="96">
        <f>_xlfn.XLOOKUP(S1057,'Tabla Articulos'!B:B,'Tabla Articulos'!E:E)</f>
        <v/>
      </c>
      <c r="R1057" s="96">
        <f>O1057*Q1057</f>
        <v/>
      </c>
      <c r="S1057" s="97">
        <f>TRIM(E1057)</f>
        <v/>
      </c>
    </row>
    <row r="1058" hidden="1">
      <c r="A1058" s="22" t="n">
        <v>1</v>
      </c>
      <c r="B1058" t="inlineStr">
        <is>
          <t xml:space="preserve">CD MORENO                     </t>
        </is>
      </c>
      <c r="C1058" t="inlineStr">
        <is>
          <t xml:space="preserve">GRUPO L.                      </t>
        </is>
      </c>
      <c r="D1058" t="inlineStr">
        <is>
          <t>MANDARINA 90-120</t>
        </is>
      </c>
      <c r="E1058" t="inlineStr">
        <is>
          <t xml:space="preserve">7790216020016       </t>
        </is>
      </c>
      <c r="F1058" t="n">
        <v>4018055</v>
      </c>
      <c r="G1058" t="inlineStr">
        <is>
          <t xml:space="preserve">FRUTA MANDARINA 90-120 XU          </t>
        </is>
      </c>
      <c r="H1058" t="inlineStr">
        <is>
          <t xml:space="preserve">UNIDAD              </t>
        </is>
      </c>
      <c r="I1058" t="n">
        <v>5801</v>
      </c>
      <c r="J1058" t="n">
        <v>0</v>
      </c>
      <c r="K1058" t="n">
        <v>0</v>
      </c>
      <c r="L1058" t="n">
        <v>15</v>
      </c>
      <c r="M1058" t="n">
        <v>15</v>
      </c>
      <c r="N1058" t="n">
        <v>0</v>
      </c>
      <c r="O1058" t="n">
        <v>5771</v>
      </c>
      <c r="P1058" s="96">
        <f>_xlfn.XLOOKUP(Tabla5[[#This Row],[EAN CORREGIDO]],'Tabla Articulos'!B:B,'Tabla Articulos'!D:D)</f>
        <v/>
      </c>
      <c r="Q1058" s="96">
        <f>_xlfn.XLOOKUP(S1058,'Tabla Articulos'!B:B,'Tabla Articulos'!E:E)</f>
        <v/>
      </c>
      <c r="R1058" s="96">
        <f>O1058*Q1058</f>
        <v/>
      </c>
      <c r="S1058" s="97">
        <f>TRIM(E1058)</f>
        <v/>
      </c>
    </row>
    <row r="1059" hidden="1">
      <c r="A1059" s="22" t="n">
        <v>6</v>
      </c>
      <c r="B1059" t="inlineStr">
        <is>
          <t xml:space="preserve">CDM03 - MORENO 3              </t>
        </is>
      </c>
      <c r="C1059" t="inlineStr">
        <is>
          <t xml:space="preserve">GRUPO L.                      </t>
        </is>
      </c>
      <c r="E1059" t="inlineStr">
        <is>
          <t xml:space="preserve">UNIF000433          </t>
        </is>
      </c>
      <c r="F1059" t="n">
        <v>9003594</v>
      </c>
      <c r="G1059" t="inlineStr">
        <is>
          <t xml:space="preserve">CAMPE. A. MARIN TRUCK PULCR 3XL    </t>
        </is>
      </c>
      <c r="H1059" t="inlineStr">
        <is>
          <t xml:space="preserve">UNIDAD              </t>
        </is>
      </c>
      <c r="I1059" t="n">
        <v>107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107</v>
      </c>
      <c r="P1059" s="96">
        <f>_xlfn.XLOOKUP(Tabla5[[#This Row],[EAN CORREGIDO]],'Tabla Articulos'!B:B,'Tabla Articulos'!D:D)</f>
        <v/>
      </c>
      <c r="Q1059" s="96">
        <f>_xlfn.XLOOKUP(S1059,'Tabla Articulos'!B:B,'Tabla Articulos'!E:E)</f>
        <v/>
      </c>
      <c r="R1059" s="96">
        <f>O1059*Q1059</f>
        <v/>
      </c>
      <c r="S1059" s="97">
        <f>TRIM(E1059)</f>
        <v/>
      </c>
    </row>
    <row r="1060" hidden="1">
      <c r="A1060" s="22" t="n">
        <v>6</v>
      </c>
      <c r="B1060" t="inlineStr">
        <is>
          <t xml:space="preserve">CDM03 - MORENO 3              </t>
        </is>
      </c>
      <c r="C1060" t="inlineStr">
        <is>
          <t xml:space="preserve">GRUPO L.                      </t>
        </is>
      </c>
      <c r="D1060" s="11" t="n"/>
      <c r="E1060" t="inlineStr">
        <is>
          <t xml:space="preserve">UNIF000124          </t>
        </is>
      </c>
      <c r="F1060" t="n">
        <v>9003224</v>
      </c>
      <c r="G1060" t="inlineStr">
        <is>
          <t xml:space="preserve">PANTALON NAUTICO BLANCO 6          </t>
        </is>
      </c>
      <c r="H1060" t="inlineStr">
        <is>
          <t xml:space="preserve">UNIDAD              </t>
        </is>
      </c>
      <c r="I1060" t="n">
        <v>2</v>
      </c>
      <c r="J1060" t="n">
        <v>290</v>
      </c>
      <c r="K1060" t="n">
        <v>0</v>
      </c>
      <c r="L1060" t="n">
        <v>0</v>
      </c>
      <c r="M1060" t="n">
        <v>0</v>
      </c>
      <c r="N1060" t="n">
        <v>0</v>
      </c>
      <c r="O1060" t="n">
        <v>292</v>
      </c>
      <c r="P1060" s="96">
        <f>_xlfn.XLOOKUP(Tabla5[[#This Row],[EAN CORREGIDO]],'Tabla Articulos'!B:B,'Tabla Articulos'!D:D)</f>
        <v/>
      </c>
      <c r="Q1060" s="96">
        <f>_xlfn.XLOOKUP(S1060,'Tabla Articulos'!B:B,'Tabla Articulos'!E:E)</f>
        <v/>
      </c>
      <c r="R1060" s="96">
        <f>O1060*Q1060</f>
        <v/>
      </c>
      <c r="S1060" s="97">
        <f>TRIM(E1060)</f>
        <v/>
      </c>
    </row>
    <row r="1061" hidden="1">
      <c r="A1061" s="22" t="n">
        <v>6</v>
      </c>
      <c r="B1061" t="inlineStr">
        <is>
          <t xml:space="preserve">CDM03 - MORENO 3              </t>
        </is>
      </c>
      <c r="C1061" t="inlineStr">
        <is>
          <t xml:space="preserve">GRUPO L.                      </t>
        </is>
      </c>
      <c r="D1061" s="11" t="n"/>
      <c r="E1061" t="inlineStr">
        <is>
          <t xml:space="preserve">UNIF000048          </t>
        </is>
      </c>
      <c r="F1061" t="n">
        <v>9003301</v>
      </c>
      <c r="G1061" t="inlineStr">
        <is>
          <t xml:space="preserve">BUZO AZUL MARINO PULCRUS L         </t>
        </is>
      </c>
      <c r="H1061" t="inlineStr">
        <is>
          <t xml:space="preserve">UNIDAD              </t>
        </is>
      </c>
      <c r="I1061" t="n">
        <v>350</v>
      </c>
      <c r="J1061" t="n">
        <v>0</v>
      </c>
      <c r="K1061" t="n">
        <v>0</v>
      </c>
      <c r="L1061" t="n">
        <v>34</v>
      </c>
      <c r="M1061" t="n">
        <v>34</v>
      </c>
      <c r="N1061" t="n">
        <v>0</v>
      </c>
      <c r="O1061" t="n">
        <v>282</v>
      </c>
      <c r="P1061" s="96">
        <f>_xlfn.XLOOKUP(Tabla5[[#This Row],[EAN CORREGIDO]],'Tabla Articulos'!B:B,'Tabla Articulos'!D:D)</f>
        <v/>
      </c>
      <c r="Q1061" s="96">
        <f>_xlfn.XLOOKUP(S1061,'Tabla Articulos'!B:B,'Tabla Articulos'!E:E)</f>
        <v/>
      </c>
      <c r="R1061" s="96">
        <f>O1061*Q1061</f>
        <v/>
      </c>
      <c r="S1061" s="97">
        <f>TRIM(E1061)</f>
        <v/>
      </c>
    </row>
    <row r="1062" hidden="1">
      <c r="A1062" s="22" t="n">
        <v>6</v>
      </c>
      <c r="B1062" t="inlineStr">
        <is>
          <t xml:space="preserve">CDM03 - MORENO 3              </t>
        </is>
      </c>
      <c r="C1062" t="inlineStr">
        <is>
          <t xml:space="preserve">GRUPO L.                      </t>
        </is>
      </c>
      <c r="E1062" t="inlineStr">
        <is>
          <t xml:space="preserve">UNIF000301          </t>
        </is>
      </c>
      <c r="F1062" t="n">
        <v>9003175</v>
      </c>
      <c r="G1062" t="inlineStr">
        <is>
          <t xml:space="preserve">REMERA VERDE M CR GL SUP LIMP M    </t>
        </is>
      </c>
      <c r="H1062" t="inlineStr">
        <is>
          <t xml:space="preserve">UNIDAD              </t>
        </is>
      </c>
      <c r="I1062" t="n">
        <v>16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16</v>
      </c>
      <c r="P1062" s="96">
        <f>_xlfn.XLOOKUP(Tabla5[[#This Row],[EAN CORREGIDO]],'Tabla Articulos'!B:B,'Tabla Articulos'!D:D)</f>
        <v/>
      </c>
      <c r="Q1062" s="96">
        <f>_xlfn.XLOOKUP(S1062,'Tabla Articulos'!B:B,'Tabla Articulos'!E:E)</f>
        <v/>
      </c>
      <c r="R1062" s="96">
        <f>O1062*Q1062</f>
        <v/>
      </c>
      <c r="S1062" s="97">
        <f>TRIM(E1062)</f>
        <v/>
      </c>
    </row>
    <row r="1063" hidden="1">
      <c r="A1063" s="22" t="n">
        <v>6</v>
      </c>
      <c r="B1063" t="inlineStr">
        <is>
          <t xml:space="preserve">CDM03 - MORENO 3              </t>
        </is>
      </c>
      <c r="C1063" t="inlineStr">
        <is>
          <t xml:space="preserve">GRUPO L.                      </t>
        </is>
      </c>
      <c r="E1063" t="inlineStr">
        <is>
          <t xml:space="preserve">BAZ001232           </t>
        </is>
      </c>
      <c r="F1063" t="n">
        <v>9003699</v>
      </c>
      <c r="G1063" t="inlineStr">
        <is>
          <t xml:space="preserve">TENEDOR MESA MODACERO INOX LIVI    </t>
        </is>
      </c>
      <c r="H1063" t="inlineStr">
        <is>
          <t xml:space="preserve">UNIDAD              </t>
        </is>
      </c>
      <c r="I1063" t="n">
        <v>260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260</v>
      </c>
      <c r="P1063" s="96">
        <f>_xlfn.XLOOKUP(Tabla5[[#This Row],[EAN CORREGIDO]],'Tabla Articulos'!B:B,'Tabla Articulos'!D:D)</f>
        <v/>
      </c>
      <c r="Q1063" s="96">
        <f>_xlfn.XLOOKUP(S1063,'Tabla Articulos'!B:B,'Tabla Articulos'!E:E)</f>
        <v/>
      </c>
      <c r="R1063" s="96">
        <f>O1063*Q1063</f>
        <v/>
      </c>
      <c r="S1063" s="97">
        <f>TRIM(E1063)</f>
        <v/>
      </c>
    </row>
    <row r="1064" hidden="1">
      <c r="A1064" s="22" t="n">
        <v>1</v>
      </c>
      <c r="B1064" t="inlineStr">
        <is>
          <t xml:space="preserve">CD MORENO                     </t>
        </is>
      </c>
      <c r="C1064" t="inlineStr">
        <is>
          <t xml:space="preserve">GRUPO L.                      </t>
        </is>
      </c>
      <c r="D1064" t="inlineStr">
        <is>
          <t>PASTAS RELLENAS</t>
        </is>
      </c>
      <c r="E1064" t="inlineStr">
        <is>
          <t xml:space="preserve">7791218000281       </t>
        </is>
      </c>
      <c r="F1064" t="n">
        <v>4018743</v>
      </c>
      <c r="G1064" t="inlineStr">
        <is>
          <t xml:space="preserve">RAVIOLES CARNE/VERD X500G ORALI    </t>
        </is>
      </c>
      <c r="H1064" t="inlineStr">
        <is>
          <t xml:space="preserve">UNIDAD              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1</v>
      </c>
      <c r="P1064" s="96">
        <f>_xlfn.XLOOKUP(Tabla5[[#This Row],[EAN CORREGIDO]],'Tabla Articulos'!B:B,'Tabla Articulos'!D:D)</f>
        <v/>
      </c>
      <c r="Q1064" s="96">
        <f>_xlfn.XLOOKUP(S1064,'Tabla Articulos'!B:B,'Tabla Articulos'!E:E)</f>
        <v/>
      </c>
      <c r="R1064" s="96">
        <f>O1064*Q1064</f>
        <v/>
      </c>
      <c r="S1064" s="97">
        <f>TRIM(E1064)</f>
        <v/>
      </c>
    </row>
    <row r="1065" hidden="1">
      <c r="A1065" s="22" t="n">
        <v>6</v>
      </c>
      <c r="B1065" t="inlineStr">
        <is>
          <t xml:space="preserve">CDM03 - MORENO 3              </t>
        </is>
      </c>
      <c r="C1065" t="inlineStr">
        <is>
          <t xml:space="preserve">GRUPO L.                      </t>
        </is>
      </c>
      <c r="E1065" t="inlineStr">
        <is>
          <t xml:space="preserve">UNIF000144          </t>
        </is>
      </c>
      <c r="F1065" t="n">
        <v>9003561</v>
      </c>
      <c r="G1065" t="inlineStr">
        <is>
          <t xml:space="preserve">CAMI. 3/4 BCA SALUD MUJ 1 C.GOUR   </t>
        </is>
      </c>
      <c r="H1065" t="inlineStr">
        <is>
          <t xml:space="preserve">UNIDAD              </t>
        </is>
      </c>
      <c r="I1065" t="n">
        <v>25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25</v>
      </c>
      <c r="P1065" s="96">
        <f>_xlfn.XLOOKUP(Tabla5[[#This Row],[EAN CORREGIDO]],'Tabla Articulos'!B:B,'Tabla Articulos'!D:D)</f>
        <v/>
      </c>
      <c r="Q1065" s="96">
        <f>_xlfn.XLOOKUP(S1065,'Tabla Articulos'!B:B,'Tabla Articulos'!E:E)</f>
        <v/>
      </c>
      <c r="R1065" s="96">
        <f>O1065*Q1065</f>
        <v/>
      </c>
      <c r="S1065" s="97">
        <f>TRIM(E1065)</f>
        <v/>
      </c>
    </row>
    <row r="1066" hidden="1">
      <c r="A1066" s="22" t="n">
        <v>5</v>
      </c>
      <c r="B1066" t="inlineStr">
        <is>
          <t xml:space="preserve">CDM02 - MORENO 2              </t>
        </is>
      </c>
      <c r="C1066" t="inlineStr">
        <is>
          <t xml:space="preserve">GRUPO L.                      </t>
        </is>
      </c>
      <c r="D1066" t="inlineStr">
        <is>
          <t>OBLEAS</t>
        </is>
      </c>
      <c r="E1066" t="inlineStr">
        <is>
          <t xml:space="preserve">7793123160265       </t>
        </is>
      </c>
      <c r="F1066" t="n">
        <v>4049169</v>
      </c>
      <c r="G1066" t="inlineStr">
        <is>
          <t xml:space="preserve">OBLEA SAB VAIN 100GR OBLITA        </t>
        </is>
      </c>
      <c r="H1066" t="inlineStr">
        <is>
          <t xml:space="preserve">UNIDAD              </t>
        </is>
      </c>
      <c r="I1066" t="n">
        <v>38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38</v>
      </c>
      <c r="P1066" s="96">
        <f>_xlfn.XLOOKUP(Tabla5[[#This Row],[EAN CORREGIDO]],'Tabla Articulos'!B:B,'Tabla Articulos'!D:D)</f>
        <v/>
      </c>
      <c r="Q1066" s="96">
        <f>_xlfn.XLOOKUP(S1066,'Tabla Articulos'!B:B,'Tabla Articulos'!E:E)</f>
        <v/>
      </c>
      <c r="R1066" s="96">
        <f>O1066*Q1066</f>
        <v/>
      </c>
      <c r="S1066" s="97">
        <f>TRIM(E1066)</f>
        <v/>
      </c>
    </row>
    <row r="1067" hidden="1">
      <c r="A1067" s="22" t="n">
        <v>1</v>
      </c>
      <c r="B1067" t="inlineStr">
        <is>
          <t xml:space="preserve">CD MORENO                     </t>
        </is>
      </c>
      <c r="C1067" t="inlineStr">
        <is>
          <t xml:space="preserve">GRUPO L.                      </t>
        </is>
      </c>
      <c r="D1067" t="inlineStr">
        <is>
          <t>OBLEAS</t>
        </is>
      </c>
      <c r="E1067" t="inlineStr">
        <is>
          <t xml:space="preserve">7793123160265       </t>
        </is>
      </c>
      <c r="F1067" t="n">
        <v>4049169</v>
      </c>
      <c r="G1067" t="inlineStr">
        <is>
          <t xml:space="preserve">OBLEA SAB VAIN 100GR OBLITA        </t>
        </is>
      </c>
      <c r="H1067" t="inlineStr">
        <is>
          <t xml:space="preserve">UNIDAD              </t>
        </is>
      </c>
      <c r="I1067" t="n">
        <v>75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75</v>
      </c>
      <c r="P1067" s="96">
        <f>_xlfn.XLOOKUP(Tabla5[[#This Row],[EAN CORREGIDO]],'Tabla Articulos'!B:B,'Tabla Articulos'!D:D)</f>
        <v/>
      </c>
      <c r="Q1067" s="96">
        <f>_xlfn.XLOOKUP(S1067,'Tabla Articulos'!B:B,'Tabla Articulos'!E:E)</f>
        <v/>
      </c>
      <c r="R1067" s="96">
        <f>O1067*Q1067</f>
        <v/>
      </c>
      <c r="S1067" s="97">
        <f>TRIM(E1067)</f>
        <v/>
      </c>
    </row>
    <row r="1068" hidden="1">
      <c r="A1068" s="22" t="n">
        <v>6</v>
      </c>
      <c r="B1068" t="inlineStr">
        <is>
          <t xml:space="preserve">CDM03 - MORENO 3              </t>
        </is>
      </c>
      <c r="C1068" t="inlineStr">
        <is>
          <t xml:space="preserve">GRUPO L.                      </t>
        </is>
      </c>
      <c r="D1068" t="inlineStr">
        <is>
          <t>MOPA</t>
        </is>
      </c>
      <c r="E1068" t="inlineStr">
        <is>
          <t xml:space="preserve">LIM000261           </t>
        </is>
      </c>
      <c r="F1068" t="n">
        <v>2006255</v>
      </c>
      <c r="G1068" t="inlineStr">
        <is>
          <t xml:space="preserve">MOPA DE LAVADO                     </t>
        </is>
      </c>
      <c r="H1068" t="inlineStr">
        <is>
          <t xml:space="preserve">UNIDAD              </t>
        </is>
      </c>
      <c r="I1068" t="n">
        <v>365</v>
      </c>
      <c r="J1068" t="n">
        <v>0</v>
      </c>
      <c r="K1068" t="n">
        <v>0</v>
      </c>
      <c r="L1068" t="n">
        <v>147</v>
      </c>
      <c r="M1068" t="n">
        <v>147</v>
      </c>
      <c r="N1068" t="n">
        <v>0</v>
      </c>
      <c r="O1068" t="n">
        <v>71</v>
      </c>
      <c r="P1068" s="96">
        <f>_xlfn.XLOOKUP(Tabla5[[#This Row],[EAN CORREGIDO]],'Tabla Articulos'!B:B,'Tabla Articulos'!D:D)</f>
        <v/>
      </c>
      <c r="Q1068" s="96">
        <f>_xlfn.XLOOKUP(S1068,'Tabla Articulos'!B:B,'Tabla Articulos'!E:E)</f>
        <v/>
      </c>
      <c r="R1068" s="96">
        <f>O1068*Q1068</f>
        <v/>
      </c>
      <c r="S1068" s="97">
        <f>TRIM(E1068)</f>
        <v/>
      </c>
    </row>
    <row r="1069" hidden="1">
      <c r="A1069" s="22" t="n">
        <v>1</v>
      </c>
      <c r="B1069" t="inlineStr">
        <is>
          <t xml:space="preserve">CD MORENO                     </t>
        </is>
      </c>
      <c r="C1069" t="inlineStr">
        <is>
          <t xml:space="preserve">GRUPO L.                      </t>
        </is>
      </c>
      <c r="D1069" s="11" t="inlineStr">
        <is>
          <t>HARINA 000</t>
        </is>
      </c>
      <c r="E1069" t="inlineStr">
        <is>
          <t xml:space="preserve">7797470000045       </t>
        </is>
      </c>
      <c r="F1069" t="n">
        <v>4022239</v>
      </c>
      <c r="G1069" t="inlineStr">
        <is>
          <t xml:space="preserve">HARINA 000 X 1 KG MAROLIO          </t>
        </is>
      </c>
      <c r="H1069" t="inlineStr">
        <is>
          <t xml:space="preserve">UNIDAD              </t>
        </is>
      </c>
      <c r="I1069" t="n">
        <v>17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17</v>
      </c>
      <c r="P1069" s="96">
        <f>_xlfn.XLOOKUP(Tabla5[[#This Row],[EAN CORREGIDO]],'Tabla Articulos'!B:B,'Tabla Articulos'!D:D)</f>
        <v/>
      </c>
      <c r="Q1069" s="96">
        <f>_xlfn.XLOOKUP(S1069,'Tabla Articulos'!B:B,'Tabla Articulos'!E:E)</f>
        <v/>
      </c>
      <c r="R1069" s="96">
        <f>O1069*Q1069</f>
        <v/>
      </c>
      <c r="S1069" s="97">
        <f>TRIM(E1069)</f>
        <v/>
      </c>
    </row>
    <row r="1070" hidden="1">
      <c r="A1070" s="22" t="n">
        <v>1</v>
      </c>
      <c r="B1070" t="inlineStr">
        <is>
          <t xml:space="preserve">CD MORENO                     </t>
        </is>
      </c>
      <c r="C1070" t="inlineStr">
        <is>
          <t xml:space="preserve">GRUPO L.                      </t>
        </is>
      </c>
      <c r="D1070" t="inlineStr">
        <is>
          <t>CURCUMA</t>
        </is>
      </c>
      <c r="E1070" t="inlineStr">
        <is>
          <t xml:space="preserve">7798224213278       </t>
        </is>
      </c>
      <c r="F1070" t="n">
        <v>4022066</v>
      </c>
      <c r="G1070" t="inlineStr">
        <is>
          <t xml:space="preserve">CURCUMA X15GR PARMESANA            </t>
        </is>
      </c>
      <c r="H1070" t="inlineStr">
        <is>
          <t xml:space="preserve">UNIDAD              </t>
        </is>
      </c>
      <c r="I1070" t="n">
        <v>89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89</v>
      </c>
      <c r="P1070" s="96">
        <f>_xlfn.XLOOKUP(Tabla5[[#This Row],[EAN CORREGIDO]],'Tabla Articulos'!B:B,'Tabla Articulos'!D:D)</f>
        <v/>
      </c>
      <c r="Q1070" s="96">
        <f>_xlfn.XLOOKUP(S1070,'Tabla Articulos'!B:B,'Tabla Articulos'!E:E)</f>
        <v/>
      </c>
      <c r="R1070" s="96">
        <f>O1070*Q1070</f>
        <v/>
      </c>
      <c r="S1070" s="97">
        <f>TRIM(E1070)</f>
        <v/>
      </c>
    </row>
    <row r="1071" hidden="1">
      <c r="A1071" s="22" t="n">
        <v>6</v>
      </c>
      <c r="B1071" t="inlineStr">
        <is>
          <t xml:space="preserve">CDM03 - MORENO 3              </t>
        </is>
      </c>
      <c r="C1071" t="inlineStr">
        <is>
          <t xml:space="preserve">GRUPO L.                      </t>
        </is>
      </c>
      <c r="E1071" t="inlineStr">
        <is>
          <t xml:space="preserve">UNIF000363          </t>
        </is>
      </c>
      <c r="F1071" t="n">
        <v>9003207</v>
      </c>
      <c r="G1071" t="inlineStr">
        <is>
          <t xml:space="preserve">GORRO COCINERO BAJO NEG C. GOUR    </t>
        </is>
      </c>
      <c r="H1071" t="inlineStr">
        <is>
          <t xml:space="preserve">UNIDAD              </t>
        </is>
      </c>
      <c r="I1071" t="n">
        <v>74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74</v>
      </c>
      <c r="P1071" s="96">
        <f>_xlfn.XLOOKUP(Tabla5[[#This Row],[EAN CORREGIDO]],'Tabla Articulos'!B:B,'Tabla Articulos'!D:D)</f>
        <v/>
      </c>
      <c r="Q1071" s="96">
        <f>_xlfn.XLOOKUP(S1071,'Tabla Articulos'!B:B,'Tabla Articulos'!E:E)</f>
        <v/>
      </c>
      <c r="R1071" s="96">
        <f>O1071*Q1071</f>
        <v/>
      </c>
      <c r="S1071" s="97">
        <f>TRIM(E1071)</f>
        <v/>
      </c>
    </row>
    <row r="1072" hidden="1">
      <c r="A1072" s="22" t="n">
        <v>6</v>
      </c>
      <c r="B1072" t="inlineStr">
        <is>
          <t xml:space="preserve">CDM03 - MORENO 3              </t>
        </is>
      </c>
      <c r="C1072" t="inlineStr">
        <is>
          <t xml:space="preserve">GRUPO L.                      </t>
        </is>
      </c>
      <c r="D1072" s="11" t="n"/>
      <c r="E1072" t="inlineStr">
        <is>
          <t xml:space="preserve">BAZ001231           </t>
        </is>
      </c>
      <c r="F1072" t="n">
        <v>9003755</v>
      </c>
      <c r="G1072" t="inlineStr">
        <is>
          <t xml:space="preserve">TAZA DESA PORC. VERBANO            </t>
        </is>
      </c>
      <c r="H1072" t="inlineStr">
        <is>
          <t xml:space="preserve">UNIDAD              </t>
        </is>
      </c>
      <c r="I1072" t="n">
        <v>632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632</v>
      </c>
      <c r="P1072" s="96">
        <f>_xlfn.XLOOKUP(Tabla5[[#This Row],[EAN CORREGIDO]],'Tabla Articulos'!B:B,'Tabla Articulos'!D:D)</f>
        <v/>
      </c>
      <c r="Q1072" s="96">
        <f>_xlfn.XLOOKUP(S1072,'Tabla Articulos'!B:B,'Tabla Articulos'!E:E)</f>
        <v/>
      </c>
      <c r="R1072" s="96">
        <f>O1072*Q1072</f>
        <v/>
      </c>
      <c r="S1072" s="97">
        <f>TRIM(E1072)</f>
        <v/>
      </c>
    </row>
    <row r="1073" hidden="1">
      <c r="A1073" s="22" t="n">
        <v>6</v>
      </c>
      <c r="B1073" t="inlineStr">
        <is>
          <t xml:space="preserve">CDM03 - MORENO 3              </t>
        </is>
      </c>
      <c r="C1073" t="inlineStr">
        <is>
          <t xml:space="preserve">GRUPO L.                      </t>
        </is>
      </c>
      <c r="E1073" t="inlineStr">
        <is>
          <t xml:space="preserve">BAZ001149           </t>
        </is>
      </c>
      <c r="F1073" t="n">
        <v>9003824</v>
      </c>
      <c r="G1073" t="inlineStr">
        <is>
          <t xml:space="preserve">CACEROLA ALUM C/TAPAN°45X36 LTS    </t>
        </is>
      </c>
      <c r="H1073" t="inlineStr">
        <is>
          <t xml:space="preserve">UNIDAD              </t>
        </is>
      </c>
      <c r="I1073" t="n">
        <v>10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10</v>
      </c>
      <c r="P1073" s="96">
        <f>_xlfn.XLOOKUP(Tabla5[[#This Row],[EAN CORREGIDO]],'Tabla Articulos'!B:B,'Tabla Articulos'!D:D)</f>
        <v/>
      </c>
      <c r="Q1073" s="96">
        <f>_xlfn.XLOOKUP(S1073,'Tabla Articulos'!B:B,'Tabla Articulos'!E:E)</f>
        <v/>
      </c>
      <c r="R1073" s="96">
        <f>O1073*Q1073</f>
        <v/>
      </c>
      <c r="S1073" s="97">
        <f>TRIM(E1073)</f>
        <v/>
      </c>
    </row>
    <row r="1074" hidden="1">
      <c r="A1074" s="22" t="n">
        <v>6</v>
      </c>
      <c r="B1074" t="inlineStr">
        <is>
          <t xml:space="preserve">CDM03 - MORENO 3              </t>
        </is>
      </c>
      <c r="C1074" t="inlineStr">
        <is>
          <t xml:space="preserve">GRUPO L.                      </t>
        </is>
      </c>
      <c r="D1074" t="inlineStr">
        <is>
          <t>CUCHILLOS COMPSTABLE</t>
        </is>
      </c>
      <c r="E1074" t="inlineStr">
        <is>
          <t xml:space="preserve">7790900031701       </t>
        </is>
      </c>
      <c r="F1074" t="n">
        <v>2016661</v>
      </c>
      <c r="G1074" t="inlineStr">
        <is>
          <t xml:space="preserve"> CUCHILLO 16CM COMPOSTABLE X100U   </t>
        </is>
      </c>
      <c r="H1074" t="inlineStr">
        <is>
          <t xml:space="preserve">UNIDAD              </t>
        </is>
      </c>
      <c r="I1074" t="n">
        <v>80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80</v>
      </c>
      <c r="P1074" s="96">
        <f>_xlfn.XLOOKUP(Tabla5[[#This Row],[EAN CORREGIDO]],'Tabla Articulos'!B:B,'Tabla Articulos'!D:D)</f>
        <v/>
      </c>
      <c r="Q1074" s="96">
        <f>_xlfn.XLOOKUP(S1074,'Tabla Articulos'!B:B,'Tabla Articulos'!E:E)</f>
        <v/>
      </c>
      <c r="R1074" s="96">
        <f>O1074*Q1074</f>
        <v/>
      </c>
      <c r="S1074" s="97">
        <f>TRIM(E1074)</f>
        <v/>
      </c>
    </row>
    <row r="1075" hidden="1">
      <c r="A1075" s="22" t="n">
        <v>6</v>
      </c>
      <c r="B1075" t="inlineStr">
        <is>
          <t xml:space="preserve">CDM03 - MORENO 3              </t>
        </is>
      </c>
      <c r="C1075" t="inlineStr">
        <is>
          <t xml:space="preserve">GRUPO L.                      </t>
        </is>
      </c>
      <c r="D1075" s="11" t="n"/>
      <c r="E1075" t="inlineStr">
        <is>
          <t xml:space="preserve">7798188650201       </t>
        </is>
      </c>
      <c r="F1075" t="n">
        <v>2011406</v>
      </c>
      <c r="G1075" t="inlineStr">
        <is>
          <t xml:space="preserve">LIMPIADOR ALFOMBRA 5LXU            </t>
        </is>
      </c>
      <c r="H1075" t="inlineStr">
        <is>
          <t xml:space="preserve">UNIDAD              </t>
        </is>
      </c>
      <c r="I1075" t="n">
        <v>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7</v>
      </c>
      <c r="P1075" s="96">
        <f>_xlfn.XLOOKUP(Tabla5[[#This Row],[EAN CORREGIDO]],'Tabla Articulos'!B:B,'Tabla Articulos'!D:D)</f>
        <v/>
      </c>
      <c r="Q1075" s="96">
        <f>_xlfn.XLOOKUP(S1075,'Tabla Articulos'!B:B,'Tabla Articulos'!E:E)</f>
        <v/>
      </c>
      <c r="R1075" s="96">
        <f>O1075*Q1075</f>
        <v/>
      </c>
      <c r="S1075" s="97">
        <f>TRIM(E1075)</f>
        <v/>
      </c>
    </row>
    <row r="1076" hidden="1">
      <c r="A1076" s="22" t="n">
        <v>5</v>
      </c>
      <c r="B1076" t="inlineStr">
        <is>
          <t xml:space="preserve">CDM02 - MORENO 2              </t>
        </is>
      </c>
      <c r="C1076" t="inlineStr">
        <is>
          <t xml:space="preserve">GRUPO L.                      </t>
        </is>
      </c>
      <c r="D1076" t="inlineStr">
        <is>
          <t>CAJAS CARTON</t>
        </is>
      </c>
      <c r="E1076" t="inlineStr">
        <is>
          <t xml:space="preserve">7790321626935       </t>
        </is>
      </c>
      <c r="F1076" t="n">
        <v>2006240</v>
      </c>
      <c r="G1076" t="inlineStr">
        <is>
          <t xml:space="preserve">CAJA CARTON 30X28X26XU LOGO MESA   </t>
        </is>
      </c>
      <c r="H1076" t="inlineStr">
        <is>
          <t xml:space="preserve">UNIDAD              </t>
        </is>
      </c>
      <c r="I1076" t="n">
        <v>700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700</v>
      </c>
      <c r="P1076" s="96">
        <f>_xlfn.XLOOKUP(Tabla5[[#This Row],[EAN CORREGIDO]],'Tabla Articulos'!B:B,'Tabla Articulos'!D:D)</f>
        <v/>
      </c>
      <c r="Q1076" s="96">
        <f>_xlfn.XLOOKUP(S1076,'Tabla Articulos'!B:B,'Tabla Articulos'!E:E)</f>
        <v/>
      </c>
      <c r="R1076" s="96">
        <f>O1076*Q1076</f>
        <v/>
      </c>
      <c r="S1076" s="97">
        <f>TRIM(E1076)</f>
        <v/>
      </c>
    </row>
    <row r="1077" hidden="1">
      <c r="A1077" s="22" t="n">
        <v>5</v>
      </c>
      <c r="B1077" t="inlineStr">
        <is>
          <t xml:space="preserve">CDM02 - MORENO 2              </t>
        </is>
      </c>
      <c r="C1077" t="inlineStr">
        <is>
          <t xml:space="preserve">GRUPO L.                      </t>
        </is>
      </c>
      <c r="D1077" t="inlineStr">
        <is>
          <t xml:space="preserve">GARRAPIÑADA </t>
        </is>
      </c>
      <c r="E1077" t="inlineStr">
        <is>
          <t xml:space="preserve">7792860007666       </t>
        </is>
      </c>
      <c r="F1077" t="n">
        <v>4020046</v>
      </c>
      <c r="G1077" t="inlineStr">
        <is>
          <t xml:space="preserve">GARRAPIÑADA MANI X80G LHERITIER	   </t>
        </is>
      </c>
      <c r="H1077" t="inlineStr">
        <is>
          <t xml:space="preserve">UNIDAD              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4</v>
      </c>
      <c r="P1077" s="96">
        <f>_xlfn.XLOOKUP(Tabla5[[#This Row],[EAN CORREGIDO]],'Tabla Articulos'!B:B,'Tabla Articulos'!D:D)</f>
        <v/>
      </c>
      <c r="Q1077" s="96">
        <f>_xlfn.XLOOKUP(S1077,'Tabla Articulos'!B:B,'Tabla Articulos'!E:E)</f>
        <v/>
      </c>
      <c r="R1077" s="96">
        <f>O1077*Q1077</f>
        <v/>
      </c>
      <c r="S1077" s="97">
        <f>TRIM(E1077)</f>
        <v/>
      </c>
    </row>
    <row r="1078" hidden="1">
      <c r="A1078" s="22" t="n">
        <v>1</v>
      </c>
      <c r="B1078" t="inlineStr">
        <is>
          <t xml:space="preserve">CD MORENO                     </t>
        </is>
      </c>
      <c r="C1078" t="inlineStr">
        <is>
          <t xml:space="preserve">GRUPO L.                      </t>
        </is>
      </c>
      <c r="D1078" s="11" t="inlineStr">
        <is>
          <t xml:space="preserve">GARRAPIÑADA </t>
        </is>
      </c>
      <c r="E1078" t="inlineStr">
        <is>
          <t xml:space="preserve">7792860007666       </t>
        </is>
      </c>
      <c r="F1078" t="n">
        <v>4020046</v>
      </c>
      <c r="G1078" t="inlineStr">
        <is>
          <t xml:space="preserve">GARRAPIÑADA MANI X80G LHERITIER	   </t>
        </is>
      </c>
      <c r="H1078" t="inlineStr">
        <is>
          <t xml:space="preserve">UNIDAD              </t>
        </is>
      </c>
      <c r="I1078" t="n">
        <v>113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113</v>
      </c>
      <c r="P1078" s="96">
        <f>_xlfn.XLOOKUP(Tabla5[[#This Row],[EAN CORREGIDO]],'Tabla Articulos'!B:B,'Tabla Articulos'!D:D)</f>
        <v/>
      </c>
      <c r="Q1078" s="96">
        <f>_xlfn.XLOOKUP(S1078,'Tabla Articulos'!B:B,'Tabla Articulos'!E:E)</f>
        <v/>
      </c>
      <c r="R1078" s="96">
        <f>O1078*Q1078</f>
        <v/>
      </c>
      <c r="S1078" s="97">
        <f>TRIM(E1078)</f>
        <v/>
      </c>
    </row>
    <row r="1079" hidden="1">
      <c r="A1079" s="22" t="n">
        <v>1</v>
      </c>
      <c r="B1079" t="inlineStr">
        <is>
          <t xml:space="preserve">CD MORENO                     </t>
        </is>
      </c>
      <c r="C1079" t="inlineStr">
        <is>
          <t xml:space="preserve">GRUPO L.                      </t>
        </is>
      </c>
      <c r="D1079" s="11" t="inlineStr">
        <is>
          <t>QUESO UNTABLE INDIV</t>
        </is>
      </c>
      <c r="E1079" t="inlineStr">
        <is>
          <t xml:space="preserve">7798060852679       </t>
        </is>
      </c>
      <c r="F1079" t="n">
        <v>4018398</v>
      </c>
      <c r="G1079" t="inlineStr">
        <is>
          <t xml:space="preserve">QUESO UNT IND 20GX90U TONADITA     </t>
        </is>
      </c>
      <c r="H1079" t="inlineStr">
        <is>
          <t xml:space="preserve">UNIDAD              </t>
        </is>
      </c>
      <c r="I1079" t="n">
        <v>47</v>
      </c>
      <c r="J1079" t="n">
        <v>0</v>
      </c>
      <c r="K1079" t="n">
        <v>0</v>
      </c>
      <c r="L1079" t="n">
        <v>22</v>
      </c>
      <c r="M1079" t="n">
        <v>22</v>
      </c>
      <c r="N1079" t="n">
        <v>0</v>
      </c>
      <c r="O1079" t="n">
        <v>3</v>
      </c>
      <c r="P1079" s="96">
        <f>_xlfn.XLOOKUP(Tabla5[[#This Row],[EAN CORREGIDO]],'Tabla Articulos'!B:B,'Tabla Articulos'!D:D)</f>
        <v/>
      </c>
      <c r="Q1079" s="96">
        <f>_xlfn.XLOOKUP(S1079,'Tabla Articulos'!B:B,'Tabla Articulos'!E:E)</f>
        <v/>
      </c>
      <c r="R1079" s="96">
        <f>O1079*Q1079</f>
        <v/>
      </c>
      <c r="S1079" s="97">
        <f>TRIM(E1079)</f>
        <v/>
      </c>
    </row>
    <row r="1080" hidden="1">
      <c r="A1080" s="22" t="n">
        <v>6</v>
      </c>
      <c r="B1080" t="inlineStr">
        <is>
          <t xml:space="preserve">CDM03 - MORENO 3              </t>
        </is>
      </c>
      <c r="C1080" t="inlineStr">
        <is>
          <t xml:space="preserve">GRUPO L.                      </t>
        </is>
      </c>
      <c r="D1080" s="11" t="inlineStr">
        <is>
          <t>SERVILLETA DESC C/LOGO</t>
        </is>
      </c>
      <c r="E1080" t="inlineStr">
        <is>
          <t xml:space="preserve">7790000000708       </t>
        </is>
      </c>
      <c r="F1080" t="n">
        <v>2016499</v>
      </c>
      <c r="G1080" t="inlineStr">
        <is>
          <t>SERV 33X21.5 BLUE CATTERING X1000UN</t>
        </is>
      </c>
      <c r="H1080" t="inlineStr">
        <is>
          <t xml:space="preserve">UNIDAD              </t>
        </is>
      </c>
      <c r="I1080" t="n">
        <v>169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169</v>
      </c>
      <c r="P1080" s="96">
        <f>_xlfn.XLOOKUP(Tabla5[[#This Row],[EAN CORREGIDO]],'Tabla Articulos'!B:B,'Tabla Articulos'!D:D)</f>
        <v/>
      </c>
      <c r="Q1080" s="96">
        <f>_xlfn.XLOOKUP(S1080,'Tabla Articulos'!B:B,'Tabla Articulos'!E:E)</f>
        <v/>
      </c>
      <c r="R1080" s="96">
        <f>O1080*Q1080</f>
        <v/>
      </c>
      <c r="S1080" s="97">
        <f>TRIM(E1080)</f>
        <v/>
      </c>
    </row>
    <row r="1081" hidden="1">
      <c r="A1081" s="22" t="n">
        <v>6</v>
      </c>
      <c r="B1081" t="inlineStr">
        <is>
          <t xml:space="preserve">CDM03 - MORENO 3              </t>
        </is>
      </c>
      <c r="C1081" t="inlineStr">
        <is>
          <t xml:space="preserve">GRUPO L.                      </t>
        </is>
      </c>
      <c r="D1081" s="11" t="n"/>
      <c r="E1081" t="inlineStr">
        <is>
          <t xml:space="preserve">7798188650621       </t>
        </is>
      </c>
      <c r="F1081" t="n">
        <v>2006816</v>
      </c>
      <c r="G1081" t="inlineStr">
        <is>
          <t xml:space="preserve">ACONDICIONADOR DE PISOS X5LT T     </t>
        </is>
      </c>
      <c r="H1081" t="inlineStr">
        <is>
          <t xml:space="preserve">UNIDAD              </t>
        </is>
      </c>
      <c r="I1081" t="n">
        <v>43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43</v>
      </c>
      <c r="P1081" s="96">
        <f>_xlfn.XLOOKUP(Tabla5[[#This Row],[EAN CORREGIDO]],'Tabla Articulos'!B:B,'Tabla Articulos'!D:D)</f>
        <v/>
      </c>
      <c r="Q1081" s="96">
        <f>_xlfn.XLOOKUP(S1081,'Tabla Articulos'!B:B,'Tabla Articulos'!E:E)</f>
        <v/>
      </c>
      <c r="R1081" s="96">
        <f>O1081*Q1081</f>
        <v/>
      </c>
      <c r="S1081" s="97">
        <f>TRIM(E1081)</f>
        <v/>
      </c>
    </row>
    <row r="1082" hidden="1">
      <c r="A1082" s="22" t="n">
        <v>5</v>
      </c>
      <c r="B1082" t="inlineStr">
        <is>
          <t xml:space="preserve">CDM02 - MORENO 2              </t>
        </is>
      </c>
      <c r="C1082" t="inlineStr">
        <is>
          <t xml:space="preserve">GRUPO L.                      </t>
        </is>
      </c>
      <c r="D1082" s="11" t="inlineStr">
        <is>
          <t>ATUN A/N DESMEN</t>
        </is>
      </c>
      <c r="E1082" t="inlineStr">
        <is>
          <t xml:space="preserve">7798430450047       </t>
        </is>
      </c>
      <c r="F1082" t="n">
        <v>4077186</v>
      </c>
      <c r="G1082" t="inlineStr">
        <is>
          <t xml:space="preserve">ATUN DESM NAT X170G ABUELO JULIO   </t>
        </is>
      </c>
      <c r="H1082" t="inlineStr">
        <is>
          <t xml:space="preserve">UNIDAD              </t>
        </is>
      </c>
      <c r="I1082" t="n">
        <v>8256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8256</v>
      </c>
      <c r="P1082" s="96">
        <f>_xlfn.XLOOKUP(Tabla5[[#This Row],[EAN CORREGIDO]],'Tabla Articulos'!B:B,'Tabla Articulos'!D:D)</f>
        <v/>
      </c>
      <c r="Q1082" s="96">
        <f>_xlfn.XLOOKUP(S1082,'Tabla Articulos'!B:B,'Tabla Articulos'!E:E)</f>
        <v/>
      </c>
      <c r="R1082" s="96">
        <f>O1082*Q1082</f>
        <v/>
      </c>
      <c r="S1082" s="97">
        <f>TRIM(E1082)</f>
        <v/>
      </c>
    </row>
    <row r="1083" hidden="1">
      <c r="A1083" s="22" t="n">
        <v>6</v>
      </c>
      <c r="B1083" t="inlineStr">
        <is>
          <t xml:space="preserve">CDM03 - MORENO 3              </t>
        </is>
      </c>
      <c r="C1083" t="inlineStr">
        <is>
          <t xml:space="preserve">GRUPO L.                      </t>
        </is>
      </c>
      <c r="E1083" t="inlineStr">
        <is>
          <t xml:space="preserve">BAZ001174           </t>
        </is>
      </c>
      <c r="F1083" t="n">
        <v>9003816</v>
      </c>
      <c r="G1083" t="inlineStr">
        <is>
          <t xml:space="preserve">CACEROLA ALUM C/TAPAN°28X9 LTS     </t>
        </is>
      </c>
      <c r="H1083" t="inlineStr">
        <is>
          <t xml:space="preserve">UNIDAD              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1</v>
      </c>
      <c r="P1083" s="96">
        <f>_xlfn.XLOOKUP(Tabla5[[#This Row],[EAN CORREGIDO]],'Tabla Articulos'!B:B,'Tabla Articulos'!D:D)</f>
        <v/>
      </c>
      <c r="Q1083" s="96">
        <f>_xlfn.XLOOKUP(S1083,'Tabla Articulos'!B:B,'Tabla Articulos'!E:E)</f>
        <v/>
      </c>
      <c r="R1083" s="96">
        <f>O1083*Q1083</f>
        <v/>
      </c>
      <c r="S1083" s="97">
        <f>TRIM(E1083)</f>
        <v/>
      </c>
    </row>
    <row r="1084" hidden="1">
      <c r="A1084" s="22" t="n">
        <v>5</v>
      </c>
      <c r="B1084" t="inlineStr">
        <is>
          <t xml:space="preserve">CDM02 - MORENO 2              </t>
        </is>
      </c>
      <c r="C1084" t="inlineStr">
        <is>
          <t xml:space="preserve">GRUPO L.                      </t>
        </is>
      </c>
      <c r="D1084" t="inlineStr">
        <is>
          <t>TE SOBRE</t>
        </is>
      </c>
      <c r="E1084" t="inlineStr">
        <is>
          <t xml:space="preserve">7798092900157       </t>
        </is>
      </c>
      <c r="F1084" t="n">
        <v>4077013</v>
      </c>
      <c r="G1084" t="inlineStr">
        <is>
          <t xml:space="preserve">TE ENSOBR X100UN BOSTON            </t>
        </is>
      </c>
      <c r="H1084" t="inlineStr">
        <is>
          <t xml:space="preserve">UNIDAD              </t>
        </is>
      </c>
      <c r="I1084" t="n">
        <v>29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29</v>
      </c>
      <c r="P1084" s="96">
        <f>_xlfn.XLOOKUP(Tabla5[[#This Row],[EAN CORREGIDO]],'Tabla Articulos'!B:B,'Tabla Articulos'!D:D)</f>
        <v/>
      </c>
      <c r="Q1084" s="96">
        <f>_xlfn.XLOOKUP(S1084,'Tabla Articulos'!B:B,'Tabla Articulos'!E:E)</f>
        <v/>
      </c>
      <c r="R1084" s="96">
        <f>O1084*Q1084</f>
        <v/>
      </c>
      <c r="S1084" s="97">
        <f>TRIM(E1084)</f>
        <v/>
      </c>
    </row>
    <row r="1085" hidden="1">
      <c r="A1085" s="22" t="n">
        <v>6</v>
      </c>
      <c r="B1085" t="inlineStr">
        <is>
          <t xml:space="preserve">CDM03 - MORENO 3              </t>
        </is>
      </c>
      <c r="C1085" t="inlineStr">
        <is>
          <t xml:space="preserve">GRUPO L.                      </t>
        </is>
      </c>
      <c r="E1085" t="inlineStr">
        <is>
          <t xml:space="preserve">7798188651116       </t>
        </is>
      </c>
      <c r="F1085" t="n">
        <v>2007020</v>
      </c>
      <c r="G1085" t="inlineStr">
        <is>
          <t xml:space="preserve">REMOVEDOR DE CERA STRIP 5L THAME   </t>
        </is>
      </c>
      <c r="H1085" t="inlineStr">
        <is>
          <t xml:space="preserve">UNIDAD              </t>
        </is>
      </c>
      <c r="I1085" t="n">
        <v>73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73</v>
      </c>
      <c r="P1085" s="96">
        <f>_xlfn.XLOOKUP(Tabla5[[#This Row],[EAN CORREGIDO]],'Tabla Articulos'!B:B,'Tabla Articulos'!D:D)</f>
        <v/>
      </c>
      <c r="Q1085" s="96">
        <f>_xlfn.XLOOKUP(S1085,'Tabla Articulos'!B:B,'Tabla Articulos'!E:E)</f>
        <v/>
      </c>
      <c r="R1085" s="96">
        <f>O1085*Q1085</f>
        <v/>
      </c>
      <c r="S1085" s="97">
        <f>TRIM(E1085)</f>
        <v/>
      </c>
    </row>
    <row r="1086" hidden="1">
      <c r="A1086" s="22" t="n">
        <v>6</v>
      </c>
      <c r="B1086" t="inlineStr">
        <is>
          <t xml:space="preserve">CDM03 - MORENO 3              </t>
        </is>
      </c>
      <c r="C1086" t="inlineStr">
        <is>
          <t xml:space="preserve">GRUPO L.                      </t>
        </is>
      </c>
      <c r="E1086" t="inlineStr">
        <is>
          <t xml:space="preserve">UNIF000483          </t>
        </is>
      </c>
      <c r="F1086" t="n">
        <v>9003255</v>
      </c>
      <c r="G1086" t="inlineStr">
        <is>
          <t xml:space="preserve">PANTAL. GRAFA S. LOGO BLANCO 46    </t>
        </is>
      </c>
      <c r="H1086" t="inlineStr">
        <is>
          <t xml:space="preserve">UNIDAD              </t>
        </is>
      </c>
      <c r="I1086" t="n">
        <v>39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39</v>
      </c>
      <c r="P1086" s="96">
        <f>_xlfn.XLOOKUP(Tabla5[[#This Row],[EAN CORREGIDO]],'Tabla Articulos'!B:B,'Tabla Articulos'!D:D)</f>
        <v/>
      </c>
      <c r="Q1086" s="96">
        <f>_xlfn.XLOOKUP(S1086,'Tabla Articulos'!B:B,'Tabla Articulos'!E:E)</f>
        <v/>
      </c>
      <c r="R1086" s="96">
        <f>O1086*Q1086</f>
        <v/>
      </c>
      <c r="S1086" s="97">
        <f>TRIM(E1086)</f>
        <v/>
      </c>
    </row>
    <row r="1087" hidden="1">
      <c r="A1087" s="22" t="n">
        <v>1</v>
      </c>
      <c r="B1087" t="inlineStr">
        <is>
          <t xml:space="preserve">CD MORENO                     </t>
        </is>
      </c>
      <c r="C1087" t="inlineStr">
        <is>
          <t xml:space="preserve">GRUPO L.                      </t>
        </is>
      </c>
      <c r="D1087" t="inlineStr">
        <is>
          <t>ATUN A/A ENTERO</t>
        </is>
      </c>
      <c r="E1087" t="inlineStr">
        <is>
          <t xml:space="preserve">7790645003148       </t>
        </is>
      </c>
      <c r="F1087" t="n">
        <v>4021274</v>
      </c>
      <c r="G1087" t="inlineStr">
        <is>
          <t xml:space="preserve">ATUN LOMITO A/A X170G CARACAS      </t>
        </is>
      </c>
      <c r="H1087" t="inlineStr">
        <is>
          <t xml:space="preserve">UNIDAD              </t>
        </is>
      </c>
      <c r="I1087" t="n">
        <v>346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346</v>
      </c>
      <c r="P1087" s="96">
        <f>_xlfn.XLOOKUP(Tabla5[[#This Row],[EAN CORREGIDO]],'Tabla Articulos'!B:B,'Tabla Articulos'!D:D)</f>
        <v/>
      </c>
      <c r="Q1087" s="96">
        <f>_xlfn.XLOOKUP(S1087,'Tabla Articulos'!B:B,'Tabla Articulos'!E:E)</f>
        <v/>
      </c>
      <c r="R1087" s="96">
        <f>O1087*Q1087</f>
        <v/>
      </c>
      <c r="S1087" s="97">
        <f>TRIM(E1087)</f>
        <v/>
      </c>
    </row>
    <row r="1088" hidden="1">
      <c r="A1088" s="22" t="n">
        <v>1</v>
      </c>
      <c r="B1088" t="inlineStr">
        <is>
          <t xml:space="preserve">CD MORENO                     </t>
        </is>
      </c>
      <c r="C1088" t="inlineStr">
        <is>
          <t xml:space="preserve">GRUPO L.                      </t>
        </is>
      </c>
      <c r="D1088" t="inlineStr">
        <is>
          <t>NUEZ MOSCADA</t>
        </is>
      </c>
      <c r="E1088" t="inlineStr">
        <is>
          <t xml:space="preserve">7793875314206       </t>
        </is>
      </c>
      <c r="F1088" t="n">
        <v>4020056</v>
      </c>
      <c r="G1088" t="inlineStr">
        <is>
          <t xml:space="preserve">NUEZ MOSCADA MOLIDA X 25G AROM     </t>
        </is>
      </c>
      <c r="H1088" t="inlineStr">
        <is>
          <t xml:space="preserve">UNIDAD              </t>
        </is>
      </c>
      <c r="I1088" t="n">
        <v>115</v>
      </c>
      <c r="J1088" t="n">
        <v>0</v>
      </c>
      <c r="K1088" t="n">
        <v>0</v>
      </c>
      <c r="L1088" t="n">
        <v>50</v>
      </c>
      <c r="M1088" t="n">
        <v>50</v>
      </c>
      <c r="N1088" t="n">
        <v>0</v>
      </c>
      <c r="O1088" t="n">
        <v>15</v>
      </c>
      <c r="P1088" s="96">
        <f>_xlfn.XLOOKUP(Tabla5[[#This Row],[EAN CORREGIDO]],'Tabla Articulos'!B:B,'Tabla Articulos'!D:D)</f>
        <v/>
      </c>
      <c r="Q1088" s="96">
        <f>_xlfn.XLOOKUP(S1088,'Tabla Articulos'!B:B,'Tabla Articulos'!E:E)</f>
        <v/>
      </c>
      <c r="R1088" s="96">
        <f>O1088*Q1088</f>
        <v/>
      </c>
      <c r="S1088" s="97">
        <f>TRIM(E1088)</f>
        <v/>
      </c>
    </row>
    <row r="1089" hidden="1">
      <c r="A1089" s="22" t="n">
        <v>1</v>
      </c>
      <c r="B1089" t="inlineStr">
        <is>
          <t xml:space="preserve">CD MORENO                     </t>
        </is>
      </c>
      <c r="C1089" t="inlineStr">
        <is>
          <t xml:space="preserve">GRUPO L.                      </t>
        </is>
      </c>
      <c r="D1089" t="inlineStr">
        <is>
          <t>PIMIENTA NEGRA</t>
        </is>
      </c>
      <c r="E1089" t="inlineStr">
        <is>
          <t xml:space="preserve">7793875316934       </t>
        </is>
      </c>
      <c r="F1089" t="n">
        <v>4020096</v>
      </c>
      <c r="G1089" t="inlineStr">
        <is>
          <t>PIMIENTA NEGRA X250G AROMAS Y SABOR</t>
        </is>
      </c>
      <c r="H1089" t="inlineStr">
        <is>
          <t xml:space="preserve">UNIDAD              </t>
        </is>
      </c>
      <c r="I1089" t="n">
        <v>20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20</v>
      </c>
      <c r="P1089" s="96">
        <f>_xlfn.XLOOKUP(Tabla5[[#This Row],[EAN CORREGIDO]],'Tabla Articulos'!B:B,'Tabla Articulos'!D:D)</f>
        <v/>
      </c>
      <c r="Q1089" s="96">
        <f>_xlfn.XLOOKUP(S1089,'Tabla Articulos'!B:B,'Tabla Articulos'!E:E)</f>
        <v/>
      </c>
      <c r="R1089" s="96">
        <f>O1089*Q1089</f>
        <v/>
      </c>
      <c r="S1089" s="97">
        <f>TRIM(E1089)</f>
        <v/>
      </c>
    </row>
    <row r="1090" hidden="1">
      <c r="A1090" s="22" t="n">
        <v>6</v>
      </c>
      <c r="B1090" t="inlineStr">
        <is>
          <t xml:space="preserve">CDM03 - MORENO 3              </t>
        </is>
      </c>
      <c r="C1090" t="inlineStr">
        <is>
          <t xml:space="preserve">GRUPO L.                      </t>
        </is>
      </c>
      <c r="E1090" t="inlineStr">
        <is>
          <t xml:space="preserve">UNIF000471          </t>
        </is>
      </c>
      <c r="F1090" t="n">
        <v>9003243</v>
      </c>
      <c r="G1090" t="inlineStr">
        <is>
          <t xml:space="preserve">PANTALON GRAF S. LOGO VERD 58      </t>
        </is>
      </c>
      <c r="H1090" t="inlineStr">
        <is>
          <t xml:space="preserve">UNIDAD              </t>
        </is>
      </c>
      <c r="I1090" t="n">
        <v>22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22</v>
      </c>
      <c r="P1090" s="96">
        <f>_xlfn.XLOOKUP(Tabla5[[#This Row],[EAN CORREGIDO]],'Tabla Articulos'!B:B,'Tabla Articulos'!D:D)</f>
        <v/>
      </c>
      <c r="Q1090" s="96">
        <f>_xlfn.XLOOKUP(S1090,'Tabla Articulos'!B:B,'Tabla Articulos'!E:E)</f>
        <v/>
      </c>
      <c r="R1090" s="96">
        <f>O1090*Q1090</f>
        <v/>
      </c>
      <c r="S1090" s="97">
        <f>TRIM(E1090)</f>
        <v/>
      </c>
    </row>
    <row r="1091" hidden="1">
      <c r="A1091" s="22" t="n">
        <v>6</v>
      </c>
      <c r="B1091" t="inlineStr">
        <is>
          <t xml:space="preserve">CDM03 - MORENO 3              </t>
        </is>
      </c>
      <c r="C1091" t="inlineStr">
        <is>
          <t xml:space="preserve">GRUPO L.                      </t>
        </is>
      </c>
      <c r="E1091" t="inlineStr">
        <is>
          <t xml:space="preserve">UNIF000112          </t>
        </is>
      </c>
      <c r="F1091" t="n">
        <v>9003212</v>
      </c>
      <c r="G1091" t="inlineStr">
        <is>
          <t xml:space="preserve">PANTALON NAUTICO GRIS 2            </t>
        </is>
      </c>
      <c r="H1091" t="inlineStr">
        <is>
          <t xml:space="preserve">UNIDAD              </t>
        </is>
      </c>
      <c r="I1091" t="n">
        <v>30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30</v>
      </c>
      <c r="P1091" s="96">
        <f>_xlfn.XLOOKUP(Tabla5[[#This Row],[EAN CORREGIDO]],'Tabla Articulos'!B:B,'Tabla Articulos'!D:D)</f>
        <v/>
      </c>
      <c r="Q1091" s="96">
        <f>_xlfn.XLOOKUP(S1091,'Tabla Articulos'!B:B,'Tabla Articulos'!E:E)</f>
        <v/>
      </c>
      <c r="R1091" s="96">
        <f>O1091*Q1091</f>
        <v/>
      </c>
      <c r="S1091" s="97">
        <f>TRIM(E1091)</f>
        <v/>
      </c>
    </row>
    <row r="1092" hidden="1">
      <c r="A1092" s="22" t="n">
        <v>6</v>
      </c>
      <c r="B1092" t="inlineStr">
        <is>
          <t xml:space="preserve">CDM03 - MORENO 3              </t>
        </is>
      </c>
      <c r="C1092" t="inlineStr">
        <is>
          <t xml:space="preserve">GRUPO L.                      </t>
        </is>
      </c>
      <c r="E1092" t="inlineStr">
        <is>
          <t xml:space="preserve">UNIF000119          </t>
        </is>
      </c>
      <c r="F1092" t="n">
        <v>9003219</v>
      </c>
      <c r="G1092" t="inlineStr">
        <is>
          <t xml:space="preserve">PANTALON NAUTICO BLANCO 1          </t>
        </is>
      </c>
      <c r="H1092" t="inlineStr">
        <is>
          <t xml:space="preserve">UNIDAD              </t>
        </is>
      </c>
      <c r="I1092" t="n">
        <v>56</v>
      </c>
      <c r="J1092" t="n">
        <v>100</v>
      </c>
      <c r="K1092" t="n">
        <v>0</v>
      </c>
      <c r="L1092" t="n">
        <v>0</v>
      </c>
      <c r="M1092" t="n">
        <v>0</v>
      </c>
      <c r="N1092" t="n">
        <v>0</v>
      </c>
      <c r="O1092" t="n">
        <v>156</v>
      </c>
      <c r="P1092" s="96">
        <f>_xlfn.XLOOKUP(Tabla5[[#This Row],[EAN CORREGIDO]],'Tabla Articulos'!B:B,'Tabla Articulos'!D:D)</f>
        <v/>
      </c>
      <c r="Q1092" s="96">
        <f>_xlfn.XLOOKUP(S1092,'Tabla Articulos'!B:B,'Tabla Articulos'!E:E)</f>
        <v/>
      </c>
      <c r="R1092" s="96">
        <f>O1092*Q1092</f>
        <v/>
      </c>
      <c r="S1092" s="97">
        <f>TRIM(E1092)</f>
        <v/>
      </c>
    </row>
    <row r="1093" hidden="1">
      <c r="A1093" s="22" t="n">
        <v>6</v>
      </c>
      <c r="B1093" t="inlineStr">
        <is>
          <t xml:space="preserve">CDM03 - MORENO 3              </t>
        </is>
      </c>
      <c r="C1093" t="inlineStr">
        <is>
          <t xml:space="preserve">GRUPO L.                      </t>
        </is>
      </c>
      <c r="D1093" t="inlineStr">
        <is>
          <t>LIMPIADOR CREMOSO</t>
        </is>
      </c>
      <c r="E1093" t="inlineStr">
        <is>
          <t xml:space="preserve">7791290794221       </t>
        </is>
      </c>
      <c r="F1093" t="n">
        <v>2006282</v>
      </c>
      <c r="G1093" t="inlineStr">
        <is>
          <t xml:space="preserve">LIMPIADOR CREMOSO X 750CC CIF      </t>
        </is>
      </c>
      <c r="H1093" t="inlineStr">
        <is>
          <t xml:space="preserve">UNIDAD              </t>
        </is>
      </c>
      <c r="I1093" t="n">
        <v>194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194</v>
      </c>
      <c r="P1093" s="96">
        <f>_xlfn.XLOOKUP(Tabla5[[#This Row],[EAN CORREGIDO]],'Tabla Articulos'!B:B,'Tabla Articulos'!D:D)</f>
        <v/>
      </c>
      <c r="Q1093" s="96">
        <f>_xlfn.XLOOKUP(S1093,'Tabla Articulos'!B:B,'Tabla Articulos'!E:E)</f>
        <v/>
      </c>
      <c r="R1093" s="96">
        <f>O1093*Q1093</f>
        <v/>
      </c>
      <c r="S1093" s="97">
        <f>TRIM(E1093)</f>
        <v/>
      </c>
    </row>
    <row r="1094" hidden="1">
      <c r="A1094" s="22" t="n">
        <v>1</v>
      </c>
      <c r="B1094" t="inlineStr">
        <is>
          <t xml:space="preserve">CD MORENO                     </t>
        </is>
      </c>
      <c r="C1094" t="inlineStr">
        <is>
          <t xml:space="preserve">GRUPO L.                      </t>
        </is>
      </c>
      <c r="D1094" t="inlineStr">
        <is>
          <t>COCO RALLADO</t>
        </is>
      </c>
      <c r="E1094" t="inlineStr">
        <is>
          <t xml:space="preserve">7791885409301       </t>
        </is>
      </c>
      <c r="F1094" t="n">
        <v>4019975</v>
      </c>
      <c r="G1094" t="inlineStr">
        <is>
          <t xml:space="preserve">COCO RALLADO XKG CUMANA            </t>
        </is>
      </c>
      <c r="H1094" t="inlineStr">
        <is>
          <t xml:space="preserve">UNIDAD              </t>
        </is>
      </c>
      <c r="I1094" t="n">
        <v>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5</v>
      </c>
      <c r="P1094" s="96">
        <f>_xlfn.XLOOKUP(Tabla5[[#This Row],[EAN CORREGIDO]],'Tabla Articulos'!B:B,'Tabla Articulos'!D:D)</f>
        <v/>
      </c>
      <c r="Q1094" s="96">
        <f>_xlfn.XLOOKUP(S1094,'Tabla Articulos'!B:B,'Tabla Articulos'!E:E)</f>
        <v/>
      </c>
      <c r="R1094" s="96">
        <f>O1094*Q1094</f>
        <v/>
      </c>
      <c r="S1094" s="97">
        <f>TRIM(E1094)</f>
        <v/>
      </c>
    </row>
    <row r="1095" hidden="1">
      <c r="A1095" s="22" t="n">
        <v>1</v>
      </c>
      <c r="B1095" t="inlineStr">
        <is>
          <t xml:space="preserve">CD MORENO                     </t>
        </is>
      </c>
      <c r="C1095" t="inlineStr">
        <is>
          <t xml:space="preserve">GRUPO L.                      </t>
        </is>
      </c>
      <c r="D1095" t="inlineStr">
        <is>
          <t>GELATINA S/SABOR</t>
        </is>
      </c>
      <c r="E1095" t="inlineStr">
        <is>
          <t xml:space="preserve">7791113002656       </t>
        </is>
      </c>
      <c r="F1095" t="n">
        <v>4019694</v>
      </c>
      <c r="G1095" t="inlineStr">
        <is>
          <t xml:space="preserve">GELATINA S/SABOR XKG EMETH         </t>
        </is>
      </c>
      <c r="H1095" t="inlineStr">
        <is>
          <t xml:space="preserve">UNIDAD              </t>
        </is>
      </c>
      <c r="I1095" t="n">
        <v>107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107</v>
      </c>
      <c r="P1095" s="96">
        <f>_xlfn.XLOOKUP(Tabla5[[#This Row],[EAN CORREGIDO]],'Tabla Articulos'!B:B,'Tabla Articulos'!D:D)</f>
        <v/>
      </c>
      <c r="Q1095" s="96">
        <f>_xlfn.XLOOKUP(S1095,'Tabla Articulos'!B:B,'Tabla Articulos'!E:E)</f>
        <v/>
      </c>
      <c r="R1095" s="96">
        <f>O1095*Q1095</f>
        <v/>
      </c>
      <c r="S1095" s="97">
        <f>TRIM(E1095)</f>
        <v/>
      </c>
    </row>
    <row r="1096" hidden="1">
      <c r="A1096" s="22" t="n">
        <v>5</v>
      </c>
      <c r="B1096" t="inlineStr">
        <is>
          <t xml:space="preserve">CDM02 - MORENO 2              </t>
        </is>
      </c>
      <c r="C1096" t="inlineStr">
        <is>
          <t xml:space="preserve">GRUPO L.                      </t>
        </is>
      </c>
      <c r="D1096" t="inlineStr">
        <is>
          <t>GELATINA S/SABOR</t>
        </is>
      </c>
      <c r="E1096" t="inlineStr">
        <is>
          <t xml:space="preserve">7791113002656       </t>
        </is>
      </c>
      <c r="F1096" t="n">
        <v>4019694</v>
      </c>
      <c r="G1096" t="inlineStr">
        <is>
          <t xml:space="preserve">GELATINA S/SABOR XKG EMETH         </t>
        </is>
      </c>
      <c r="H1096" t="inlineStr">
        <is>
          <t xml:space="preserve">UNIDAD              </t>
        </is>
      </c>
      <c r="I1096" t="n">
        <v>5</v>
      </c>
      <c r="J1096" t="n">
        <v>0</v>
      </c>
      <c r="K1096" t="n">
        <v>0</v>
      </c>
      <c r="L1096" t="n">
        <v>1</v>
      </c>
      <c r="M1096" t="n">
        <v>1</v>
      </c>
      <c r="N1096" t="n">
        <v>0</v>
      </c>
      <c r="O1096" t="n">
        <v>3</v>
      </c>
      <c r="P1096" s="96">
        <f>_xlfn.XLOOKUP(Tabla5[[#This Row],[EAN CORREGIDO]],'Tabla Articulos'!B:B,'Tabla Articulos'!D:D)</f>
        <v/>
      </c>
      <c r="Q1096" s="96">
        <f>_xlfn.XLOOKUP(S1096,'Tabla Articulos'!B:B,'Tabla Articulos'!E:E)</f>
        <v/>
      </c>
      <c r="R1096" s="96">
        <f>O1096*Q1096</f>
        <v/>
      </c>
      <c r="S1096" s="97">
        <f>TRIM(E1096)</f>
        <v/>
      </c>
    </row>
    <row r="1097" hidden="1">
      <c r="A1097" s="22" t="n">
        <v>6</v>
      </c>
      <c r="B1097" t="inlineStr">
        <is>
          <t xml:space="preserve">CDM03 - MORENO 3              </t>
        </is>
      </c>
      <c r="C1097" t="inlineStr">
        <is>
          <t xml:space="preserve">GRUPO L.                      </t>
        </is>
      </c>
      <c r="E1097" t="inlineStr">
        <is>
          <t xml:space="preserve">UNIF000373          </t>
        </is>
      </c>
      <c r="F1097" t="n">
        <v>9003637</v>
      </c>
      <c r="G1097" t="inlineStr">
        <is>
          <t xml:space="preserve">SWEATER NEGRO BLUE CATERING S      </t>
        </is>
      </c>
      <c r="H1097" t="inlineStr">
        <is>
          <t xml:space="preserve">UNIDAD              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1</v>
      </c>
      <c r="P1097" s="96">
        <f>_xlfn.XLOOKUP(Tabla5[[#This Row],[EAN CORREGIDO]],'Tabla Articulos'!B:B,'Tabla Articulos'!D:D)</f>
        <v/>
      </c>
      <c r="Q1097" s="96">
        <f>_xlfn.XLOOKUP(S1097,'Tabla Articulos'!B:B,'Tabla Articulos'!E:E)</f>
        <v/>
      </c>
      <c r="R1097" s="96">
        <f>O1097*Q1097</f>
        <v/>
      </c>
      <c r="S1097" s="97">
        <f>TRIM(E1097)</f>
        <v/>
      </c>
    </row>
    <row r="1098" hidden="1">
      <c r="A1098" s="22" t="n">
        <v>6</v>
      </c>
      <c r="B1098" t="inlineStr">
        <is>
          <t xml:space="preserve">CDM03 - MORENO 3              </t>
        </is>
      </c>
      <c r="C1098" t="inlineStr">
        <is>
          <t xml:space="preserve">GRUPO L.                      </t>
        </is>
      </c>
      <c r="D1098" t="inlineStr">
        <is>
          <t>PAPEL HIGIENICO</t>
        </is>
      </c>
      <c r="E1098" t="inlineStr">
        <is>
          <t xml:space="preserve">7798430440109       </t>
        </is>
      </c>
      <c r="F1098" t="n">
        <v>2006402</v>
      </c>
      <c r="G1098" t="inlineStr">
        <is>
          <t xml:space="preserve">PAPEL HIGIENICO 50MX24U MALTED     </t>
        </is>
      </c>
      <c r="H1098" t="inlineStr">
        <is>
          <t xml:space="preserve">UNIDAD              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3</v>
      </c>
      <c r="P1098" s="96">
        <f>_xlfn.XLOOKUP(Tabla5[[#This Row],[EAN CORREGIDO]],'Tabla Articulos'!B:B,'Tabla Articulos'!D:D)</f>
        <v/>
      </c>
      <c r="Q1098" s="96">
        <f>_xlfn.XLOOKUP(S1098,'Tabla Articulos'!B:B,'Tabla Articulos'!E:E)</f>
        <v/>
      </c>
      <c r="R1098" s="96">
        <f>O1098*Q1098</f>
        <v/>
      </c>
      <c r="S1098" s="97">
        <f>TRIM(E1098)</f>
        <v/>
      </c>
    </row>
    <row r="1099" hidden="1">
      <c r="A1099" s="22" t="n">
        <v>6</v>
      </c>
      <c r="B1099" t="inlineStr">
        <is>
          <t xml:space="preserve">CDM03 - MORENO 3              </t>
        </is>
      </c>
      <c r="C1099" t="inlineStr">
        <is>
          <t xml:space="preserve">GRUPO L.                      </t>
        </is>
      </c>
      <c r="E1099" t="inlineStr">
        <is>
          <t xml:space="preserve">UNIF000616          </t>
        </is>
      </c>
      <c r="F1099" t="n">
        <v>9003154</v>
      </c>
      <c r="G1099" t="inlineStr">
        <is>
          <t xml:space="preserve">GUARDAPOLVO C LOGO GL SUP XXL      </t>
        </is>
      </c>
      <c r="H1099" t="inlineStr">
        <is>
          <t xml:space="preserve">UNIDAD              </t>
        </is>
      </c>
      <c r="I1099" t="n">
        <v>17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17</v>
      </c>
      <c r="P1099" s="96">
        <f>_xlfn.XLOOKUP(Tabla5[[#This Row],[EAN CORREGIDO]],'Tabla Articulos'!B:B,'Tabla Articulos'!D:D)</f>
        <v/>
      </c>
      <c r="Q1099" s="96">
        <f>_xlfn.XLOOKUP(S1099,'Tabla Articulos'!B:B,'Tabla Articulos'!E:E)</f>
        <v/>
      </c>
      <c r="R1099" s="96">
        <f>O1099*Q1099</f>
        <v/>
      </c>
      <c r="S1099" s="97">
        <f>TRIM(E1099)</f>
        <v/>
      </c>
    </row>
    <row r="1100" hidden="1">
      <c r="A1100" s="22" t="n">
        <v>6</v>
      </c>
      <c r="B1100" t="inlineStr">
        <is>
          <t xml:space="preserve">CDM03 - MORENO 3              </t>
        </is>
      </c>
      <c r="C1100" t="inlineStr">
        <is>
          <t xml:space="preserve">GRUPO L.                      </t>
        </is>
      </c>
      <c r="E1100" t="inlineStr">
        <is>
          <t xml:space="preserve">UNIF000088          </t>
        </is>
      </c>
      <c r="F1100" t="n">
        <v>9003549</v>
      </c>
      <c r="G1100" t="inlineStr">
        <is>
          <t>CAMISA BLANCA LISA 48 BLUE CATERING</t>
        </is>
      </c>
      <c r="H1100" t="inlineStr">
        <is>
          <t xml:space="preserve">UNIDAD              </t>
        </is>
      </c>
      <c r="I1100" t="n">
        <v>19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19</v>
      </c>
      <c r="P1100" s="96">
        <f>_xlfn.XLOOKUP(Tabla5[[#This Row],[EAN CORREGIDO]],'Tabla Articulos'!B:B,'Tabla Articulos'!D:D)</f>
        <v/>
      </c>
      <c r="Q1100" s="96">
        <f>_xlfn.XLOOKUP(S1100,'Tabla Articulos'!B:B,'Tabla Articulos'!E:E)</f>
        <v/>
      </c>
      <c r="R1100" s="96">
        <f>O1100*Q1100</f>
        <v/>
      </c>
      <c r="S1100" s="97">
        <f>TRIM(E1100)</f>
        <v/>
      </c>
    </row>
    <row r="1101" hidden="1">
      <c r="A1101" s="22" t="n">
        <v>1</v>
      </c>
      <c r="B1101" t="inlineStr">
        <is>
          <t xml:space="preserve">CD MORENO                     </t>
        </is>
      </c>
      <c r="C1101" t="inlineStr">
        <is>
          <t xml:space="preserve">GRUPO L.                      </t>
        </is>
      </c>
      <c r="D1101" t="inlineStr">
        <is>
          <t>PAN DULCE CHIP CHOC</t>
        </is>
      </c>
      <c r="E1101" t="inlineStr">
        <is>
          <t xml:space="preserve">7790726120191       </t>
        </is>
      </c>
      <c r="F1101" t="n">
        <v>4049046</v>
      </c>
      <c r="G1101" t="inlineStr">
        <is>
          <t xml:space="preserve">PAN DULCE C/CHIPS X400G DULCYPAS   </t>
        </is>
      </c>
      <c r="H1101" t="inlineStr">
        <is>
          <t xml:space="preserve">UNIDAD              </t>
        </is>
      </c>
      <c r="I1101" t="n">
        <v>35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35</v>
      </c>
      <c r="P1101" s="96">
        <f>_xlfn.XLOOKUP(Tabla5[[#This Row],[EAN CORREGIDO]],'Tabla Articulos'!B:B,'Tabla Articulos'!D:D)</f>
        <v/>
      </c>
      <c r="Q1101" s="96">
        <f>_xlfn.XLOOKUP(S1101,'Tabla Articulos'!B:B,'Tabla Articulos'!E:E)</f>
        <v/>
      </c>
      <c r="R1101" s="96">
        <f>O1101*Q1101</f>
        <v/>
      </c>
      <c r="S1101" s="97">
        <f>TRIM(E1101)</f>
        <v/>
      </c>
    </row>
    <row r="1102" hidden="1">
      <c r="A1102" s="22" t="n">
        <v>5</v>
      </c>
      <c r="B1102" t="inlineStr">
        <is>
          <t xml:space="preserve">CDM02 - MORENO 2              </t>
        </is>
      </c>
      <c r="C1102" t="inlineStr">
        <is>
          <t xml:space="preserve">GRUPO L.                      </t>
        </is>
      </c>
      <c r="D1102" t="inlineStr">
        <is>
          <t>LECHE POLVO ENTERA</t>
        </is>
      </c>
      <c r="E1102" t="inlineStr">
        <is>
          <t xml:space="preserve">7795311833326       </t>
        </is>
      </c>
      <c r="F1102" t="n">
        <v>4024185</v>
      </c>
      <c r="G1102" t="inlineStr">
        <is>
          <t xml:space="preserve">LECHE ENT POLVO X800GR SUPERLAC    </t>
        </is>
      </c>
      <c r="H1102" t="inlineStr">
        <is>
          <t xml:space="preserve">UNIDAD              </t>
        </is>
      </c>
      <c r="I1102" t="n">
        <v>650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650</v>
      </c>
      <c r="P1102" s="96">
        <f>_xlfn.XLOOKUP(Tabla5[[#This Row],[EAN CORREGIDO]],'Tabla Articulos'!B:B,'Tabla Articulos'!D:D)</f>
        <v/>
      </c>
      <c r="Q1102" s="96">
        <f>_xlfn.XLOOKUP(S1102,'Tabla Articulos'!B:B,'Tabla Articulos'!E:E)</f>
        <v/>
      </c>
      <c r="R1102" s="96">
        <f>O1102*Q1102</f>
        <v/>
      </c>
      <c r="S1102" s="97">
        <f>TRIM(E1102)</f>
        <v/>
      </c>
    </row>
    <row r="1103" hidden="1">
      <c r="A1103" s="22" t="n">
        <v>1</v>
      </c>
      <c r="B1103" t="inlineStr">
        <is>
          <t xml:space="preserve">CD MORENO                     </t>
        </is>
      </c>
      <c r="C1103" t="inlineStr">
        <is>
          <t xml:space="preserve">GRUPO L.                      </t>
        </is>
      </c>
      <c r="D1103" t="inlineStr">
        <is>
          <t>LECHE POLVO ENTERA</t>
        </is>
      </c>
      <c r="E1103" t="inlineStr">
        <is>
          <t xml:space="preserve">7795311833326       </t>
        </is>
      </c>
      <c r="F1103" t="n">
        <v>4024185</v>
      </c>
      <c r="G1103" t="inlineStr">
        <is>
          <t xml:space="preserve">LECHE ENT POLVO X800GR SUPERLAC    </t>
        </is>
      </c>
      <c r="H1103" t="inlineStr">
        <is>
          <t xml:space="preserve">UNIDAD              </t>
        </is>
      </c>
      <c r="I1103" t="n">
        <v>21664</v>
      </c>
      <c r="J1103" t="n">
        <v>0</v>
      </c>
      <c r="K1103" t="n">
        <v>0</v>
      </c>
      <c r="L1103" t="n">
        <v>20</v>
      </c>
      <c r="M1103" t="n">
        <v>20</v>
      </c>
      <c r="N1103" t="n">
        <v>0</v>
      </c>
      <c r="O1103" t="n">
        <v>21624</v>
      </c>
      <c r="P1103" s="96">
        <f>_xlfn.XLOOKUP(Tabla5[[#This Row],[EAN CORREGIDO]],'Tabla Articulos'!B:B,'Tabla Articulos'!D:D)</f>
        <v/>
      </c>
      <c r="Q1103" s="96">
        <f>_xlfn.XLOOKUP(S1103,'Tabla Articulos'!B:B,'Tabla Articulos'!E:E)</f>
        <v/>
      </c>
      <c r="R1103" s="96">
        <f>O1103*Q1103</f>
        <v/>
      </c>
      <c r="S1103" s="97">
        <f>TRIM(E1103)</f>
        <v/>
      </c>
    </row>
    <row r="1104" hidden="1">
      <c r="A1104" s="22" t="n">
        <v>1</v>
      </c>
      <c r="B1104" t="inlineStr">
        <is>
          <t xml:space="preserve">CD MORENO                     </t>
        </is>
      </c>
      <c r="C1104" t="inlineStr">
        <is>
          <t xml:space="preserve">GRUPO L.                      </t>
        </is>
      </c>
      <c r="D1104" t="inlineStr">
        <is>
          <t>PIONONO</t>
        </is>
      </c>
      <c r="E1104" t="inlineStr">
        <is>
          <t xml:space="preserve">7791473000019       </t>
        </is>
      </c>
      <c r="F1104" t="n">
        <v>4018545</v>
      </c>
      <c r="G1104" t="inlineStr">
        <is>
          <t xml:space="preserve">PIONONO VAINILLA X200G BON MASE    </t>
        </is>
      </c>
      <c r="H1104" t="inlineStr">
        <is>
          <t xml:space="preserve">UNIDAD              </t>
        </is>
      </c>
      <c r="I1104" t="n">
        <v>5248</v>
      </c>
      <c r="J1104" t="n">
        <v>0</v>
      </c>
      <c r="K1104" t="n">
        <v>0</v>
      </c>
      <c r="L1104" t="n">
        <v>641</v>
      </c>
      <c r="M1104" t="n">
        <v>641</v>
      </c>
      <c r="N1104" t="n">
        <v>0</v>
      </c>
      <c r="O1104" t="n">
        <v>3966</v>
      </c>
      <c r="P1104" s="96">
        <f>_xlfn.XLOOKUP(Tabla5[[#This Row],[EAN CORREGIDO]],'Tabla Articulos'!B:B,'Tabla Articulos'!D:D)</f>
        <v/>
      </c>
      <c r="Q1104" s="96">
        <f>_xlfn.XLOOKUP(S1104,'Tabla Articulos'!B:B,'Tabla Articulos'!E:E)</f>
        <v/>
      </c>
      <c r="R1104" s="96">
        <f>O1104*Q1104</f>
        <v/>
      </c>
      <c r="S1104" s="97">
        <f>TRIM(E1104)</f>
        <v/>
      </c>
    </row>
    <row r="1105" hidden="1">
      <c r="A1105" s="22" t="n">
        <v>5</v>
      </c>
      <c r="B1105" t="inlineStr">
        <is>
          <t xml:space="preserve">CDM02 - MORENO 2              </t>
        </is>
      </c>
      <c r="C1105" t="inlineStr">
        <is>
          <t xml:space="preserve">GRUPO L.                      </t>
        </is>
      </c>
      <c r="D1105" s="11" t="inlineStr">
        <is>
          <t>LENTEJAS REMOJADAS</t>
        </is>
      </c>
      <c r="E1105" t="inlineStr">
        <is>
          <t xml:space="preserve">7792350067514       </t>
        </is>
      </c>
      <c r="F1105" t="n">
        <v>4022892</v>
      </c>
      <c r="G1105" t="inlineStr">
        <is>
          <t xml:space="preserve">LENTEJAS REMOJ 350G ALTO PAVON     </t>
        </is>
      </c>
      <c r="H1105" t="inlineStr">
        <is>
          <t xml:space="preserve">UNIDAD              </t>
        </is>
      </c>
      <c r="I1105" t="n">
        <v>806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806</v>
      </c>
      <c r="P1105" s="96">
        <f>_xlfn.XLOOKUP(Tabla5[[#This Row],[EAN CORREGIDO]],'Tabla Articulos'!B:B,'Tabla Articulos'!D:D)</f>
        <v/>
      </c>
      <c r="Q1105" s="96">
        <f>_xlfn.XLOOKUP(S1105,'Tabla Articulos'!B:B,'Tabla Articulos'!E:E)</f>
        <v/>
      </c>
      <c r="R1105" s="96">
        <f>O1105*Q1105</f>
        <v/>
      </c>
      <c r="S1105" s="97">
        <f>TRIM(E1105)</f>
        <v/>
      </c>
    </row>
    <row r="1106" hidden="1">
      <c r="A1106" s="22" t="n">
        <v>5</v>
      </c>
      <c r="B1106" t="inlineStr">
        <is>
          <t xml:space="preserve">CDM02 - MORENO 2              </t>
        </is>
      </c>
      <c r="C1106" t="inlineStr">
        <is>
          <t xml:space="preserve">GRUPO L.                      </t>
        </is>
      </c>
      <c r="D1106" t="inlineStr">
        <is>
          <t>BANANA</t>
        </is>
      </c>
      <c r="E1106" t="inlineStr">
        <is>
          <t xml:space="preserve">7790216020080       </t>
        </is>
      </c>
      <c r="F1106" t="n">
        <v>4018036</v>
      </c>
      <c r="G1106" t="inlineStr">
        <is>
          <t xml:space="preserve">FRUTA BANANA X KG                  </t>
        </is>
      </c>
      <c r="H1106" t="inlineStr">
        <is>
          <t xml:space="preserve">Kgs                 </t>
        </is>
      </c>
      <c r="I1106" t="n">
        <v>21</v>
      </c>
      <c r="J1106" t="n">
        <v>0</v>
      </c>
      <c r="K1106" t="n">
        <v>0</v>
      </c>
      <c r="L1106" t="n">
        <v>0</v>
      </c>
      <c r="M1106" t="n">
        <v>20</v>
      </c>
      <c r="N1106" t="n">
        <v>0</v>
      </c>
      <c r="O1106" t="n">
        <v>1</v>
      </c>
      <c r="P1106" s="96">
        <f>_xlfn.XLOOKUP(Tabla5[[#This Row],[EAN CORREGIDO]],'Tabla Articulos'!B:B,'Tabla Articulos'!D:D)</f>
        <v/>
      </c>
      <c r="Q1106" s="96">
        <f>_xlfn.XLOOKUP(S1106,'Tabla Articulos'!B:B,'Tabla Articulos'!E:E)</f>
        <v/>
      </c>
      <c r="R1106" s="96">
        <f>O1106*Q1106</f>
        <v/>
      </c>
      <c r="S1106" s="97">
        <f>TRIM(E1106)</f>
        <v/>
      </c>
    </row>
    <row r="1107" hidden="1">
      <c r="A1107" s="22" t="n">
        <v>1</v>
      </c>
      <c r="B1107" t="inlineStr">
        <is>
          <t xml:space="preserve">CD MORENO                     </t>
        </is>
      </c>
      <c r="C1107" t="inlineStr">
        <is>
          <t xml:space="preserve">GRUPO L.                      </t>
        </is>
      </c>
      <c r="D1107" t="inlineStr">
        <is>
          <t>BANANA</t>
        </is>
      </c>
      <c r="E1107" t="inlineStr">
        <is>
          <t xml:space="preserve">7790216020080       </t>
        </is>
      </c>
      <c r="F1107" t="n">
        <v>4018036</v>
      </c>
      <c r="G1107" t="inlineStr">
        <is>
          <t xml:space="preserve">FRUTA BANANA X KG                  </t>
        </is>
      </c>
      <c r="H1107" t="inlineStr">
        <is>
          <t xml:space="preserve">Kgs                 </t>
        </is>
      </c>
      <c r="I1107" t="n">
        <v>8435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8435</v>
      </c>
      <c r="P1107" s="96">
        <f>_xlfn.XLOOKUP(Tabla5[[#This Row],[EAN CORREGIDO]],'Tabla Articulos'!B:B,'Tabla Articulos'!D:D)</f>
        <v/>
      </c>
      <c r="Q1107" s="96">
        <f>_xlfn.XLOOKUP(S1107,'Tabla Articulos'!B:B,'Tabla Articulos'!E:E)</f>
        <v/>
      </c>
      <c r="R1107" s="96">
        <f>O1107*Q1107</f>
        <v/>
      </c>
      <c r="S1107" s="97">
        <f>TRIM(E1107)</f>
        <v/>
      </c>
    </row>
    <row r="1108" hidden="1">
      <c r="A1108" s="22" t="n">
        <v>6</v>
      </c>
      <c r="B1108" t="inlineStr">
        <is>
          <t xml:space="preserve">CDM03 - MORENO 3              </t>
        </is>
      </c>
      <c r="C1108" t="inlineStr">
        <is>
          <t xml:space="preserve">GRUPO L.                      </t>
        </is>
      </c>
      <c r="D1108" s="11" t="n"/>
      <c r="E1108" t="inlineStr">
        <is>
          <t xml:space="preserve">UNIF000503          </t>
        </is>
      </c>
      <c r="F1108" t="n">
        <v>9003386</v>
      </c>
      <c r="G1108" t="inlineStr">
        <is>
          <t xml:space="preserve">CAMPERA POLAR NEGRA M C. GOUR      </t>
        </is>
      </c>
      <c r="H1108" t="inlineStr">
        <is>
          <t xml:space="preserve">UNIDAD              </t>
        </is>
      </c>
      <c r="I1108" t="n">
        <v>34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34</v>
      </c>
      <c r="P1108" s="96">
        <f>_xlfn.XLOOKUP(Tabla5[[#This Row],[EAN CORREGIDO]],'Tabla Articulos'!B:B,'Tabla Articulos'!D:D)</f>
        <v/>
      </c>
      <c r="Q1108" s="96">
        <f>_xlfn.XLOOKUP(S1108,'Tabla Articulos'!B:B,'Tabla Articulos'!E:E)</f>
        <v/>
      </c>
      <c r="R1108" s="96">
        <f>O1108*Q1108</f>
        <v/>
      </c>
      <c r="S1108" s="97">
        <f>TRIM(E1108)</f>
        <v/>
      </c>
    </row>
    <row r="1109" hidden="1">
      <c r="A1109" s="22" t="n">
        <v>1</v>
      </c>
      <c r="B1109" t="inlineStr">
        <is>
          <t xml:space="preserve">CD MORENO                     </t>
        </is>
      </c>
      <c r="C1109" t="inlineStr">
        <is>
          <t xml:space="preserve">GRUPO L.                      </t>
        </is>
      </c>
      <c r="D1109" t="inlineStr">
        <is>
          <t>ARVEJA CONGELADA</t>
        </is>
      </c>
      <c r="E1109" t="inlineStr">
        <is>
          <t xml:space="preserve">7797906001950       </t>
        </is>
      </c>
      <c r="F1109" t="n">
        <v>4022319</v>
      </c>
      <c r="G1109" t="inlineStr">
        <is>
          <t xml:space="preserve">ARVEJAS CONG X2KG MCCAIN           </t>
        </is>
      </c>
      <c r="H1109" t="inlineStr">
        <is>
          <t xml:space="preserve">UNIDAD              </t>
        </is>
      </c>
      <c r="I1109" t="n">
        <v>15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15</v>
      </c>
      <c r="P1109" s="96">
        <f>_xlfn.XLOOKUP(Tabla5[[#This Row],[EAN CORREGIDO]],'Tabla Articulos'!B:B,'Tabla Articulos'!D:D)</f>
        <v/>
      </c>
      <c r="Q1109" s="96">
        <f>_xlfn.XLOOKUP(S1109,'Tabla Articulos'!B:B,'Tabla Articulos'!E:E)</f>
        <v/>
      </c>
      <c r="R1109" s="96">
        <f>O1109*Q1109</f>
        <v/>
      </c>
      <c r="S1109" s="97">
        <f>TRIM(E1109)</f>
        <v/>
      </c>
    </row>
    <row r="1110" hidden="1">
      <c r="A1110" s="22" t="n">
        <v>1</v>
      </c>
      <c r="B1110" t="inlineStr">
        <is>
          <t xml:space="preserve">CD MORENO                     </t>
        </is>
      </c>
      <c r="C1110" t="inlineStr">
        <is>
          <t xml:space="preserve">GRUPO L.                      </t>
        </is>
      </c>
      <c r="D1110" s="11" t="inlineStr">
        <is>
          <t>QUESO MUZARELLA</t>
        </is>
      </c>
      <c r="E1110" t="inlineStr">
        <is>
          <t xml:space="preserve">7790212060881       </t>
        </is>
      </c>
      <c r="F1110" t="n">
        <v>4018246</v>
      </c>
      <c r="G1110" t="inlineStr">
        <is>
          <t xml:space="preserve">QUESO MUZZARELLA X KG              </t>
        </is>
      </c>
      <c r="H1110" t="inlineStr">
        <is>
          <t xml:space="preserve">Kgs                 </t>
        </is>
      </c>
      <c r="I1110" t="n">
        <v>101</v>
      </c>
      <c r="J1110" t="n">
        <v>0</v>
      </c>
      <c r="K1110" t="n">
        <v>0</v>
      </c>
      <c r="L1110" t="n">
        <v>39.9</v>
      </c>
      <c r="M1110" t="n">
        <v>39.9</v>
      </c>
      <c r="N1110" t="n">
        <v>24.5</v>
      </c>
      <c r="O1110" t="n">
        <v>-3.3</v>
      </c>
      <c r="P1110" s="96">
        <f>_xlfn.XLOOKUP(Tabla5[[#This Row],[EAN CORREGIDO]],'Tabla Articulos'!B:B,'Tabla Articulos'!D:D)</f>
        <v/>
      </c>
      <c r="Q1110" s="96">
        <f>_xlfn.XLOOKUP(S1110,'Tabla Articulos'!B:B,'Tabla Articulos'!E:E)</f>
        <v/>
      </c>
      <c r="R1110" s="96">
        <f>O1110*Q1110</f>
        <v/>
      </c>
      <c r="S1110" s="97">
        <f>TRIM(E1110)</f>
        <v/>
      </c>
    </row>
    <row r="1111" hidden="1">
      <c r="A1111" s="22" t="n">
        <v>6</v>
      </c>
      <c r="B1111" t="inlineStr">
        <is>
          <t xml:space="preserve">CDM03 - MORENO 3              </t>
        </is>
      </c>
      <c r="C1111" t="inlineStr">
        <is>
          <t xml:space="preserve">GRUPO L.                      </t>
        </is>
      </c>
      <c r="D1111" t="inlineStr">
        <is>
          <t>DESODORANTE DE PISO</t>
        </is>
      </c>
      <c r="E1111" t="inlineStr">
        <is>
          <t xml:space="preserve">7798188650393       </t>
        </is>
      </c>
      <c r="F1111" t="n">
        <v>2006565</v>
      </c>
      <c r="G1111" t="inlineStr">
        <is>
          <t xml:space="preserve">DESINFECTANTE P/PISO  X 5LT FLOWER </t>
        </is>
      </c>
      <c r="H1111" t="inlineStr">
        <is>
          <t xml:space="preserve">UNIDAD              </t>
        </is>
      </c>
      <c r="I1111" t="n">
        <v>1928</v>
      </c>
      <c r="J1111" t="n">
        <v>2240</v>
      </c>
      <c r="K1111" t="n">
        <v>0</v>
      </c>
      <c r="L1111" t="n">
        <v>441</v>
      </c>
      <c r="M1111" t="n">
        <v>441</v>
      </c>
      <c r="N1111" t="n">
        <v>0</v>
      </c>
      <c r="O1111" t="n">
        <v>3286</v>
      </c>
      <c r="P1111" s="96">
        <f>_xlfn.XLOOKUP(Tabla5[[#This Row],[EAN CORREGIDO]],'Tabla Articulos'!B:B,'Tabla Articulos'!D:D)</f>
        <v/>
      </c>
      <c r="Q1111" s="96">
        <f>_xlfn.XLOOKUP(S1111,'Tabla Articulos'!B:B,'Tabla Articulos'!E:E)</f>
        <v/>
      </c>
      <c r="R1111" s="96">
        <f>O1111*Q1111</f>
        <v/>
      </c>
      <c r="S1111" s="97">
        <f>TRIM(E1111)</f>
        <v/>
      </c>
    </row>
    <row r="1112" hidden="1">
      <c r="A1112" s="22" t="n">
        <v>6</v>
      </c>
      <c r="B1112" t="inlineStr">
        <is>
          <t xml:space="preserve">CDM03 - MORENO 3              </t>
        </is>
      </c>
      <c r="C1112" t="inlineStr">
        <is>
          <t xml:space="preserve">GRUPO L.                      </t>
        </is>
      </c>
      <c r="E1112" t="inlineStr">
        <is>
          <t xml:space="preserve">BAZ001356           </t>
        </is>
      </c>
      <c r="F1112" t="n">
        <v>9003886</v>
      </c>
      <c r="G1112" t="inlineStr">
        <is>
          <t xml:space="preserve">LECHERA AC INOX P/3 PER MODPYG     </t>
        </is>
      </c>
      <c r="H1112" t="inlineStr">
        <is>
          <t xml:space="preserve">UNIDAD              </t>
        </is>
      </c>
      <c r="I1112" t="n">
        <v>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8</v>
      </c>
      <c r="P1112" s="96">
        <f>_xlfn.XLOOKUP(Tabla5[[#This Row],[EAN CORREGIDO]],'Tabla Articulos'!B:B,'Tabla Articulos'!D:D)</f>
        <v/>
      </c>
      <c r="Q1112" s="96">
        <f>_xlfn.XLOOKUP(S1112,'Tabla Articulos'!B:B,'Tabla Articulos'!E:E)</f>
        <v/>
      </c>
      <c r="R1112" s="96">
        <f>O1112*Q1112</f>
        <v/>
      </c>
      <c r="S1112" s="97">
        <f>TRIM(E1112)</f>
        <v/>
      </c>
    </row>
    <row r="1113" hidden="1">
      <c r="A1113" s="22" t="n">
        <v>6</v>
      </c>
      <c r="B1113" t="inlineStr">
        <is>
          <t xml:space="preserve">CDM03 - MORENO 3              </t>
        </is>
      </c>
      <c r="C1113" t="inlineStr">
        <is>
          <t xml:space="preserve">GRUPO L.                      </t>
        </is>
      </c>
      <c r="D1113" s="11" t="n"/>
      <c r="E1113" t="inlineStr">
        <is>
          <t xml:space="preserve">UNIF000544          </t>
        </is>
      </c>
      <c r="F1113" t="n">
        <v>9003082</v>
      </c>
      <c r="G1113" t="inlineStr">
        <is>
          <t xml:space="preserve">CHOMBA GRIS NEG MANG CORTA NAR M   </t>
        </is>
      </c>
      <c r="H1113" t="inlineStr">
        <is>
          <t xml:space="preserve">UNIDAD              </t>
        </is>
      </c>
      <c r="I1113" t="n">
        <v>10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10</v>
      </c>
      <c r="P1113" s="96">
        <f>_xlfn.XLOOKUP(Tabla5[[#This Row],[EAN CORREGIDO]],'Tabla Articulos'!B:B,'Tabla Articulos'!D:D)</f>
        <v/>
      </c>
      <c r="Q1113" s="96">
        <f>_xlfn.XLOOKUP(S1113,'Tabla Articulos'!B:B,'Tabla Articulos'!E:E)</f>
        <v/>
      </c>
      <c r="R1113" s="96">
        <f>O1113*Q1113</f>
        <v/>
      </c>
      <c r="S1113" s="97">
        <f>TRIM(E1113)</f>
        <v/>
      </c>
    </row>
    <row r="1114" hidden="1">
      <c r="A1114" s="22" t="n">
        <v>6</v>
      </c>
      <c r="B1114" t="inlineStr">
        <is>
          <t xml:space="preserve">CDM03 - MORENO 3              </t>
        </is>
      </c>
      <c r="C1114" t="inlineStr">
        <is>
          <t xml:space="preserve">GRUPO L.                      </t>
        </is>
      </c>
      <c r="D1114" s="11" t="n"/>
      <c r="E1114" t="inlineStr">
        <is>
          <t xml:space="preserve">UNIF000238          </t>
        </is>
      </c>
      <c r="F1114" t="n">
        <v>9003506</v>
      </c>
      <c r="G1114" t="inlineStr">
        <is>
          <t xml:space="preserve">PANTALON CARGO S. LOGO NEGRO 54    </t>
        </is>
      </c>
      <c r="H1114" t="inlineStr">
        <is>
          <t xml:space="preserve">UNIDAD              </t>
        </is>
      </c>
      <c r="I1114" t="n">
        <v>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5</v>
      </c>
      <c r="P1114" s="96">
        <f>_xlfn.XLOOKUP(Tabla5[[#This Row],[EAN CORREGIDO]],'Tabla Articulos'!B:B,'Tabla Articulos'!D:D)</f>
        <v/>
      </c>
      <c r="Q1114" s="96">
        <f>_xlfn.XLOOKUP(S1114,'Tabla Articulos'!B:B,'Tabla Articulos'!E:E)</f>
        <v/>
      </c>
      <c r="R1114" s="96">
        <f>O1114*Q1114</f>
        <v/>
      </c>
      <c r="S1114" s="97">
        <f>TRIM(E1114)</f>
        <v/>
      </c>
    </row>
    <row r="1115" hidden="1">
      <c r="A1115" s="22" t="n">
        <v>6</v>
      </c>
      <c r="B1115" t="inlineStr">
        <is>
          <t xml:space="preserve">CDM03 - MORENO 3              </t>
        </is>
      </c>
      <c r="C1115" t="inlineStr">
        <is>
          <t xml:space="preserve">GRUPO L.                      </t>
        </is>
      </c>
      <c r="D1115" t="inlineStr">
        <is>
          <t>ROLLOS DE COCINA INDUSTRIAL</t>
        </is>
      </c>
      <c r="E1115" t="inlineStr">
        <is>
          <t xml:space="preserve">9992012703028       </t>
        </is>
      </c>
      <c r="F1115" t="n">
        <v>2006214</v>
      </c>
      <c r="G1115" t="inlineStr">
        <is>
          <t xml:space="preserve">ROLLO PAPEL BCO PREM DH X4.2KG     </t>
        </is>
      </c>
      <c r="H1115" t="inlineStr">
        <is>
          <t xml:space="preserve">UNIDAD              </t>
        </is>
      </c>
      <c r="I1115" t="n">
        <v>719</v>
      </c>
      <c r="J1115" t="n">
        <v>450</v>
      </c>
      <c r="K1115" t="n">
        <v>0</v>
      </c>
      <c r="L1115" t="n">
        <v>4</v>
      </c>
      <c r="M1115" t="n">
        <v>4</v>
      </c>
      <c r="N1115" t="n">
        <v>0</v>
      </c>
      <c r="O1115" t="n">
        <v>1161</v>
      </c>
      <c r="P1115" s="96">
        <f>_xlfn.XLOOKUP(Tabla5[[#This Row],[EAN CORREGIDO]],'Tabla Articulos'!B:B,'Tabla Articulos'!D:D)</f>
        <v/>
      </c>
      <c r="Q1115" s="96">
        <f>_xlfn.XLOOKUP(S1115,'Tabla Articulos'!B:B,'Tabla Articulos'!E:E)</f>
        <v/>
      </c>
      <c r="R1115" s="96">
        <f>O1115*Q1115</f>
        <v/>
      </c>
      <c r="S1115" s="97">
        <f>TRIM(E1115)</f>
        <v/>
      </c>
    </row>
    <row r="1116" hidden="1">
      <c r="A1116" s="22" t="n">
        <v>6</v>
      </c>
      <c r="B1116" t="inlineStr">
        <is>
          <t xml:space="preserve">CDM03 - MORENO 3              </t>
        </is>
      </c>
      <c r="C1116" t="inlineStr">
        <is>
          <t xml:space="preserve">GRUPO L.                      </t>
        </is>
      </c>
      <c r="E1116" t="inlineStr">
        <is>
          <t xml:space="preserve">BAZ001204           </t>
        </is>
      </c>
      <c r="F1116" t="n">
        <v>9003785</v>
      </c>
      <c r="G1116" t="inlineStr">
        <is>
          <t xml:space="preserve">ESPATULA AC INOX POLIPRO 6X3.5"    </t>
        </is>
      </c>
      <c r="H1116" t="inlineStr">
        <is>
          <t xml:space="preserve">UNIDAD              </t>
        </is>
      </c>
      <c r="I1116" t="n">
        <v>1036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1036</v>
      </c>
      <c r="P1116" s="96">
        <f>_xlfn.XLOOKUP(Tabla5[[#This Row],[EAN CORREGIDO]],'Tabla Articulos'!B:B,'Tabla Articulos'!D:D)</f>
        <v/>
      </c>
      <c r="Q1116" s="96">
        <f>_xlfn.XLOOKUP(S1116,'Tabla Articulos'!B:B,'Tabla Articulos'!E:E)</f>
        <v/>
      </c>
      <c r="R1116" s="96">
        <f>O1116*Q1116</f>
        <v/>
      </c>
      <c r="S1116" s="97">
        <f>TRIM(E1116)</f>
        <v/>
      </c>
    </row>
    <row r="1117" hidden="1">
      <c r="A1117" s="22" t="n">
        <v>6</v>
      </c>
      <c r="B1117" t="inlineStr">
        <is>
          <t xml:space="preserve">CDM03 - MORENO 3              </t>
        </is>
      </c>
      <c r="C1117" t="inlineStr">
        <is>
          <t xml:space="preserve">GRUPO L.                      </t>
        </is>
      </c>
      <c r="D1117" s="11" t="inlineStr">
        <is>
          <t>ESPONJA METAL</t>
        </is>
      </c>
      <c r="E1117" t="inlineStr">
        <is>
          <t xml:space="preserve">7791625000140       </t>
        </is>
      </c>
      <c r="F1117" t="n">
        <v>2007382</v>
      </c>
      <c r="G1117" t="inlineStr">
        <is>
          <t xml:space="preserve">ESPONJA DE ACERO XUN ECOO          </t>
        </is>
      </c>
      <c r="H1117" t="inlineStr">
        <is>
          <t xml:space="preserve">UNIDAD              </t>
        </is>
      </c>
      <c r="I1117" t="n">
        <v>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7</v>
      </c>
      <c r="P1117" s="96">
        <f>_xlfn.XLOOKUP(Tabla5[[#This Row],[EAN CORREGIDO]],'Tabla Articulos'!B:B,'Tabla Articulos'!D:D)</f>
        <v/>
      </c>
      <c r="Q1117" s="96">
        <f>_xlfn.XLOOKUP(S1117,'Tabla Articulos'!B:B,'Tabla Articulos'!E:E)</f>
        <v/>
      </c>
      <c r="R1117" s="96">
        <f>O1117*Q1117</f>
        <v/>
      </c>
      <c r="S1117" s="97">
        <f>TRIM(E1117)</f>
        <v/>
      </c>
    </row>
    <row r="1118" hidden="1">
      <c r="A1118" s="22" t="n">
        <v>5</v>
      </c>
      <c r="B1118" t="inlineStr">
        <is>
          <t xml:space="preserve">CDM02 - MORENO 2              </t>
        </is>
      </c>
      <c r="C1118" t="inlineStr">
        <is>
          <t xml:space="preserve">GRUPO L.                      </t>
        </is>
      </c>
      <c r="D1118" t="inlineStr">
        <is>
          <t>CURRY</t>
        </is>
      </c>
      <c r="E1118" t="inlineStr">
        <is>
          <t xml:space="preserve">7793875329718       </t>
        </is>
      </c>
      <c r="F1118" t="n">
        <v>4022788</v>
      </c>
      <c r="G1118" t="inlineStr">
        <is>
          <t xml:space="preserve">CURRY 1 KG AROMAS Y SABORES        </t>
        </is>
      </c>
      <c r="H1118" t="inlineStr">
        <is>
          <t xml:space="preserve">UNIDAD              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1</v>
      </c>
      <c r="P1118" s="96">
        <f>_xlfn.XLOOKUP(Tabla5[[#This Row],[EAN CORREGIDO]],'Tabla Articulos'!B:B,'Tabla Articulos'!D:D)</f>
        <v/>
      </c>
      <c r="Q1118" s="96">
        <f>_xlfn.XLOOKUP(S1118,'Tabla Articulos'!B:B,'Tabla Articulos'!E:E)</f>
        <v/>
      </c>
      <c r="R1118" s="96">
        <f>O1118*Q1118</f>
        <v/>
      </c>
      <c r="S1118" s="97">
        <f>TRIM(E1118)</f>
        <v/>
      </c>
    </row>
    <row r="1119" hidden="1">
      <c r="A1119" s="22" t="n">
        <v>1</v>
      </c>
      <c r="B1119" t="inlineStr">
        <is>
          <t xml:space="preserve">CD MORENO                     </t>
        </is>
      </c>
      <c r="C1119" t="inlineStr">
        <is>
          <t xml:space="preserve">GRUPO L.                      </t>
        </is>
      </c>
      <c r="D1119" s="11" t="inlineStr">
        <is>
          <t>CURRY</t>
        </is>
      </c>
      <c r="E1119" t="inlineStr">
        <is>
          <t xml:space="preserve">7793875329718       </t>
        </is>
      </c>
      <c r="F1119" t="n">
        <v>4022788</v>
      </c>
      <c r="G1119" t="inlineStr">
        <is>
          <t xml:space="preserve">CURRY 1 KG AROMAS Y SABORES        </t>
        </is>
      </c>
      <c r="H1119" t="inlineStr">
        <is>
          <t xml:space="preserve">UNIDAD              </t>
        </is>
      </c>
      <c r="I1119" t="n">
        <v>34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34</v>
      </c>
      <c r="P1119" s="96">
        <f>_xlfn.XLOOKUP(Tabla5[[#This Row],[EAN CORREGIDO]],'Tabla Articulos'!B:B,'Tabla Articulos'!D:D)</f>
        <v/>
      </c>
      <c r="Q1119" s="96">
        <f>_xlfn.XLOOKUP(S1119,'Tabla Articulos'!B:B,'Tabla Articulos'!E:E)</f>
        <v/>
      </c>
      <c r="R1119" s="96">
        <f>O1119*Q1119</f>
        <v/>
      </c>
      <c r="S1119" s="97">
        <f>TRIM(E1119)</f>
        <v/>
      </c>
    </row>
    <row r="1120" hidden="1">
      <c r="A1120" s="22" t="n">
        <v>1</v>
      </c>
      <c r="B1120" t="inlineStr">
        <is>
          <t xml:space="preserve">CD MORENO                     </t>
        </is>
      </c>
      <c r="C1120" t="inlineStr">
        <is>
          <t xml:space="preserve">GRUPO L.                      </t>
        </is>
      </c>
      <c r="D1120" t="inlineStr">
        <is>
          <t>FIDEOS CINTAS VERDES</t>
        </is>
      </c>
      <c r="E1120" t="inlineStr">
        <is>
          <t xml:space="preserve">7797470000816       </t>
        </is>
      </c>
      <c r="F1120" t="n">
        <v>4020369</v>
      </c>
      <c r="G1120" t="inlineStr">
        <is>
          <t>FIDEO TALLARIN ESPINACA X500G MAROL</t>
        </is>
      </c>
      <c r="H1120" t="inlineStr">
        <is>
          <t xml:space="preserve">UNIDAD              </t>
        </is>
      </c>
      <c r="I1120" t="n">
        <v>501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501</v>
      </c>
      <c r="P1120" s="96">
        <f>_xlfn.XLOOKUP(Tabla5[[#This Row],[EAN CORREGIDO]],'Tabla Articulos'!B:B,'Tabla Articulos'!D:D)</f>
        <v/>
      </c>
      <c r="Q1120" s="96">
        <f>_xlfn.XLOOKUP(S1120,'Tabla Articulos'!B:B,'Tabla Articulos'!E:E)</f>
        <v/>
      </c>
      <c r="R1120" s="96">
        <f>O1120*Q1120</f>
        <v/>
      </c>
      <c r="S1120" s="97">
        <f>TRIM(E1120)</f>
        <v/>
      </c>
    </row>
    <row r="1121" hidden="1">
      <c r="A1121" s="22" t="n">
        <v>1</v>
      </c>
      <c r="B1121" t="inlineStr">
        <is>
          <t xml:space="preserve">CD MORENO                     </t>
        </is>
      </c>
      <c r="C1121" t="inlineStr">
        <is>
          <t xml:space="preserve">GRUPO L.                      </t>
        </is>
      </c>
      <c r="D1121" t="inlineStr">
        <is>
          <t>CACAO</t>
        </is>
      </c>
      <c r="E1121" t="inlineStr">
        <is>
          <t xml:space="preserve">8445291388062       </t>
        </is>
      </c>
      <c r="F1121" t="n">
        <v>4020604</v>
      </c>
      <c r="G1121" t="inlineStr">
        <is>
          <t xml:space="preserve">CACAO POLVO X2KG NESQUIK	          </t>
        </is>
      </c>
      <c r="H1121" t="inlineStr">
        <is>
          <t xml:space="preserve">UNIDAD              </t>
        </is>
      </c>
      <c r="I1121" t="n">
        <v>17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17</v>
      </c>
      <c r="P1121" s="96">
        <f>_xlfn.XLOOKUP(Tabla5[[#This Row],[EAN CORREGIDO]],'Tabla Articulos'!B:B,'Tabla Articulos'!D:D)</f>
        <v/>
      </c>
      <c r="Q1121" s="96">
        <f>_xlfn.XLOOKUP(S1121,'Tabla Articulos'!B:B,'Tabla Articulos'!E:E)</f>
        <v/>
      </c>
      <c r="R1121" s="96">
        <f>O1121*Q1121</f>
        <v/>
      </c>
      <c r="S1121" s="97">
        <f>TRIM(E1121)</f>
        <v/>
      </c>
    </row>
    <row r="1122" hidden="1">
      <c r="A1122" s="22" t="n">
        <v>6</v>
      </c>
      <c r="B1122" t="inlineStr">
        <is>
          <t xml:space="preserve">CDM03 - MORENO 3              </t>
        </is>
      </c>
      <c r="C1122" t="inlineStr">
        <is>
          <t xml:space="preserve">GRUPO L.                      </t>
        </is>
      </c>
      <c r="E1122" t="inlineStr">
        <is>
          <t xml:space="preserve">UNIF000744          </t>
        </is>
      </c>
      <c r="F1122" t="n">
        <v>9004198</v>
      </c>
      <c r="G1122" t="inlineStr">
        <is>
          <t xml:space="preserve">CAMISA POPLIN ML BLUE CAFÉ XS      </t>
        </is>
      </c>
      <c r="H1122" t="inlineStr">
        <is>
          <t xml:space="preserve">UNIDAD              </t>
        </is>
      </c>
      <c r="I1122" t="n">
        <v>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</v>
      </c>
      <c r="P1122" s="96">
        <f>_xlfn.XLOOKUP(Tabla5[[#This Row],[EAN CORREGIDO]],'Tabla Articulos'!B:B,'Tabla Articulos'!D:D)</f>
        <v/>
      </c>
      <c r="Q1122" s="96">
        <f>_xlfn.XLOOKUP(S1122,'Tabla Articulos'!B:B,'Tabla Articulos'!E:E)</f>
        <v/>
      </c>
      <c r="R1122" s="96">
        <f>O1122*Q1122</f>
        <v/>
      </c>
      <c r="S1122" s="97">
        <f>TRIM(E1122)</f>
        <v/>
      </c>
    </row>
    <row r="1123" hidden="1">
      <c r="A1123" s="22" t="n">
        <v>6</v>
      </c>
      <c r="B1123" t="inlineStr">
        <is>
          <t xml:space="preserve">CDM03 - MORENO 3              </t>
        </is>
      </c>
      <c r="C1123" t="inlineStr">
        <is>
          <t xml:space="preserve">GRUPO L.                      </t>
        </is>
      </c>
      <c r="D1123" t="inlineStr">
        <is>
          <t>REPUESTO DE SECADOR</t>
        </is>
      </c>
      <c r="E1123" t="inlineStr">
        <is>
          <t xml:space="preserve">7798287510062       </t>
        </is>
      </c>
      <c r="F1123" t="n">
        <v>2007549</v>
      </c>
      <c r="G1123" t="inlineStr">
        <is>
          <t xml:space="preserve">REPUESTO BARREDOR ACRILICO 60CM    </t>
        </is>
      </c>
      <c r="H1123" t="inlineStr">
        <is>
          <t xml:space="preserve">UNIDAD              </t>
        </is>
      </c>
      <c r="I1123" t="n">
        <v>220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220</v>
      </c>
      <c r="P1123" s="96">
        <f>_xlfn.XLOOKUP(Tabla5[[#This Row],[EAN CORREGIDO]],'Tabla Articulos'!B:B,'Tabla Articulos'!D:D)</f>
        <v/>
      </c>
      <c r="Q1123" s="96">
        <f>_xlfn.XLOOKUP(S1123,'Tabla Articulos'!B:B,'Tabla Articulos'!E:E)</f>
        <v/>
      </c>
      <c r="R1123" s="96">
        <f>O1123*Q1123</f>
        <v/>
      </c>
      <c r="S1123" s="97">
        <f>TRIM(E1123)</f>
        <v/>
      </c>
    </row>
    <row r="1124" hidden="1">
      <c r="A1124" s="22" t="n">
        <v>1</v>
      </c>
      <c r="B1124" t="inlineStr">
        <is>
          <t xml:space="preserve">CD MORENO                     </t>
        </is>
      </c>
      <c r="C1124" t="inlineStr">
        <is>
          <t xml:space="preserve">GRUPO L.                      </t>
        </is>
      </c>
      <c r="D1124" s="11" t="inlineStr">
        <is>
          <t>AGUA MIN S/GAS INDIV</t>
        </is>
      </c>
      <c r="E1124" t="inlineStr">
        <is>
          <t xml:space="preserve">7790895647741       </t>
        </is>
      </c>
      <c r="F1124" t="n">
        <v>4023933</v>
      </c>
      <c r="G1124" t="inlineStr">
        <is>
          <t xml:space="preserve">AGUA BENEDICTINO S/GAS 600CC       </t>
        </is>
      </c>
      <c r="H1124" t="inlineStr">
        <is>
          <t xml:space="preserve">UNIDAD              </t>
        </is>
      </c>
      <c r="I1124" t="n">
        <v>15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15</v>
      </c>
      <c r="P1124" s="96">
        <f>_xlfn.XLOOKUP(Tabla5[[#This Row],[EAN CORREGIDO]],'Tabla Articulos'!B:B,'Tabla Articulos'!D:D)</f>
        <v/>
      </c>
      <c r="Q1124" s="96">
        <f>_xlfn.XLOOKUP(S1124,'Tabla Articulos'!B:B,'Tabla Articulos'!E:E)</f>
        <v/>
      </c>
      <c r="R1124" s="96">
        <f>O1124*Q1124</f>
        <v/>
      </c>
      <c r="S1124" s="97">
        <f>TRIM(E1124)</f>
        <v/>
      </c>
    </row>
    <row r="1125" hidden="1">
      <c r="A1125" s="22" t="n">
        <v>1</v>
      </c>
      <c r="B1125" t="inlineStr">
        <is>
          <t xml:space="preserve">CD MORENO                     </t>
        </is>
      </c>
      <c r="C1125" t="inlineStr">
        <is>
          <t xml:space="preserve">GRUPO L.                      </t>
        </is>
      </c>
      <c r="D1125" s="11" t="inlineStr">
        <is>
          <t>POLVO HORNEAR</t>
        </is>
      </c>
      <c r="E1125" t="inlineStr">
        <is>
          <t xml:space="preserve">7791113005800       </t>
        </is>
      </c>
      <c r="F1125" t="n">
        <v>4019799</v>
      </c>
      <c r="G1125" t="inlineStr">
        <is>
          <t xml:space="preserve">POLVO HORNEAR X500G EMETH          </t>
        </is>
      </c>
      <c r="H1125" t="inlineStr">
        <is>
          <t xml:space="preserve">UNIDAD              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1</v>
      </c>
      <c r="P1125" s="96">
        <f>_xlfn.XLOOKUP(Tabla5[[#This Row],[EAN CORREGIDO]],'Tabla Articulos'!B:B,'Tabla Articulos'!D:D)</f>
        <v/>
      </c>
      <c r="Q1125" s="96">
        <f>_xlfn.XLOOKUP(S1125,'Tabla Articulos'!B:B,'Tabla Articulos'!E:E)</f>
        <v/>
      </c>
      <c r="R1125" s="96">
        <f>O1125*Q1125</f>
        <v/>
      </c>
      <c r="S1125" s="97">
        <f>TRIM(E1125)</f>
        <v/>
      </c>
    </row>
    <row r="1126" hidden="1">
      <c r="A1126" s="22" t="n">
        <v>6</v>
      </c>
      <c r="B1126" t="inlineStr">
        <is>
          <t xml:space="preserve">CDM03 - MORENO 3              </t>
        </is>
      </c>
      <c r="C1126" t="inlineStr">
        <is>
          <t xml:space="preserve">GRUPO L.                      </t>
        </is>
      </c>
      <c r="D1126" s="11" t="n"/>
      <c r="E1126" t="inlineStr">
        <is>
          <t xml:space="preserve">UNIF000014          </t>
        </is>
      </c>
      <c r="F1126" t="n">
        <v>9003045</v>
      </c>
      <c r="G1126" t="inlineStr">
        <is>
          <t xml:space="preserve">CHAQ AMBO A.MAR. ESCO.V PULC S     </t>
        </is>
      </c>
      <c r="H1126" t="inlineStr">
        <is>
          <t xml:space="preserve">UNIDAD              </t>
        </is>
      </c>
      <c r="I1126" t="n">
        <v>31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31</v>
      </c>
      <c r="P1126" s="96">
        <f>_xlfn.XLOOKUP(Tabla5[[#This Row],[EAN CORREGIDO]],'Tabla Articulos'!B:B,'Tabla Articulos'!D:D)</f>
        <v/>
      </c>
      <c r="Q1126" s="96">
        <f>_xlfn.XLOOKUP(S1126,'Tabla Articulos'!B:B,'Tabla Articulos'!E:E)</f>
        <v/>
      </c>
      <c r="R1126" s="96">
        <f>O1126*Q1126</f>
        <v/>
      </c>
      <c r="S1126" s="97">
        <f>TRIM(E1126)</f>
        <v/>
      </c>
    </row>
    <row r="1127" hidden="1">
      <c r="A1127" s="22" t="n">
        <v>6</v>
      </c>
      <c r="B1127" t="inlineStr">
        <is>
          <t xml:space="preserve">CDM03 - MORENO 3              </t>
        </is>
      </c>
      <c r="C1127" t="inlineStr">
        <is>
          <t xml:space="preserve">GRUPO L.                      </t>
        </is>
      </c>
      <c r="D1127" t="inlineStr">
        <is>
          <t>JABON TOCADOR</t>
        </is>
      </c>
      <c r="E1127" t="inlineStr">
        <is>
          <t xml:space="preserve">7790000000400       </t>
        </is>
      </c>
      <c r="F1127" t="n">
        <v>2005412</v>
      </c>
      <c r="G1127" t="inlineStr">
        <is>
          <t xml:space="preserve">JABON TOCADOR OVAL 50GR GOODCREA   </t>
        </is>
      </c>
      <c r="H1127" t="inlineStr">
        <is>
          <t xml:space="preserve">UNIDAD              </t>
        </is>
      </c>
      <c r="I1127" t="n">
        <v>4799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4799</v>
      </c>
      <c r="P1127" s="96">
        <f>_xlfn.XLOOKUP(Tabla5[[#This Row],[EAN CORREGIDO]],'Tabla Articulos'!B:B,'Tabla Articulos'!D:D)</f>
        <v/>
      </c>
      <c r="Q1127" s="96">
        <f>_xlfn.XLOOKUP(S1127,'Tabla Articulos'!B:B,'Tabla Articulos'!E:E)</f>
        <v/>
      </c>
      <c r="R1127" s="96">
        <f>O1127*Q1127</f>
        <v/>
      </c>
      <c r="S1127" s="97">
        <f>TRIM(E1127)</f>
        <v/>
      </c>
    </row>
    <row r="1128" hidden="1">
      <c r="A1128" s="22" t="n">
        <v>6</v>
      </c>
      <c r="B1128" t="inlineStr">
        <is>
          <t xml:space="preserve">CDM03 - MORENO 3              </t>
        </is>
      </c>
      <c r="C1128" t="inlineStr">
        <is>
          <t xml:space="preserve">GRUPO L.                      </t>
        </is>
      </c>
      <c r="E1128" t="inlineStr">
        <is>
          <t xml:space="preserve">BAZ001188           </t>
        </is>
      </c>
      <c r="F1128" t="n">
        <v>9003731</v>
      </c>
      <c r="G1128" t="inlineStr">
        <is>
          <t xml:space="preserve">CUCHARA POSTRE MOD AC INOX LIVI    </t>
        </is>
      </c>
      <c r="H1128" t="inlineStr">
        <is>
          <t xml:space="preserve">UNIDAD              </t>
        </is>
      </c>
      <c r="I1128" t="n">
        <v>2003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2003</v>
      </c>
      <c r="P1128" s="96">
        <f>_xlfn.XLOOKUP(Tabla5[[#This Row],[EAN CORREGIDO]],'Tabla Articulos'!B:B,'Tabla Articulos'!D:D)</f>
        <v/>
      </c>
      <c r="Q1128" s="96">
        <f>_xlfn.XLOOKUP(S1128,'Tabla Articulos'!B:B,'Tabla Articulos'!E:E)</f>
        <v/>
      </c>
      <c r="R1128" s="96">
        <f>O1128*Q1128</f>
        <v/>
      </c>
      <c r="S1128" s="97">
        <f>TRIM(E1128)</f>
        <v/>
      </c>
    </row>
    <row r="1129" hidden="1">
      <c r="A1129" s="22" t="n">
        <v>6</v>
      </c>
      <c r="B1129" t="inlineStr">
        <is>
          <t xml:space="preserve">CDM03 - MORENO 3              </t>
        </is>
      </c>
      <c r="C1129" t="inlineStr">
        <is>
          <t xml:space="preserve">GRUPO L.                      </t>
        </is>
      </c>
      <c r="D1129" s="11" t="n"/>
      <c r="E1129" t="inlineStr">
        <is>
          <t xml:space="preserve">UNIF000459          </t>
        </is>
      </c>
      <c r="F1129" t="n">
        <v>9003620</v>
      </c>
      <c r="G1129" t="inlineStr">
        <is>
          <t xml:space="preserve">CAMP. BLANCO TRUCKER NUTRIRE XL    </t>
        </is>
      </c>
      <c r="H1129" t="inlineStr">
        <is>
          <t xml:space="preserve">UNIDAD              </t>
        </is>
      </c>
      <c r="I1129" t="n">
        <v>77</v>
      </c>
      <c r="J1129" t="n">
        <v>80</v>
      </c>
      <c r="K1129" t="n">
        <v>0</v>
      </c>
      <c r="L1129" t="n">
        <v>0</v>
      </c>
      <c r="M1129" t="n">
        <v>0</v>
      </c>
      <c r="N1129" t="n">
        <v>0</v>
      </c>
      <c r="O1129" t="n">
        <v>157</v>
      </c>
      <c r="P1129" s="96">
        <f>_xlfn.XLOOKUP(Tabla5[[#This Row],[EAN CORREGIDO]],'Tabla Articulos'!B:B,'Tabla Articulos'!D:D)</f>
        <v/>
      </c>
      <c r="Q1129" s="96">
        <f>_xlfn.XLOOKUP(S1129,'Tabla Articulos'!B:B,'Tabla Articulos'!E:E)</f>
        <v/>
      </c>
      <c r="R1129" s="96">
        <f>O1129*Q1129</f>
        <v/>
      </c>
      <c r="S1129" s="97">
        <f>TRIM(E1129)</f>
        <v/>
      </c>
    </row>
    <row r="1130" hidden="1">
      <c r="A1130" s="22" t="n">
        <v>1</v>
      </c>
      <c r="B1130" t="inlineStr">
        <is>
          <t xml:space="preserve">CD MORENO                     </t>
        </is>
      </c>
      <c r="C1130" t="inlineStr">
        <is>
          <t xml:space="preserve">GRUPO L.                      </t>
        </is>
      </c>
      <c r="D1130" s="11" t="inlineStr">
        <is>
          <t>MANZANA VERDE</t>
        </is>
      </c>
      <c r="E1130" t="inlineStr">
        <is>
          <t xml:space="preserve">7790000000825       </t>
        </is>
      </c>
      <c r="F1130" t="n">
        <v>4077220</v>
      </c>
      <c r="G1130" t="inlineStr">
        <is>
          <t xml:space="preserve">FRUTA MANZANA SMITH XKG            </t>
        </is>
      </c>
      <c r="H1130" t="inlineStr">
        <is>
          <t xml:space="preserve">Kgs                 </t>
        </is>
      </c>
      <c r="I1130" t="n">
        <v>72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72</v>
      </c>
      <c r="P1130" s="96">
        <f>_xlfn.XLOOKUP(Tabla5[[#This Row],[EAN CORREGIDO]],'Tabla Articulos'!B:B,'Tabla Articulos'!D:D)</f>
        <v/>
      </c>
      <c r="Q1130" s="96">
        <f>_xlfn.XLOOKUP(S1130,'Tabla Articulos'!B:B,'Tabla Articulos'!E:E)</f>
        <v/>
      </c>
      <c r="R1130" s="96">
        <f>O1130*Q1130</f>
        <v/>
      </c>
      <c r="S1130" s="97">
        <f>TRIM(E1130)</f>
        <v/>
      </c>
    </row>
    <row r="1131" hidden="1">
      <c r="A1131" s="22" t="n">
        <v>5</v>
      </c>
      <c r="B1131" t="inlineStr">
        <is>
          <t xml:space="preserve">CDM02 - MORENO 2              </t>
        </is>
      </c>
      <c r="C1131" t="inlineStr">
        <is>
          <t xml:space="preserve">GRUPO L.                      </t>
        </is>
      </c>
      <c r="D1131" t="inlineStr">
        <is>
          <t>FIDEOS SOPEROS</t>
        </is>
      </c>
      <c r="E1131" t="inlineStr">
        <is>
          <t xml:space="preserve">7790070320025       </t>
        </is>
      </c>
      <c r="F1131" t="n">
        <v>4024321</v>
      </c>
      <c r="G1131" t="inlineStr">
        <is>
          <t xml:space="preserve">FIDEO DEDALITO X500G MATARAZZO     </t>
        </is>
      </c>
      <c r="H1131" t="inlineStr">
        <is>
          <t xml:space="preserve">UNIDAD              </t>
        </is>
      </c>
      <c r="I1131" t="n">
        <v>0</v>
      </c>
      <c r="J1131" t="n">
        <v>20</v>
      </c>
      <c r="K1131" t="n">
        <v>0</v>
      </c>
      <c r="L1131" t="n">
        <v>0</v>
      </c>
      <c r="M1131" t="n">
        <v>0</v>
      </c>
      <c r="N1131" t="n">
        <v>0</v>
      </c>
      <c r="O1131" t="n">
        <v>20</v>
      </c>
      <c r="P1131" s="96">
        <f>_xlfn.XLOOKUP(Tabla5[[#This Row],[EAN CORREGIDO]],'Tabla Articulos'!B:B,'Tabla Articulos'!D:D)</f>
        <v/>
      </c>
      <c r="Q1131" s="96">
        <f>_xlfn.XLOOKUP(S1131,'Tabla Articulos'!B:B,'Tabla Articulos'!E:E)</f>
        <v/>
      </c>
      <c r="R1131" s="96">
        <f>O1131*Q1131</f>
        <v/>
      </c>
      <c r="S1131" s="97">
        <f>TRIM(E1131)</f>
        <v/>
      </c>
    </row>
    <row r="1132" hidden="1">
      <c r="A1132" s="22" t="n">
        <v>6</v>
      </c>
      <c r="B1132" t="inlineStr">
        <is>
          <t xml:space="preserve">CDM03 - MORENO 3              </t>
        </is>
      </c>
      <c r="C1132" t="inlineStr">
        <is>
          <t xml:space="preserve">GRUPO L.                      </t>
        </is>
      </c>
      <c r="E1132" t="inlineStr">
        <is>
          <t xml:space="preserve">UNIF000329          </t>
        </is>
      </c>
      <c r="F1132" t="n">
        <v>9003204</v>
      </c>
      <c r="G1132" t="inlineStr">
        <is>
          <t xml:space="preserve">REME. CUELLO RED BLAN NUTRI 4XL    </t>
        </is>
      </c>
      <c r="H1132" t="inlineStr">
        <is>
          <t xml:space="preserve">UNIDAD              </t>
        </is>
      </c>
      <c r="I1132" t="n">
        <v>75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75</v>
      </c>
      <c r="P1132" s="96">
        <f>_xlfn.XLOOKUP(Tabla5[[#This Row],[EAN CORREGIDO]],'Tabla Articulos'!B:B,'Tabla Articulos'!D:D)</f>
        <v/>
      </c>
      <c r="Q1132" s="96">
        <f>_xlfn.XLOOKUP(S1132,'Tabla Articulos'!B:B,'Tabla Articulos'!E:E)</f>
        <v/>
      </c>
      <c r="R1132" s="96">
        <f>O1132*Q1132</f>
        <v/>
      </c>
      <c r="S1132" s="97">
        <f>TRIM(E1132)</f>
        <v/>
      </c>
    </row>
    <row r="1133" hidden="1">
      <c r="A1133" s="22" t="n">
        <v>1</v>
      </c>
      <c r="B1133" t="inlineStr">
        <is>
          <t xml:space="preserve">CD MORENO                     </t>
        </is>
      </c>
      <c r="C1133" t="inlineStr">
        <is>
          <t xml:space="preserve">GRUPO L.                      </t>
        </is>
      </c>
      <c r="D1133" t="inlineStr">
        <is>
          <t>ACEITUNA NEGRA S/C</t>
        </is>
      </c>
      <c r="E1133" t="inlineStr">
        <is>
          <t xml:space="preserve">7791675908373       </t>
        </is>
      </c>
      <c r="F1133" t="n">
        <v>4023199</v>
      </c>
      <c r="G1133" t="inlineStr">
        <is>
          <t xml:space="preserve">ACEITUNA NEGR 0.9KG CASTELL        </t>
        </is>
      </c>
      <c r="H1133" t="inlineStr">
        <is>
          <t xml:space="preserve">UNIDAD              </t>
        </is>
      </c>
      <c r="I1133" t="n">
        <v>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4</v>
      </c>
      <c r="P1133" s="96">
        <f>_xlfn.XLOOKUP(Tabla5[[#This Row],[EAN CORREGIDO]],'Tabla Articulos'!B:B,'Tabla Articulos'!D:D)</f>
        <v/>
      </c>
      <c r="Q1133" s="96">
        <f>_xlfn.XLOOKUP(S1133,'Tabla Articulos'!B:B,'Tabla Articulos'!E:E)</f>
        <v/>
      </c>
      <c r="R1133" s="96">
        <f>O1133*Q1133</f>
        <v/>
      </c>
      <c r="S1133" s="97">
        <f>TRIM(E1133)</f>
        <v/>
      </c>
    </row>
    <row r="1134" hidden="1">
      <c r="A1134" s="22" t="n">
        <v>5</v>
      </c>
      <c r="B1134" t="inlineStr">
        <is>
          <t xml:space="preserve">CDM02 - MORENO 2              </t>
        </is>
      </c>
      <c r="C1134" t="inlineStr">
        <is>
          <t xml:space="preserve">GRUPO L.                      </t>
        </is>
      </c>
      <c r="D1134" s="11" t="inlineStr">
        <is>
          <t>ACEITUNA NEGRA S/C</t>
        </is>
      </c>
      <c r="E1134" t="inlineStr">
        <is>
          <t xml:space="preserve">7791675908373       </t>
        </is>
      </c>
      <c r="F1134" t="n">
        <v>4023199</v>
      </c>
      <c r="G1134" t="inlineStr">
        <is>
          <t xml:space="preserve">ACEITUNA NEGR 0.9KG CASTELL        </t>
        </is>
      </c>
      <c r="H1134" t="inlineStr">
        <is>
          <t xml:space="preserve">UNIDAD              </t>
        </is>
      </c>
      <c r="I1134" t="n">
        <v>46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46</v>
      </c>
      <c r="P1134" s="96">
        <f>_xlfn.XLOOKUP(Tabla5[[#This Row],[EAN CORREGIDO]],'Tabla Articulos'!B:B,'Tabla Articulos'!D:D)</f>
        <v/>
      </c>
      <c r="Q1134" s="96">
        <f>_xlfn.XLOOKUP(S1134,'Tabla Articulos'!B:B,'Tabla Articulos'!E:E)</f>
        <v/>
      </c>
      <c r="R1134" s="96">
        <f>O1134*Q1134</f>
        <v/>
      </c>
      <c r="S1134" s="97">
        <f>TRIM(E1134)</f>
        <v/>
      </c>
    </row>
    <row r="1135" hidden="1">
      <c r="A1135" s="22" t="n">
        <v>6</v>
      </c>
      <c r="B1135" t="inlineStr">
        <is>
          <t xml:space="preserve">CDM03 - MORENO 3              </t>
        </is>
      </c>
      <c r="C1135" t="inlineStr">
        <is>
          <t xml:space="preserve">GRUPO L.                      </t>
        </is>
      </c>
      <c r="D1135" t="inlineStr">
        <is>
          <t>PALA CAJON</t>
        </is>
      </c>
      <c r="E1135" t="inlineStr">
        <is>
          <t xml:space="preserve">LIM00436            </t>
        </is>
      </c>
      <c r="F1135" t="n">
        <v>2006553</v>
      </c>
      <c r="G1135" t="inlineStr">
        <is>
          <t xml:space="preserve">PALA CAJON X U                     </t>
        </is>
      </c>
      <c r="H1135" t="inlineStr">
        <is>
          <t xml:space="preserve">UNIDAD              </t>
        </is>
      </c>
      <c r="I1135" t="n">
        <v>37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37</v>
      </c>
      <c r="P1135" s="96">
        <f>_xlfn.XLOOKUP(Tabla5[[#This Row],[EAN CORREGIDO]],'Tabla Articulos'!B:B,'Tabla Articulos'!D:D)</f>
        <v/>
      </c>
      <c r="Q1135" s="96">
        <f>_xlfn.XLOOKUP(S1135,'Tabla Articulos'!B:B,'Tabla Articulos'!E:E)</f>
        <v/>
      </c>
      <c r="R1135" s="96">
        <f>O1135*Q1135</f>
        <v/>
      </c>
      <c r="S1135" s="97">
        <f>TRIM(E1135)</f>
        <v/>
      </c>
    </row>
    <row r="1136" hidden="1">
      <c r="A1136" s="22" t="n">
        <v>6</v>
      </c>
      <c r="B1136" t="inlineStr">
        <is>
          <t xml:space="preserve">CDM03 - MORENO 3              </t>
        </is>
      </c>
      <c r="C1136" t="inlineStr">
        <is>
          <t xml:space="preserve">GRUPO L.                      </t>
        </is>
      </c>
      <c r="D1136" s="11" t="n"/>
      <c r="E1136" t="inlineStr">
        <is>
          <t xml:space="preserve">UNIF000743          </t>
        </is>
      </c>
      <c r="F1136" t="n">
        <v>9004197</v>
      </c>
      <c r="G1136" t="inlineStr">
        <is>
          <t xml:space="preserve">DELANTAL BLUE CAFÉ U               </t>
        </is>
      </c>
      <c r="H1136" t="inlineStr">
        <is>
          <t xml:space="preserve">UNIDAD              </t>
        </is>
      </c>
      <c r="I1136" t="n">
        <v>0</v>
      </c>
      <c r="J1136" t="n">
        <v>100</v>
      </c>
      <c r="K1136" t="n">
        <v>0</v>
      </c>
      <c r="L1136" t="n">
        <v>0</v>
      </c>
      <c r="M1136" t="n">
        <v>0</v>
      </c>
      <c r="N1136" t="n">
        <v>0</v>
      </c>
      <c r="O1136" t="n">
        <v>100</v>
      </c>
      <c r="P1136" s="96">
        <f>_xlfn.XLOOKUP(Tabla5[[#This Row],[EAN CORREGIDO]],'Tabla Articulos'!B:B,'Tabla Articulos'!D:D)</f>
        <v/>
      </c>
      <c r="Q1136" s="96">
        <f>_xlfn.XLOOKUP(S1136,'Tabla Articulos'!B:B,'Tabla Articulos'!E:E)</f>
        <v/>
      </c>
      <c r="R1136" s="96">
        <f>O1136*Q1136</f>
        <v/>
      </c>
      <c r="S1136" s="97">
        <f>TRIM(E1136)</f>
        <v/>
      </c>
    </row>
    <row r="1137" hidden="1">
      <c r="A1137" s="22" t="n">
        <v>1</v>
      </c>
      <c r="B1137" t="inlineStr">
        <is>
          <t xml:space="preserve">CD MORENO                     </t>
        </is>
      </c>
      <c r="C1137" t="inlineStr">
        <is>
          <t xml:space="preserve">GRUPO L.                      </t>
        </is>
      </c>
      <c r="D1137" t="inlineStr">
        <is>
          <t>EMPANADA CONG CARNE</t>
        </is>
      </c>
      <c r="E1137" t="inlineStr">
        <is>
          <t xml:space="preserve">77902113030049      </t>
        </is>
      </c>
      <c r="F1137" t="n">
        <v>4018651</v>
      </c>
      <c r="G1137" t="inlineStr">
        <is>
          <t xml:space="preserve">EMPANADA CONGELADA CARNE X50U      </t>
        </is>
      </c>
      <c r="H1137" t="inlineStr">
        <is>
          <t xml:space="preserve">UNIDAD              </t>
        </is>
      </c>
      <c r="I1137" t="n">
        <v>19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19</v>
      </c>
      <c r="P1137" s="96">
        <f>_xlfn.XLOOKUP(Tabla5[[#This Row],[EAN CORREGIDO]],'Tabla Articulos'!B:B,'Tabla Articulos'!D:D)</f>
        <v/>
      </c>
      <c r="Q1137" s="96">
        <f>_xlfn.XLOOKUP(S1137,'Tabla Articulos'!B:B,'Tabla Articulos'!E:E)</f>
        <v/>
      </c>
      <c r="R1137" s="96">
        <f>O1137*Q1137</f>
        <v/>
      </c>
      <c r="S1137" s="97">
        <f>TRIM(E1137)</f>
        <v/>
      </c>
    </row>
    <row r="1138" hidden="1">
      <c r="A1138" s="22" t="n">
        <v>1</v>
      </c>
      <c r="B1138" t="inlineStr">
        <is>
          <t xml:space="preserve">CD MORENO                     </t>
        </is>
      </c>
      <c r="C1138" t="inlineStr">
        <is>
          <t xml:space="preserve">GRUPO L.                      </t>
        </is>
      </c>
      <c r="D1138" s="11" t="inlineStr">
        <is>
          <t>GELATINA ANANA LIGHT</t>
        </is>
      </c>
      <c r="E1138" t="inlineStr">
        <is>
          <t xml:space="preserve">7791113001888       </t>
        </is>
      </c>
      <c r="F1138" t="n">
        <v>4019940</v>
      </c>
      <c r="G1138" t="inlineStr">
        <is>
          <t xml:space="preserve">GELATINA ANANA LIGHT X25G EMETH    </t>
        </is>
      </c>
      <c r="H1138" t="inlineStr">
        <is>
          <t xml:space="preserve">UNIDAD              </t>
        </is>
      </c>
      <c r="I1138" t="n">
        <v>1008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1008</v>
      </c>
      <c r="P1138" s="96">
        <f>_xlfn.XLOOKUP(Tabla5[[#This Row],[EAN CORREGIDO]],'Tabla Articulos'!B:B,'Tabla Articulos'!D:D)</f>
        <v/>
      </c>
      <c r="Q1138" s="96">
        <f>_xlfn.XLOOKUP(S1138,'Tabla Articulos'!B:B,'Tabla Articulos'!E:E)</f>
        <v/>
      </c>
      <c r="R1138" s="96">
        <f>O1138*Q1138</f>
        <v/>
      </c>
      <c r="S1138" s="97">
        <f>TRIM(E1138)</f>
        <v/>
      </c>
    </row>
    <row r="1139" hidden="1">
      <c r="A1139" s="22" t="n">
        <v>6</v>
      </c>
      <c r="B1139" t="inlineStr">
        <is>
          <t xml:space="preserve">CDM03 - MORENO 3              </t>
        </is>
      </c>
      <c r="C1139" t="inlineStr">
        <is>
          <t xml:space="preserve">GRUPO L.                      </t>
        </is>
      </c>
      <c r="E1139" t="inlineStr">
        <is>
          <t xml:space="preserve">UNIF000489          </t>
        </is>
      </c>
      <c r="F1139" t="n">
        <v>9003261</v>
      </c>
      <c r="G1139" t="inlineStr">
        <is>
          <t xml:space="preserve">PANTAL. GRAFA S. LOGO BLANCO 58    </t>
        </is>
      </c>
      <c r="H1139" t="inlineStr">
        <is>
          <t xml:space="preserve">UNIDAD              </t>
        </is>
      </c>
      <c r="I1139" t="n">
        <v>44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44</v>
      </c>
      <c r="P1139" s="96">
        <f>_xlfn.XLOOKUP(Tabla5[[#This Row],[EAN CORREGIDO]],'Tabla Articulos'!B:B,'Tabla Articulos'!D:D)</f>
        <v/>
      </c>
      <c r="Q1139" s="96">
        <f>_xlfn.XLOOKUP(S1139,'Tabla Articulos'!B:B,'Tabla Articulos'!E:E)</f>
        <v/>
      </c>
      <c r="R1139" s="96">
        <f>O1139*Q1139</f>
        <v/>
      </c>
      <c r="S1139" s="97">
        <f>TRIM(E1139)</f>
        <v/>
      </c>
    </row>
    <row r="1140" hidden="1">
      <c r="A1140" s="22" t="n">
        <v>1</v>
      </c>
      <c r="B1140" t="inlineStr">
        <is>
          <t xml:space="preserve">CD MORENO                     </t>
        </is>
      </c>
      <c r="C1140" t="inlineStr">
        <is>
          <t xml:space="preserve">GRUPO L.                      </t>
        </is>
      </c>
      <c r="D1140" s="11" t="inlineStr">
        <is>
          <t>ACEITE OLIVA</t>
        </is>
      </c>
      <c r="E1140" t="inlineStr">
        <is>
          <t xml:space="preserve">7790199603757       </t>
        </is>
      </c>
      <c r="F1140" t="n">
        <v>4019538</v>
      </c>
      <c r="G1140" t="inlineStr">
        <is>
          <t xml:space="preserve">ACEITE OLIVA X500CC MORIXE         </t>
        </is>
      </c>
      <c r="H1140" t="inlineStr">
        <is>
          <t xml:space="preserve">UNIDAD              </t>
        </is>
      </c>
      <c r="I1140" t="n">
        <v>115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115</v>
      </c>
      <c r="P1140" s="96">
        <f>_xlfn.XLOOKUP(Tabla5[[#This Row],[EAN CORREGIDO]],'Tabla Articulos'!B:B,'Tabla Articulos'!D:D)</f>
        <v/>
      </c>
      <c r="Q1140" s="96">
        <f>_xlfn.XLOOKUP(S1140,'Tabla Articulos'!B:B,'Tabla Articulos'!E:E)</f>
        <v/>
      </c>
      <c r="R1140" s="96">
        <f>O1140*Q1140</f>
        <v/>
      </c>
      <c r="S1140" s="97">
        <f>TRIM(E1140)</f>
        <v/>
      </c>
    </row>
    <row r="1141" hidden="1">
      <c r="A1141" s="22" t="n">
        <v>5</v>
      </c>
      <c r="B1141" t="inlineStr">
        <is>
          <t xml:space="preserve">CDM02 - MORENO 2              </t>
        </is>
      </c>
      <c r="C1141" t="inlineStr">
        <is>
          <t xml:space="preserve">GRUPO L.                      </t>
        </is>
      </c>
      <c r="D1141" t="inlineStr">
        <is>
          <t>CAJAS CARTON</t>
        </is>
      </c>
      <c r="E1141" t="inlineStr">
        <is>
          <t xml:space="preserve">7790321719169       </t>
        </is>
      </c>
      <c r="F1141" t="n">
        <v>2006805</v>
      </c>
      <c r="G1141" t="inlineStr">
        <is>
          <t xml:space="preserve">CAJA DOBLE BASE 40X30X27 M PAZ SAE </t>
        </is>
      </c>
      <c r="H1141" t="inlineStr">
        <is>
          <t xml:space="preserve">UNIDAD              </t>
        </is>
      </c>
      <c r="I1141" t="n">
        <v>2000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2000</v>
      </c>
      <c r="P1141" s="96">
        <f>_xlfn.XLOOKUP(Tabla5[[#This Row],[EAN CORREGIDO]],'Tabla Articulos'!B:B,'Tabla Articulos'!D:D)</f>
        <v/>
      </c>
      <c r="Q1141" s="96">
        <f>_xlfn.XLOOKUP(S1141,'Tabla Articulos'!B:B,'Tabla Articulos'!E:E)</f>
        <v/>
      </c>
      <c r="R1141" s="96">
        <f>O1141*Q1141</f>
        <v/>
      </c>
      <c r="S1141" s="97">
        <f>TRIM(E1141)</f>
        <v/>
      </c>
    </row>
    <row r="1142" hidden="1">
      <c r="A1142" s="22" t="n">
        <v>6</v>
      </c>
      <c r="B1142" t="inlineStr">
        <is>
          <t xml:space="preserve">CDM03 - MORENO 3              </t>
        </is>
      </c>
      <c r="C1142" t="inlineStr">
        <is>
          <t xml:space="preserve">GRUPO L.                      </t>
        </is>
      </c>
      <c r="D1142" t="inlineStr">
        <is>
          <t>BANDEJA 105 CUADRADA</t>
        </is>
      </c>
      <c r="E1142" t="inlineStr">
        <is>
          <t xml:space="preserve">7790000000381       </t>
        </is>
      </c>
      <c r="F1142" t="n">
        <v>2007323</v>
      </c>
      <c r="G1142" t="inlineStr">
        <is>
          <t xml:space="preserve">BANDEJA 105 BIODEG. X 700UN MPRO   </t>
        </is>
      </c>
      <c r="H1142" t="inlineStr">
        <is>
          <t xml:space="preserve">UNIDAD              </t>
        </is>
      </c>
      <c r="I1142" t="n">
        <v>0</v>
      </c>
      <c r="J1142" t="n">
        <v>5</v>
      </c>
      <c r="K1142" t="n">
        <v>0</v>
      </c>
      <c r="L1142" t="n">
        <v>0</v>
      </c>
      <c r="M1142" t="n">
        <v>0</v>
      </c>
      <c r="N1142" t="n">
        <v>0</v>
      </c>
      <c r="O1142" t="n">
        <v>5</v>
      </c>
      <c r="P1142" s="96">
        <f>_xlfn.XLOOKUP(Tabla5[[#This Row],[EAN CORREGIDO]],'Tabla Articulos'!B:B,'Tabla Articulos'!D:D)</f>
        <v/>
      </c>
      <c r="Q1142" s="96">
        <f>_xlfn.XLOOKUP(S1142,'Tabla Articulos'!B:B,'Tabla Articulos'!E:E)</f>
        <v/>
      </c>
      <c r="R1142" s="96">
        <f>O1142*Q1142</f>
        <v/>
      </c>
      <c r="S1142" s="97">
        <f>TRIM(E1142)</f>
        <v/>
      </c>
    </row>
    <row r="1143" hidden="1">
      <c r="A1143" s="22" t="n">
        <v>6</v>
      </c>
      <c r="B1143" t="inlineStr">
        <is>
          <t xml:space="preserve">CDM03 - MORENO 3              </t>
        </is>
      </c>
      <c r="C1143" t="inlineStr">
        <is>
          <t xml:space="preserve">GRUPO L.                      </t>
        </is>
      </c>
      <c r="D1143" s="11" t="n"/>
      <c r="E1143" t="inlineStr">
        <is>
          <t xml:space="preserve">UNIF000298          </t>
        </is>
      </c>
      <c r="F1143" t="n">
        <v>9003348</v>
      </c>
      <c r="G1143" t="inlineStr">
        <is>
          <t xml:space="preserve">CHOMB PIQUE A.FRANC B CAFE H XL    </t>
        </is>
      </c>
      <c r="H1143" t="inlineStr">
        <is>
          <t xml:space="preserve">UNIDAD              </t>
        </is>
      </c>
      <c r="I1143" t="n">
        <v>22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22</v>
      </c>
      <c r="P1143" s="96">
        <f>_xlfn.XLOOKUP(Tabla5[[#This Row],[EAN CORREGIDO]],'Tabla Articulos'!B:B,'Tabla Articulos'!D:D)</f>
        <v/>
      </c>
      <c r="Q1143" s="96">
        <f>_xlfn.XLOOKUP(S1143,'Tabla Articulos'!B:B,'Tabla Articulos'!E:E)</f>
        <v/>
      </c>
      <c r="R1143" s="96">
        <f>O1143*Q1143</f>
        <v/>
      </c>
      <c r="S1143" s="97">
        <f>TRIM(E1143)</f>
        <v/>
      </c>
    </row>
    <row r="1144" hidden="1">
      <c r="A1144" s="22" t="n">
        <v>1</v>
      </c>
      <c r="B1144" t="inlineStr">
        <is>
          <t xml:space="preserve">CD MORENO                     </t>
        </is>
      </c>
      <c r="C1144" t="inlineStr">
        <is>
          <t xml:space="preserve">GRUPO L.                      </t>
        </is>
      </c>
      <c r="D1144" s="11" t="inlineStr">
        <is>
          <t>PAN CONGELADO</t>
        </is>
      </c>
      <c r="E1144" t="inlineStr">
        <is>
          <t xml:space="preserve">17792180009361      </t>
        </is>
      </c>
      <c r="F1144" t="n">
        <v>4024759</v>
      </c>
      <c r="G1144" t="inlineStr">
        <is>
          <t xml:space="preserve">PAN MIGNON SALVADO X238U CANUELAS  </t>
        </is>
      </c>
      <c r="H1144" t="inlineStr">
        <is>
          <t xml:space="preserve">UNIDAD              </t>
        </is>
      </c>
      <c r="I1144" t="n">
        <v>41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41</v>
      </c>
      <c r="P1144" s="96">
        <f>_xlfn.XLOOKUP(Tabla5[[#This Row],[EAN CORREGIDO]],'Tabla Articulos'!B:B,'Tabla Articulos'!D:D)</f>
        <v/>
      </c>
      <c r="Q1144" s="96">
        <f>_xlfn.XLOOKUP(S1144,'Tabla Articulos'!B:B,'Tabla Articulos'!E:E)</f>
        <v/>
      </c>
      <c r="R1144" s="96">
        <f>O1144*Q1144</f>
        <v/>
      </c>
      <c r="S1144" s="97">
        <f>TRIM(E1144)</f>
        <v/>
      </c>
    </row>
    <row r="1145" hidden="1">
      <c r="A1145" s="22" t="n">
        <v>6</v>
      </c>
      <c r="B1145" t="inlineStr">
        <is>
          <t xml:space="preserve">CDM03 - MORENO 3              </t>
        </is>
      </c>
      <c r="C1145" t="inlineStr">
        <is>
          <t xml:space="preserve">GRUPO L.                      </t>
        </is>
      </c>
      <c r="D1145" t="inlineStr">
        <is>
          <t>BANDEJA TELGOPOR</t>
        </is>
      </c>
      <c r="E1145" t="inlineStr">
        <is>
          <t xml:space="preserve">17798047390047      </t>
        </is>
      </c>
      <c r="F1145" t="n">
        <v>2016591</v>
      </c>
      <c r="G1145" t="inlineStr">
        <is>
          <t xml:space="preserve">BANDEJA TELGOPOR 618 X600U         </t>
        </is>
      </c>
      <c r="H1145" t="inlineStr">
        <is>
          <t xml:space="preserve">UNIDAD              </t>
        </is>
      </c>
      <c r="I1145" t="n">
        <v>26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26</v>
      </c>
      <c r="P1145" s="96">
        <f>_xlfn.XLOOKUP(Tabla5[[#This Row],[EAN CORREGIDO]],'Tabla Articulos'!B:B,'Tabla Articulos'!D:D)</f>
        <v/>
      </c>
      <c r="Q1145" s="96">
        <f>_xlfn.XLOOKUP(S1145,'Tabla Articulos'!B:B,'Tabla Articulos'!E:E)</f>
        <v/>
      </c>
      <c r="R1145" s="96">
        <f>O1145*Q1145</f>
        <v/>
      </c>
      <c r="S1145" s="97">
        <f>TRIM(E1145)</f>
        <v/>
      </c>
    </row>
    <row r="1146" hidden="1">
      <c r="A1146" s="22" t="n">
        <v>6</v>
      </c>
      <c r="B1146" t="inlineStr">
        <is>
          <t xml:space="preserve">CDM03 - MORENO 3              </t>
        </is>
      </c>
      <c r="C1146" t="inlineStr">
        <is>
          <t xml:space="preserve">GRUPO L.                      </t>
        </is>
      </c>
      <c r="E1146" t="inlineStr">
        <is>
          <t xml:space="preserve">7797749000028       </t>
        </is>
      </c>
      <c r="F1146" t="n">
        <v>2011492</v>
      </c>
      <c r="G1146" t="inlineStr">
        <is>
          <t xml:space="preserve">GUANTE GOMA EL COLOSO NAR T CHICO  </t>
        </is>
      </c>
      <c r="H1146" t="inlineStr">
        <is>
          <t xml:space="preserve">UNIDAD              </t>
        </is>
      </c>
      <c r="I1146" t="n">
        <v>131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131</v>
      </c>
      <c r="P1146" s="96">
        <f>_xlfn.XLOOKUP(Tabla5[[#This Row],[EAN CORREGIDO]],'Tabla Articulos'!B:B,'Tabla Articulos'!D:D)</f>
        <v/>
      </c>
      <c r="Q1146" s="96">
        <f>_xlfn.XLOOKUP(S1146,'Tabla Articulos'!B:B,'Tabla Articulos'!E:E)</f>
        <v/>
      </c>
      <c r="R1146" s="96">
        <f>O1146*Q1146</f>
        <v/>
      </c>
      <c r="S1146" s="97">
        <f>TRIM(E1146)</f>
        <v/>
      </c>
    </row>
    <row r="1147" hidden="1">
      <c r="A1147" s="22" t="n">
        <v>6</v>
      </c>
      <c r="B1147" t="inlineStr">
        <is>
          <t xml:space="preserve">CDM03 - MORENO 3              </t>
        </is>
      </c>
      <c r="C1147" t="inlineStr">
        <is>
          <t xml:space="preserve">GRUPO L.                      </t>
        </is>
      </c>
      <c r="D1147" s="11" t="inlineStr">
        <is>
          <t>SANITIZANTE</t>
        </is>
      </c>
      <c r="E1147" t="inlineStr">
        <is>
          <t xml:space="preserve">7798436440127       </t>
        </is>
      </c>
      <c r="F1147" t="n">
        <v>2007370</v>
      </c>
      <c r="G1147" t="inlineStr">
        <is>
          <t xml:space="preserve">LAVANDINA SERVIDOR 5LT XUN         </t>
        </is>
      </c>
      <c r="H1147" t="inlineStr">
        <is>
          <t xml:space="preserve">UNIDAD              </t>
        </is>
      </c>
      <c r="I1147" t="n">
        <v>453</v>
      </c>
      <c r="J1147" t="n">
        <v>0</v>
      </c>
      <c r="K1147" t="n">
        <v>453</v>
      </c>
      <c r="L1147" t="n">
        <v>0</v>
      </c>
      <c r="M1147" t="n">
        <v>0</v>
      </c>
      <c r="N1147" t="n">
        <v>4</v>
      </c>
      <c r="O1147" t="n">
        <v>-4</v>
      </c>
      <c r="P1147" s="96">
        <f>_xlfn.XLOOKUP(Tabla5[[#This Row],[EAN CORREGIDO]],'Tabla Articulos'!B:B,'Tabla Articulos'!D:D)</f>
        <v/>
      </c>
      <c r="Q1147" s="96">
        <f>_xlfn.XLOOKUP(S1147,'Tabla Articulos'!B:B,'Tabla Articulos'!E:E)</f>
        <v/>
      </c>
      <c r="R1147" s="96">
        <f>O1147*Q1147</f>
        <v/>
      </c>
      <c r="S1147" s="97">
        <f>TRIM(E1147)</f>
        <v/>
      </c>
    </row>
    <row r="1148" hidden="1">
      <c r="A1148" s="22" t="n">
        <v>1</v>
      </c>
      <c r="B1148" t="inlineStr">
        <is>
          <t xml:space="preserve">CD MORENO                     </t>
        </is>
      </c>
      <c r="C1148" t="inlineStr">
        <is>
          <t xml:space="preserve">GRUPO L.                      </t>
        </is>
      </c>
      <c r="D1148" t="inlineStr">
        <is>
          <t>LECHE POLVO ENTERA</t>
        </is>
      </c>
      <c r="E1148" t="inlineStr">
        <is>
          <t xml:space="preserve">7795311833364       </t>
        </is>
      </c>
      <c r="F1148" t="n">
        <v>4049039</v>
      </c>
      <c r="G1148" t="inlineStr">
        <is>
          <t xml:space="preserve">LECHE POLVO X400GR SUPERLAC        </t>
        </is>
      </c>
      <c r="H1148" t="inlineStr">
        <is>
          <t xml:space="preserve">UNIDAD              </t>
        </is>
      </c>
      <c r="I1148" t="n">
        <v>1889</v>
      </c>
      <c r="J1148" t="n">
        <v>1200</v>
      </c>
      <c r="K1148" t="n">
        <v>0</v>
      </c>
      <c r="L1148" t="n">
        <v>1500</v>
      </c>
      <c r="M1148" t="n">
        <v>1500</v>
      </c>
      <c r="N1148" t="n">
        <v>0</v>
      </c>
      <c r="O1148" t="n">
        <v>89</v>
      </c>
      <c r="P1148" s="96">
        <f>_xlfn.XLOOKUP(Tabla5[[#This Row],[EAN CORREGIDO]],'Tabla Articulos'!B:B,'Tabla Articulos'!D:D)</f>
        <v/>
      </c>
      <c r="Q1148" s="96">
        <f>_xlfn.XLOOKUP(S1148,'Tabla Articulos'!B:B,'Tabla Articulos'!E:E)</f>
        <v/>
      </c>
      <c r="R1148" s="96">
        <f>O1148*Q1148</f>
        <v/>
      </c>
      <c r="S1148" s="97">
        <f>TRIM(E1148)</f>
        <v/>
      </c>
    </row>
    <row r="1149" hidden="1">
      <c r="A1149" s="22" t="n">
        <v>5</v>
      </c>
      <c r="B1149" t="inlineStr">
        <is>
          <t xml:space="preserve">CDM02 - MORENO 2              </t>
        </is>
      </c>
      <c r="C1149" t="inlineStr">
        <is>
          <t xml:space="preserve">GRUPO L.                      </t>
        </is>
      </c>
      <c r="D1149" s="11" t="inlineStr">
        <is>
          <t>LECHE POLVO ENTERA</t>
        </is>
      </c>
      <c r="E1149" t="inlineStr">
        <is>
          <t xml:space="preserve">7795311833364       </t>
        </is>
      </c>
      <c r="F1149" t="n">
        <v>4049039</v>
      </c>
      <c r="G1149" t="inlineStr">
        <is>
          <t xml:space="preserve">LECHE POLVO X400GR SUPERLAC        </t>
        </is>
      </c>
      <c r="H1149" t="inlineStr">
        <is>
          <t xml:space="preserve">UNIDAD              </t>
        </is>
      </c>
      <c r="I1149" t="n">
        <v>58071</v>
      </c>
      <c r="J1149" t="n">
        <v>0</v>
      </c>
      <c r="K1149" t="n">
        <v>0</v>
      </c>
      <c r="L1149" t="n">
        <v>0</v>
      </c>
      <c r="M1149" t="n">
        <v>1200</v>
      </c>
      <c r="N1149" t="n">
        <v>0</v>
      </c>
      <c r="O1149" t="n">
        <v>56871</v>
      </c>
      <c r="P1149" s="96">
        <f>_xlfn.XLOOKUP(Tabla5[[#This Row],[EAN CORREGIDO]],'Tabla Articulos'!B:B,'Tabla Articulos'!D:D)</f>
        <v/>
      </c>
      <c r="Q1149" s="96">
        <f>_xlfn.XLOOKUP(S1149,'Tabla Articulos'!B:B,'Tabla Articulos'!E:E)</f>
        <v/>
      </c>
      <c r="R1149" s="96">
        <f>O1149*Q1149</f>
        <v/>
      </c>
      <c r="S1149" s="97">
        <f>TRIM(E1149)</f>
        <v/>
      </c>
    </row>
    <row r="1150" hidden="1">
      <c r="A1150" s="22" t="n">
        <v>1</v>
      </c>
      <c r="B1150" t="inlineStr">
        <is>
          <t xml:space="preserve">CD MORENO                     </t>
        </is>
      </c>
      <c r="C1150" t="inlineStr">
        <is>
          <t xml:space="preserve">GRUPO L.                      </t>
        </is>
      </c>
      <c r="D1150" s="11" t="inlineStr">
        <is>
          <t>ACELGA</t>
        </is>
      </c>
      <c r="E1150" t="inlineStr">
        <is>
          <t xml:space="preserve">7790216010072       </t>
        </is>
      </c>
      <c r="F1150" t="n">
        <v>4017960</v>
      </c>
      <c r="G1150" t="inlineStr">
        <is>
          <t xml:space="preserve">ACELGA X KG                        </t>
        </is>
      </c>
      <c r="H1150" t="inlineStr">
        <is>
          <t xml:space="preserve">Kgs                 </t>
        </is>
      </c>
      <c r="I1150" t="n">
        <v>11.66</v>
      </c>
      <c r="J1150" t="n">
        <v>0</v>
      </c>
      <c r="K1150" t="n">
        <v>0</v>
      </c>
      <c r="L1150" t="n">
        <v>2.25</v>
      </c>
      <c r="M1150" t="n">
        <v>2.25</v>
      </c>
      <c r="N1150" t="n">
        <v>0</v>
      </c>
      <c r="O1150" t="n">
        <v>7.16</v>
      </c>
      <c r="P1150" s="96">
        <f>_xlfn.XLOOKUP(Tabla5[[#This Row],[EAN CORREGIDO]],'Tabla Articulos'!B:B,'Tabla Articulos'!D:D)</f>
        <v/>
      </c>
      <c r="Q1150" s="96">
        <f>_xlfn.XLOOKUP(S1150,'Tabla Articulos'!B:B,'Tabla Articulos'!E:E)</f>
        <v/>
      </c>
      <c r="R1150" s="96">
        <f>O1150*Q1150</f>
        <v/>
      </c>
      <c r="S1150" s="97">
        <f>TRIM(E1150)</f>
        <v/>
      </c>
    </row>
    <row r="1151" hidden="1">
      <c r="A1151" s="22" t="n">
        <v>1</v>
      </c>
      <c r="B1151" t="inlineStr">
        <is>
          <t xml:space="preserve">CD MORENO                     </t>
        </is>
      </c>
      <c r="C1151" t="inlineStr">
        <is>
          <t xml:space="preserve">GRUPO L.                      </t>
        </is>
      </c>
      <c r="D1151" s="11" t="inlineStr">
        <is>
          <t>PIMIENTA BLANCA</t>
        </is>
      </c>
      <c r="E1151" t="inlineStr">
        <is>
          <t xml:space="preserve">754697522108        </t>
        </is>
      </c>
      <c r="F1151" t="n">
        <v>4019284</v>
      </c>
      <c r="G1151" t="inlineStr">
        <is>
          <t xml:space="preserve">PIMIENTA BLANCA MOLX250 LA PARME   </t>
        </is>
      </c>
      <c r="H1151" t="inlineStr">
        <is>
          <t xml:space="preserve">UNIDAD              </t>
        </is>
      </c>
      <c r="I1151" t="n">
        <v>19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19</v>
      </c>
      <c r="P1151" s="96">
        <f>_xlfn.XLOOKUP(Tabla5[[#This Row],[EAN CORREGIDO]],'Tabla Articulos'!B:B,'Tabla Articulos'!D:D)</f>
        <v/>
      </c>
      <c r="Q1151" s="96">
        <f>_xlfn.XLOOKUP(S1151,'Tabla Articulos'!B:B,'Tabla Articulos'!E:E)</f>
        <v/>
      </c>
      <c r="R1151" s="96">
        <f>O1151*Q1151</f>
        <v/>
      </c>
      <c r="S1151" s="97">
        <f>TRIM(E1151)</f>
        <v/>
      </c>
    </row>
    <row r="1152" hidden="1">
      <c r="A1152" s="22" t="n">
        <v>5</v>
      </c>
      <c r="B1152" t="inlineStr">
        <is>
          <t xml:space="preserve">CDM02 - MORENO 2              </t>
        </is>
      </c>
      <c r="C1152" t="inlineStr">
        <is>
          <t xml:space="preserve">GRUPO L.                      </t>
        </is>
      </c>
      <c r="D1152" s="11" t="inlineStr">
        <is>
          <t>TOMATE TRITURADO</t>
        </is>
      </c>
      <c r="E1152" t="inlineStr">
        <is>
          <t xml:space="preserve">7798156760314       </t>
        </is>
      </c>
      <c r="F1152" t="n">
        <v>4020336</v>
      </c>
      <c r="G1152" t="inlineStr">
        <is>
          <t xml:space="preserve">TOMATE TRIT STACC X500G SABORES    </t>
        </is>
      </c>
      <c r="H1152" t="inlineStr">
        <is>
          <t xml:space="preserve">UNIDAD              </t>
        </is>
      </c>
      <c r="I1152" t="n">
        <v>114044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114044</v>
      </c>
      <c r="P1152" s="96">
        <f>_xlfn.XLOOKUP(Tabla5[[#This Row],[EAN CORREGIDO]],'Tabla Articulos'!B:B,'Tabla Articulos'!D:D)</f>
        <v/>
      </c>
      <c r="Q1152" s="96">
        <f>_xlfn.XLOOKUP(S1152,'Tabla Articulos'!B:B,'Tabla Articulos'!E:E)</f>
        <v/>
      </c>
      <c r="R1152" s="96">
        <f>O1152*Q1152</f>
        <v/>
      </c>
      <c r="S1152" s="97">
        <f>TRIM(E1152)</f>
        <v/>
      </c>
    </row>
    <row r="1153" hidden="1">
      <c r="A1153" s="22" t="n">
        <v>1</v>
      </c>
      <c r="B1153" t="inlineStr">
        <is>
          <t xml:space="preserve">CD MORENO                     </t>
        </is>
      </c>
      <c r="C1153" t="inlineStr">
        <is>
          <t xml:space="preserve">GRUPO L.                      </t>
        </is>
      </c>
      <c r="D1153" t="inlineStr">
        <is>
          <t>TOMATE TRITURADO</t>
        </is>
      </c>
      <c r="E1153" t="inlineStr">
        <is>
          <t xml:space="preserve">7798156760314       </t>
        </is>
      </c>
      <c r="F1153" t="n">
        <v>4020336</v>
      </c>
      <c r="G1153" t="inlineStr">
        <is>
          <t xml:space="preserve">TOMATE TRIT STACC X500G SABORES    </t>
        </is>
      </c>
      <c r="H1153" t="inlineStr">
        <is>
          <t xml:space="preserve">UNIDAD              </t>
        </is>
      </c>
      <c r="I1153" t="n">
        <v>4929</v>
      </c>
      <c r="J1153" t="n">
        <v>0</v>
      </c>
      <c r="K1153" t="n">
        <v>0</v>
      </c>
      <c r="L1153" t="n">
        <v>405</v>
      </c>
      <c r="M1153" t="n">
        <v>405</v>
      </c>
      <c r="N1153" t="n">
        <v>0</v>
      </c>
      <c r="O1153" t="n">
        <v>4119</v>
      </c>
      <c r="P1153" s="96">
        <f>_xlfn.XLOOKUP(Tabla5[[#This Row],[EAN CORREGIDO]],'Tabla Articulos'!B:B,'Tabla Articulos'!D:D)</f>
        <v/>
      </c>
      <c r="Q1153" s="96">
        <f>_xlfn.XLOOKUP(S1153,'Tabla Articulos'!B:B,'Tabla Articulos'!E:E)</f>
        <v/>
      </c>
      <c r="R1153" s="96">
        <f>O1153*Q1153</f>
        <v/>
      </c>
      <c r="S1153" s="97">
        <f>TRIM(E1153)</f>
        <v/>
      </c>
    </row>
    <row r="1154" hidden="1">
      <c r="A1154" s="22" t="n">
        <v>6</v>
      </c>
      <c r="B1154" t="inlineStr">
        <is>
          <t xml:space="preserve">CDM03 - MORENO 3              </t>
        </is>
      </c>
      <c r="C1154" t="inlineStr">
        <is>
          <t xml:space="preserve">GRUPO L.                      </t>
        </is>
      </c>
      <c r="D1154" t="inlineStr">
        <is>
          <t>PAÑO MICROFIBRA</t>
        </is>
      </c>
      <c r="E1154" t="inlineStr">
        <is>
          <t xml:space="preserve">7796322010911       </t>
        </is>
      </c>
      <c r="F1154" t="n">
        <v>2007451</v>
      </c>
      <c r="G1154" t="inlineStr">
        <is>
          <t xml:space="preserve">PANO COCINA ROSA XUN MPROPIA       </t>
        </is>
      </c>
      <c r="H1154" t="inlineStr">
        <is>
          <t xml:space="preserve">UNIDAD              </t>
        </is>
      </c>
      <c r="I1154" t="n">
        <v>3107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3107</v>
      </c>
      <c r="P1154" s="96">
        <f>_xlfn.XLOOKUP(Tabla5[[#This Row],[EAN CORREGIDO]],'Tabla Articulos'!B:B,'Tabla Articulos'!D:D)</f>
        <v/>
      </c>
      <c r="Q1154" s="96">
        <f>_xlfn.XLOOKUP(S1154,'Tabla Articulos'!B:B,'Tabla Articulos'!E:E)</f>
        <v/>
      </c>
      <c r="R1154" s="96">
        <f>O1154*Q1154</f>
        <v/>
      </c>
      <c r="S1154" s="97">
        <f>TRIM(E1154)</f>
        <v/>
      </c>
    </row>
    <row r="1155" hidden="1">
      <c r="A1155" s="22" t="n">
        <v>5</v>
      </c>
      <c r="B1155" t="inlineStr">
        <is>
          <t xml:space="preserve">CDM02 - MORENO 2              </t>
        </is>
      </c>
      <c r="C1155" t="inlineStr">
        <is>
          <t xml:space="preserve">GRUPO L.                      </t>
        </is>
      </c>
      <c r="D1155" s="11" t="inlineStr">
        <is>
          <t>ATUN A/N ENTERO</t>
        </is>
      </c>
      <c r="E1155" t="inlineStr">
        <is>
          <t xml:space="preserve">7790580131364       </t>
        </is>
      </c>
      <c r="F1155" t="n">
        <v>4021272</v>
      </c>
      <c r="G1155" t="inlineStr">
        <is>
          <t xml:space="preserve">ATUN A/N X170GRS CAMPAGNOLA        </t>
        </is>
      </c>
      <c r="H1155" t="inlineStr">
        <is>
          <t xml:space="preserve">UNIDAD              </t>
        </is>
      </c>
      <c r="I1155" t="n">
        <v>120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120</v>
      </c>
      <c r="P1155" s="96">
        <f>_xlfn.XLOOKUP(Tabla5[[#This Row],[EAN CORREGIDO]],'Tabla Articulos'!B:B,'Tabla Articulos'!D:D)</f>
        <v/>
      </c>
      <c r="Q1155" s="96">
        <f>_xlfn.XLOOKUP(S1155,'Tabla Articulos'!B:B,'Tabla Articulos'!E:E)</f>
        <v/>
      </c>
      <c r="R1155" s="96">
        <f>O1155*Q1155</f>
        <v/>
      </c>
      <c r="S1155" s="97">
        <f>TRIM(E1155)</f>
        <v/>
      </c>
    </row>
    <row r="1156" hidden="1">
      <c r="A1156" s="22" t="n">
        <v>1</v>
      </c>
      <c r="B1156" t="inlineStr">
        <is>
          <t xml:space="preserve">CD MORENO                     </t>
        </is>
      </c>
      <c r="C1156" t="inlineStr">
        <is>
          <t xml:space="preserve">GRUPO L.                      </t>
        </is>
      </c>
      <c r="D1156" s="11" t="inlineStr">
        <is>
          <t>ATUN A/N ENTERO</t>
        </is>
      </c>
      <c r="E1156" t="inlineStr">
        <is>
          <t xml:space="preserve">7790580131364       </t>
        </is>
      </c>
      <c r="F1156" s="11" t="n">
        <v>4021272</v>
      </c>
      <c r="G1156" t="inlineStr">
        <is>
          <t xml:space="preserve">ATUN A/N X170GRS CAMPAGNOLA        </t>
        </is>
      </c>
      <c r="H1156" t="inlineStr">
        <is>
          <t xml:space="preserve">UNIDAD              </t>
        </is>
      </c>
      <c r="I1156" t="n">
        <v>170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170</v>
      </c>
      <c r="P1156" s="96">
        <f>_xlfn.XLOOKUP(Tabla5[[#This Row],[EAN CORREGIDO]],'Tabla Articulos'!B:B,'Tabla Articulos'!D:D)</f>
        <v/>
      </c>
      <c r="Q1156" s="96">
        <f>_xlfn.XLOOKUP(S1156,'Tabla Articulos'!B:B,'Tabla Articulos'!E:E)</f>
        <v/>
      </c>
      <c r="R1156" s="96">
        <f>O1156*Q1156</f>
        <v/>
      </c>
      <c r="S1156" s="97">
        <f>TRIM(E1156)</f>
        <v/>
      </c>
    </row>
    <row r="1157" hidden="1">
      <c r="A1157" s="22" t="n">
        <v>5</v>
      </c>
      <c r="B1157" t="inlineStr">
        <is>
          <t xml:space="preserve">CDM02 - MORENO 2              </t>
        </is>
      </c>
      <c r="C1157" t="inlineStr">
        <is>
          <t xml:space="preserve">GRUPO L.                      </t>
        </is>
      </c>
      <c r="D1157" t="inlineStr">
        <is>
          <t>PAN RALLADO</t>
        </is>
      </c>
      <c r="E1157" t="inlineStr">
        <is>
          <t xml:space="preserve">7790199602910       </t>
        </is>
      </c>
      <c r="F1157" s="11" t="n">
        <v>4019750</v>
      </c>
      <c r="G1157" t="inlineStr">
        <is>
          <t xml:space="preserve">PAN RALLADO X 500GRS MORIXE        </t>
        </is>
      </c>
      <c r="H1157" t="inlineStr">
        <is>
          <t xml:space="preserve">UNIDAD              </t>
        </is>
      </c>
      <c r="I1157" t="n">
        <v>13520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13520</v>
      </c>
      <c r="P1157" s="96">
        <f>_xlfn.XLOOKUP(Tabla5[[#This Row],[EAN CORREGIDO]],'Tabla Articulos'!B:B,'Tabla Articulos'!D:D)</f>
        <v/>
      </c>
      <c r="Q1157" s="96">
        <f>_xlfn.XLOOKUP(S1157,'Tabla Articulos'!B:B,'Tabla Articulos'!E:E)</f>
        <v/>
      </c>
      <c r="R1157" s="96">
        <f>O1157*Q1157</f>
        <v/>
      </c>
      <c r="S1157" s="97">
        <f>TRIM(E1157)</f>
        <v/>
      </c>
    </row>
    <row r="1158" hidden="1">
      <c r="A1158" s="22" t="n">
        <v>1</v>
      </c>
      <c r="B1158" t="inlineStr">
        <is>
          <t xml:space="preserve">CD MORENO                     </t>
        </is>
      </c>
      <c r="C1158" t="inlineStr">
        <is>
          <t xml:space="preserve">GRUPO L.                      </t>
        </is>
      </c>
      <c r="D1158" s="11" t="inlineStr">
        <is>
          <t>PAN RALLADO</t>
        </is>
      </c>
      <c r="E1158" t="inlineStr">
        <is>
          <t xml:space="preserve">7790199602910       </t>
        </is>
      </c>
      <c r="F1158" s="11" t="n">
        <v>4019750</v>
      </c>
      <c r="G1158" t="inlineStr">
        <is>
          <t xml:space="preserve">PAN RALLADO X 500GRS MORIXE        </t>
        </is>
      </c>
      <c r="H1158" t="inlineStr">
        <is>
          <t xml:space="preserve">UNIDAD              </t>
        </is>
      </c>
      <c r="I1158" t="n">
        <v>4272</v>
      </c>
      <c r="J1158" t="n">
        <v>0</v>
      </c>
      <c r="K1158" t="n">
        <v>0</v>
      </c>
      <c r="L1158" t="n">
        <v>18</v>
      </c>
      <c r="M1158" t="n">
        <v>18</v>
      </c>
      <c r="N1158" t="n">
        <v>0</v>
      </c>
      <c r="O1158" t="n">
        <v>4236</v>
      </c>
      <c r="P1158" s="96">
        <f>_xlfn.XLOOKUP(Tabla5[[#This Row],[EAN CORREGIDO]],'Tabla Articulos'!B:B,'Tabla Articulos'!D:D)</f>
        <v/>
      </c>
      <c r="Q1158" s="96">
        <f>_xlfn.XLOOKUP(S1158,'Tabla Articulos'!B:B,'Tabla Articulos'!E:E)</f>
        <v/>
      </c>
      <c r="R1158" s="96">
        <f>O1158*Q1158</f>
        <v/>
      </c>
      <c r="S1158" s="97">
        <f>TRIM(E1158)</f>
        <v/>
      </c>
    </row>
    <row r="1159" hidden="1">
      <c r="A1159" s="22" t="n">
        <v>6</v>
      </c>
      <c r="B1159" t="inlineStr">
        <is>
          <t xml:space="preserve">CDM03 - MORENO 3              </t>
        </is>
      </c>
      <c r="C1159" t="inlineStr">
        <is>
          <t xml:space="preserve">GRUPO L.                      </t>
        </is>
      </c>
      <c r="D1159" s="11" t="n"/>
      <c r="E1159" t="inlineStr">
        <is>
          <t xml:space="preserve">UNIF000010          </t>
        </is>
      </c>
      <c r="F1159" s="11" t="n">
        <v>9003041</v>
      </c>
      <c r="G1159" t="inlineStr">
        <is>
          <t xml:space="preserve">AMBO A. MAR. GL SUP ESC V L        </t>
        </is>
      </c>
      <c r="H1159" t="inlineStr">
        <is>
          <t xml:space="preserve">UNIDAD              </t>
        </is>
      </c>
      <c r="I1159" t="n">
        <v>19</v>
      </c>
      <c r="J1159" t="n">
        <v>150</v>
      </c>
      <c r="K1159" t="n">
        <v>0</v>
      </c>
      <c r="L1159" t="n">
        <v>0</v>
      </c>
      <c r="M1159" t="n">
        <v>0</v>
      </c>
      <c r="N1159" t="n">
        <v>0</v>
      </c>
      <c r="O1159" t="n">
        <v>169</v>
      </c>
      <c r="P1159" s="96">
        <f>_xlfn.XLOOKUP(Tabla5[[#This Row],[EAN CORREGIDO]],'Tabla Articulos'!B:B,'Tabla Articulos'!D:D)</f>
        <v/>
      </c>
      <c r="Q1159" s="96">
        <f>_xlfn.XLOOKUP(S1159,'Tabla Articulos'!B:B,'Tabla Articulos'!E:E)</f>
        <v/>
      </c>
      <c r="R1159" s="96">
        <f>O1159*Q1159</f>
        <v/>
      </c>
      <c r="S1159" s="97">
        <f>TRIM(E1159)</f>
        <v/>
      </c>
    </row>
    <row r="1160" hidden="1">
      <c r="A1160" s="22" t="n">
        <v>6</v>
      </c>
      <c r="B1160" t="inlineStr">
        <is>
          <t xml:space="preserve">CDM03 - MORENO 3              </t>
        </is>
      </c>
      <c r="C1160" t="inlineStr">
        <is>
          <t xml:space="preserve">GRUPO L.                      </t>
        </is>
      </c>
      <c r="D1160" s="11" t="inlineStr">
        <is>
          <t>PAPEL HIGIENICO</t>
        </is>
      </c>
      <c r="E1160" t="inlineStr">
        <is>
          <t xml:space="preserve">7795323141173       </t>
        </is>
      </c>
      <c r="F1160" s="11" t="n">
        <v>2006829</v>
      </c>
      <c r="G1160" t="inlineStr">
        <is>
          <t xml:space="preserve">PAPEL HIGIENICO 50MT X24U CLP      </t>
        </is>
      </c>
      <c r="H1160" t="inlineStr">
        <is>
          <t xml:space="preserve">UNIDAD              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2</v>
      </c>
      <c r="P1160" s="96">
        <f>_xlfn.XLOOKUP(Tabla5[[#This Row],[EAN CORREGIDO]],'Tabla Articulos'!B:B,'Tabla Articulos'!D:D)</f>
        <v/>
      </c>
      <c r="Q1160" s="96">
        <f>_xlfn.XLOOKUP(S1160,'Tabla Articulos'!B:B,'Tabla Articulos'!E:E)</f>
        <v/>
      </c>
      <c r="R1160" s="96">
        <f>O1160*Q1160</f>
        <v/>
      </c>
      <c r="S1160" s="97">
        <f>TRIM(E1160)</f>
        <v/>
      </c>
    </row>
    <row r="1161" hidden="1">
      <c r="A1161" s="22" t="n">
        <v>6</v>
      </c>
      <c r="B1161" t="inlineStr">
        <is>
          <t xml:space="preserve">CDM03 - MORENO 3              </t>
        </is>
      </c>
      <c r="C1161" t="inlineStr">
        <is>
          <t xml:space="preserve">GRUPO L.                      </t>
        </is>
      </c>
      <c r="D1161" s="11" t="n"/>
      <c r="E1161" t="inlineStr">
        <is>
          <t xml:space="preserve">UNIF000002          </t>
        </is>
      </c>
      <c r="F1161" s="11" t="n">
        <v>9003011</v>
      </c>
      <c r="G1161" t="inlineStr">
        <is>
          <t xml:space="preserve">AMBO A. MAR. PULCRUS ESC V M       </t>
        </is>
      </c>
      <c r="H1161" t="inlineStr">
        <is>
          <t xml:space="preserve">UNIDAD              </t>
        </is>
      </c>
      <c r="I1161" t="n">
        <v>80</v>
      </c>
      <c r="J1161" t="n">
        <v>281</v>
      </c>
      <c r="K1161" t="n">
        <v>0</v>
      </c>
      <c r="L1161" t="n">
        <v>28</v>
      </c>
      <c r="M1161" t="n">
        <v>28</v>
      </c>
      <c r="N1161" t="n">
        <v>0</v>
      </c>
      <c r="O1161" t="n">
        <v>305</v>
      </c>
      <c r="P1161" s="96">
        <f>_xlfn.XLOOKUP(Tabla5[[#This Row],[EAN CORREGIDO]],'Tabla Articulos'!B:B,'Tabla Articulos'!D:D)</f>
        <v/>
      </c>
      <c r="Q1161" s="96">
        <f>_xlfn.XLOOKUP(S1161,'Tabla Articulos'!B:B,'Tabla Articulos'!E:E)</f>
        <v/>
      </c>
      <c r="R1161" s="96">
        <f>O1161*Q1161</f>
        <v/>
      </c>
      <c r="S1161" s="97">
        <f>TRIM(E1161)</f>
        <v/>
      </c>
    </row>
    <row r="1162" hidden="1">
      <c r="A1162" s="22" t="n">
        <v>5</v>
      </c>
      <c r="B1162" t="inlineStr">
        <is>
          <t xml:space="preserve">CDM02 - MORENO 2              </t>
        </is>
      </c>
      <c r="C1162" t="inlineStr">
        <is>
          <t xml:space="preserve">GRUPO L.                      </t>
        </is>
      </c>
      <c r="D1162" t="inlineStr">
        <is>
          <t>ARVEJA</t>
        </is>
      </c>
      <c r="E1162" t="inlineStr">
        <is>
          <t xml:space="preserve">7797470007426       </t>
        </is>
      </c>
      <c r="F1162" s="11" t="n">
        <v>4022238</v>
      </c>
      <c r="G1162" t="inlineStr">
        <is>
          <t xml:space="preserve">ARVEJA TETRA X 340 GRA MAROLIO     </t>
        </is>
      </c>
      <c r="H1162" t="inlineStr">
        <is>
          <t xml:space="preserve">UNIDAD              </t>
        </is>
      </c>
      <c r="I1162" t="n">
        <v>35499</v>
      </c>
      <c r="J1162" t="n">
        <v>0</v>
      </c>
      <c r="K1162" t="n">
        <v>0</v>
      </c>
      <c r="L1162" t="n">
        <v>0</v>
      </c>
      <c r="M1162" t="n">
        <v>7200</v>
      </c>
      <c r="N1162" t="n">
        <v>0</v>
      </c>
      <c r="O1162" t="n">
        <v>28299</v>
      </c>
      <c r="P1162" s="96">
        <f>_xlfn.XLOOKUP(Tabla5[[#This Row],[EAN CORREGIDO]],'Tabla Articulos'!B:B,'Tabla Articulos'!D:D)</f>
        <v/>
      </c>
      <c r="Q1162" s="96">
        <f>_xlfn.XLOOKUP(S1162,'Tabla Articulos'!B:B,'Tabla Articulos'!E:E)</f>
        <v/>
      </c>
      <c r="R1162" s="96">
        <f>O1162*Q1162</f>
        <v/>
      </c>
      <c r="S1162" s="97">
        <f>TRIM(E1162)</f>
        <v/>
      </c>
    </row>
    <row r="1163" hidden="1">
      <c r="A1163" s="22" t="n">
        <v>1</v>
      </c>
      <c r="B1163" t="inlineStr">
        <is>
          <t xml:space="preserve">CD MORENO                     </t>
        </is>
      </c>
      <c r="C1163" t="inlineStr">
        <is>
          <t xml:space="preserve">GRUPO L.                      </t>
        </is>
      </c>
      <c r="D1163" s="11" t="inlineStr">
        <is>
          <t>DULCE MEMBRILLO</t>
        </is>
      </c>
      <c r="E1163" t="inlineStr">
        <is>
          <t xml:space="preserve">7791113001567       </t>
        </is>
      </c>
      <c r="F1163" s="11" t="n">
        <v>4020473</v>
      </c>
      <c r="G1163" t="inlineStr">
        <is>
          <t xml:space="preserve">DULCE MEMBRILLO X500G EMETH        </t>
        </is>
      </c>
      <c r="H1163" t="inlineStr">
        <is>
          <t xml:space="preserve">UNIDAD              </t>
        </is>
      </c>
      <c r="I1163" t="n">
        <v>739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739</v>
      </c>
      <c r="P1163" s="96">
        <f>_xlfn.XLOOKUP(Tabla5[[#This Row],[EAN CORREGIDO]],'Tabla Articulos'!B:B,'Tabla Articulos'!D:D)</f>
        <v/>
      </c>
      <c r="Q1163" s="96">
        <f>_xlfn.XLOOKUP(S1163,'Tabla Articulos'!B:B,'Tabla Articulos'!E:E)</f>
        <v/>
      </c>
      <c r="R1163" s="96">
        <f>O1163*Q1163</f>
        <v/>
      </c>
      <c r="S1163" s="97">
        <f>TRIM(E1163)</f>
        <v/>
      </c>
    </row>
    <row r="1164" hidden="1">
      <c r="A1164" s="22" t="n">
        <v>5</v>
      </c>
      <c r="B1164" t="inlineStr">
        <is>
          <t xml:space="preserve">CDM02 - MORENO 2              </t>
        </is>
      </c>
      <c r="C1164" t="inlineStr">
        <is>
          <t xml:space="preserve">GRUPO L.                      </t>
        </is>
      </c>
      <c r="D1164" s="11" t="inlineStr">
        <is>
          <t>ARROZ 0000</t>
        </is>
      </c>
      <c r="E1164" t="inlineStr">
        <is>
          <t xml:space="preserve">7793650000034       </t>
        </is>
      </c>
      <c r="F1164" s="11" t="n">
        <v>4020619</v>
      </c>
      <c r="G1164" t="inlineStr">
        <is>
          <t xml:space="preserve">ARROZ 0000 X1KG CAROGRAN           </t>
        </is>
      </c>
      <c r="H1164" t="inlineStr">
        <is>
          <t xml:space="preserve">UNIDAD              </t>
        </is>
      </c>
      <c r="I1164" t="n">
        <v>47537</v>
      </c>
      <c r="J1164" t="n">
        <v>0</v>
      </c>
      <c r="K1164" t="n">
        <v>0</v>
      </c>
      <c r="L1164" t="n">
        <v>0</v>
      </c>
      <c r="M1164" t="n">
        <v>1200</v>
      </c>
      <c r="N1164" t="n">
        <v>0</v>
      </c>
      <c r="O1164" t="n">
        <v>46337</v>
      </c>
      <c r="P1164" s="96">
        <f>_xlfn.XLOOKUP(Tabla5[[#This Row],[EAN CORREGIDO]],'Tabla Articulos'!B:B,'Tabla Articulos'!D:D)</f>
        <v/>
      </c>
      <c r="Q1164" s="96">
        <f>_xlfn.XLOOKUP(S1164,'Tabla Articulos'!B:B,'Tabla Articulos'!E:E)</f>
        <v/>
      </c>
      <c r="R1164" s="96">
        <f>O1164*Q1164</f>
        <v/>
      </c>
      <c r="S1164" s="97">
        <f>TRIM(E1164)</f>
        <v/>
      </c>
    </row>
    <row r="1165" hidden="1">
      <c r="A1165" s="22" t="n">
        <v>1</v>
      </c>
      <c r="B1165" t="inlineStr">
        <is>
          <t xml:space="preserve">CD MORENO                     </t>
        </is>
      </c>
      <c r="C1165" t="inlineStr">
        <is>
          <t xml:space="preserve">GRUPO L.                      </t>
        </is>
      </c>
      <c r="D1165" s="11" t="inlineStr">
        <is>
          <t>FLAN CHOCOLATE</t>
        </is>
      </c>
      <c r="E1165" t="inlineStr">
        <is>
          <t xml:space="preserve">7791254185423       </t>
        </is>
      </c>
      <c r="F1165" s="11" t="n">
        <v>4019684</v>
      </c>
      <c r="G1165" t="inlineStr">
        <is>
          <t xml:space="preserve">FLAN CHOCOLATE X1KG JUMALA         </t>
        </is>
      </c>
      <c r="H1165" t="inlineStr">
        <is>
          <t xml:space="preserve">UNIDAD              </t>
        </is>
      </c>
      <c r="I1165" t="n">
        <v>10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10</v>
      </c>
      <c r="P1165" s="96">
        <f>_xlfn.XLOOKUP(Tabla5[[#This Row],[EAN CORREGIDO]],'Tabla Articulos'!B:B,'Tabla Articulos'!D:D)</f>
        <v/>
      </c>
      <c r="Q1165" s="96">
        <f>_xlfn.XLOOKUP(S1165,'Tabla Articulos'!B:B,'Tabla Articulos'!E:E)</f>
        <v/>
      </c>
      <c r="R1165" s="96">
        <f>O1165*Q1165</f>
        <v/>
      </c>
      <c r="S1165" s="97">
        <f>TRIM(E1165)</f>
        <v/>
      </c>
    </row>
    <row r="1166" hidden="1">
      <c r="A1166" s="22" t="n">
        <v>6</v>
      </c>
      <c r="B1166" t="inlineStr">
        <is>
          <t xml:space="preserve">CDM03 - MORENO 3              </t>
        </is>
      </c>
      <c r="C1166" t="inlineStr">
        <is>
          <t xml:space="preserve">GRUPO L.                      </t>
        </is>
      </c>
      <c r="E1166" t="inlineStr">
        <is>
          <t xml:space="preserve">UNIF000225          </t>
        </is>
      </c>
      <c r="F1166" s="11" t="n">
        <v>9003493</v>
      </c>
      <c r="G1166" t="inlineStr">
        <is>
          <t xml:space="preserve">PANTAL CARG NEGRO VER. 46 GL SUP   </t>
        </is>
      </c>
      <c r="H1166" t="inlineStr">
        <is>
          <t xml:space="preserve">UNIDAD              </t>
        </is>
      </c>
      <c r="I1166" t="n">
        <v>13</v>
      </c>
      <c r="J1166" t="n">
        <v>20</v>
      </c>
      <c r="K1166" t="n">
        <v>0</v>
      </c>
      <c r="L1166" t="n">
        <v>0</v>
      </c>
      <c r="M1166" t="n">
        <v>0</v>
      </c>
      <c r="N1166" t="n">
        <v>0</v>
      </c>
      <c r="O1166" t="n">
        <v>33</v>
      </c>
      <c r="P1166" s="96">
        <f>_xlfn.XLOOKUP(Tabla5[[#This Row],[EAN CORREGIDO]],'Tabla Articulos'!B:B,'Tabla Articulos'!D:D)</f>
        <v/>
      </c>
      <c r="Q1166" s="96">
        <f>_xlfn.XLOOKUP(S1166,'Tabla Articulos'!B:B,'Tabla Articulos'!E:E)</f>
        <v/>
      </c>
      <c r="R1166" s="96">
        <f>O1166*Q1166</f>
        <v/>
      </c>
      <c r="S1166" s="97">
        <f>TRIM(E1166)</f>
        <v/>
      </c>
    </row>
    <row r="1167" hidden="1">
      <c r="A1167" s="22" t="n">
        <v>1</v>
      </c>
      <c r="B1167" t="inlineStr">
        <is>
          <t xml:space="preserve">CD MORENO                     </t>
        </is>
      </c>
      <c r="C1167" t="inlineStr">
        <is>
          <t xml:space="preserve">GRUPO L.                      </t>
        </is>
      </c>
      <c r="D1167" s="11" t="inlineStr">
        <is>
          <t>PEREJIL</t>
        </is>
      </c>
      <c r="E1167" t="inlineStr">
        <is>
          <t xml:space="preserve">7790216012653       </t>
        </is>
      </c>
      <c r="F1167" s="11" t="n">
        <v>4018002</v>
      </c>
      <c r="G1167" t="inlineStr">
        <is>
          <t xml:space="preserve">PEREJIL X KG                       </t>
        </is>
      </c>
      <c r="H1167" t="inlineStr">
        <is>
          <t xml:space="preserve">Kgs                 </t>
        </is>
      </c>
      <c r="I1167" t="n">
        <v>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8</v>
      </c>
      <c r="P1167" s="96">
        <f>_xlfn.XLOOKUP(Tabla5[[#This Row],[EAN CORREGIDO]],'Tabla Articulos'!B:B,'Tabla Articulos'!D:D)</f>
        <v/>
      </c>
      <c r="Q1167" s="96">
        <f>_xlfn.XLOOKUP(S1167,'Tabla Articulos'!B:B,'Tabla Articulos'!E:E)</f>
        <v/>
      </c>
      <c r="R1167" s="96">
        <f>O1167*Q1167</f>
        <v/>
      </c>
      <c r="S1167" s="97">
        <f>TRIM(E1167)</f>
        <v/>
      </c>
    </row>
    <row r="1168" hidden="1">
      <c r="A1168" s="22" t="n">
        <v>6</v>
      </c>
      <c r="B1168" t="inlineStr">
        <is>
          <t xml:space="preserve">CDM03 - MORENO 3              </t>
        </is>
      </c>
      <c r="C1168" t="inlineStr">
        <is>
          <t xml:space="preserve">GRUPO L.                      </t>
        </is>
      </c>
      <c r="D1168" t="inlineStr">
        <is>
          <t>ESPONJA METAL</t>
        </is>
      </c>
      <c r="E1168" t="inlineStr">
        <is>
          <t xml:space="preserve">7793253386160       </t>
        </is>
      </c>
      <c r="F1168" s="11" t="n">
        <v>2007383</v>
      </c>
      <c r="G1168" t="inlineStr">
        <is>
          <t xml:space="preserve">ESPONJA ACERO INOX MORTIMER        </t>
        </is>
      </c>
      <c r="H1168" t="inlineStr">
        <is>
          <t xml:space="preserve">UNIDAD              </t>
        </is>
      </c>
      <c r="I1168" t="n">
        <v>950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950</v>
      </c>
      <c r="P1168" s="96">
        <f>_xlfn.XLOOKUP(Tabla5[[#This Row],[EAN CORREGIDO]],'Tabla Articulos'!B:B,'Tabla Articulos'!D:D)</f>
        <v/>
      </c>
      <c r="Q1168" s="96">
        <f>_xlfn.XLOOKUP(S1168,'Tabla Articulos'!B:B,'Tabla Articulos'!E:E)</f>
        <v/>
      </c>
      <c r="R1168" s="96">
        <f>O1168*Q1168</f>
        <v/>
      </c>
      <c r="S1168" s="97">
        <f>TRIM(E1168)</f>
        <v/>
      </c>
    </row>
    <row r="1169" hidden="1">
      <c r="A1169" s="22" t="n">
        <v>6</v>
      </c>
      <c r="B1169" t="inlineStr">
        <is>
          <t xml:space="preserve">CDM03 - MORENO 3              </t>
        </is>
      </c>
      <c r="C1169" t="inlineStr">
        <is>
          <t xml:space="preserve">GRUPO L.                      </t>
        </is>
      </c>
      <c r="D1169" s="11" t="n"/>
      <c r="E1169" t="inlineStr">
        <is>
          <t xml:space="preserve">UNIF000222          </t>
        </is>
      </c>
      <c r="F1169" s="11" t="n">
        <v>9003490</v>
      </c>
      <c r="G1169" t="inlineStr">
        <is>
          <t xml:space="preserve">PANTAL CARG NEGRO VER. 40 GL SUP   </t>
        </is>
      </c>
      <c r="H1169" t="inlineStr">
        <is>
          <t xml:space="preserve">UNIDAD              </t>
        </is>
      </c>
      <c r="I1169" t="n">
        <v>0</v>
      </c>
      <c r="J1169" t="n">
        <v>20</v>
      </c>
      <c r="K1169" t="n">
        <v>0</v>
      </c>
      <c r="L1169" t="n">
        <v>0</v>
      </c>
      <c r="M1169" t="n">
        <v>0</v>
      </c>
      <c r="N1169" t="n">
        <v>0</v>
      </c>
      <c r="O1169" t="n">
        <v>20</v>
      </c>
      <c r="P1169" s="96">
        <f>_xlfn.XLOOKUP(Tabla5[[#This Row],[EAN CORREGIDO]],'Tabla Articulos'!B:B,'Tabla Articulos'!D:D)</f>
        <v/>
      </c>
      <c r="Q1169" s="96">
        <f>_xlfn.XLOOKUP(S1169,'Tabla Articulos'!B:B,'Tabla Articulos'!E:E)</f>
        <v/>
      </c>
      <c r="R1169" s="96">
        <f>O1169*Q1169</f>
        <v/>
      </c>
      <c r="S1169" s="97">
        <f>TRIM(E1169)</f>
        <v/>
      </c>
    </row>
    <row r="1170" hidden="1">
      <c r="A1170" s="22" t="n">
        <v>6</v>
      </c>
      <c r="B1170" t="inlineStr">
        <is>
          <t xml:space="preserve">CDM03 - MORENO 3              </t>
        </is>
      </c>
      <c r="C1170" t="inlineStr">
        <is>
          <t xml:space="preserve">GRUPO L.                      </t>
        </is>
      </c>
      <c r="D1170" s="11" t="n"/>
      <c r="E1170" t="inlineStr">
        <is>
          <t xml:space="preserve">7794417224687       </t>
        </is>
      </c>
      <c r="F1170" s="11" t="n">
        <v>2011490</v>
      </c>
      <c r="G1170" t="inlineStr">
        <is>
          <t xml:space="preserve">GUANTE DE GOMA TALLE 9 NAR         </t>
        </is>
      </c>
      <c r="H1170" t="inlineStr">
        <is>
          <t xml:space="preserve">UNIDAD              </t>
        </is>
      </c>
      <c r="I1170" t="n">
        <v>214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214</v>
      </c>
      <c r="P1170" s="96">
        <f>_xlfn.XLOOKUP(Tabla5[[#This Row],[EAN CORREGIDO]],'Tabla Articulos'!B:B,'Tabla Articulos'!D:D)</f>
        <v/>
      </c>
      <c r="Q1170" s="96">
        <f>_xlfn.XLOOKUP(S1170,'Tabla Articulos'!B:B,'Tabla Articulos'!E:E)</f>
        <v/>
      </c>
      <c r="R1170" s="96">
        <f>O1170*Q1170</f>
        <v/>
      </c>
      <c r="S1170" s="97">
        <f>TRIM(E1170)</f>
        <v/>
      </c>
    </row>
    <row r="1171" hidden="1">
      <c r="A1171" s="22" t="n">
        <v>1</v>
      </c>
      <c r="B1171" t="inlineStr">
        <is>
          <t xml:space="preserve">CD MORENO                     </t>
        </is>
      </c>
      <c r="C1171" t="inlineStr">
        <is>
          <t xml:space="preserve">GRUPO L.                      </t>
        </is>
      </c>
      <c r="D1171" s="11" t="inlineStr">
        <is>
          <t>PANADERIA CONGELADA</t>
        </is>
      </c>
      <c r="E1171" t="inlineStr">
        <is>
          <t xml:space="preserve">7799132966563       </t>
        </is>
      </c>
      <c r="F1171" s="11" t="n">
        <v>4018493</v>
      </c>
      <c r="G1171" t="inlineStr">
        <is>
          <t xml:space="preserve">ALFAJOR CHOCOLATE X50U SELYG       </t>
        </is>
      </c>
      <c r="H1171" t="inlineStr">
        <is>
          <t xml:space="preserve">UNIDAD              </t>
        </is>
      </c>
      <c r="I1171" t="n">
        <v>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2</v>
      </c>
      <c r="P1171" s="96">
        <f>_xlfn.XLOOKUP(Tabla5[[#This Row],[EAN CORREGIDO]],'Tabla Articulos'!B:B,'Tabla Articulos'!D:D)</f>
        <v/>
      </c>
      <c r="Q1171" s="96">
        <f>_xlfn.XLOOKUP(S1171,'Tabla Articulos'!B:B,'Tabla Articulos'!E:E)</f>
        <v/>
      </c>
      <c r="R1171" s="96">
        <f>O1171*Q1171</f>
        <v/>
      </c>
      <c r="S1171" s="97">
        <f>TRIM(E1171)</f>
        <v/>
      </c>
    </row>
    <row r="1172" hidden="1">
      <c r="A1172" s="22" t="n">
        <v>1</v>
      </c>
      <c r="B1172" t="inlineStr">
        <is>
          <t xml:space="preserve">CD MORENO                     </t>
        </is>
      </c>
      <c r="C1172" t="inlineStr">
        <is>
          <t xml:space="preserve">GRUPO L.                      </t>
        </is>
      </c>
      <c r="D1172" t="inlineStr">
        <is>
          <t>DURAZNO MITAD LATA</t>
        </is>
      </c>
      <c r="E1172" t="inlineStr">
        <is>
          <t xml:space="preserve">7798054180054       </t>
        </is>
      </c>
      <c r="F1172" s="11" t="n">
        <v>4021297</v>
      </c>
      <c r="G1172" t="inlineStr">
        <is>
          <t xml:space="preserve">DURAZNO X 820 GR COMAI             </t>
        </is>
      </c>
      <c r="H1172" t="inlineStr">
        <is>
          <t xml:space="preserve">UNIDAD              </t>
        </is>
      </c>
      <c r="I1172" t="n">
        <v>1910</v>
      </c>
      <c r="J1172" t="n">
        <v>198</v>
      </c>
      <c r="K1172" t="n">
        <v>0</v>
      </c>
      <c r="L1172" t="n">
        <v>0</v>
      </c>
      <c r="M1172" t="n">
        <v>0</v>
      </c>
      <c r="N1172" t="n">
        <v>0</v>
      </c>
      <c r="O1172" t="n">
        <v>2108</v>
      </c>
      <c r="P1172" s="96">
        <f>_xlfn.XLOOKUP(Tabla5[[#This Row],[EAN CORREGIDO]],'Tabla Articulos'!B:B,'Tabla Articulos'!D:D)</f>
        <v/>
      </c>
      <c r="Q1172" s="96">
        <f>_xlfn.XLOOKUP(S1172,'Tabla Articulos'!B:B,'Tabla Articulos'!E:E)</f>
        <v/>
      </c>
      <c r="R1172" s="96">
        <f>O1172*Q1172</f>
        <v/>
      </c>
      <c r="S1172" s="97">
        <f>TRIM(E1172)</f>
        <v/>
      </c>
    </row>
    <row r="1173" hidden="1">
      <c r="A1173" s="22" t="n">
        <v>6</v>
      </c>
      <c r="B1173" t="inlineStr">
        <is>
          <t xml:space="preserve">CDM03 - MORENO 3              </t>
        </is>
      </c>
      <c r="C1173" t="inlineStr">
        <is>
          <t xml:space="preserve">GRUPO L.                      </t>
        </is>
      </c>
      <c r="E1173" t="inlineStr">
        <is>
          <t xml:space="preserve">UNIF000595          </t>
        </is>
      </c>
      <c r="F1173" s="11" t="n">
        <v>9003133</v>
      </c>
      <c r="G1173" t="inlineStr">
        <is>
          <t xml:space="preserve">CHAQUETA CUELLO MAO T3 C GOURM     </t>
        </is>
      </c>
      <c r="H1173" t="inlineStr">
        <is>
          <t xml:space="preserve">UNIDAD              </t>
        </is>
      </c>
      <c r="I1173" t="n">
        <v>18</v>
      </c>
      <c r="J1173" t="n">
        <v>800</v>
      </c>
      <c r="K1173" t="n">
        <v>0</v>
      </c>
      <c r="L1173" t="n">
        <v>11</v>
      </c>
      <c r="M1173" t="n">
        <v>11</v>
      </c>
      <c r="N1173" t="n">
        <v>0</v>
      </c>
      <c r="O1173" t="n">
        <v>796</v>
      </c>
      <c r="P1173" s="96">
        <f>_xlfn.XLOOKUP(Tabla5[[#This Row],[EAN CORREGIDO]],'Tabla Articulos'!B:B,'Tabla Articulos'!D:D)</f>
        <v/>
      </c>
      <c r="Q1173" s="96">
        <f>_xlfn.XLOOKUP(S1173,'Tabla Articulos'!B:B,'Tabla Articulos'!E:E)</f>
        <v/>
      </c>
      <c r="R1173" s="96">
        <f>O1173*Q1173</f>
        <v/>
      </c>
      <c r="S1173" s="97">
        <f>TRIM(E1173)</f>
        <v/>
      </c>
    </row>
    <row r="1174" hidden="1">
      <c r="A1174" s="22" t="n">
        <v>1</v>
      </c>
      <c r="B1174" t="inlineStr">
        <is>
          <t xml:space="preserve">CD MORENO                     </t>
        </is>
      </c>
      <c r="C1174" t="inlineStr">
        <is>
          <t xml:space="preserve">GRUPO L.                      </t>
        </is>
      </c>
      <c r="D1174" s="11" t="inlineStr">
        <is>
          <t>VIANDA PARA CELIACOS</t>
        </is>
      </c>
      <c r="E1174" t="inlineStr">
        <is>
          <t xml:space="preserve">7798131130781       </t>
        </is>
      </c>
      <c r="F1174" s="11" t="n">
        <v>4076553</v>
      </c>
      <c r="G1174" t="inlineStr">
        <is>
          <t xml:space="preserve">EMPANADAS JAMÓN Y QUESO X2 LA DE   </t>
        </is>
      </c>
      <c r="H1174" t="inlineStr">
        <is>
          <t xml:space="preserve">UNIDAD              </t>
        </is>
      </c>
      <c r="I1174" t="n">
        <v>12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12</v>
      </c>
      <c r="P1174" s="96">
        <f>_xlfn.XLOOKUP(Tabla5[[#This Row],[EAN CORREGIDO]],'Tabla Articulos'!B:B,'Tabla Articulos'!D:D)</f>
        <v/>
      </c>
      <c r="Q1174" s="96">
        <f>_xlfn.XLOOKUP(S1174,'Tabla Articulos'!B:B,'Tabla Articulos'!E:E)</f>
        <v/>
      </c>
      <c r="R1174" s="96">
        <f>O1174*Q1174</f>
        <v/>
      </c>
      <c r="S1174" s="97">
        <f>TRIM(E1174)</f>
        <v/>
      </c>
    </row>
    <row r="1175" hidden="1">
      <c r="A1175" s="22" t="n">
        <v>1</v>
      </c>
      <c r="B1175" t="inlineStr">
        <is>
          <t xml:space="preserve">CD MORENO                     </t>
        </is>
      </c>
      <c r="C1175" t="inlineStr">
        <is>
          <t xml:space="preserve">GRUPO L.                      </t>
        </is>
      </c>
      <c r="D1175" s="11" t="inlineStr">
        <is>
          <t>SALSA DE SOJA</t>
        </is>
      </c>
      <c r="E1175" t="inlineStr">
        <is>
          <t xml:space="preserve">7798048981025       </t>
        </is>
      </c>
      <c r="F1175" s="11" t="n">
        <v>4022162</v>
      </c>
      <c r="G1175" t="inlineStr">
        <is>
          <t xml:space="preserve">SALSA DE SOJA FUMEIGA 5LT          </t>
        </is>
      </c>
      <c r="H1175" t="inlineStr">
        <is>
          <t xml:space="preserve">UNIDAD              </t>
        </is>
      </c>
      <c r="I1175" t="n">
        <v>52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52</v>
      </c>
      <c r="P1175" s="96">
        <f>_xlfn.XLOOKUP(Tabla5[[#This Row],[EAN CORREGIDO]],'Tabla Articulos'!B:B,'Tabla Articulos'!D:D)</f>
        <v/>
      </c>
      <c r="Q1175" s="96">
        <f>_xlfn.XLOOKUP(S1175,'Tabla Articulos'!B:B,'Tabla Articulos'!E:E)</f>
        <v/>
      </c>
      <c r="R1175" s="96">
        <f>O1175*Q1175</f>
        <v/>
      </c>
      <c r="S1175" s="97">
        <f>TRIM(E1175)</f>
        <v/>
      </c>
    </row>
    <row r="1176" hidden="1">
      <c r="A1176" s="22" t="n">
        <v>1</v>
      </c>
      <c r="B1176" t="inlineStr">
        <is>
          <t xml:space="preserve">CD MORENO                     </t>
        </is>
      </c>
      <c r="C1176" t="inlineStr">
        <is>
          <t xml:space="preserve">GRUPO L.                      </t>
        </is>
      </c>
      <c r="D1176" t="inlineStr">
        <is>
          <t>CARNE ENTERA CONGELADA</t>
        </is>
      </c>
      <c r="E1176" t="inlineStr">
        <is>
          <t xml:space="preserve">7790212030142       </t>
        </is>
      </c>
      <c r="F1176" t="n">
        <v>4017706</v>
      </c>
      <c r="G1176" t="inlineStr">
        <is>
          <t xml:space="preserve">VACIO C X KG                       </t>
        </is>
      </c>
      <c r="H1176" t="inlineStr">
        <is>
          <t xml:space="preserve">Kgs                 </t>
        </is>
      </c>
      <c r="I1176" t="n">
        <v>40.45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40.45</v>
      </c>
      <c r="P1176" s="96">
        <f>_xlfn.XLOOKUP(Tabla5[[#This Row],[EAN CORREGIDO]],'Tabla Articulos'!B:B,'Tabla Articulos'!D:D)</f>
        <v/>
      </c>
      <c r="Q1176" s="96">
        <f>_xlfn.XLOOKUP(S1176,'Tabla Articulos'!B:B,'Tabla Articulos'!E:E)</f>
        <v/>
      </c>
      <c r="R1176" s="96">
        <f>O1176*Q1176</f>
        <v/>
      </c>
      <c r="S1176" s="97">
        <f>TRIM(E1176)</f>
        <v/>
      </c>
    </row>
    <row r="1177" hidden="1">
      <c r="A1177" s="22" t="n">
        <v>1</v>
      </c>
      <c r="B1177" t="inlineStr">
        <is>
          <t xml:space="preserve">CD MORENO                     </t>
        </is>
      </c>
      <c r="C1177" t="inlineStr">
        <is>
          <t xml:space="preserve">GRUPO L.                      </t>
        </is>
      </c>
      <c r="D1177" s="11" t="inlineStr">
        <is>
          <t>CARNE ENTERA</t>
        </is>
      </c>
      <c r="E1177" t="inlineStr">
        <is>
          <t xml:space="preserve">7790212030022       </t>
        </is>
      </c>
      <c r="F1177" t="n">
        <v>4017687</v>
      </c>
      <c r="G1177" t="inlineStr">
        <is>
          <t xml:space="preserve">BOLA DE LOMO ENTERA X KG           </t>
        </is>
      </c>
      <c r="H1177" t="inlineStr">
        <is>
          <t xml:space="preserve">Kgs                 </t>
        </is>
      </c>
      <c r="I1177" t="n">
        <v>279.51</v>
      </c>
      <c r="J1177" t="n">
        <v>0</v>
      </c>
      <c r="K1177" t="n">
        <v>0</v>
      </c>
      <c r="L1177" t="n">
        <v>6.96</v>
      </c>
      <c r="M1177" t="n">
        <v>203.96</v>
      </c>
      <c r="N1177" t="n">
        <v>0</v>
      </c>
      <c r="O1177" t="n">
        <v>68.59</v>
      </c>
      <c r="P1177" s="96">
        <f>_xlfn.XLOOKUP(Tabla5[[#This Row],[EAN CORREGIDO]],'Tabla Articulos'!B:B,'Tabla Articulos'!D:D)</f>
        <v/>
      </c>
      <c r="Q1177" s="96">
        <f>_xlfn.XLOOKUP(S1177,'Tabla Articulos'!B:B,'Tabla Articulos'!E:E)</f>
        <v/>
      </c>
      <c r="R1177" s="96">
        <f>O1177*Q1177</f>
        <v/>
      </c>
      <c r="S1177" s="97">
        <f>TRIM(E1177)</f>
        <v/>
      </c>
    </row>
    <row r="1178" hidden="1">
      <c r="A1178" s="22" t="n">
        <v>6</v>
      </c>
      <c r="B1178" t="inlineStr">
        <is>
          <t xml:space="preserve">CDM03 - MORENO 3              </t>
        </is>
      </c>
      <c r="C1178" t="inlineStr">
        <is>
          <t xml:space="preserve">GRUPO L.                      </t>
        </is>
      </c>
      <c r="D1178" s="11" t="n"/>
      <c r="E1178" t="inlineStr">
        <is>
          <t xml:space="preserve">UNIF000077          </t>
        </is>
      </c>
      <c r="F1178" t="n">
        <v>9003538</v>
      </c>
      <c r="G1178" t="inlineStr">
        <is>
          <t xml:space="preserve">CAMISA BLANCA LISA 46 S. LOGO      </t>
        </is>
      </c>
      <c r="H1178" t="inlineStr">
        <is>
          <t xml:space="preserve">UNIDAD              </t>
        </is>
      </c>
      <c r="I1178" t="n">
        <v>6</v>
      </c>
      <c r="J1178" t="n">
        <v>50</v>
      </c>
      <c r="K1178" t="n">
        <v>0</v>
      </c>
      <c r="L1178" t="n">
        <v>0</v>
      </c>
      <c r="M1178" t="n">
        <v>0</v>
      </c>
      <c r="N1178" t="n">
        <v>0</v>
      </c>
      <c r="O1178" t="n">
        <v>56</v>
      </c>
      <c r="P1178" s="96">
        <f>_xlfn.XLOOKUP(Tabla5[[#This Row],[EAN CORREGIDO]],'Tabla Articulos'!B:B,'Tabla Articulos'!D:D)</f>
        <v/>
      </c>
      <c r="Q1178" s="96">
        <f>_xlfn.XLOOKUP(S1178,'Tabla Articulos'!B:B,'Tabla Articulos'!E:E)</f>
        <v/>
      </c>
      <c r="R1178" s="96">
        <f>O1178*Q1178</f>
        <v/>
      </c>
      <c r="S1178" s="97">
        <f>TRIM(E1178)</f>
        <v/>
      </c>
    </row>
    <row r="1179" hidden="1">
      <c r="A1179" s="22" t="n">
        <v>5</v>
      </c>
      <c r="B1179" t="inlineStr">
        <is>
          <t xml:space="preserve">CDM02 - MORENO 2              </t>
        </is>
      </c>
      <c r="C1179" t="inlineStr">
        <is>
          <t xml:space="preserve">GRUPO L.                      </t>
        </is>
      </c>
      <c r="D1179" t="inlineStr">
        <is>
          <t>PREMEZCLA PARA PIZZA S/TACC</t>
        </is>
      </c>
      <c r="E1179" t="inlineStr">
        <is>
          <t xml:space="preserve">7793323024886       </t>
        </is>
      </c>
      <c r="F1179" t="n">
        <v>4022811</v>
      </c>
      <c r="G1179" t="inlineStr">
        <is>
          <t xml:space="preserve">PREMEZ PIZZA S/TACC 450G DICOMERE  </t>
        </is>
      </c>
      <c r="H1179" t="inlineStr">
        <is>
          <t xml:space="preserve">UNIDAD              </t>
        </is>
      </c>
      <c r="I1179" t="n">
        <v>20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20</v>
      </c>
      <c r="P1179" s="96">
        <f>_xlfn.XLOOKUP(Tabla5[[#This Row],[EAN CORREGIDO]],'Tabla Articulos'!B:B,'Tabla Articulos'!D:D)</f>
        <v/>
      </c>
      <c r="Q1179" s="96">
        <f>_xlfn.XLOOKUP(S1179,'Tabla Articulos'!B:B,'Tabla Articulos'!E:E)</f>
        <v/>
      </c>
      <c r="R1179" s="96">
        <f>O1179*Q1179</f>
        <v/>
      </c>
      <c r="S1179" s="97">
        <f>TRIM(E1179)</f>
        <v/>
      </c>
    </row>
    <row r="1180" hidden="1">
      <c r="A1180" s="22" t="n">
        <v>1</v>
      </c>
      <c r="B1180" t="inlineStr">
        <is>
          <t xml:space="preserve">CD MORENO                     </t>
        </is>
      </c>
      <c r="C1180" t="inlineStr">
        <is>
          <t xml:space="preserve">GRUPO L.                      </t>
        </is>
      </c>
      <c r="D1180" s="11" t="inlineStr">
        <is>
          <t>PREMEZCLA PARA PIZZA S/TACC</t>
        </is>
      </c>
      <c r="E1180" t="inlineStr">
        <is>
          <t xml:space="preserve">7793323024886       </t>
        </is>
      </c>
      <c r="F1180" t="n">
        <v>4022811</v>
      </c>
      <c r="G1180" t="inlineStr">
        <is>
          <t xml:space="preserve">PREMEZ PIZZA S/TACC 450G DICOMERE  </t>
        </is>
      </c>
      <c r="H1180" t="inlineStr">
        <is>
          <t xml:space="preserve">UNIDAD              </t>
        </is>
      </c>
      <c r="I1180" t="n">
        <v>12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12</v>
      </c>
      <c r="P1180" s="96">
        <f>_xlfn.XLOOKUP(Tabla5[[#This Row],[EAN CORREGIDO]],'Tabla Articulos'!B:B,'Tabla Articulos'!D:D)</f>
        <v/>
      </c>
      <c r="Q1180" s="96">
        <f>_xlfn.XLOOKUP(S1180,'Tabla Articulos'!B:B,'Tabla Articulos'!E:E)</f>
        <v/>
      </c>
      <c r="R1180" s="96">
        <f>O1180*Q1180</f>
        <v/>
      </c>
      <c r="S1180" s="97">
        <f>TRIM(E1180)</f>
        <v/>
      </c>
    </row>
    <row r="1181" hidden="1">
      <c r="A1181" s="22" t="n">
        <v>6</v>
      </c>
      <c r="B1181" t="inlineStr">
        <is>
          <t xml:space="preserve">CDM03 - MORENO 3              </t>
        </is>
      </c>
      <c r="C1181" t="inlineStr">
        <is>
          <t xml:space="preserve">GRUPO L.                      </t>
        </is>
      </c>
      <c r="E1181" t="inlineStr">
        <is>
          <t xml:space="preserve">UNIF000487          </t>
        </is>
      </c>
      <c r="F1181" t="n">
        <v>9003259</v>
      </c>
      <c r="G1181" t="inlineStr">
        <is>
          <t xml:space="preserve">PANTAL. GRAFA S. LOGO BLANCO 54    </t>
        </is>
      </c>
      <c r="H1181" t="inlineStr">
        <is>
          <t xml:space="preserve">UNIDAD              </t>
        </is>
      </c>
      <c r="I1181" t="n">
        <v>33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33</v>
      </c>
      <c r="P1181" s="96">
        <f>_xlfn.XLOOKUP(Tabla5[[#This Row],[EAN CORREGIDO]],'Tabla Articulos'!B:B,'Tabla Articulos'!D:D)</f>
        <v/>
      </c>
      <c r="Q1181" s="96">
        <f>_xlfn.XLOOKUP(S1181,'Tabla Articulos'!B:B,'Tabla Articulos'!E:E)</f>
        <v/>
      </c>
      <c r="R1181" s="96">
        <f>O1181*Q1181</f>
        <v/>
      </c>
      <c r="S1181" s="97">
        <f>TRIM(E1181)</f>
        <v/>
      </c>
    </row>
    <row r="1182" hidden="1">
      <c r="A1182" s="22" t="n">
        <v>6</v>
      </c>
      <c r="B1182" t="inlineStr">
        <is>
          <t xml:space="preserve">CDM03 - MORENO 3              </t>
        </is>
      </c>
      <c r="C1182" t="inlineStr">
        <is>
          <t xml:space="preserve">GRUPO L.                      </t>
        </is>
      </c>
      <c r="D1182" s="11" t="n"/>
      <c r="E1182" t="inlineStr">
        <is>
          <t xml:space="preserve">UNIF000094          </t>
        </is>
      </c>
      <c r="F1182" t="n">
        <v>9003330</v>
      </c>
      <c r="G1182" t="inlineStr">
        <is>
          <t xml:space="preserve">CHOMBA PIQUE GRIS S GL SUP.        </t>
        </is>
      </c>
      <c r="H1182" t="inlineStr">
        <is>
          <t xml:space="preserve">UNIDAD              </t>
        </is>
      </c>
      <c r="I1182" t="n">
        <v>0</v>
      </c>
      <c r="J1182" t="n">
        <v>245</v>
      </c>
      <c r="K1182" t="n">
        <v>0</v>
      </c>
      <c r="L1182" t="n">
        <v>7</v>
      </c>
      <c r="M1182" t="n">
        <v>7</v>
      </c>
      <c r="N1182" t="n">
        <v>0</v>
      </c>
      <c r="O1182" t="n">
        <v>231</v>
      </c>
      <c r="P1182" s="96">
        <f>_xlfn.XLOOKUP(Tabla5[[#This Row],[EAN CORREGIDO]],'Tabla Articulos'!B:B,'Tabla Articulos'!D:D)</f>
        <v/>
      </c>
      <c r="Q1182" s="96">
        <f>_xlfn.XLOOKUP(S1182,'Tabla Articulos'!B:B,'Tabla Articulos'!E:E)</f>
        <v/>
      </c>
      <c r="R1182" s="96">
        <f>O1182*Q1182</f>
        <v/>
      </c>
      <c r="S1182" s="97">
        <f>TRIM(E1182)</f>
        <v/>
      </c>
    </row>
    <row r="1183" hidden="1">
      <c r="A1183" s="22" t="n">
        <v>6</v>
      </c>
      <c r="B1183" t="inlineStr">
        <is>
          <t xml:space="preserve">CDM03 - MORENO 3              </t>
        </is>
      </c>
      <c r="C1183" t="inlineStr">
        <is>
          <t xml:space="preserve">GRUPO L.                      </t>
        </is>
      </c>
      <c r="E1183" t="inlineStr">
        <is>
          <t xml:space="preserve">UNIF000753          </t>
        </is>
      </c>
      <c r="F1183" t="n">
        <v>9004207</v>
      </c>
      <c r="G1183" t="inlineStr">
        <is>
          <t xml:space="preserve">CHOMBA PIQ GRIS MELANGE BLUECAFÉ L </t>
        </is>
      </c>
      <c r="H1183" t="inlineStr">
        <is>
          <t xml:space="preserve">UNIDAD              </t>
        </is>
      </c>
      <c r="I1183" t="n">
        <v>18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18</v>
      </c>
      <c r="P1183" s="96">
        <f>_xlfn.XLOOKUP(Tabla5[[#This Row],[EAN CORREGIDO]],'Tabla Articulos'!B:B,'Tabla Articulos'!D:D)</f>
        <v/>
      </c>
      <c r="Q1183" s="96">
        <f>_xlfn.XLOOKUP(S1183,'Tabla Articulos'!B:B,'Tabla Articulos'!E:E)</f>
        <v/>
      </c>
      <c r="R1183" s="96">
        <f>O1183*Q1183</f>
        <v/>
      </c>
      <c r="S1183" s="97">
        <f>TRIM(E1183)</f>
        <v/>
      </c>
    </row>
    <row r="1184" hidden="1">
      <c r="A1184" s="22" t="n">
        <v>6</v>
      </c>
      <c r="B1184" t="inlineStr">
        <is>
          <t xml:space="preserve">CDM03 - MORENO 3              </t>
        </is>
      </c>
      <c r="C1184" t="inlineStr">
        <is>
          <t xml:space="preserve">GRUPO L.                      </t>
        </is>
      </c>
      <c r="D1184" t="inlineStr">
        <is>
          <t>DETERGENTE</t>
        </is>
      </c>
      <c r="E1184" t="inlineStr">
        <is>
          <t xml:space="preserve">7798160833660       </t>
        </is>
      </c>
      <c r="F1184" t="n">
        <v>2007621</v>
      </c>
      <c r="G1184" t="inlineStr">
        <is>
          <t xml:space="preserve">DETERG LAVAV DESENG X5L NEW ZEN    </t>
        </is>
      </c>
      <c r="H1184" t="inlineStr">
        <is>
          <t xml:space="preserve">UNIDAD              </t>
        </is>
      </c>
      <c r="I1184" t="n">
        <v>1544</v>
      </c>
      <c r="J1184" t="n">
        <v>480</v>
      </c>
      <c r="K1184" t="n">
        <v>0</v>
      </c>
      <c r="L1184" t="n">
        <v>0</v>
      </c>
      <c r="M1184" t="n">
        <v>0</v>
      </c>
      <c r="N1184" t="n">
        <v>0</v>
      </c>
      <c r="O1184" t="n">
        <v>2024</v>
      </c>
      <c r="P1184" s="96">
        <f>_xlfn.XLOOKUP(Tabla5[[#This Row],[EAN CORREGIDO]],'Tabla Articulos'!B:B,'Tabla Articulos'!D:D)</f>
        <v/>
      </c>
      <c r="Q1184" s="96">
        <f>_xlfn.XLOOKUP(S1184,'Tabla Articulos'!B:B,'Tabla Articulos'!E:E)</f>
        <v/>
      </c>
      <c r="R1184" s="96">
        <f>O1184*Q1184</f>
        <v/>
      </c>
      <c r="S1184" s="97">
        <f>TRIM(E1184)</f>
        <v/>
      </c>
    </row>
    <row r="1185" hidden="1">
      <c r="A1185" s="22" t="n">
        <v>6</v>
      </c>
      <c r="B1185" t="inlineStr">
        <is>
          <t xml:space="preserve">CDM03 - MORENO 3              </t>
        </is>
      </c>
      <c r="C1185" t="inlineStr">
        <is>
          <t xml:space="preserve">GRUPO L.                      </t>
        </is>
      </c>
      <c r="D1185" s="11" t="n"/>
      <c r="E1185" t="inlineStr">
        <is>
          <t xml:space="preserve">7798287511069       </t>
        </is>
      </c>
      <c r="F1185" t="n">
        <v>2011442</v>
      </c>
      <c r="G1185" t="inlineStr">
        <is>
          <t xml:space="preserve">GL MOPIN XUN                       </t>
        </is>
      </c>
      <c r="H1185" t="inlineStr">
        <is>
          <t xml:space="preserve">UNIDAD              </t>
        </is>
      </c>
      <c r="I1185" t="n">
        <v>242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242</v>
      </c>
      <c r="P1185" s="96">
        <f>_xlfn.XLOOKUP(Tabla5[[#This Row],[EAN CORREGIDO]],'Tabla Articulos'!B:B,'Tabla Articulos'!D:D)</f>
        <v/>
      </c>
      <c r="Q1185" s="96">
        <f>_xlfn.XLOOKUP(S1185,'Tabla Articulos'!B:B,'Tabla Articulos'!E:E)</f>
        <v/>
      </c>
      <c r="R1185" s="96">
        <f>O1185*Q1185</f>
        <v/>
      </c>
      <c r="S1185" s="97">
        <f>TRIM(E1185)</f>
        <v/>
      </c>
    </row>
    <row r="1186" hidden="1">
      <c r="A1186" s="22" t="n">
        <v>6</v>
      </c>
      <c r="B1186" t="inlineStr">
        <is>
          <t xml:space="preserve">CDM03 - MORENO 3              </t>
        </is>
      </c>
      <c r="C1186" t="inlineStr">
        <is>
          <t xml:space="preserve">GRUPO L.                      </t>
        </is>
      </c>
      <c r="E1186" t="inlineStr">
        <is>
          <t xml:space="preserve">UNIF000533          </t>
        </is>
      </c>
      <c r="F1186" t="n">
        <v>9003070</v>
      </c>
      <c r="G1186" t="inlineStr">
        <is>
          <t xml:space="preserve">ROMPEVIENTOS-AZUL MARINO M         </t>
        </is>
      </c>
      <c r="H1186" t="inlineStr">
        <is>
          <t xml:space="preserve">UNIDAD              </t>
        </is>
      </c>
      <c r="I1186" t="n">
        <v>125</v>
      </c>
      <c r="J1186" t="n">
        <v>0</v>
      </c>
      <c r="K1186" t="n">
        <v>0</v>
      </c>
      <c r="L1186" t="n">
        <v>26</v>
      </c>
      <c r="M1186" t="n">
        <v>26</v>
      </c>
      <c r="N1186" t="n">
        <v>0</v>
      </c>
      <c r="O1186" t="n">
        <v>73</v>
      </c>
      <c r="P1186" s="96">
        <f>_xlfn.XLOOKUP(Tabla5[[#This Row],[EAN CORREGIDO]],'Tabla Articulos'!B:B,'Tabla Articulos'!D:D)</f>
        <v/>
      </c>
      <c r="Q1186" s="96">
        <f>_xlfn.XLOOKUP(S1186,'Tabla Articulos'!B:B,'Tabla Articulos'!E:E)</f>
        <v/>
      </c>
      <c r="R1186" s="96">
        <f>O1186*Q1186</f>
        <v/>
      </c>
      <c r="S1186" s="97">
        <f>TRIM(E1186)</f>
        <v/>
      </c>
    </row>
    <row r="1187" hidden="1">
      <c r="A1187" s="22" t="n">
        <v>6</v>
      </c>
      <c r="B1187" t="inlineStr">
        <is>
          <t xml:space="preserve">CDM03 - MORENO 3              </t>
        </is>
      </c>
      <c r="C1187" t="inlineStr">
        <is>
          <t xml:space="preserve">GRUPO L.                      </t>
        </is>
      </c>
      <c r="E1187" t="inlineStr">
        <is>
          <t xml:space="preserve">BAZ001354           </t>
        </is>
      </c>
      <c r="F1187" t="n">
        <v>9003885</v>
      </c>
      <c r="G1187" t="inlineStr">
        <is>
          <t xml:space="preserve">BATE BIFE GDE ALUM MACIZO M/INOX   </t>
        </is>
      </c>
      <c r="H1187" t="inlineStr">
        <is>
          <t xml:space="preserve">UNIDAD              </t>
        </is>
      </c>
      <c r="I1187" t="n">
        <v>10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10</v>
      </c>
      <c r="P1187" s="96">
        <f>_xlfn.XLOOKUP(Tabla5[[#This Row],[EAN CORREGIDO]],'Tabla Articulos'!B:B,'Tabla Articulos'!D:D)</f>
        <v/>
      </c>
      <c r="Q1187" s="96">
        <f>_xlfn.XLOOKUP(S1187,'Tabla Articulos'!B:B,'Tabla Articulos'!E:E)</f>
        <v/>
      </c>
      <c r="R1187" s="96">
        <f>O1187*Q1187</f>
        <v/>
      </c>
      <c r="S1187" s="97">
        <f>TRIM(E1187)</f>
        <v/>
      </c>
    </row>
    <row r="1188" hidden="1">
      <c r="A1188" s="22" t="n">
        <v>1</v>
      </c>
      <c r="B1188" t="inlineStr">
        <is>
          <t xml:space="preserve">CD MORENO                     </t>
        </is>
      </c>
      <c r="C1188" t="inlineStr">
        <is>
          <t xml:space="preserve">GRUPO L.                      </t>
        </is>
      </c>
      <c r="D1188" s="11" t="inlineStr">
        <is>
          <t>FIDEOS LARGO</t>
        </is>
      </c>
      <c r="E1188" t="inlineStr">
        <is>
          <t xml:space="preserve">7798138555525       </t>
        </is>
      </c>
      <c r="F1188" t="n">
        <v>4020736</v>
      </c>
      <c r="G1188" t="inlineStr">
        <is>
          <t xml:space="preserve">FIDEO TALLARIN X500G STA ISABEL    </t>
        </is>
      </c>
      <c r="H1188" t="inlineStr">
        <is>
          <t xml:space="preserve">UNIDAD              </t>
        </is>
      </c>
      <c r="I1188" t="n">
        <v>2935</v>
      </c>
      <c r="J1188" t="n">
        <v>0</v>
      </c>
      <c r="K1188" t="n">
        <v>0</v>
      </c>
      <c r="L1188" t="n">
        <v>312</v>
      </c>
      <c r="M1188" t="n">
        <v>312</v>
      </c>
      <c r="N1188" t="n">
        <v>0</v>
      </c>
      <c r="O1188" t="n">
        <v>2311</v>
      </c>
      <c r="P1188" s="96">
        <f>_xlfn.XLOOKUP(Tabla5[[#This Row],[EAN CORREGIDO]],'Tabla Articulos'!B:B,'Tabla Articulos'!D:D)</f>
        <v/>
      </c>
      <c r="Q1188" s="96">
        <f>_xlfn.XLOOKUP(S1188,'Tabla Articulos'!B:B,'Tabla Articulos'!E:E)</f>
        <v/>
      </c>
      <c r="R1188" s="96">
        <f>O1188*Q1188</f>
        <v/>
      </c>
      <c r="S1188" s="97">
        <f>TRIM(E1188)</f>
        <v/>
      </c>
    </row>
    <row r="1189" hidden="1">
      <c r="A1189" s="22" t="n">
        <v>5</v>
      </c>
      <c r="B1189" t="inlineStr">
        <is>
          <t xml:space="preserve">CDM02 - MORENO 2              </t>
        </is>
      </c>
      <c r="C1189" t="inlineStr">
        <is>
          <t xml:space="preserve">GRUPO L.                      </t>
        </is>
      </c>
      <c r="D1189" s="11" t="inlineStr">
        <is>
          <t>FIDEOS LARGO</t>
        </is>
      </c>
      <c r="E1189" t="inlineStr">
        <is>
          <t xml:space="preserve">7798138555525       </t>
        </is>
      </c>
      <c r="F1189" t="n">
        <v>4020736</v>
      </c>
      <c r="G1189" t="inlineStr">
        <is>
          <t xml:space="preserve">FIDEO TALLARIN X500G STA ISABEL    </t>
        </is>
      </c>
      <c r="H1189" t="inlineStr">
        <is>
          <t xml:space="preserve">UNIDAD              </t>
        </is>
      </c>
      <c r="I1189" t="n">
        <v>34220</v>
      </c>
      <c r="J1189" t="n">
        <v>0</v>
      </c>
      <c r="K1189" t="n">
        <v>0</v>
      </c>
      <c r="L1189" t="n">
        <v>0</v>
      </c>
      <c r="M1189" t="n">
        <v>2160</v>
      </c>
      <c r="N1189" t="n">
        <v>0</v>
      </c>
      <c r="O1189" t="n">
        <v>32060</v>
      </c>
      <c r="P1189" s="96">
        <f>_xlfn.XLOOKUP(Tabla5[[#This Row],[EAN CORREGIDO]],'Tabla Articulos'!B:B,'Tabla Articulos'!D:D)</f>
        <v/>
      </c>
      <c r="Q1189" s="96">
        <f>_xlfn.XLOOKUP(S1189,'Tabla Articulos'!B:B,'Tabla Articulos'!E:E)</f>
        <v/>
      </c>
      <c r="R1189" s="96">
        <f>O1189*Q1189</f>
        <v/>
      </c>
      <c r="S1189" s="97">
        <f>TRIM(E1189)</f>
        <v/>
      </c>
    </row>
    <row r="1190" hidden="1">
      <c r="A1190" s="22" t="n">
        <v>6</v>
      </c>
      <c r="B1190" t="inlineStr">
        <is>
          <t xml:space="preserve">CDM03 - MORENO 3              </t>
        </is>
      </c>
      <c r="C1190" t="inlineStr">
        <is>
          <t xml:space="preserve">GRUPO L.                      </t>
        </is>
      </c>
      <c r="D1190" t="inlineStr">
        <is>
          <t>ROLLO FIBRA VERDE</t>
        </is>
      </c>
      <c r="E1190" t="inlineStr">
        <is>
          <t xml:space="preserve">7790000000464       </t>
        </is>
      </c>
      <c r="F1190" t="n">
        <v>2007490</v>
      </c>
      <c r="G1190" t="inlineStr">
        <is>
          <t xml:space="preserve">FIBRA EN ROLLO 25MTS MARCA PROPI   </t>
        </is>
      </c>
      <c r="H1190" t="inlineStr">
        <is>
          <t xml:space="preserve">UNIDAD              </t>
        </is>
      </c>
      <c r="I1190" t="n">
        <v>10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10</v>
      </c>
      <c r="P1190" s="96">
        <f>_xlfn.XLOOKUP(Tabla5[[#This Row],[EAN CORREGIDO]],'Tabla Articulos'!B:B,'Tabla Articulos'!D:D)</f>
        <v/>
      </c>
      <c r="Q1190" s="96">
        <f>_xlfn.XLOOKUP(S1190,'Tabla Articulos'!B:B,'Tabla Articulos'!E:E)</f>
        <v/>
      </c>
      <c r="R1190" s="96">
        <f>O1190*Q1190</f>
        <v/>
      </c>
      <c r="S1190" s="97">
        <f>TRIM(E1190)</f>
        <v/>
      </c>
    </row>
    <row r="1191" hidden="1">
      <c r="A1191" s="22" t="n">
        <v>5</v>
      </c>
      <c r="B1191" t="inlineStr">
        <is>
          <t xml:space="preserve">CDM02 - MORENO 2              </t>
        </is>
      </c>
      <c r="C1191" t="inlineStr">
        <is>
          <t xml:space="preserve">GRUPO L.                      </t>
        </is>
      </c>
      <c r="D1191" t="inlineStr">
        <is>
          <t>ALFAJOR SIMPLE NEGRO</t>
        </is>
      </c>
      <c r="E1191" t="inlineStr">
        <is>
          <t xml:space="preserve">77980229            </t>
        </is>
      </c>
      <c r="F1191" t="n">
        <v>4019162</v>
      </c>
      <c r="G1191" t="inlineStr">
        <is>
          <t xml:space="preserve">ALFAJOR NEGRO X40G GUAYMALLENV     </t>
        </is>
      </c>
      <c r="H1191" t="inlineStr">
        <is>
          <t xml:space="preserve">UNIDAD              </t>
        </is>
      </c>
      <c r="I1191" t="n">
        <v>197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197</v>
      </c>
      <c r="P1191" s="96">
        <f>_xlfn.XLOOKUP(Tabla5[[#This Row],[EAN CORREGIDO]],'Tabla Articulos'!B:B,'Tabla Articulos'!D:D)</f>
        <v/>
      </c>
      <c r="Q1191" s="96">
        <f>_xlfn.XLOOKUP(S1191,'Tabla Articulos'!B:B,'Tabla Articulos'!E:E)</f>
        <v/>
      </c>
      <c r="R1191" s="96">
        <f>O1191*Q1191</f>
        <v/>
      </c>
      <c r="S1191" s="97">
        <f>TRIM(E1191)</f>
        <v/>
      </c>
    </row>
    <row r="1192" hidden="1">
      <c r="A1192" s="22" t="n">
        <v>6</v>
      </c>
      <c r="B1192" t="inlineStr">
        <is>
          <t xml:space="preserve">CDM03 - MORENO 3              </t>
        </is>
      </c>
      <c r="C1192" t="inlineStr">
        <is>
          <t xml:space="preserve">GRUPO L.                      </t>
        </is>
      </c>
      <c r="D1192" t="inlineStr">
        <is>
          <t>TRAPOS DE PISO</t>
        </is>
      </c>
      <c r="E1192" t="inlineStr">
        <is>
          <t xml:space="preserve">LIM000249           </t>
        </is>
      </c>
      <c r="F1192" t="n">
        <v>2006625</v>
      </c>
      <c r="G1192" t="inlineStr">
        <is>
          <t xml:space="preserve">TRAPO DE PISO BLANCO GRANDE X U	   </t>
        </is>
      </c>
      <c r="H1192" t="inlineStr">
        <is>
          <t xml:space="preserve">UNIDAD              </t>
        </is>
      </c>
      <c r="I1192" t="n">
        <v>1792</v>
      </c>
      <c r="J1192" t="n">
        <v>0</v>
      </c>
      <c r="K1192" t="n">
        <v>0</v>
      </c>
      <c r="L1192" t="n">
        <v>10</v>
      </c>
      <c r="M1192" t="n">
        <v>10</v>
      </c>
      <c r="N1192" t="n">
        <v>0</v>
      </c>
      <c r="O1192" t="n">
        <v>1772</v>
      </c>
      <c r="P1192" s="96">
        <f>_xlfn.XLOOKUP(Tabla5[[#This Row],[EAN CORREGIDO]],'Tabla Articulos'!B:B,'Tabla Articulos'!D:D)</f>
        <v/>
      </c>
      <c r="Q1192" s="96">
        <f>_xlfn.XLOOKUP(S1192,'Tabla Articulos'!B:B,'Tabla Articulos'!E:E)</f>
        <v/>
      </c>
      <c r="R1192" s="96">
        <f>O1192*Q1192</f>
        <v/>
      </c>
      <c r="S1192" s="97">
        <f>TRIM(E1192)</f>
        <v/>
      </c>
    </row>
    <row r="1193" hidden="1">
      <c r="A1193" s="22" t="n">
        <v>1</v>
      </c>
      <c r="B1193" t="inlineStr">
        <is>
          <t xml:space="preserve">CD MORENO                     </t>
        </is>
      </c>
      <c r="C1193" t="inlineStr">
        <is>
          <t xml:space="preserve">GRUPO L.                      </t>
        </is>
      </c>
      <c r="D1193" t="inlineStr">
        <is>
          <t>GRANOLA</t>
        </is>
      </c>
      <c r="E1193" t="inlineStr">
        <is>
          <t xml:space="preserve">7790045826637       </t>
        </is>
      </c>
      <c r="F1193" t="n">
        <v>4077457</v>
      </c>
      <c r="G1193" t="inlineStr">
        <is>
          <t xml:space="preserve">GRANOLA CROC X350GR GRANIX         </t>
        </is>
      </c>
      <c r="H1193" t="inlineStr">
        <is>
          <t xml:space="preserve">UNIDAD              </t>
        </is>
      </c>
      <c r="I1193" t="n">
        <v>1487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1487</v>
      </c>
      <c r="P1193" s="96">
        <f>_xlfn.XLOOKUP(Tabla5[[#This Row],[EAN CORREGIDO]],'Tabla Articulos'!B:B,'Tabla Articulos'!D:D)</f>
        <v/>
      </c>
      <c r="Q1193" s="96">
        <f>_xlfn.XLOOKUP(S1193,'Tabla Articulos'!B:B,'Tabla Articulos'!E:E)</f>
        <v/>
      </c>
      <c r="R1193" s="96">
        <f>O1193*Q1193</f>
        <v/>
      </c>
      <c r="S1193" s="97">
        <f>TRIM(E1193)</f>
        <v/>
      </c>
    </row>
    <row r="1194" hidden="1">
      <c r="A1194" s="22" t="n">
        <v>5</v>
      </c>
      <c r="B1194" t="inlineStr">
        <is>
          <t xml:space="preserve">CDM02 - MORENO 2              </t>
        </is>
      </c>
      <c r="C1194" t="inlineStr">
        <is>
          <t xml:space="preserve">GRUPO L.                      </t>
        </is>
      </c>
      <c r="D1194" t="inlineStr">
        <is>
          <t>GRANOLA</t>
        </is>
      </c>
      <c r="E1194" t="inlineStr">
        <is>
          <t xml:space="preserve">7790045826637       </t>
        </is>
      </c>
      <c r="F1194" t="n">
        <v>4077457</v>
      </c>
      <c r="G1194" t="inlineStr">
        <is>
          <t xml:space="preserve">GRANOLA CROC X350GR GRANIX         </t>
        </is>
      </c>
      <c r="H1194" t="inlineStr">
        <is>
          <t xml:space="preserve">UNIDAD              </t>
        </is>
      </c>
      <c r="I1194" t="n">
        <v>41</v>
      </c>
      <c r="J1194" t="n">
        <v>0</v>
      </c>
      <c r="K1194" t="n">
        <v>0</v>
      </c>
      <c r="L1194" t="n">
        <v>3</v>
      </c>
      <c r="M1194" t="n">
        <v>3</v>
      </c>
      <c r="N1194" t="n">
        <v>0</v>
      </c>
      <c r="O1194" t="n">
        <v>35</v>
      </c>
      <c r="P1194" s="96">
        <f>_xlfn.XLOOKUP(Tabla5[[#This Row],[EAN CORREGIDO]],'Tabla Articulos'!B:B,'Tabla Articulos'!D:D)</f>
        <v/>
      </c>
      <c r="Q1194" s="96">
        <f>_xlfn.XLOOKUP(S1194,'Tabla Articulos'!B:B,'Tabla Articulos'!E:E)</f>
        <v/>
      </c>
      <c r="R1194" s="96">
        <f>O1194*Q1194</f>
        <v/>
      </c>
      <c r="S1194" s="97">
        <f>TRIM(E1194)</f>
        <v/>
      </c>
    </row>
    <row r="1195" hidden="1">
      <c r="A1195" s="22" t="n">
        <v>1</v>
      </c>
      <c r="B1195" t="inlineStr">
        <is>
          <t xml:space="preserve">CD MORENO                     </t>
        </is>
      </c>
      <c r="C1195" t="inlineStr">
        <is>
          <t xml:space="preserve">GRUPO L.                      </t>
        </is>
      </c>
      <c r="D1195" s="11" t="inlineStr">
        <is>
          <t>ATUN A/N DESMEN</t>
        </is>
      </c>
      <c r="E1195" t="inlineStr">
        <is>
          <t xml:space="preserve">7795933000298       </t>
        </is>
      </c>
      <c r="F1195" t="n">
        <v>4020204</v>
      </c>
      <c r="G1195" t="inlineStr">
        <is>
          <t xml:space="preserve">ATUN A/N DESM X170 G BAHIA         </t>
        </is>
      </c>
      <c r="H1195" t="inlineStr">
        <is>
          <t xml:space="preserve">UNIDAD              </t>
        </is>
      </c>
      <c r="I1195" t="n">
        <v>834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834</v>
      </c>
      <c r="P1195" s="96">
        <f>_xlfn.XLOOKUP(Tabla5[[#This Row],[EAN CORREGIDO]],'Tabla Articulos'!B:B,'Tabla Articulos'!D:D)</f>
        <v/>
      </c>
      <c r="Q1195" s="96">
        <f>_xlfn.XLOOKUP(S1195,'Tabla Articulos'!B:B,'Tabla Articulos'!E:E)</f>
        <v/>
      </c>
      <c r="R1195" s="96">
        <f>O1195*Q1195</f>
        <v/>
      </c>
      <c r="S1195" s="97">
        <f>TRIM(E1195)</f>
        <v/>
      </c>
    </row>
    <row r="1196" hidden="1">
      <c r="A1196" s="22" t="n">
        <v>5</v>
      </c>
      <c r="B1196" t="inlineStr">
        <is>
          <t xml:space="preserve">CDM02 - MORENO 2              </t>
        </is>
      </c>
      <c r="C1196" t="inlineStr">
        <is>
          <t xml:space="preserve">GRUPO L.                      </t>
        </is>
      </c>
      <c r="D1196" s="11" t="inlineStr">
        <is>
          <t>ATUN A/N DESMEN</t>
        </is>
      </c>
      <c r="E1196" t="inlineStr">
        <is>
          <t xml:space="preserve">7795933000298       </t>
        </is>
      </c>
      <c r="F1196" t="n">
        <v>4020204</v>
      </c>
      <c r="G1196" t="inlineStr">
        <is>
          <t xml:space="preserve">ATUN A/N DESM X170 G BAHIA         </t>
        </is>
      </c>
      <c r="H1196" t="inlineStr">
        <is>
          <t xml:space="preserve">UNIDAD              </t>
        </is>
      </c>
      <c r="I1196" t="n">
        <v>1389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1389</v>
      </c>
      <c r="P1196" s="96">
        <f>_xlfn.XLOOKUP(Tabla5[[#This Row],[EAN CORREGIDO]],'Tabla Articulos'!B:B,'Tabla Articulos'!D:D)</f>
        <v/>
      </c>
      <c r="Q1196" s="96">
        <f>_xlfn.XLOOKUP(S1196,'Tabla Articulos'!B:B,'Tabla Articulos'!E:E)</f>
        <v/>
      </c>
      <c r="R1196" s="96">
        <f>O1196*Q1196</f>
        <v/>
      </c>
      <c r="S1196" s="97">
        <f>TRIM(E1196)</f>
        <v/>
      </c>
    </row>
    <row r="1197" hidden="1">
      <c r="A1197" s="22" t="n">
        <v>6</v>
      </c>
      <c r="B1197" t="inlineStr">
        <is>
          <t xml:space="preserve">CDM03 - MORENO 3              </t>
        </is>
      </c>
      <c r="C1197" t="inlineStr">
        <is>
          <t xml:space="preserve">GRUPO L.                      </t>
        </is>
      </c>
      <c r="E1197" t="inlineStr">
        <is>
          <t xml:space="preserve">UNIF000435          </t>
        </is>
      </c>
      <c r="F1197" t="n">
        <v>9003596</v>
      </c>
      <c r="G1197" t="inlineStr">
        <is>
          <t xml:space="preserve">CAMPERA TRUCKER A. MAR GL SUP S    </t>
        </is>
      </c>
      <c r="H1197" t="inlineStr">
        <is>
          <t xml:space="preserve">UNIDAD              </t>
        </is>
      </c>
      <c r="I1197" t="n">
        <v>64</v>
      </c>
      <c r="J1197" t="n">
        <v>0</v>
      </c>
      <c r="K1197" t="n">
        <v>0</v>
      </c>
      <c r="L1197" t="n">
        <v>3</v>
      </c>
      <c r="M1197" t="n">
        <v>3</v>
      </c>
      <c r="N1197" t="n">
        <v>0</v>
      </c>
      <c r="O1197" t="n">
        <v>58</v>
      </c>
      <c r="P1197" s="96">
        <f>_xlfn.XLOOKUP(Tabla5[[#This Row],[EAN CORREGIDO]],'Tabla Articulos'!B:B,'Tabla Articulos'!D:D)</f>
        <v/>
      </c>
      <c r="Q1197" s="96">
        <f>_xlfn.XLOOKUP(S1197,'Tabla Articulos'!B:B,'Tabla Articulos'!E:E)</f>
        <v/>
      </c>
      <c r="R1197" s="96">
        <f>O1197*Q1197</f>
        <v/>
      </c>
      <c r="S1197" s="97">
        <f>TRIM(E1197)</f>
        <v/>
      </c>
    </row>
    <row r="1198" hidden="1">
      <c r="A1198" s="22" t="n">
        <v>1</v>
      </c>
      <c r="B1198" t="inlineStr">
        <is>
          <t xml:space="preserve">CD MORENO                     </t>
        </is>
      </c>
      <c r="C1198" t="inlineStr">
        <is>
          <t xml:space="preserve">GRUPO L.                      </t>
        </is>
      </c>
      <c r="D1198" s="11" t="inlineStr">
        <is>
          <t>SAL GRUESA</t>
        </is>
      </c>
      <c r="E1198" t="inlineStr">
        <is>
          <t xml:space="preserve">7792900092676       </t>
        </is>
      </c>
      <c r="F1198" t="n">
        <v>4022403</v>
      </c>
      <c r="G1198" t="inlineStr">
        <is>
          <t xml:space="preserve">SAL GRUESA X500GR DOS ANCLAS       </t>
        </is>
      </c>
      <c r="H1198" t="inlineStr">
        <is>
          <t xml:space="preserve">UNIDAD              </t>
        </is>
      </c>
      <c r="I1198" t="n">
        <v>64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64</v>
      </c>
      <c r="P1198" s="96">
        <f>_xlfn.XLOOKUP(Tabla5[[#This Row],[EAN CORREGIDO]],'Tabla Articulos'!B:B,'Tabla Articulos'!D:D)</f>
        <v/>
      </c>
      <c r="Q1198" s="96">
        <f>_xlfn.XLOOKUP(S1198,'Tabla Articulos'!B:B,'Tabla Articulos'!E:E)</f>
        <v/>
      </c>
      <c r="R1198" s="96">
        <f>O1198*Q1198</f>
        <v/>
      </c>
      <c r="S1198" s="97">
        <f>TRIM(E1198)</f>
        <v/>
      </c>
    </row>
    <row r="1199" hidden="1">
      <c r="A1199" s="22" t="n">
        <v>5</v>
      </c>
      <c r="B1199" t="inlineStr">
        <is>
          <t xml:space="preserve">CDM02 - MORENO 2              </t>
        </is>
      </c>
      <c r="C1199" t="inlineStr">
        <is>
          <t xml:space="preserve">GRUPO L.                      </t>
        </is>
      </c>
      <c r="D1199" s="11" t="inlineStr">
        <is>
          <t>GALLE LIMON INDIV</t>
        </is>
      </c>
      <c r="E1199" t="inlineStr">
        <is>
          <t xml:space="preserve">7798188380214       </t>
        </is>
      </c>
      <c r="F1199" t="n">
        <v>4024052</v>
      </c>
      <c r="G1199" t="inlineStr">
        <is>
          <t xml:space="preserve">GALLE IND LIMON 25G CAUTIVA        </t>
        </is>
      </c>
      <c r="H1199" t="inlineStr">
        <is>
          <t xml:space="preserve">UNIDAD              </t>
        </is>
      </c>
      <c r="I1199" t="n">
        <v>48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48</v>
      </c>
      <c r="P1199" s="96">
        <f>_xlfn.XLOOKUP(Tabla5[[#This Row],[EAN CORREGIDO]],'Tabla Articulos'!B:B,'Tabla Articulos'!D:D)</f>
        <v/>
      </c>
      <c r="Q1199" s="96">
        <f>_xlfn.XLOOKUP(S1199,'Tabla Articulos'!B:B,'Tabla Articulos'!E:E)</f>
        <v/>
      </c>
      <c r="R1199" s="96">
        <f>O1199*Q1199</f>
        <v/>
      </c>
      <c r="S1199" s="97">
        <f>TRIM(E1199)</f>
        <v/>
      </c>
    </row>
    <row r="1200" hidden="1">
      <c r="A1200" s="22" t="n">
        <v>1</v>
      </c>
      <c r="B1200" t="inlineStr">
        <is>
          <t xml:space="preserve">CD MORENO                     </t>
        </is>
      </c>
      <c r="C1200" t="inlineStr">
        <is>
          <t xml:space="preserve">GRUPO L.                      </t>
        </is>
      </c>
      <c r="D1200" s="11" t="inlineStr">
        <is>
          <t>GALLE LIMON INDIV</t>
        </is>
      </c>
      <c r="E1200" t="inlineStr">
        <is>
          <t xml:space="preserve">7798188380214       </t>
        </is>
      </c>
      <c r="F1200" t="n">
        <v>4024052</v>
      </c>
      <c r="G1200" t="inlineStr">
        <is>
          <t xml:space="preserve">GALLE IND LIMON 25G CAUTIVA        </t>
        </is>
      </c>
      <c r="H1200" t="inlineStr">
        <is>
          <t xml:space="preserve">UNIDAD              </t>
        </is>
      </c>
      <c r="I1200" t="n">
        <v>7218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7218</v>
      </c>
      <c r="P1200" s="96">
        <f>_xlfn.XLOOKUP(Tabla5[[#This Row],[EAN CORREGIDO]],'Tabla Articulos'!B:B,'Tabla Articulos'!D:D)</f>
        <v/>
      </c>
      <c r="Q1200" s="96">
        <f>_xlfn.XLOOKUP(S1200,'Tabla Articulos'!B:B,'Tabla Articulos'!E:E)</f>
        <v/>
      </c>
      <c r="R1200" s="96">
        <f>O1200*Q1200</f>
        <v/>
      </c>
      <c r="S1200" s="97">
        <f>TRIM(E1200)</f>
        <v/>
      </c>
    </row>
    <row r="1201" hidden="1">
      <c r="A1201" s="22" t="n">
        <v>6</v>
      </c>
      <c r="B1201" t="inlineStr">
        <is>
          <t xml:space="preserve">CDM03 - MORENO 3              </t>
        </is>
      </c>
      <c r="C1201" t="inlineStr">
        <is>
          <t xml:space="preserve">GRUPO L.                      </t>
        </is>
      </c>
      <c r="D1201" s="11" t="n"/>
      <c r="E1201" t="inlineStr">
        <is>
          <t xml:space="preserve">UNIF000510          </t>
        </is>
      </c>
      <c r="F1201" t="n">
        <v>9003393</v>
      </c>
      <c r="G1201" t="inlineStr">
        <is>
          <t xml:space="preserve">CAMPERA POLAR NEGRA S GL. SUP      </t>
        </is>
      </c>
      <c r="H1201" t="inlineStr">
        <is>
          <t xml:space="preserve">UNIDAD              </t>
        </is>
      </c>
      <c r="I1201" t="n">
        <v>0</v>
      </c>
      <c r="J1201" t="n">
        <v>150</v>
      </c>
      <c r="K1201" t="n">
        <v>0</v>
      </c>
      <c r="L1201" t="n">
        <v>7</v>
      </c>
      <c r="M1201" t="n">
        <v>7</v>
      </c>
      <c r="N1201" t="n">
        <v>0</v>
      </c>
      <c r="O1201" t="n">
        <v>136</v>
      </c>
      <c r="P1201" s="96">
        <f>_xlfn.XLOOKUP(Tabla5[[#This Row],[EAN CORREGIDO]],'Tabla Articulos'!B:B,'Tabla Articulos'!D:D)</f>
        <v/>
      </c>
      <c r="Q1201" s="96">
        <f>_xlfn.XLOOKUP(S1201,'Tabla Articulos'!B:B,'Tabla Articulos'!E:E)</f>
        <v/>
      </c>
      <c r="R1201" s="96">
        <f>O1201*Q1201</f>
        <v/>
      </c>
      <c r="S1201" s="97">
        <f>TRIM(E1201)</f>
        <v/>
      </c>
    </row>
    <row r="1202" hidden="1">
      <c r="A1202" s="22" t="n">
        <v>6</v>
      </c>
      <c r="B1202" t="inlineStr">
        <is>
          <t xml:space="preserve">CDM03 - MORENO 3              </t>
        </is>
      </c>
      <c r="C1202" t="inlineStr">
        <is>
          <t xml:space="preserve">GRUPO L.                      </t>
        </is>
      </c>
      <c r="E1202" t="inlineStr">
        <is>
          <t xml:space="preserve">7798090050236       </t>
        </is>
      </c>
      <c r="F1202" t="n">
        <v>2007218</v>
      </c>
      <c r="G1202" t="inlineStr">
        <is>
          <t xml:space="preserve">DETERGENTE LAVAVAJILLA 5LTX4U      </t>
        </is>
      </c>
      <c r="H1202" t="inlineStr">
        <is>
          <t xml:space="preserve">BULTOS              </t>
        </is>
      </c>
      <c r="I1202" t="n">
        <v>17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17</v>
      </c>
      <c r="P1202" s="96">
        <f>_xlfn.XLOOKUP(Tabla5[[#This Row],[EAN CORREGIDO]],'Tabla Articulos'!B:B,'Tabla Articulos'!D:D)</f>
        <v/>
      </c>
      <c r="Q1202" s="96">
        <f>_xlfn.XLOOKUP(S1202,'Tabla Articulos'!B:B,'Tabla Articulos'!E:E)</f>
        <v/>
      </c>
      <c r="R1202" s="96">
        <f>O1202*Q1202</f>
        <v/>
      </c>
      <c r="S1202" s="97">
        <f>TRIM(E1202)</f>
        <v/>
      </c>
    </row>
    <row r="1203" hidden="1">
      <c r="A1203" s="22" t="n">
        <v>6</v>
      </c>
      <c r="B1203" t="inlineStr">
        <is>
          <t xml:space="preserve">CDM03 - MORENO 3              </t>
        </is>
      </c>
      <c r="C1203" t="inlineStr">
        <is>
          <t xml:space="preserve">GRUPO L.                      </t>
        </is>
      </c>
      <c r="E1203" t="inlineStr">
        <is>
          <t xml:space="preserve">UNIF000393          </t>
        </is>
      </c>
      <c r="F1203" t="n">
        <v>9003512</v>
      </c>
      <c r="G1203" t="inlineStr">
        <is>
          <t xml:space="preserve">PANTALON DE VESTIR NEGRO 5         </t>
        </is>
      </c>
      <c r="H1203" t="inlineStr">
        <is>
          <t xml:space="preserve">UNIDAD              </t>
        </is>
      </c>
      <c r="I1203" t="n">
        <v>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9</v>
      </c>
      <c r="P1203" s="96">
        <f>_xlfn.XLOOKUP(Tabla5[[#This Row],[EAN CORREGIDO]],'Tabla Articulos'!B:B,'Tabla Articulos'!D:D)</f>
        <v/>
      </c>
      <c r="Q1203" s="96">
        <f>_xlfn.XLOOKUP(S1203,'Tabla Articulos'!B:B,'Tabla Articulos'!E:E)</f>
        <v/>
      </c>
      <c r="R1203" s="96">
        <f>O1203*Q1203</f>
        <v/>
      </c>
      <c r="S1203" s="97">
        <f>TRIM(E1203)</f>
        <v/>
      </c>
    </row>
    <row r="1204" hidden="1">
      <c r="A1204" s="22" t="n">
        <v>1</v>
      </c>
      <c r="B1204" t="inlineStr">
        <is>
          <t xml:space="preserve">CD MORENO                     </t>
        </is>
      </c>
      <c r="C1204" t="inlineStr">
        <is>
          <t xml:space="preserve">GRUPO L.                      </t>
        </is>
      </c>
      <c r="D1204" t="inlineStr">
        <is>
          <t>AJO MOLIDO</t>
        </is>
      </c>
      <c r="E1204" t="inlineStr">
        <is>
          <t xml:space="preserve">7793875321341       </t>
        </is>
      </c>
      <c r="F1204" t="n">
        <v>4020625</v>
      </c>
      <c r="G1204" t="inlineStr">
        <is>
          <t xml:space="preserve">AJO EN POLVO X1KG AROMAS           </t>
        </is>
      </c>
      <c r="H1204" t="inlineStr">
        <is>
          <t xml:space="preserve">UNIDAD              </t>
        </is>
      </c>
      <c r="I1204" t="n">
        <v>81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81</v>
      </c>
      <c r="P1204" s="96">
        <f>_xlfn.XLOOKUP(Tabla5[[#This Row],[EAN CORREGIDO]],'Tabla Articulos'!B:B,'Tabla Articulos'!D:D)</f>
        <v/>
      </c>
      <c r="Q1204" s="96">
        <f>_xlfn.XLOOKUP(S1204,'Tabla Articulos'!B:B,'Tabla Articulos'!E:E)</f>
        <v/>
      </c>
      <c r="R1204" s="96">
        <f>O1204*Q1204</f>
        <v/>
      </c>
      <c r="S1204" s="97">
        <f>TRIM(E1204)</f>
        <v/>
      </c>
    </row>
    <row r="1205" hidden="1">
      <c r="A1205" s="22" t="n">
        <v>5</v>
      </c>
      <c r="B1205" t="inlineStr">
        <is>
          <t xml:space="preserve">CDM02 - MORENO 2              </t>
        </is>
      </c>
      <c r="C1205" t="inlineStr">
        <is>
          <t xml:space="preserve">GRUPO L.                      </t>
        </is>
      </c>
      <c r="D1205" s="11" t="inlineStr">
        <is>
          <t>SIDRA</t>
        </is>
      </c>
      <c r="E1205" t="inlineStr">
        <is>
          <t xml:space="preserve">7790154008122       </t>
        </is>
      </c>
      <c r="F1205" t="n">
        <v>4017394</v>
      </c>
      <c r="G1205" t="inlineStr">
        <is>
          <t xml:space="preserve">SIDRA PERA X750ML 1930             </t>
        </is>
      </c>
      <c r="H1205" t="inlineStr">
        <is>
          <t xml:space="preserve">UNIDAD              </t>
        </is>
      </c>
      <c r="I1205" t="n">
        <v>1564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1564</v>
      </c>
      <c r="P1205" s="96">
        <f>_xlfn.XLOOKUP(Tabla5[[#This Row],[EAN CORREGIDO]],'Tabla Articulos'!B:B,'Tabla Articulos'!D:D)</f>
        <v/>
      </c>
      <c r="Q1205" s="96">
        <f>_xlfn.XLOOKUP(S1205,'Tabla Articulos'!B:B,'Tabla Articulos'!E:E)</f>
        <v/>
      </c>
      <c r="R1205" s="96">
        <f>O1205*Q1205</f>
        <v/>
      </c>
      <c r="S1205" s="97">
        <f>TRIM(E1205)</f>
        <v/>
      </c>
    </row>
    <row r="1206" hidden="1">
      <c r="A1206" s="22" t="n">
        <v>1</v>
      </c>
      <c r="B1206" t="inlineStr">
        <is>
          <t xml:space="preserve">CD MORENO                     </t>
        </is>
      </c>
      <c r="C1206" t="inlineStr">
        <is>
          <t xml:space="preserve">GRUPO L.                      </t>
        </is>
      </c>
      <c r="D1206" t="inlineStr">
        <is>
          <t>SIDRA</t>
        </is>
      </c>
      <c r="E1206" t="inlineStr">
        <is>
          <t xml:space="preserve">7790154008122       </t>
        </is>
      </c>
      <c r="F1206" t="n">
        <v>4017394</v>
      </c>
      <c r="G1206" t="inlineStr">
        <is>
          <t xml:space="preserve">SIDRA PERA X750ML 1930             </t>
        </is>
      </c>
      <c r="H1206" t="inlineStr">
        <is>
          <t xml:space="preserve">UNIDAD              </t>
        </is>
      </c>
      <c r="I1206" t="n">
        <v>12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12</v>
      </c>
      <c r="P1206" s="96">
        <f>_xlfn.XLOOKUP(Tabla5[[#This Row],[EAN CORREGIDO]],'Tabla Articulos'!B:B,'Tabla Articulos'!D:D)</f>
        <v/>
      </c>
      <c r="Q1206" s="96">
        <f>_xlfn.XLOOKUP(S1206,'Tabla Articulos'!B:B,'Tabla Articulos'!E:E)</f>
        <v/>
      </c>
      <c r="R1206" s="96">
        <f>O1206*Q1206</f>
        <v/>
      </c>
      <c r="S1206" s="97">
        <f>TRIM(E1206)</f>
        <v/>
      </c>
    </row>
    <row r="1207" hidden="1">
      <c r="A1207" s="22" t="n">
        <v>6</v>
      </c>
      <c r="B1207" t="inlineStr">
        <is>
          <t xml:space="preserve">CDM03 - MORENO 3              </t>
        </is>
      </c>
      <c r="C1207" t="inlineStr">
        <is>
          <t xml:space="preserve">GRUPO L.                      </t>
        </is>
      </c>
      <c r="D1207" s="11" t="inlineStr">
        <is>
          <t>CHOMBA MUJER PIQUE</t>
        </is>
      </c>
      <c r="E1207" t="inlineStr">
        <is>
          <t xml:space="preserve">7790000000797       </t>
        </is>
      </c>
      <c r="F1207" t="n">
        <v>9004293</v>
      </c>
      <c r="G1207" t="inlineStr">
        <is>
          <t xml:space="preserve">CHOMBA MJ PIQ GRIS L GL SUP.       </t>
        </is>
      </c>
      <c r="H1207" t="inlineStr">
        <is>
          <t xml:space="preserve">UNIDAD              </t>
        </is>
      </c>
      <c r="I1207" t="n">
        <v>0</v>
      </c>
      <c r="J1207" t="n">
        <v>40</v>
      </c>
      <c r="K1207" t="n">
        <v>0</v>
      </c>
      <c r="L1207" t="n">
        <v>2</v>
      </c>
      <c r="M1207" t="n">
        <v>2</v>
      </c>
      <c r="N1207" t="n">
        <v>0</v>
      </c>
      <c r="O1207" t="n">
        <v>36</v>
      </c>
      <c r="P1207" s="96">
        <f>_xlfn.XLOOKUP(Tabla5[[#This Row],[EAN CORREGIDO]],'Tabla Articulos'!B:B,'Tabla Articulos'!D:D)</f>
        <v/>
      </c>
      <c r="Q1207" s="96">
        <f>_xlfn.XLOOKUP(S1207,'Tabla Articulos'!B:B,'Tabla Articulos'!E:E)</f>
        <v/>
      </c>
      <c r="R1207" s="96">
        <f>O1207*Q1207</f>
        <v/>
      </c>
      <c r="S1207" s="97">
        <f>TRIM(E1207)</f>
        <v/>
      </c>
    </row>
    <row r="1208" hidden="1">
      <c r="A1208" s="22" t="n">
        <v>6</v>
      </c>
      <c r="B1208" t="inlineStr">
        <is>
          <t xml:space="preserve">CDM03 - MORENO 3              </t>
        </is>
      </c>
      <c r="C1208" t="inlineStr">
        <is>
          <t xml:space="preserve">GRUPO L.                      </t>
        </is>
      </c>
      <c r="E1208" t="inlineStr">
        <is>
          <t xml:space="preserve">100ND43             </t>
        </is>
      </c>
      <c r="F1208" t="n">
        <v>9004410</v>
      </c>
      <c r="G1208" t="inlineStr">
        <is>
          <t xml:space="preserve">GL ZAPATO SEG. NEG. 43 GAMAX       </t>
        </is>
      </c>
      <c r="H1208" t="inlineStr">
        <is>
          <t xml:space="preserve">UNIDAD              </t>
        </is>
      </c>
      <c r="I1208" t="n">
        <v>0</v>
      </c>
      <c r="J1208" t="n">
        <v>45</v>
      </c>
      <c r="K1208" t="n">
        <v>0</v>
      </c>
      <c r="L1208" t="n">
        <v>22</v>
      </c>
      <c r="M1208" t="n">
        <v>22</v>
      </c>
      <c r="N1208" t="n">
        <v>0</v>
      </c>
      <c r="O1208" t="n">
        <v>1</v>
      </c>
      <c r="P1208" s="96">
        <f>_xlfn.XLOOKUP(Tabla5[[#This Row],[EAN CORREGIDO]],'Tabla Articulos'!B:B,'Tabla Articulos'!D:D)</f>
        <v/>
      </c>
      <c r="Q1208" s="96">
        <f>_xlfn.XLOOKUP(S1208,'Tabla Articulos'!B:B,'Tabla Articulos'!E:E)</f>
        <v/>
      </c>
      <c r="R1208" s="96">
        <f>O1208*Q1208</f>
        <v/>
      </c>
      <c r="S1208" s="97">
        <f>TRIM(E1208)</f>
        <v/>
      </c>
    </row>
    <row r="1209" hidden="1">
      <c r="A1209" s="22" t="n">
        <v>1</v>
      </c>
      <c r="B1209" t="inlineStr">
        <is>
          <t xml:space="preserve">CD MORENO                     </t>
        </is>
      </c>
      <c r="C1209" t="inlineStr">
        <is>
          <t xml:space="preserve">GRUPO L.                      </t>
        </is>
      </c>
      <c r="D1209" t="inlineStr">
        <is>
          <t>CANELA MOLIDA</t>
        </is>
      </c>
      <c r="E1209" t="inlineStr">
        <is>
          <t xml:space="preserve">7793875312103       </t>
        </is>
      </c>
      <c r="F1209" t="n">
        <v>4020219</v>
      </c>
      <c r="G1209" t="inlineStr">
        <is>
          <t xml:space="preserve">CANELA MOLIDA X 25 G AROMAS        </t>
        </is>
      </c>
      <c r="H1209" t="inlineStr">
        <is>
          <t xml:space="preserve">UNIDAD              </t>
        </is>
      </c>
      <c r="I1209" t="n">
        <v>10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10</v>
      </c>
      <c r="P1209" s="96">
        <f>_xlfn.XLOOKUP(Tabla5[[#This Row],[EAN CORREGIDO]],'Tabla Articulos'!B:B,'Tabla Articulos'!D:D)</f>
        <v/>
      </c>
      <c r="Q1209" s="96">
        <f>_xlfn.XLOOKUP(S1209,'Tabla Articulos'!B:B,'Tabla Articulos'!E:E)</f>
        <v/>
      </c>
      <c r="R1209" s="96">
        <f>O1209*Q1209</f>
        <v/>
      </c>
      <c r="S1209" s="97">
        <f>TRIM(E1209)</f>
        <v/>
      </c>
    </row>
    <row r="1210" hidden="1">
      <c r="A1210" s="22" t="n">
        <v>5</v>
      </c>
      <c r="B1210" t="inlineStr">
        <is>
          <t xml:space="preserve">CDM02 - MORENO 2              </t>
        </is>
      </c>
      <c r="C1210" t="inlineStr">
        <is>
          <t xml:space="preserve">GRUPO L.                      </t>
        </is>
      </c>
      <c r="D1210" t="inlineStr">
        <is>
          <t>CANELA MOLIDA</t>
        </is>
      </c>
      <c r="E1210" t="inlineStr">
        <is>
          <t xml:space="preserve">7793875312103       </t>
        </is>
      </c>
      <c r="F1210" t="n">
        <v>4020219</v>
      </c>
      <c r="G1210" t="inlineStr">
        <is>
          <t xml:space="preserve">CANELA MOLIDA X 25 G AROMAS        </t>
        </is>
      </c>
      <c r="H1210" t="inlineStr">
        <is>
          <t xml:space="preserve">UNIDAD              </t>
        </is>
      </c>
      <c r="I1210" t="n">
        <v>14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14</v>
      </c>
      <c r="P1210" s="96">
        <f>_xlfn.XLOOKUP(Tabla5[[#This Row],[EAN CORREGIDO]],'Tabla Articulos'!B:B,'Tabla Articulos'!D:D)</f>
        <v/>
      </c>
      <c r="Q1210" s="96">
        <f>_xlfn.XLOOKUP(S1210,'Tabla Articulos'!B:B,'Tabla Articulos'!E:E)</f>
        <v/>
      </c>
      <c r="R1210" s="96">
        <f>O1210*Q1210</f>
        <v/>
      </c>
      <c r="S1210" s="97">
        <f>TRIM(E1210)</f>
        <v/>
      </c>
    </row>
    <row r="1211" hidden="1">
      <c r="A1211" s="22" t="n">
        <v>6</v>
      </c>
      <c r="B1211" t="inlineStr">
        <is>
          <t xml:space="preserve">CDM03 - MORENO 3              </t>
        </is>
      </c>
      <c r="C1211" t="inlineStr">
        <is>
          <t xml:space="preserve">GRUPO L.                      </t>
        </is>
      </c>
      <c r="E1211" t="inlineStr">
        <is>
          <t xml:space="preserve">UNIF000239          </t>
        </is>
      </c>
      <c r="F1211" t="n">
        <v>9003507</v>
      </c>
      <c r="G1211" t="inlineStr">
        <is>
          <t xml:space="preserve">PANTAL NAUT BLANCO SIN LOGO - T1   </t>
        </is>
      </c>
      <c r="H1211" t="inlineStr">
        <is>
          <t xml:space="preserve">UNIDAD              </t>
        </is>
      </c>
      <c r="I1211" t="n">
        <v>81</v>
      </c>
      <c r="J1211" t="n">
        <v>0</v>
      </c>
      <c r="K1211" t="n">
        <v>0</v>
      </c>
      <c r="L1211" t="n">
        <v>1</v>
      </c>
      <c r="M1211" t="n">
        <v>1</v>
      </c>
      <c r="N1211" t="n">
        <v>0</v>
      </c>
      <c r="O1211" t="n">
        <v>79</v>
      </c>
      <c r="P1211" s="96">
        <f>_xlfn.XLOOKUP(Tabla5[[#This Row],[EAN CORREGIDO]],'Tabla Articulos'!B:B,'Tabla Articulos'!D:D)</f>
        <v/>
      </c>
      <c r="Q1211" s="96">
        <f>_xlfn.XLOOKUP(S1211,'Tabla Articulos'!B:B,'Tabla Articulos'!E:E)</f>
        <v/>
      </c>
      <c r="R1211" s="96">
        <f>O1211*Q1211</f>
        <v/>
      </c>
      <c r="S1211" s="97">
        <f>TRIM(E1211)</f>
        <v/>
      </c>
    </row>
    <row r="1212" hidden="1">
      <c r="A1212" s="22" t="n">
        <v>6</v>
      </c>
      <c r="B1212" t="inlineStr">
        <is>
          <t xml:space="preserve">CDM03 - MORENO 3              </t>
        </is>
      </c>
      <c r="C1212" t="inlineStr">
        <is>
          <t xml:space="preserve">GRUPO L.                      </t>
        </is>
      </c>
      <c r="D1212" t="inlineStr">
        <is>
          <t>TRAPOS DE PISO</t>
        </is>
      </c>
      <c r="E1212" t="inlineStr">
        <is>
          <t xml:space="preserve">7798011944130       </t>
        </is>
      </c>
      <c r="F1212" t="n">
        <v>2006726</v>
      </c>
      <c r="G1212" t="inlineStr">
        <is>
          <t xml:space="preserve">PAÑO ROJO P/PISO 17¨XU             </t>
        </is>
      </c>
      <c r="H1212" t="inlineStr">
        <is>
          <t xml:space="preserve">UNIDAD              </t>
        </is>
      </c>
      <c r="I1212" t="n">
        <v>188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188</v>
      </c>
      <c r="P1212" s="96">
        <f>_xlfn.XLOOKUP(Tabla5[[#This Row],[EAN CORREGIDO]],'Tabla Articulos'!B:B,'Tabla Articulos'!D:D)</f>
        <v/>
      </c>
      <c r="Q1212" s="96">
        <f>_xlfn.XLOOKUP(S1212,'Tabla Articulos'!B:B,'Tabla Articulos'!E:E)</f>
        <v/>
      </c>
      <c r="R1212" s="96">
        <f>O1212*Q1212</f>
        <v/>
      </c>
      <c r="S1212" s="97">
        <f>TRIM(E1212)</f>
        <v/>
      </c>
    </row>
    <row r="1213" hidden="1">
      <c r="A1213" s="22" t="n">
        <v>1</v>
      </c>
      <c r="B1213" t="inlineStr">
        <is>
          <t xml:space="preserve">CD MORENO                     </t>
        </is>
      </c>
      <c r="C1213" t="inlineStr">
        <is>
          <t xml:space="preserve">GRUPO L.                      </t>
        </is>
      </c>
      <c r="D1213" t="inlineStr">
        <is>
          <t>TOMILLO S/TACC</t>
        </is>
      </c>
      <c r="E1213" t="inlineStr">
        <is>
          <t xml:space="preserve">7790150600344       </t>
        </is>
      </c>
      <c r="F1213" t="n">
        <v>4076839</v>
      </c>
      <c r="G1213" t="inlineStr">
        <is>
          <t xml:space="preserve">TOMILLO X10GR ALICANTE             </t>
        </is>
      </c>
      <c r="H1213" t="inlineStr">
        <is>
          <t xml:space="preserve">UNIDAD              </t>
        </is>
      </c>
      <c r="I1213" t="n">
        <v>288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288</v>
      </c>
      <c r="P1213" s="96">
        <f>_xlfn.XLOOKUP(Tabla5[[#This Row],[EAN CORREGIDO]],'Tabla Articulos'!B:B,'Tabla Articulos'!D:D)</f>
        <v/>
      </c>
      <c r="Q1213" s="96">
        <f>_xlfn.XLOOKUP(S1213,'Tabla Articulos'!B:B,'Tabla Articulos'!E:E)</f>
        <v/>
      </c>
      <c r="R1213" s="96">
        <f>O1213*Q1213</f>
        <v/>
      </c>
      <c r="S1213" s="97">
        <f>TRIM(E1213)</f>
        <v/>
      </c>
    </row>
    <row r="1214" hidden="1">
      <c r="A1214" s="22" t="n">
        <v>5</v>
      </c>
      <c r="B1214" t="inlineStr">
        <is>
          <t xml:space="preserve">CDM02 - MORENO 2              </t>
        </is>
      </c>
      <c r="C1214" t="inlineStr">
        <is>
          <t xml:space="preserve">GRUPO L.                      </t>
        </is>
      </c>
      <c r="D1214" s="11" t="inlineStr">
        <is>
          <t>CAJAS CARTON</t>
        </is>
      </c>
      <c r="E1214" t="inlineStr">
        <is>
          <t xml:space="preserve">7790321626929       </t>
        </is>
      </c>
      <c r="F1214" t="n">
        <v>2006278</v>
      </c>
      <c r="G1214" t="inlineStr">
        <is>
          <t xml:space="preserve">CAJA 300X180X280 90LIB S/LOGO      </t>
        </is>
      </c>
      <c r="H1214" t="inlineStr">
        <is>
          <t xml:space="preserve">UNIDAD              </t>
        </is>
      </c>
      <c r="I1214" t="n">
        <v>4435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4435</v>
      </c>
      <c r="P1214" s="96">
        <f>_xlfn.XLOOKUP(Tabla5[[#This Row],[EAN CORREGIDO]],'Tabla Articulos'!B:B,'Tabla Articulos'!D:D)</f>
        <v/>
      </c>
      <c r="Q1214" s="96">
        <f>_xlfn.XLOOKUP(S1214,'Tabla Articulos'!B:B,'Tabla Articulos'!E:E)</f>
        <v/>
      </c>
      <c r="R1214" s="96">
        <f>O1214*Q1214</f>
        <v/>
      </c>
      <c r="S1214" s="97">
        <f>TRIM(E1214)</f>
        <v/>
      </c>
    </row>
    <row r="1215" hidden="1">
      <c r="A1215" s="22" t="n">
        <v>6</v>
      </c>
      <c r="B1215" t="inlineStr">
        <is>
          <t xml:space="preserve">CDM03 - MORENO 3              </t>
        </is>
      </c>
      <c r="C1215" t="inlineStr">
        <is>
          <t xml:space="preserve">GRUPO L.                      </t>
        </is>
      </c>
      <c r="E1215" t="inlineStr">
        <is>
          <t xml:space="preserve">UNIF000011          </t>
        </is>
      </c>
      <c r="F1215" t="n">
        <v>9003042</v>
      </c>
      <c r="G1215" t="inlineStr">
        <is>
          <t xml:space="preserve">AMBO A. MAR. GL SUP ESC V XL       </t>
        </is>
      </c>
      <c r="H1215" t="inlineStr">
        <is>
          <t xml:space="preserve">UNIDAD              </t>
        </is>
      </c>
      <c r="I1215" t="n">
        <v>58</v>
      </c>
      <c r="J1215" t="n">
        <v>30</v>
      </c>
      <c r="K1215" t="n">
        <v>0</v>
      </c>
      <c r="L1215" t="n">
        <v>2</v>
      </c>
      <c r="M1215" t="n">
        <v>2</v>
      </c>
      <c r="N1215" t="n">
        <v>0</v>
      </c>
      <c r="O1215" t="n">
        <v>84</v>
      </c>
      <c r="P1215" s="96">
        <f>_xlfn.XLOOKUP(Tabla5[[#This Row],[EAN CORREGIDO]],'Tabla Articulos'!B:B,'Tabla Articulos'!D:D)</f>
        <v/>
      </c>
      <c r="Q1215" s="96">
        <f>_xlfn.XLOOKUP(S1215,'Tabla Articulos'!B:B,'Tabla Articulos'!E:E)</f>
        <v/>
      </c>
      <c r="R1215" s="96">
        <f>O1215*Q1215</f>
        <v/>
      </c>
      <c r="S1215" s="97">
        <f>TRIM(E1215)</f>
        <v/>
      </c>
    </row>
    <row r="1216" hidden="1">
      <c r="A1216" s="22" t="n">
        <v>5</v>
      </c>
      <c r="B1216" t="inlineStr">
        <is>
          <t xml:space="preserve">CDM02 - MORENO 2              </t>
        </is>
      </c>
      <c r="C1216" t="inlineStr">
        <is>
          <t xml:space="preserve">GRUPO L.                      </t>
        </is>
      </c>
      <c r="D1216" t="inlineStr">
        <is>
          <t>DURAZNO MITAD LATA</t>
        </is>
      </c>
      <c r="E1216" t="inlineStr">
        <is>
          <t xml:space="preserve">7790500005065       </t>
        </is>
      </c>
      <c r="F1216" t="n">
        <v>4019838</v>
      </c>
      <c r="G1216" t="inlineStr">
        <is>
          <t xml:space="preserve">DURAZNO EN ALMIBAR X820G SILVIA    </t>
        </is>
      </c>
      <c r="H1216" t="inlineStr">
        <is>
          <t xml:space="preserve">UNIDAD              </t>
        </is>
      </c>
      <c r="I1216" t="n">
        <v>27398</v>
      </c>
      <c r="J1216" t="n">
        <v>0</v>
      </c>
      <c r="K1216" t="n">
        <v>0</v>
      </c>
      <c r="L1216" t="n">
        <v>3</v>
      </c>
      <c r="M1216" t="n">
        <v>3</v>
      </c>
      <c r="N1216" t="n">
        <v>0</v>
      </c>
      <c r="O1216" t="n">
        <v>27392</v>
      </c>
      <c r="P1216" s="96">
        <f>_xlfn.XLOOKUP(Tabla5[[#This Row],[EAN CORREGIDO]],'Tabla Articulos'!B:B,'Tabla Articulos'!D:D)</f>
        <v/>
      </c>
      <c r="Q1216" s="96">
        <f>_xlfn.XLOOKUP(S1216,'Tabla Articulos'!B:B,'Tabla Articulos'!E:E)</f>
        <v/>
      </c>
      <c r="R1216" s="96">
        <f>O1216*Q1216</f>
        <v/>
      </c>
      <c r="S1216" s="97">
        <f>TRIM(E1216)</f>
        <v/>
      </c>
    </row>
    <row r="1217" hidden="1">
      <c r="A1217" s="22" t="n">
        <v>6</v>
      </c>
      <c r="B1217" t="inlineStr">
        <is>
          <t xml:space="preserve">CDM03 - MORENO 3              </t>
        </is>
      </c>
      <c r="C1217" t="inlineStr">
        <is>
          <t xml:space="preserve">GRUPO L.                      </t>
        </is>
      </c>
      <c r="E1217" t="inlineStr">
        <is>
          <t xml:space="preserve">UNIF000529          </t>
        </is>
      </c>
      <c r="F1217" t="n">
        <v>9003652</v>
      </c>
      <c r="G1217" t="inlineStr">
        <is>
          <t xml:space="preserve">SWEET.GRIS LANA GL SUP LIMP XXL    </t>
        </is>
      </c>
      <c r="H1217" t="inlineStr">
        <is>
          <t xml:space="preserve">UNIDAD              </t>
        </is>
      </c>
      <c r="I1217" t="n">
        <v>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6</v>
      </c>
      <c r="P1217" s="96">
        <f>_xlfn.XLOOKUP(Tabla5[[#This Row],[EAN CORREGIDO]],'Tabla Articulos'!B:B,'Tabla Articulos'!D:D)</f>
        <v/>
      </c>
      <c r="Q1217" s="96">
        <f>_xlfn.XLOOKUP(S1217,'Tabla Articulos'!B:B,'Tabla Articulos'!E:E)</f>
        <v/>
      </c>
      <c r="R1217" s="96">
        <f>O1217*Q1217</f>
        <v/>
      </c>
      <c r="S1217" s="97">
        <f>TRIM(E1217)</f>
        <v/>
      </c>
    </row>
    <row r="1218" hidden="1">
      <c r="A1218" s="22" t="n">
        <v>5</v>
      </c>
      <c r="B1218" t="inlineStr">
        <is>
          <t xml:space="preserve">CDM02 - MORENO 2              </t>
        </is>
      </c>
      <c r="C1218" t="inlineStr">
        <is>
          <t xml:space="preserve">GRUPO L.                      </t>
        </is>
      </c>
      <c r="D1218" t="inlineStr">
        <is>
          <t>GALLE CHOCOLATE</t>
        </is>
      </c>
      <c r="E1218" t="inlineStr">
        <is>
          <t xml:space="preserve">7790040143227       </t>
        </is>
      </c>
      <c r="F1218" t="n">
        <v>4018777</v>
      </c>
      <c r="G1218" t="inlineStr">
        <is>
          <t xml:space="preserve">GALLE CHOCOLATE X170G CHOCOLINAS   </t>
        </is>
      </c>
      <c r="H1218" t="inlineStr">
        <is>
          <t xml:space="preserve">UNIDAD              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1</v>
      </c>
      <c r="P1218" s="96">
        <f>_xlfn.XLOOKUP(Tabla5[[#This Row],[EAN CORREGIDO]],'Tabla Articulos'!B:B,'Tabla Articulos'!D:D)</f>
        <v/>
      </c>
      <c r="Q1218" s="96">
        <f>_xlfn.XLOOKUP(S1218,'Tabla Articulos'!B:B,'Tabla Articulos'!E:E)</f>
        <v/>
      </c>
      <c r="R1218" s="96">
        <f>O1218*Q1218</f>
        <v/>
      </c>
      <c r="S1218" s="97">
        <f>TRIM(E1218)</f>
        <v/>
      </c>
    </row>
    <row r="1219" hidden="1">
      <c r="A1219" s="22" t="n">
        <v>6</v>
      </c>
      <c r="B1219" t="inlineStr">
        <is>
          <t xml:space="preserve">CDM03 - MORENO 3              </t>
        </is>
      </c>
      <c r="C1219" t="inlineStr">
        <is>
          <t xml:space="preserve">GRUPO L.                      </t>
        </is>
      </c>
      <c r="E1219" t="inlineStr">
        <is>
          <t xml:space="preserve">UNIF000661          </t>
        </is>
      </c>
      <c r="F1219" t="n">
        <v>9003997</v>
      </c>
      <c r="G1219" t="inlineStr">
        <is>
          <t xml:space="preserve">PANTALON CARGO NEGRO 52            </t>
        </is>
      </c>
      <c r="H1219" t="inlineStr">
        <is>
          <t xml:space="preserve">UNIDAD              </t>
        </is>
      </c>
      <c r="I1219" t="n">
        <v>48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48</v>
      </c>
      <c r="P1219" s="96">
        <f>_xlfn.XLOOKUP(Tabla5[[#This Row],[EAN CORREGIDO]],'Tabla Articulos'!B:B,'Tabla Articulos'!D:D)</f>
        <v/>
      </c>
      <c r="Q1219" s="96">
        <f>_xlfn.XLOOKUP(S1219,'Tabla Articulos'!B:B,'Tabla Articulos'!E:E)</f>
        <v/>
      </c>
      <c r="R1219" s="96">
        <f>O1219*Q1219</f>
        <v/>
      </c>
      <c r="S1219" s="97">
        <f>TRIM(E1219)</f>
        <v/>
      </c>
    </row>
    <row r="1220" hidden="1">
      <c r="A1220" s="22" t="n">
        <v>1</v>
      </c>
      <c r="B1220" t="inlineStr">
        <is>
          <t xml:space="preserve">CD MORENO                     </t>
        </is>
      </c>
      <c r="C1220" t="inlineStr">
        <is>
          <t xml:space="preserve">GRUPO L.                      </t>
        </is>
      </c>
      <c r="D1220" s="11" t="inlineStr">
        <is>
          <t>LECHE POLVO DESC INDIV</t>
        </is>
      </c>
      <c r="E1220" t="inlineStr">
        <is>
          <t xml:space="preserve">7798011976300       </t>
        </is>
      </c>
      <c r="F1220" t="n">
        <v>4018231</v>
      </c>
      <c r="G1220" t="inlineStr">
        <is>
          <t xml:space="preserve">LECHE POLV IND DESCX 5G X100 ABE   </t>
        </is>
      </c>
      <c r="H1220" t="inlineStr">
        <is>
          <t xml:space="preserve">UNIDAD              </t>
        </is>
      </c>
      <c r="I1220" t="n">
        <v>27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27</v>
      </c>
      <c r="P1220" s="96">
        <f>_xlfn.XLOOKUP(Tabla5[[#This Row],[EAN CORREGIDO]],'Tabla Articulos'!B:B,'Tabla Articulos'!D:D)</f>
        <v/>
      </c>
      <c r="Q1220" s="96">
        <f>_xlfn.XLOOKUP(S1220,'Tabla Articulos'!B:B,'Tabla Articulos'!E:E)</f>
        <v/>
      </c>
      <c r="R1220" s="96">
        <f>O1220*Q1220</f>
        <v/>
      </c>
      <c r="S1220" s="97">
        <f>TRIM(E1220)</f>
        <v/>
      </c>
    </row>
    <row r="1221" hidden="1">
      <c r="A1221" s="22" t="n">
        <v>1</v>
      </c>
      <c r="B1221" t="inlineStr">
        <is>
          <t xml:space="preserve">CD MORENO                     </t>
        </is>
      </c>
      <c r="C1221" t="inlineStr">
        <is>
          <t xml:space="preserve">GRUPO L.                      </t>
        </is>
      </c>
      <c r="D1221" t="inlineStr">
        <is>
          <t>QUESO FRESCO</t>
        </is>
      </c>
      <c r="E1221" t="inlineStr">
        <is>
          <t xml:space="preserve">754697526823        </t>
        </is>
      </c>
      <c r="F1221" t="n">
        <v>4018280</v>
      </c>
      <c r="G1221" t="inlineStr">
        <is>
          <t xml:space="preserve">QUESO FRESCO X KG CASTELAR         </t>
        </is>
      </c>
      <c r="H1221" t="inlineStr">
        <is>
          <t xml:space="preserve">Kgs                 </t>
        </is>
      </c>
      <c r="I1221" t="n">
        <v>4000</v>
      </c>
      <c r="J1221" t="n">
        <v>0</v>
      </c>
      <c r="K1221" t="n">
        <v>0</v>
      </c>
      <c r="L1221" t="n">
        <v>671.525</v>
      </c>
      <c r="M1221" t="n">
        <v>671.525</v>
      </c>
      <c r="N1221" t="n">
        <v>0</v>
      </c>
      <c r="O1221" t="n">
        <v>2656.95</v>
      </c>
      <c r="P1221" s="96">
        <f>_xlfn.XLOOKUP(Tabla5[[#This Row],[EAN CORREGIDO]],'Tabla Articulos'!B:B,'Tabla Articulos'!D:D)</f>
        <v/>
      </c>
      <c r="Q1221" s="96">
        <f>_xlfn.XLOOKUP(S1221,'Tabla Articulos'!B:B,'Tabla Articulos'!E:E)</f>
        <v/>
      </c>
      <c r="R1221" s="96">
        <f>O1221*Q1221</f>
        <v/>
      </c>
      <c r="S1221" s="97">
        <f>TRIM(E1221)</f>
        <v/>
      </c>
    </row>
    <row r="1222" hidden="1">
      <c r="A1222" s="22" t="n">
        <v>6</v>
      </c>
      <c r="B1222" t="inlineStr">
        <is>
          <t xml:space="preserve">CDM03 - MORENO 3              </t>
        </is>
      </c>
      <c r="C1222" t="inlineStr">
        <is>
          <t xml:space="preserve">GRUPO L.                      </t>
        </is>
      </c>
      <c r="D1222" t="inlineStr">
        <is>
          <t>ROLLO DE PAPEL PARA DISPENSER</t>
        </is>
      </c>
      <c r="E1222" t="inlineStr">
        <is>
          <t xml:space="preserve">7790000000758       </t>
        </is>
      </c>
      <c r="F1222" t="n">
        <v>2016620</v>
      </c>
      <c r="G1222" t="inlineStr">
        <is>
          <t xml:space="preserve">BOBINA 300MX2U HS 2.4KG            </t>
        </is>
      </c>
      <c r="H1222" t="inlineStr">
        <is>
          <t xml:space="preserve">UNIDAD              </t>
        </is>
      </c>
      <c r="I1222" t="n">
        <v>495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495</v>
      </c>
      <c r="P1222" s="96">
        <f>_xlfn.XLOOKUP(Tabla5[[#This Row],[EAN CORREGIDO]],'Tabla Articulos'!B:B,'Tabla Articulos'!D:D)</f>
        <v/>
      </c>
      <c r="Q1222" s="96">
        <f>_xlfn.XLOOKUP(S1222,'Tabla Articulos'!B:B,'Tabla Articulos'!E:E)</f>
        <v/>
      </c>
      <c r="R1222" s="96">
        <f>O1222*Q1222</f>
        <v/>
      </c>
      <c r="S1222" s="97">
        <f>TRIM(E1222)</f>
        <v/>
      </c>
    </row>
    <row r="1223" hidden="1">
      <c r="A1223" s="22" t="n">
        <v>6</v>
      </c>
      <c r="B1223" t="inlineStr">
        <is>
          <t xml:space="preserve">CDM03 - MORENO 3              </t>
        </is>
      </c>
      <c r="C1223" t="inlineStr">
        <is>
          <t xml:space="preserve">GRUPO L.                      </t>
        </is>
      </c>
      <c r="E1223" t="inlineStr">
        <is>
          <t xml:space="preserve">UNIF000307          </t>
        </is>
      </c>
      <c r="F1223" t="n">
        <v>9003181</v>
      </c>
      <c r="G1223" t="inlineStr">
        <is>
          <t xml:space="preserve">REMERA C/RED AZUL MAR GRUPO L S    </t>
        </is>
      </c>
      <c r="H1223" t="inlineStr">
        <is>
          <t xml:space="preserve">UNIDAD              </t>
        </is>
      </c>
      <c r="I1223" t="n">
        <v>47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47</v>
      </c>
      <c r="P1223" s="96">
        <f>_xlfn.XLOOKUP(Tabla5[[#This Row],[EAN CORREGIDO]],'Tabla Articulos'!B:B,'Tabla Articulos'!D:D)</f>
        <v/>
      </c>
      <c r="Q1223" s="96">
        <f>_xlfn.XLOOKUP(S1223,'Tabla Articulos'!B:B,'Tabla Articulos'!E:E)</f>
        <v/>
      </c>
      <c r="R1223" s="96">
        <f>O1223*Q1223</f>
        <v/>
      </c>
      <c r="S1223" s="97">
        <f>TRIM(E1223)</f>
        <v/>
      </c>
    </row>
    <row r="1224" hidden="1">
      <c r="A1224" s="22" t="n">
        <v>5</v>
      </c>
      <c r="B1224" t="inlineStr">
        <is>
          <t xml:space="preserve">CDM02 - MORENO 2              </t>
        </is>
      </c>
      <c r="C1224" t="inlineStr">
        <is>
          <t xml:space="preserve">GRUPO L.                      </t>
        </is>
      </c>
      <c r="D1224" t="inlineStr">
        <is>
          <t>BARRAS CEREAL</t>
        </is>
      </c>
      <c r="E1224" t="inlineStr">
        <is>
          <t xml:space="preserve">7798188380160       </t>
        </is>
      </c>
      <c r="F1224" t="n">
        <v>4019022</v>
      </c>
      <c r="G1224" t="inlineStr">
        <is>
          <t xml:space="preserve">BARRA CEREAL X22G CAUTIVA          </t>
        </is>
      </c>
      <c r="H1224" t="inlineStr">
        <is>
          <t xml:space="preserve">UNIDAD              </t>
        </is>
      </c>
      <c r="I1224" t="n">
        <v>87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87</v>
      </c>
      <c r="P1224" s="96">
        <f>_xlfn.XLOOKUP(Tabla5[[#This Row],[EAN CORREGIDO]],'Tabla Articulos'!B:B,'Tabla Articulos'!D:D)</f>
        <v/>
      </c>
      <c r="Q1224" s="96">
        <f>_xlfn.XLOOKUP(S1224,'Tabla Articulos'!B:B,'Tabla Articulos'!E:E)</f>
        <v/>
      </c>
      <c r="R1224" s="96">
        <f>O1224*Q1224</f>
        <v/>
      </c>
      <c r="S1224" s="97">
        <f>TRIM(E1224)</f>
        <v/>
      </c>
    </row>
    <row r="1225" hidden="1">
      <c r="A1225" s="22" t="n">
        <v>1</v>
      </c>
      <c r="B1225" t="inlineStr">
        <is>
          <t xml:space="preserve">CD MORENO                     </t>
        </is>
      </c>
      <c r="C1225" t="inlineStr">
        <is>
          <t xml:space="preserve">GRUPO L.                      </t>
        </is>
      </c>
      <c r="D1225" t="inlineStr">
        <is>
          <t>BARRAS CEREAL</t>
        </is>
      </c>
      <c r="E1225" t="inlineStr">
        <is>
          <t xml:space="preserve">7798188380160       </t>
        </is>
      </c>
      <c r="F1225" t="n">
        <v>4019022</v>
      </c>
      <c r="G1225" t="inlineStr">
        <is>
          <t xml:space="preserve">BARRA CEREAL X22G CAUTIVA          </t>
        </is>
      </c>
      <c r="H1225" t="inlineStr">
        <is>
          <t xml:space="preserve">UNIDAD              </t>
        </is>
      </c>
      <c r="I1225" t="n">
        <v>18045</v>
      </c>
      <c r="J1225" t="n">
        <v>0</v>
      </c>
      <c r="K1225" t="n">
        <v>0</v>
      </c>
      <c r="L1225" t="n">
        <v>778</v>
      </c>
      <c r="M1225" t="n">
        <v>778</v>
      </c>
      <c r="N1225" t="n">
        <v>0</v>
      </c>
      <c r="O1225" t="n">
        <v>16489</v>
      </c>
      <c r="P1225" s="96">
        <f>_xlfn.XLOOKUP(Tabla5[[#This Row],[EAN CORREGIDO]],'Tabla Articulos'!B:B,'Tabla Articulos'!D:D)</f>
        <v/>
      </c>
      <c r="Q1225" s="96">
        <f>_xlfn.XLOOKUP(S1225,'Tabla Articulos'!B:B,'Tabla Articulos'!E:E)</f>
        <v/>
      </c>
      <c r="R1225" s="96">
        <f>O1225*Q1225</f>
        <v/>
      </c>
      <c r="S1225" s="97">
        <f>TRIM(E1225)</f>
        <v/>
      </c>
    </row>
    <row r="1226" hidden="1">
      <c r="A1226" s="22" t="n">
        <v>1</v>
      </c>
      <c r="B1226" t="inlineStr">
        <is>
          <t xml:space="preserve">CD MORENO                     </t>
        </is>
      </c>
      <c r="C1226" t="inlineStr">
        <is>
          <t xml:space="preserve">GRUPO L.                      </t>
        </is>
      </c>
      <c r="D1226" s="11" t="inlineStr">
        <is>
          <t>GALLE AGUA INDIV S/SAL</t>
        </is>
      </c>
      <c r="E1226" t="inlineStr">
        <is>
          <t xml:space="preserve">7796624012020       </t>
        </is>
      </c>
      <c r="F1226" t="n">
        <v>4076598</v>
      </c>
      <c r="G1226" t="inlineStr">
        <is>
          <t xml:space="preserve">GALLE AGUA IND S/SAL X25G NEOSOL   </t>
        </is>
      </c>
      <c r="H1226" t="inlineStr">
        <is>
          <t xml:space="preserve">UNIDAD              </t>
        </is>
      </c>
      <c r="I1226" t="n">
        <v>1416</v>
      </c>
      <c r="J1226" t="n">
        <v>0</v>
      </c>
      <c r="K1226" t="n">
        <v>0</v>
      </c>
      <c r="L1226" t="n">
        <v>20</v>
      </c>
      <c r="M1226" t="n">
        <v>20</v>
      </c>
      <c r="N1226" t="n">
        <v>0</v>
      </c>
      <c r="O1226" t="n">
        <v>1376</v>
      </c>
      <c r="P1226" s="96">
        <f>_xlfn.XLOOKUP(Tabla5[[#This Row],[EAN CORREGIDO]],'Tabla Articulos'!B:B,'Tabla Articulos'!D:D)</f>
        <v/>
      </c>
      <c r="Q1226" s="96">
        <f>_xlfn.XLOOKUP(S1226,'Tabla Articulos'!B:B,'Tabla Articulos'!E:E)</f>
        <v/>
      </c>
      <c r="R1226" s="96">
        <f>O1226*Q1226</f>
        <v/>
      </c>
      <c r="S1226" s="97">
        <f>TRIM(E1226)</f>
        <v/>
      </c>
    </row>
    <row r="1227" hidden="1">
      <c r="A1227" s="22" t="n">
        <v>6</v>
      </c>
      <c r="B1227" t="inlineStr">
        <is>
          <t xml:space="preserve">CDM03 - MORENO 3              </t>
        </is>
      </c>
      <c r="C1227" t="inlineStr">
        <is>
          <t xml:space="preserve">GRUPO L.                      </t>
        </is>
      </c>
      <c r="E1227" t="inlineStr">
        <is>
          <t xml:space="preserve">UNIF000049          </t>
        </is>
      </c>
      <c r="F1227" t="n">
        <v>9003302</v>
      </c>
      <c r="G1227" t="inlineStr">
        <is>
          <t xml:space="preserve">BUZO AZUL MARINO PULCRUS XL        </t>
        </is>
      </c>
      <c r="H1227" t="inlineStr">
        <is>
          <t xml:space="preserve">UNIDAD              </t>
        </is>
      </c>
      <c r="I1227" t="n">
        <v>260</v>
      </c>
      <c r="J1227" t="n">
        <v>0</v>
      </c>
      <c r="K1227" t="n">
        <v>0</v>
      </c>
      <c r="L1227" t="n">
        <v>26</v>
      </c>
      <c r="M1227" t="n">
        <v>26</v>
      </c>
      <c r="N1227" t="n">
        <v>0</v>
      </c>
      <c r="O1227" t="n">
        <v>208</v>
      </c>
      <c r="P1227" s="96">
        <f>_xlfn.XLOOKUP(Tabla5[[#This Row],[EAN CORREGIDO]],'Tabla Articulos'!B:B,'Tabla Articulos'!D:D)</f>
        <v/>
      </c>
      <c r="Q1227" s="96">
        <f>_xlfn.XLOOKUP(S1227,'Tabla Articulos'!B:B,'Tabla Articulos'!E:E)</f>
        <v/>
      </c>
      <c r="R1227" s="96">
        <f>O1227*Q1227</f>
        <v/>
      </c>
      <c r="S1227" s="97">
        <f>TRIM(E1227)</f>
        <v/>
      </c>
    </row>
    <row r="1228" hidden="1">
      <c r="A1228" s="22" t="n">
        <v>5</v>
      </c>
      <c r="B1228" t="inlineStr">
        <is>
          <t xml:space="preserve">CDM02 - MORENO 2              </t>
        </is>
      </c>
      <c r="C1228" t="inlineStr">
        <is>
          <t xml:space="preserve">GRUPO L.                      </t>
        </is>
      </c>
      <c r="D1228" s="11" t="inlineStr">
        <is>
          <t>ALMIDON DE MAIZ CELIACO</t>
        </is>
      </c>
      <c r="E1228" t="inlineStr">
        <is>
          <t xml:space="preserve">7793323004857       </t>
        </is>
      </c>
      <c r="F1228" t="n">
        <v>4020050</v>
      </c>
      <c r="G1228" t="inlineStr">
        <is>
          <t xml:space="preserve">ALMIDON MAIZ STACC X450G DICOMER   </t>
        </is>
      </c>
      <c r="H1228" t="inlineStr">
        <is>
          <t xml:space="preserve">UNIDAD              </t>
        </is>
      </c>
      <c r="I1228" t="n">
        <v>149</v>
      </c>
      <c r="J1228" t="n">
        <v>0</v>
      </c>
      <c r="K1228" t="n">
        <v>0</v>
      </c>
      <c r="L1228" t="n">
        <v>2</v>
      </c>
      <c r="M1228" t="n">
        <v>2</v>
      </c>
      <c r="N1228" t="n">
        <v>0</v>
      </c>
      <c r="O1228" t="n">
        <v>145</v>
      </c>
      <c r="P1228" s="96">
        <f>_xlfn.XLOOKUP(Tabla5[[#This Row],[EAN CORREGIDO]],'Tabla Articulos'!B:B,'Tabla Articulos'!D:D)</f>
        <v/>
      </c>
      <c r="Q1228" s="96">
        <f>_xlfn.XLOOKUP(S1228,'Tabla Articulos'!B:B,'Tabla Articulos'!E:E)</f>
        <v/>
      </c>
      <c r="R1228" s="96">
        <f>O1228*Q1228</f>
        <v/>
      </c>
      <c r="S1228" s="97">
        <f>TRIM(E1228)</f>
        <v/>
      </c>
    </row>
    <row r="1229" hidden="1">
      <c r="A1229" s="22" t="n">
        <v>6</v>
      </c>
      <c r="B1229" t="inlineStr">
        <is>
          <t xml:space="preserve">CDM03 - MORENO 3              </t>
        </is>
      </c>
      <c r="C1229" t="inlineStr">
        <is>
          <t xml:space="preserve">GRUPO L.                      </t>
        </is>
      </c>
      <c r="E1229" t="inlineStr">
        <is>
          <t xml:space="preserve">UNIF000052          </t>
        </is>
      </c>
      <c r="F1229" t="n">
        <v>9003305</v>
      </c>
      <c r="G1229" t="inlineStr">
        <is>
          <t xml:space="preserve">BUZO AZUL MARINO PULCRUS 4XL       </t>
        </is>
      </c>
      <c r="H1229" t="inlineStr">
        <is>
          <t xml:space="preserve">UNIDAD              </t>
        </is>
      </c>
      <c r="I1229" t="n">
        <v>110</v>
      </c>
      <c r="J1229" t="n">
        <v>0</v>
      </c>
      <c r="K1229" t="n">
        <v>0</v>
      </c>
      <c r="L1229" t="n">
        <v>4</v>
      </c>
      <c r="M1229" t="n">
        <v>4</v>
      </c>
      <c r="N1229" t="n">
        <v>0</v>
      </c>
      <c r="O1229" t="n">
        <v>102</v>
      </c>
      <c r="P1229" s="96">
        <f>_xlfn.XLOOKUP(Tabla5[[#This Row],[EAN CORREGIDO]],'Tabla Articulos'!B:B,'Tabla Articulos'!D:D)</f>
        <v/>
      </c>
      <c r="Q1229" s="96">
        <f>_xlfn.XLOOKUP(S1229,'Tabla Articulos'!B:B,'Tabla Articulos'!E:E)</f>
        <v/>
      </c>
      <c r="R1229" s="96">
        <f>O1229*Q1229</f>
        <v/>
      </c>
      <c r="S1229" s="97">
        <f>TRIM(E1229)</f>
        <v/>
      </c>
    </row>
    <row r="1230" hidden="1">
      <c r="A1230" s="22" t="n">
        <v>6</v>
      </c>
      <c r="B1230" t="inlineStr">
        <is>
          <t xml:space="preserve">CDM03 - MORENO 3              </t>
        </is>
      </c>
      <c r="C1230" t="inlineStr">
        <is>
          <t xml:space="preserve">GRUPO L.                      </t>
        </is>
      </c>
      <c r="D1230" t="inlineStr">
        <is>
          <t>GUANTE GOMA</t>
        </is>
      </c>
      <c r="E1230" t="inlineStr">
        <is>
          <t xml:space="preserve">7798024079494       </t>
        </is>
      </c>
      <c r="F1230" t="n">
        <v>2011457</v>
      </c>
      <c r="G1230" t="inlineStr">
        <is>
          <t xml:space="preserve">GUANTES AFELPADOS  M MAKE          </t>
        </is>
      </c>
      <c r="H1230" t="inlineStr">
        <is>
          <t xml:space="preserve">UNIDAD              </t>
        </is>
      </c>
      <c r="I1230" t="n">
        <v>818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818</v>
      </c>
      <c r="P1230" s="96">
        <f>_xlfn.XLOOKUP(Tabla5[[#This Row],[EAN CORREGIDO]],'Tabla Articulos'!B:B,'Tabla Articulos'!D:D)</f>
        <v/>
      </c>
      <c r="Q1230" s="96">
        <f>_xlfn.XLOOKUP(S1230,'Tabla Articulos'!B:B,'Tabla Articulos'!E:E)</f>
        <v/>
      </c>
      <c r="R1230" s="96">
        <f>O1230*Q1230</f>
        <v/>
      </c>
      <c r="S1230" s="97">
        <f>TRIM(E1230)</f>
        <v/>
      </c>
    </row>
    <row r="1231" hidden="1">
      <c r="A1231" s="22" t="n">
        <v>6</v>
      </c>
      <c r="B1231" t="inlineStr">
        <is>
          <t xml:space="preserve">CDM03 - MORENO 3              </t>
        </is>
      </c>
      <c r="C1231" t="inlineStr">
        <is>
          <t xml:space="preserve">GRUPO L.                      </t>
        </is>
      </c>
      <c r="E1231" t="inlineStr">
        <is>
          <t xml:space="preserve">BAZ001190           </t>
        </is>
      </c>
      <c r="F1231" t="n">
        <v>9003769</v>
      </c>
      <c r="G1231" t="inlineStr">
        <is>
          <t xml:space="preserve">CUCHARON DE ACERO INOX. N10        </t>
        </is>
      </c>
      <c r="H1231" t="inlineStr">
        <is>
          <t xml:space="preserve">UNIDAD              </t>
        </is>
      </c>
      <c r="I1231" t="n">
        <v>34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34</v>
      </c>
      <c r="P1231" s="96">
        <f>_xlfn.XLOOKUP(Tabla5[[#This Row],[EAN CORREGIDO]],'Tabla Articulos'!B:B,'Tabla Articulos'!D:D)</f>
        <v/>
      </c>
      <c r="Q1231" s="96">
        <f>_xlfn.XLOOKUP(S1231,'Tabla Articulos'!B:B,'Tabla Articulos'!E:E)</f>
        <v/>
      </c>
      <c r="R1231" s="96">
        <f>O1231*Q1231</f>
        <v/>
      </c>
      <c r="S1231" s="97">
        <f>TRIM(E1231)</f>
        <v/>
      </c>
    </row>
    <row r="1232" hidden="1">
      <c r="A1232" s="22" t="n">
        <v>6</v>
      </c>
      <c r="B1232" t="inlineStr">
        <is>
          <t xml:space="preserve">CDM03 - MORENO 3              </t>
        </is>
      </c>
      <c r="C1232" t="inlineStr">
        <is>
          <t xml:space="preserve">GRUPO L.                      </t>
        </is>
      </c>
      <c r="E1232" t="inlineStr">
        <is>
          <t xml:space="preserve">UNIF000092          </t>
        </is>
      </c>
      <c r="F1232" t="n">
        <v>9003553</v>
      </c>
      <c r="G1232" t="inlineStr">
        <is>
          <t>CAMISA BLANCA LISA 56 BLUE CATERING</t>
        </is>
      </c>
      <c r="H1232" t="inlineStr">
        <is>
          <t xml:space="preserve">UNIDAD              </t>
        </is>
      </c>
      <c r="I1232" t="n">
        <v>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6</v>
      </c>
      <c r="P1232" s="96">
        <f>_xlfn.XLOOKUP(Tabla5[[#This Row],[EAN CORREGIDO]],'Tabla Articulos'!B:B,'Tabla Articulos'!D:D)</f>
        <v/>
      </c>
      <c r="Q1232" s="96">
        <f>_xlfn.XLOOKUP(S1232,'Tabla Articulos'!B:B,'Tabla Articulos'!E:E)</f>
        <v/>
      </c>
      <c r="R1232" s="96">
        <f>O1232*Q1232</f>
        <v/>
      </c>
      <c r="S1232" s="97">
        <f>TRIM(E1232)</f>
        <v/>
      </c>
    </row>
    <row r="1233" hidden="1">
      <c r="A1233" s="22" t="n">
        <v>5</v>
      </c>
      <c r="B1233" t="inlineStr">
        <is>
          <t xml:space="preserve">CDM02 - MORENO 2              </t>
        </is>
      </c>
      <c r="C1233" t="inlineStr">
        <is>
          <t xml:space="preserve">GRUPO L.                      </t>
        </is>
      </c>
      <c r="D1233" t="inlineStr">
        <is>
          <t xml:space="preserve">GARRAPIÑADA </t>
        </is>
      </c>
      <c r="E1233" t="inlineStr">
        <is>
          <t xml:space="preserve">7792860001817       </t>
        </is>
      </c>
      <c r="F1233" t="n">
        <v>4020124</v>
      </c>
      <c r="G1233" t="inlineStr">
        <is>
          <t xml:space="preserve">GARRAPIÑADA DE MANI X80G LHERITHER </t>
        </is>
      </c>
      <c r="H1233" t="inlineStr">
        <is>
          <t xml:space="preserve">UNIDAD              </t>
        </is>
      </c>
      <c r="I1233" t="n">
        <v>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7</v>
      </c>
      <c r="P1233" s="96">
        <f>_xlfn.XLOOKUP(Tabla5[[#This Row],[EAN CORREGIDO]],'Tabla Articulos'!B:B,'Tabla Articulos'!D:D)</f>
        <v/>
      </c>
      <c r="Q1233" s="96">
        <f>_xlfn.XLOOKUP(S1233,'Tabla Articulos'!B:B,'Tabla Articulos'!E:E)</f>
        <v/>
      </c>
      <c r="R1233" s="96">
        <f>O1233*Q1233</f>
        <v/>
      </c>
      <c r="S1233" s="97">
        <f>TRIM(E1233)</f>
        <v/>
      </c>
    </row>
    <row r="1234" hidden="1">
      <c r="A1234" s="22" t="n">
        <v>1</v>
      </c>
      <c r="B1234" t="inlineStr">
        <is>
          <t xml:space="preserve">CD MORENO                     </t>
        </is>
      </c>
      <c r="C1234" t="inlineStr">
        <is>
          <t xml:space="preserve">GRUPO L.                      </t>
        </is>
      </c>
      <c r="D1234" t="inlineStr">
        <is>
          <t xml:space="preserve">GARRAPIÑADA </t>
        </is>
      </c>
      <c r="E1234" t="inlineStr">
        <is>
          <t xml:space="preserve">7792860001817       </t>
        </is>
      </c>
      <c r="F1234" t="n">
        <v>4020124</v>
      </c>
      <c r="G1234" t="inlineStr">
        <is>
          <t xml:space="preserve">GARRAPIÑADA DE MANI X80G LHERITHER </t>
        </is>
      </c>
      <c r="H1234" t="inlineStr">
        <is>
          <t xml:space="preserve">UNIDAD              </t>
        </is>
      </c>
      <c r="I1234" t="n">
        <v>91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91</v>
      </c>
      <c r="P1234" s="96">
        <f>_xlfn.XLOOKUP(Tabla5[[#This Row],[EAN CORREGIDO]],'Tabla Articulos'!B:B,'Tabla Articulos'!D:D)</f>
        <v/>
      </c>
      <c r="Q1234" s="96">
        <f>_xlfn.XLOOKUP(S1234,'Tabla Articulos'!B:B,'Tabla Articulos'!E:E)</f>
        <v/>
      </c>
      <c r="R1234" s="96">
        <f>O1234*Q1234</f>
        <v/>
      </c>
      <c r="S1234" s="97">
        <f>TRIM(E1234)</f>
        <v/>
      </c>
    </row>
    <row r="1235" hidden="1">
      <c r="A1235" s="22" t="n">
        <v>6</v>
      </c>
      <c r="B1235" t="inlineStr">
        <is>
          <t xml:space="preserve">CDM03 - MORENO 3              </t>
        </is>
      </c>
      <c r="C1235" t="inlineStr">
        <is>
          <t xml:space="preserve">GRUPO L.                      </t>
        </is>
      </c>
      <c r="E1235" t="inlineStr">
        <is>
          <t xml:space="preserve">UNIF000553          </t>
        </is>
      </c>
      <c r="F1235" t="n">
        <v>9003091</v>
      </c>
      <c r="G1235" t="inlineStr">
        <is>
          <t xml:space="preserve">PANTALON JEAN 42 GL SUP            </t>
        </is>
      </c>
      <c r="H1235" t="inlineStr">
        <is>
          <t xml:space="preserve">UNIDAD              </t>
        </is>
      </c>
      <c r="I1235" t="n">
        <v>25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25</v>
      </c>
      <c r="P1235" s="96">
        <f>_xlfn.XLOOKUP(Tabla5[[#This Row],[EAN CORREGIDO]],'Tabla Articulos'!B:B,'Tabla Articulos'!D:D)</f>
        <v/>
      </c>
      <c r="Q1235" s="96">
        <f>_xlfn.XLOOKUP(S1235,'Tabla Articulos'!B:B,'Tabla Articulos'!E:E)</f>
        <v/>
      </c>
      <c r="R1235" s="96">
        <f>O1235*Q1235</f>
        <v/>
      </c>
      <c r="S1235" s="97">
        <f>TRIM(E1235)</f>
        <v/>
      </c>
    </row>
    <row r="1236" hidden="1">
      <c r="A1236" s="22" t="n">
        <v>5</v>
      </c>
      <c r="B1236" t="inlineStr">
        <is>
          <t xml:space="preserve">CDM02 - MORENO 2              </t>
        </is>
      </c>
      <c r="C1236" t="inlineStr">
        <is>
          <t xml:space="preserve">GRUPO L.                      </t>
        </is>
      </c>
      <c r="D1236" s="11" t="inlineStr">
        <is>
          <t>GELATINA ANANA</t>
        </is>
      </c>
      <c r="E1236" t="inlineStr">
        <is>
          <t xml:space="preserve">7790530850031       </t>
        </is>
      </c>
      <c r="F1236" t="n">
        <v>4019874</v>
      </c>
      <c r="G1236" t="inlineStr">
        <is>
          <t xml:space="preserve">GELATINA ANANA X 5KG BEDIAL        </t>
        </is>
      </c>
      <c r="H1236" t="inlineStr">
        <is>
          <t xml:space="preserve">UNIDAD              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2</v>
      </c>
      <c r="P1236" s="96">
        <f>_xlfn.XLOOKUP(Tabla5[[#This Row],[EAN CORREGIDO]],'Tabla Articulos'!B:B,'Tabla Articulos'!D:D)</f>
        <v/>
      </c>
      <c r="Q1236" s="96">
        <f>_xlfn.XLOOKUP(S1236,'Tabla Articulos'!B:B,'Tabla Articulos'!E:E)</f>
        <v/>
      </c>
      <c r="R1236" s="96">
        <f>O1236*Q1236</f>
        <v/>
      </c>
      <c r="S1236" s="97">
        <f>TRIM(E1236)</f>
        <v/>
      </c>
    </row>
    <row r="1237" hidden="1">
      <c r="A1237" s="22" t="n">
        <v>1</v>
      </c>
      <c r="B1237" t="inlineStr">
        <is>
          <t xml:space="preserve">CD MORENO                     </t>
        </is>
      </c>
      <c r="C1237" t="inlineStr">
        <is>
          <t xml:space="preserve">GRUPO L.                      </t>
        </is>
      </c>
      <c r="D1237" s="11" t="inlineStr">
        <is>
          <t>GELATINA ANANA</t>
        </is>
      </c>
      <c r="E1237" t="inlineStr">
        <is>
          <t xml:space="preserve">7790530850031       </t>
        </is>
      </c>
      <c r="F1237" t="n">
        <v>4019874</v>
      </c>
      <c r="G1237" t="inlineStr">
        <is>
          <t xml:space="preserve">GELATINA ANANA X 5KG BEDIAL        </t>
        </is>
      </c>
      <c r="H1237" t="inlineStr">
        <is>
          <t xml:space="preserve">UNIDAD              </t>
        </is>
      </c>
      <c r="I1237" t="n">
        <v>18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18</v>
      </c>
      <c r="P1237" s="96">
        <f>_xlfn.XLOOKUP(Tabla5[[#This Row],[EAN CORREGIDO]],'Tabla Articulos'!B:B,'Tabla Articulos'!D:D)</f>
        <v/>
      </c>
      <c r="Q1237" s="96">
        <f>_xlfn.XLOOKUP(S1237,'Tabla Articulos'!B:B,'Tabla Articulos'!E:E)</f>
        <v/>
      </c>
      <c r="R1237" s="96">
        <f>O1237*Q1237</f>
        <v/>
      </c>
      <c r="S1237" s="97">
        <f>TRIM(E1237)</f>
        <v/>
      </c>
    </row>
    <row r="1238" hidden="1">
      <c r="A1238" s="22" t="n">
        <v>6</v>
      </c>
      <c r="B1238" t="inlineStr">
        <is>
          <t xml:space="preserve">CDM03 - MORENO 3              </t>
        </is>
      </c>
      <c r="C1238" t="inlineStr">
        <is>
          <t xml:space="preserve">GRUPO L.                      </t>
        </is>
      </c>
      <c r="D1238" s="11" t="inlineStr">
        <is>
          <t>BOLSA PROPILENO</t>
        </is>
      </c>
      <c r="E1238" t="inlineStr">
        <is>
          <t xml:space="preserve">7790321020996       </t>
        </is>
      </c>
      <c r="F1238" t="n">
        <v>2006676</v>
      </c>
      <c r="G1238" t="inlineStr">
        <is>
          <t xml:space="preserve">BOLSA POLIPROPILENO 25X35X100U     </t>
        </is>
      </c>
      <c r="H1238" t="inlineStr">
        <is>
          <t xml:space="preserve">BULTOS              </t>
        </is>
      </c>
      <c r="I1238" t="n">
        <v>60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60</v>
      </c>
      <c r="P1238" s="96">
        <f>_xlfn.XLOOKUP(Tabla5[[#This Row],[EAN CORREGIDO]],'Tabla Articulos'!B:B,'Tabla Articulos'!D:D)</f>
        <v/>
      </c>
      <c r="Q1238" s="96">
        <f>_xlfn.XLOOKUP(S1238,'Tabla Articulos'!B:B,'Tabla Articulos'!E:E)</f>
        <v/>
      </c>
      <c r="R1238" s="96">
        <f>O1238*Q1238</f>
        <v/>
      </c>
      <c r="S1238" s="97">
        <f>TRIM(E1238)</f>
        <v/>
      </c>
    </row>
    <row r="1239" hidden="1">
      <c r="A1239" s="22" t="n">
        <v>1</v>
      </c>
      <c r="B1239" t="inlineStr">
        <is>
          <t xml:space="preserve">CD MORENO                     </t>
        </is>
      </c>
      <c r="C1239" t="inlineStr">
        <is>
          <t xml:space="preserve">GRUPO L.                      </t>
        </is>
      </c>
      <c r="D1239" t="inlineStr">
        <is>
          <t>PAN INTEGRAL x KG</t>
        </is>
      </c>
      <c r="E1239" t="inlineStr">
        <is>
          <t xml:space="preserve">7790213012220       </t>
        </is>
      </c>
      <c r="F1239" t="n">
        <v>4018502</v>
      </c>
      <c r="G1239" t="inlineStr">
        <is>
          <t xml:space="preserve">PAN  MIGNON INTEGRAL  XKG          </t>
        </is>
      </c>
      <c r="H1239" t="inlineStr">
        <is>
          <t xml:space="preserve">Kgs                 </t>
        </is>
      </c>
      <c r="I1239" t="n">
        <v>1619.91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1619.91</v>
      </c>
      <c r="P1239" s="96">
        <f>_xlfn.XLOOKUP(Tabla5[[#This Row],[EAN CORREGIDO]],'Tabla Articulos'!B:B,'Tabla Articulos'!D:D)</f>
        <v/>
      </c>
      <c r="Q1239" s="96">
        <f>_xlfn.XLOOKUP(S1239,'Tabla Articulos'!B:B,'Tabla Articulos'!E:E)</f>
        <v/>
      </c>
      <c r="R1239" s="96">
        <f>O1239*Q1239</f>
        <v/>
      </c>
      <c r="S1239" s="97">
        <f>TRIM(E1239)</f>
        <v/>
      </c>
    </row>
    <row r="1240" hidden="1">
      <c r="A1240" s="22" t="n">
        <v>6</v>
      </c>
      <c r="B1240" t="inlineStr">
        <is>
          <t xml:space="preserve">CDM03 - MORENO 3              </t>
        </is>
      </c>
      <c r="C1240" t="inlineStr">
        <is>
          <t xml:space="preserve">GRUPO L.                      </t>
        </is>
      </c>
      <c r="E1240" t="inlineStr">
        <is>
          <t xml:space="preserve">BAZ001184           </t>
        </is>
      </c>
      <c r="F1240" t="n">
        <v>9003775</v>
      </c>
      <c r="G1240" t="inlineStr">
        <is>
          <t xml:space="preserve">CRA GUISE INOX.PALA LISA MGO LGO   </t>
        </is>
      </c>
      <c r="H1240" t="inlineStr">
        <is>
          <t xml:space="preserve">UNIDAD              </t>
        </is>
      </c>
      <c r="I1240" t="n">
        <v>144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144</v>
      </c>
      <c r="P1240" s="96">
        <f>_xlfn.XLOOKUP(Tabla5[[#This Row],[EAN CORREGIDO]],'Tabla Articulos'!B:B,'Tabla Articulos'!D:D)</f>
        <v/>
      </c>
      <c r="Q1240" s="96">
        <f>_xlfn.XLOOKUP(S1240,'Tabla Articulos'!B:B,'Tabla Articulos'!E:E)</f>
        <v/>
      </c>
      <c r="R1240" s="96">
        <f>O1240*Q1240</f>
        <v/>
      </c>
      <c r="S1240" s="97">
        <f>TRIM(E1240)</f>
        <v/>
      </c>
    </row>
    <row r="1241" hidden="1">
      <c r="A1241" s="22" t="n">
        <v>6</v>
      </c>
      <c r="B1241" t="inlineStr">
        <is>
          <t xml:space="preserve">CDM03 - MORENO 3              </t>
        </is>
      </c>
      <c r="C1241" t="inlineStr">
        <is>
          <t xml:space="preserve">GRUPO L.                      </t>
        </is>
      </c>
      <c r="E1241" t="inlineStr">
        <is>
          <t xml:space="preserve">UNIF000133          </t>
        </is>
      </c>
      <c r="F1241" t="n">
        <v>9003325</v>
      </c>
      <c r="G1241" t="inlineStr">
        <is>
          <t xml:space="preserve">BUZO GRIS FRISA GL SUPPORT M       </t>
        </is>
      </c>
      <c r="H1241" t="inlineStr">
        <is>
          <t xml:space="preserve">UNIDAD              </t>
        </is>
      </c>
      <c r="I1241" t="n">
        <v>143</v>
      </c>
      <c r="J1241" t="n">
        <v>50</v>
      </c>
      <c r="K1241" t="n">
        <v>0</v>
      </c>
      <c r="L1241" t="n">
        <v>0</v>
      </c>
      <c r="M1241" t="n">
        <v>0</v>
      </c>
      <c r="N1241" t="n">
        <v>0</v>
      </c>
      <c r="O1241" t="n">
        <v>193</v>
      </c>
      <c r="P1241" s="96">
        <f>_xlfn.XLOOKUP(Tabla5[[#This Row],[EAN CORREGIDO]],'Tabla Articulos'!B:B,'Tabla Articulos'!D:D)</f>
        <v/>
      </c>
      <c r="Q1241" s="96">
        <f>_xlfn.XLOOKUP(S1241,'Tabla Articulos'!B:B,'Tabla Articulos'!E:E)</f>
        <v/>
      </c>
      <c r="R1241" s="96">
        <f>O1241*Q1241</f>
        <v/>
      </c>
      <c r="S1241" s="97">
        <f>TRIM(E1241)</f>
        <v/>
      </c>
    </row>
    <row r="1242" hidden="1">
      <c r="A1242" s="22" t="n">
        <v>6</v>
      </c>
      <c r="B1242" t="inlineStr">
        <is>
          <t xml:space="preserve">CDM03 - MORENO 3              </t>
        </is>
      </c>
      <c r="C1242" t="inlineStr">
        <is>
          <t xml:space="preserve">GRUPO L.                      </t>
        </is>
      </c>
      <c r="D1242" t="inlineStr">
        <is>
          <t>BOLSAS RESIDUO 30 MICRO NEGRA</t>
        </is>
      </c>
      <c r="E1242" t="inlineStr">
        <is>
          <t xml:space="preserve">7798432966343       </t>
        </is>
      </c>
      <c r="F1242" t="n">
        <v>2006271</v>
      </c>
      <c r="G1242" t="inlineStr">
        <is>
          <t xml:space="preserve">BOLSA RESIDUO NEGRA 90X110XU       </t>
        </is>
      </c>
      <c r="H1242" t="inlineStr">
        <is>
          <t xml:space="preserve">UNIDAD              </t>
        </is>
      </c>
      <c r="I1242" t="n">
        <v>945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945</v>
      </c>
      <c r="P1242" s="96">
        <f>_xlfn.XLOOKUP(Tabla5[[#This Row],[EAN CORREGIDO]],'Tabla Articulos'!B:B,'Tabla Articulos'!D:D)</f>
        <v/>
      </c>
      <c r="Q1242" s="96">
        <f>_xlfn.XLOOKUP(S1242,'Tabla Articulos'!B:B,'Tabla Articulos'!E:E)</f>
        <v/>
      </c>
      <c r="R1242" s="96">
        <f>O1242*Q1242</f>
        <v/>
      </c>
      <c r="S1242" s="97">
        <f>TRIM(E1242)</f>
        <v/>
      </c>
    </row>
    <row r="1243" hidden="1">
      <c r="A1243" s="22" t="n">
        <v>1</v>
      </c>
      <c r="B1243" t="inlineStr">
        <is>
          <t xml:space="preserve">CD MORENO                     </t>
        </is>
      </c>
      <c r="C1243" t="inlineStr">
        <is>
          <t xml:space="preserve">GRUPO L.                      </t>
        </is>
      </c>
      <c r="D1243" t="inlineStr">
        <is>
          <t>ALFAJOR SIMPLE BLANCO</t>
        </is>
      </c>
      <c r="E1243" t="inlineStr">
        <is>
          <t xml:space="preserve">77925626            </t>
        </is>
      </c>
      <c r="F1243" t="n">
        <v>4019216</v>
      </c>
      <c r="G1243" t="inlineStr">
        <is>
          <t xml:space="preserve">ALFAJOR BLANCO X40G NEVARES        </t>
        </is>
      </c>
      <c r="H1243" t="inlineStr">
        <is>
          <t xml:space="preserve">UNIDAD              </t>
        </is>
      </c>
      <c r="I1243" t="n">
        <v>1720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1720</v>
      </c>
      <c r="P1243" s="96">
        <f>_xlfn.XLOOKUP(Tabla5[[#This Row],[EAN CORREGIDO]],'Tabla Articulos'!B:B,'Tabla Articulos'!D:D)</f>
        <v/>
      </c>
      <c r="Q1243" s="96">
        <f>_xlfn.XLOOKUP(S1243,'Tabla Articulos'!B:B,'Tabla Articulos'!E:E)</f>
        <v/>
      </c>
      <c r="R1243" s="96">
        <f>O1243*Q1243</f>
        <v/>
      </c>
      <c r="S1243" s="97">
        <f>TRIM(E1243)</f>
        <v/>
      </c>
    </row>
    <row r="1244" hidden="1">
      <c r="A1244" s="22" t="n">
        <v>1</v>
      </c>
      <c r="B1244" t="inlineStr">
        <is>
          <t xml:space="preserve">CD MORENO                     </t>
        </is>
      </c>
      <c r="C1244" t="inlineStr">
        <is>
          <t xml:space="preserve">GRUPO L.                      </t>
        </is>
      </c>
      <c r="D1244" t="inlineStr">
        <is>
          <t>PAN X 40 G</t>
        </is>
      </c>
      <c r="E1244" t="inlineStr">
        <is>
          <t xml:space="preserve">7790213010012       </t>
        </is>
      </c>
      <c r="F1244" t="n">
        <v>4018620</v>
      </c>
      <c r="G1244" t="inlineStr">
        <is>
          <t xml:space="preserve">PAN X KG-PIEZAS DE 40 GRS          </t>
        </is>
      </c>
      <c r="H1244" t="inlineStr">
        <is>
          <t xml:space="preserve">Kgs                 </t>
        </is>
      </c>
      <c r="I1244" t="n">
        <v>12237.92</v>
      </c>
      <c r="J1244" t="n">
        <v>0</v>
      </c>
      <c r="K1244" t="n">
        <v>0</v>
      </c>
      <c r="L1244" t="n">
        <v>184</v>
      </c>
      <c r="M1244" t="n">
        <v>271.28</v>
      </c>
      <c r="N1244" t="n">
        <v>0</v>
      </c>
      <c r="O1244" t="n">
        <v>11782.64</v>
      </c>
      <c r="P1244" s="96">
        <f>_xlfn.XLOOKUP(Tabla5[[#This Row],[EAN CORREGIDO]],'Tabla Articulos'!B:B,'Tabla Articulos'!D:D)</f>
        <v/>
      </c>
      <c r="Q1244" s="96">
        <f>_xlfn.XLOOKUP(S1244,'Tabla Articulos'!B:B,'Tabla Articulos'!E:E)</f>
        <v/>
      </c>
      <c r="R1244" s="96">
        <f>O1244*Q1244</f>
        <v/>
      </c>
      <c r="S1244" s="97">
        <f>TRIM(E1244)</f>
        <v/>
      </c>
    </row>
    <row r="1245" hidden="1">
      <c r="A1245" s="22" t="n">
        <v>5</v>
      </c>
      <c r="B1245" t="inlineStr">
        <is>
          <t xml:space="preserve">CDM02 - MORENO 2              </t>
        </is>
      </c>
      <c r="C1245" t="inlineStr">
        <is>
          <t xml:space="preserve">GRUPO L.                      </t>
        </is>
      </c>
      <c r="D1245" t="inlineStr">
        <is>
          <t>POROTOS S/TACC</t>
        </is>
      </c>
      <c r="E1245" t="inlineStr">
        <is>
          <t xml:space="preserve">7792350067088       </t>
        </is>
      </c>
      <c r="F1245" t="n">
        <v>4020085</v>
      </c>
      <c r="G1245" t="inlineStr">
        <is>
          <t xml:space="preserve">POROTO X 300 GR INALPA             </t>
        </is>
      </c>
      <c r="H1245" t="inlineStr">
        <is>
          <t xml:space="preserve">UNIDAD              </t>
        </is>
      </c>
      <c r="I1245" t="n">
        <v>2637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2637</v>
      </c>
      <c r="P1245" s="96">
        <f>_xlfn.XLOOKUP(Tabla5[[#This Row],[EAN CORREGIDO]],'Tabla Articulos'!B:B,'Tabla Articulos'!D:D)</f>
        <v/>
      </c>
      <c r="Q1245" s="96">
        <f>_xlfn.XLOOKUP(S1245,'Tabla Articulos'!B:B,'Tabla Articulos'!E:E)</f>
        <v/>
      </c>
      <c r="R1245" s="96">
        <f>O1245*Q1245</f>
        <v/>
      </c>
      <c r="S1245" s="97">
        <f>TRIM(E1245)</f>
        <v/>
      </c>
    </row>
    <row r="1246" hidden="1">
      <c r="A1246" s="22" t="n">
        <v>1</v>
      </c>
      <c r="B1246" t="inlineStr">
        <is>
          <t xml:space="preserve">CD MORENO                     </t>
        </is>
      </c>
      <c r="C1246" t="inlineStr">
        <is>
          <t xml:space="preserve">GRUPO L.                      </t>
        </is>
      </c>
      <c r="D1246" t="inlineStr">
        <is>
          <t>POROTOS S/TACC</t>
        </is>
      </c>
      <c r="E1246" t="inlineStr">
        <is>
          <t xml:space="preserve">7792350067088       </t>
        </is>
      </c>
      <c r="F1246" t="n">
        <v>4020085</v>
      </c>
      <c r="G1246" t="inlineStr">
        <is>
          <t xml:space="preserve">POROTO X 300 GR INALPA             </t>
        </is>
      </c>
      <c r="H1246" t="inlineStr">
        <is>
          <t xml:space="preserve">UNIDAD              </t>
        </is>
      </c>
      <c r="I1246" t="n">
        <v>19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19</v>
      </c>
      <c r="P1246" s="96">
        <f>_xlfn.XLOOKUP(Tabla5[[#This Row],[EAN CORREGIDO]],'Tabla Articulos'!B:B,'Tabla Articulos'!D:D)</f>
        <v/>
      </c>
      <c r="Q1246" s="96">
        <f>_xlfn.XLOOKUP(S1246,'Tabla Articulos'!B:B,'Tabla Articulos'!E:E)</f>
        <v/>
      </c>
      <c r="R1246" s="96">
        <f>O1246*Q1246</f>
        <v/>
      </c>
      <c r="S1246" s="97">
        <f>TRIM(E1246)</f>
        <v/>
      </c>
    </row>
    <row r="1247" hidden="1">
      <c r="A1247" s="22" t="n">
        <v>6</v>
      </c>
      <c r="B1247" t="inlineStr">
        <is>
          <t xml:space="preserve">CDM03 - MORENO 3              </t>
        </is>
      </c>
      <c r="C1247" t="inlineStr">
        <is>
          <t xml:space="preserve">GRUPO L.                      </t>
        </is>
      </c>
      <c r="E1247" t="inlineStr">
        <is>
          <t xml:space="preserve">UNIF000598          </t>
        </is>
      </c>
      <c r="F1247" t="n">
        <v>9003136</v>
      </c>
      <c r="G1247" t="inlineStr">
        <is>
          <t xml:space="preserve">CHAQUETA CUELLO MAO T6 C GOURM     </t>
        </is>
      </c>
      <c r="H1247" t="inlineStr">
        <is>
          <t xml:space="preserve">UNIDAD              </t>
        </is>
      </c>
      <c r="I1247" t="n">
        <v>100</v>
      </c>
      <c r="J1247" t="n">
        <v>200</v>
      </c>
      <c r="K1247" t="n">
        <v>0</v>
      </c>
      <c r="L1247" t="n">
        <v>3</v>
      </c>
      <c r="M1247" t="n">
        <v>3</v>
      </c>
      <c r="N1247" t="n">
        <v>0</v>
      </c>
      <c r="O1247" t="n">
        <v>294</v>
      </c>
      <c r="P1247" s="96">
        <f>_xlfn.XLOOKUP(Tabla5[[#This Row],[EAN CORREGIDO]],'Tabla Articulos'!B:B,'Tabla Articulos'!D:D)</f>
        <v/>
      </c>
      <c r="Q1247" s="96">
        <f>_xlfn.XLOOKUP(S1247,'Tabla Articulos'!B:B,'Tabla Articulos'!E:E)</f>
        <v/>
      </c>
      <c r="R1247" s="96">
        <f>O1247*Q1247</f>
        <v/>
      </c>
      <c r="S1247" s="97">
        <f>TRIM(E1247)</f>
        <v/>
      </c>
    </row>
    <row r="1248" hidden="1">
      <c r="A1248" s="22" t="n">
        <v>5</v>
      </c>
      <c r="B1248" t="inlineStr">
        <is>
          <t xml:space="preserve">CDM02 - MORENO 2              </t>
        </is>
      </c>
      <c r="C1248" t="inlineStr">
        <is>
          <t xml:space="preserve">GRUPO L.                      </t>
        </is>
      </c>
      <c r="D1248" s="11" t="inlineStr">
        <is>
          <t>MATE COCIDO SOB S/TACC</t>
        </is>
      </c>
      <c r="E1248" t="inlineStr">
        <is>
          <t xml:space="preserve">7792198006539       </t>
        </is>
      </c>
      <c r="F1248" t="n">
        <v>4019834</v>
      </c>
      <c r="G1248" t="inlineStr">
        <is>
          <t xml:space="preserve">MATE COC EN SOB X 100 SAQ NATURA   </t>
        </is>
      </c>
      <c r="H1248" t="inlineStr">
        <is>
          <t xml:space="preserve">UNIDAD              </t>
        </is>
      </c>
      <c r="I1248" t="n">
        <v>38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38</v>
      </c>
      <c r="P1248" s="96">
        <f>_xlfn.XLOOKUP(Tabla5[[#This Row],[EAN CORREGIDO]],'Tabla Articulos'!B:B,'Tabla Articulos'!D:D)</f>
        <v/>
      </c>
      <c r="Q1248" s="96">
        <f>_xlfn.XLOOKUP(S1248,'Tabla Articulos'!B:B,'Tabla Articulos'!E:E)</f>
        <v/>
      </c>
      <c r="R1248" s="96">
        <f>O1248*Q1248</f>
        <v/>
      </c>
      <c r="S1248" s="97">
        <f>TRIM(E1248)</f>
        <v/>
      </c>
    </row>
    <row r="1249" hidden="1">
      <c r="A1249" s="22" t="n">
        <v>1</v>
      </c>
      <c r="B1249" t="inlineStr">
        <is>
          <t xml:space="preserve">CD MORENO                     </t>
        </is>
      </c>
      <c r="C1249" t="inlineStr">
        <is>
          <t xml:space="preserve">GRUPO L.                      </t>
        </is>
      </c>
      <c r="D1249" t="inlineStr">
        <is>
          <t>MATE COCIDO SOB S/TACC</t>
        </is>
      </c>
      <c r="E1249" t="inlineStr">
        <is>
          <t xml:space="preserve">7792198006539       </t>
        </is>
      </c>
      <c r="F1249" t="n">
        <v>4019834</v>
      </c>
      <c r="G1249" t="inlineStr">
        <is>
          <t xml:space="preserve">MATE COC EN SOB X 100 SAQ NATURA   </t>
        </is>
      </c>
      <c r="H1249" t="inlineStr">
        <is>
          <t xml:space="preserve">UNIDAD              </t>
        </is>
      </c>
      <c r="I1249" t="n">
        <v>198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198</v>
      </c>
      <c r="P1249" s="96">
        <f>_xlfn.XLOOKUP(Tabla5[[#This Row],[EAN CORREGIDO]],'Tabla Articulos'!B:B,'Tabla Articulos'!D:D)</f>
        <v/>
      </c>
      <c r="Q1249" s="96">
        <f>_xlfn.XLOOKUP(S1249,'Tabla Articulos'!B:B,'Tabla Articulos'!E:E)</f>
        <v/>
      </c>
      <c r="R1249" s="96">
        <f>O1249*Q1249</f>
        <v/>
      </c>
      <c r="S1249" s="97">
        <f>TRIM(E1249)</f>
        <v/>
      </c>
    </row>
    <row r="1250" hidden="1">
      <c r="A1250" s="22" t="n">
        <v>6</v>
      </c>
      <c r="B1250" t="inlineStr">
        <is>
          <t xml:space="preserve">CDM03 - MORENO 3              </t>
        </is>
      </c>
      <c r="C1250" t="inlineStr">
        <is>
          <t xml:space="preserve">GRUPO L.                      </t>
        </is>
      </c>
      <c r="D1250" t="inlineStr">
        <is>
          <t>ESPONJA METAL</t>
        </is>
      </c>
      <c r="E1250" t="inlineStr">
        <is>
          <t xml:space="preserve">7796791200714       </t>
        </is>
      </c>
      <c r="F1250" t="n">
        <v>2006369</v>
      </c>
      <c r="G1250" t="inlineStr">
        <is>
          <t xml:space="preserve">ESPONJA METALICA XU FLEXOL         </t>
        </is>
      </c>
      <c r="H1250" t="inlineStr">
        <is>
          <t xml:space="preserve">UNIDAD              </t>
        </is>
      </c>
      <c r="I1250" t="n">
        <v>357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357</v>
      </c>
      <c r="P1250" s="96">
        <f>_xlfn.XLOOKUP(Tabla5[[#This Row],[EAN CORREGIDO]],'Tabla Articulos'!B:B,'Tabla Articulos'!D:D)</f>
        <v/>
      </c>
      <c r="Q1250" s="96">
        <f>_xlfn.XLOOKUP(S1250,'Tabla Articulos'!B:B,'Tabla Articulos'!E:E)</f>
        <v/>
      </c>
      <c r="R1250" s="96">
        <f>O1250*Q1250</f>
        <v/>
      </c>
      <c r="S1250" s="97">
        <f>TRIM(E1250)</f>
        <v/>
      </c>
    </row>
    <row r="1251" hidden="1">
      <c r="A1251" s="22" t="n">
        <v>6</v>
      </c>
      <c r="B1251" t="inlineStr">
        <is>
          <t xml:space="preserve">CDM03 - MORENO 3              </t>
        </is>
      </c>
      <c r="C1251" t="inlineStr">
        <is>
          <t xml:space="preserve">GRUPO L.                      </t>
        </is>
      </c>
      <c r="E1251" t="inlineStr">
        <is>
          <t xml:space="preserve">BAZ001359           </t>
        </is>
      </c>
      <c r="F1251" t="n">
        <v>9003767</v>
      </c>
      <c r="G1251" t="inlineStr">
        <is>
          <t xml:space="preserve">PLATO POSTRE LINEA RECT BLANCO     </t>
        </is>
      </c>
      <c r="H1251" t="inlineStr">
        <is>
          <t xml:space="preserve">UNIDAD              </t>
        </is>
      </c>
      <c r="I1251" t="n">
        <v>2048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2048</v>
      </c>
      <c r="P1251" s="96">
        <f>_xlfn.XLOOKUP(Tabla5[[#This Row],[EAN CORREGIDO]],'Tabla Articulos'!B:B,'Tabla Articulos'!D:D)</f>
        <v/>
      </c>
      <c r="Q1251" s="96">
        <f>_xlfn.XLOOKUP(S1251,'Tabla Articulos'!B:B,'Tabla Articulos'!E:E)</f>
        <v/>
      </c>
      <c r="R1251" s="96">
        <f>O1251*Q1251</f>
        <v/>
      </c>
      <c r="S1251" s="97">
        <f>TRIM(E1251)</f>
        <v/>
      </c>
    </row>
    <row r="1252" hidden="1">
      <c r="A1252" s="22" t="n">
        <v>5</v>
      </c>
      <c r="B1252" t="inlineStr">
        <is>
          <t xml:space="preserve">CDM02 - MORENO 2              </t>
        </is>
      </c>
      <c r="C1252" t="inlineStr">
        <is>
          <t xml:space="preserve">GRUPO L.                      </t>
        </is>
      </c>
      <c r="D1252" s="11" t="inlineStr">
        <is>
          <t>CAJAS CARTON</t>
        </is>
      </c>
      <c r="E1252" t="inlineStr">
        <is>
          <t xml:space="preserve">7790321626938       </t>
        </is>
      </c>
      <c r="F1252" t="n">
        <v>2006672</v>
      </c>
      <c r="G1252" t="inlineStr">
        <is>
          <t xml:space="preserve">CAJA 300X180X280 XU LOGO MESA      </t>
        </is>
      </c>
      <c r="H1252" t="inlineStr">
        <is>
          <t xml:space="preserve">UNIDAD              </t>
        </is>
      </c>
      <c r="I1252" t="n">
        <v>276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276</v>
      </c>
      <c r="P1252" s="96">
        <f>_xlfn.XLOOKUP(Tabla5[[#This Row],[EAN CORREGIDO]],'Tabla Articulos'!B:B,'Tabla Articulos'!D:D)</f>
        <v/>
      </c>
      <c r="Q1252" s="96">
        <f>_xlfn.XLOOKUP(S1252,'Tabla Articulos'!B:B,'Tabla Articulos'!E:E)</f>
        <v/>
      </c>
      <c r="R1252" s="96">
        <f>O1252*Q1252</f>
        <v/>
      </c>
      <c r="S1252" s="97">
        <f>TRIM(E1252)</f>
        <v/>
      </c>
    </row>
    <row r="1253" hidden="1">
      <c r="A1253" s="22" t="n">
        <v>6</v>
      </c>
      <c r="B1253" t="inlineStr">
        <is>
          <t xml:space="preserve">CDM03 - MORENO 3              </t>
        </is>
      </c>
      <c r="C1253" t="inlineStr">
        <is>
          <t xml:space="preserve">GRUPO L.                      </t>
        </is>
      </c>
      <c r="E1253" t="inlineStr">
        <is>
          <t xml:space="preserve">7798188650546       </t>
        </is>
      </c>
      <c r="F1253" t="n">
        <v>2011389</v>
      </c>
      <c r="G1253" t="inlineStr">
        <is>
          <t xml:space="preserve">SELLADOR ACRY-SEEL X 5LTS          </t>
        </is>
      </c>
      <c r="H1253" t="inlineStr">
        <is>
          <t xml:space="preserve">UNIDAD              </t>
        </is>
      </c>
      <c r="I1253" t="n">
        <v>36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36</v>
      </c>
      <c r="P1253" s="96">
        <f>_xlfn.XLOOKUP(Tabla5[[#This Row],[EAN CORREGIDO]],'Tabla Articulos'!B:B,'Tabla Articulos'!D:D)</f>
        <v/>
      </c>
      <c r="Q1253" s="96">
        <f>_xlfn.XLOOKUP(S1253,'Tabla Articulos'!B:B,'Tabla Articulos'!E:E)</f>
        <v/>
      </c>
      <c r="R1253" s="96">
        <f>O1253*Q1253</f>
        <v/>
      </c>
      <c r="S1253" s="97">
        <f>TRIM(E1253)</f>
        <v/>
      </c>
    </row>
    <row r="1254" hidden="1">
      <c r="A1254" s="22" t="n">
        <v>6</v>
      </c>
      <c r="B1254" t="inlineStr">
        <is>
          <t xml:space="preserve">CDM03 - MORENO 3              </t>
        </is>
      </c>
      <c r="C1254" t="inlineStr">
        <is>
          <t xml:space="preserve">GRUPO L.                      </t>
        </is>
      </c>
      <c r="D1254" s="11" t="n"/>
      <c r="E1254" t="inlineStr">
        <is>
          <t xml:space="preserve">BAZ001189           </t>
        </is>
      </c>
      <c r="F1254" t="n">
        <v>9003842</v>
      </c>
      <c r="G1254" t="inlineStr">
        <is>
          <t xml:space="preserve">CUCHARITA TE MOD. AC INOX. LIVI    </t>
        </is>
      </c>
      <c r="H1254" t="inlineStr">
        <is>
          <t xml:space="preserve">UNIDAD              </t>
        </is>
      </c>
      <c r="I1254" t="n">
        <v>447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447</v>
      </c>
      <c r="P1254" s="96">
        <f>_xlfn.XLOOKUP(Tabla5[[#This Row],[EAN CORREGIDO]],'Tabla Articulos'!B:B,'Tabla Articulos'!D:D)</f>
        <v/>
      </c>
      <c r="Q1254" s="96">
        <f>_xlfn.XLOOKUP(S1254,'Tabla Articulos'!B:B,'Tabla Articulos'!E:E)</f>
        <v/>
      </c>
      <c r="R1254" s="96">
        <f>O1254*Q1254</f>
        <v/>
      </c>
      <c r="S1254" s="97">
        <f>TRIM(E1254)</f>
        <v/>
      </c>
    </row>
    <row r="1255" hidden="1">
      <c r="A1255" s="22" t="n">
        <v>5</v>
      </c>
      <c r="B1255" t="inlineStr">
        <is>
          <t xml:space="preserve">CDM02 - MORENO 2              </t>
        </is>
      </c>
      <c r="C1255" t="inlineStr">
        <is>
          <t xml:space="preserve">GRUPO L.                      </t>
        </is>
      </c>
      <c r="D1255" t="inlineStr">
        <is>
          <t>MAYONESA INDIVIDUAL</t>
        </is>
      </c>
      <c r="E1255" t="inlineStr">
        <is>
          <t xml:space="preserve">7798011976591       </t>
        </is>
      </c>
      <c r="F1255" t="n">
        <v>4020499</v>
      </c>
      <c r="G1255" t="inlineStr">
        <is>
          <t xml:space="preserve">MAYONESA IND 8CC X198U ABEDUL      </t>
        </is>
      </c>
      <c r="H1255" t="inlineStr">
        <is>
          <t xml:space="preserve">UNIDAD              </t>
        </is>
      </c>
      <c r="I1255" t="n">
        <v>127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127</v>
      </c>
      <c r="P1255" s="96">
        <f>_xlfn.XLOOKUP(Tabla5[[#This Row],[EAN CORREGIDO]],'Tabla Articulos'!B:B,'Tabla Articulos'!D:D)</f>
        <v/>
      </c>
      <c r="Q1255" s="96">
        <f>_xlfn.XLOOKUP(S1255,'Tabla Articulos'!B:B,'Tabla Articulos'!E:E)</f>
        <v/>
      </c>
      <c r="R1255" s="96">
        <f>O1255*Q1255</f>
        <v/>
      </c>
      <c r="S1255" s="97">
        <f>TRIM(E1255)</f>
        <v/>
      </c>
    </row>
    <row r="1256" hidden="1">
      <c r="A1256" s="22" t="n">
        <v>6</v>
      </c>
      <c r="B1256" t="inlineStr">
        <is>
          <t xml:space="preserve">CDM03 - MORENO 3              </t>
        </is>
      </c>
      <c r="C1256" t="inlineStr">
        <is>
          <t xml:space="preserve">GRUPO L.                      </t>
        </is>
      </c>
      <c r="D1256" s="11" t="inlineStr">
        <is>
          <t>TRAPOS DE PISO</t>
        </is>
      </c>
      <c r="E1256" t="inlineStr">
        <is>
          <t xml:space="preserve">7796322010331       </t>
        </is>
      </c>
      <c r="F1256" t="n">
        <v>2011523</v>
      </c>
      <c r="G1256" t="inlineStr">
        <is>
          <t xml:space="preserve">TRAPO DE PISO GRIS                 </t>
        </is>
      </c>
      <c r="H1256" t="inlineStr">
        <is>
          <t xml:space="preserve">UNIDAD              </t>
        </is>
      </c>
      <c r="I1256" t="n">
        <v>841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841</v>
      </c>
      <c r="P1256" s="96">
        <f>_xlfn.XLOOKUP(Tabla5[[#This Row],[EAN CORREGIDO]],'Tabla Articulos'!B:B,'Tabla Articulos'!D:D)</f>
        <v/>
      </c>
      <c r="Q1256" s="96">
        <f>_xlfn.XLOOKUP(S1256,'Tabla Articulos'!B:B,'Tabla Articulos'!E:E)</f>
        <v/>
      </c>
      <c r="R1256" s="96">
        <f>O1256*Q1256</f>
        <v/>
      </c>
      <c r="S1256" s="97">
        <f>TRIM(E1256)</f>
        <v/>
      </c>
    </row>
    <row r="1257" hidden="1">
      <c r="A1257" s="22" t="n">
        <v>6</v>
      </c>
      <c r="B1257" t="inlineStr">
        <is>
          <t xml:space="preserve">CDM03 - MORENO 3              </t>
        </is>
      </c>
      <c r="C1257" t="inlineStr">
        <is>
          <t xml:space="preserve">GRUPO L.                      </t>
        </is>
      </c>
      <c r="E1257" t="inlineStr">
        <is>
          <t xml:space="preserve">UNIF000506          </t>
        </is>
      </c>
      <c r="F1257" t="n">
        <v>9003389</v>
      </c>
      <c r="G1257" t="inlineStr">
        <is>
          <t xml:space="preserve">CAMPERA POLAR NEGRA XXL C. GOUR    </t>
        </is>
      </c>
      <c r="H1257" t="inlineStr">
        <is>
          <t xml:space="preserve">UNIDAD              </t>
        </is>
      </c>
      <c r="I1257" t="n">
        <v>20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20</v>
      </c>
      <c r="P1257" s="96">
        <f>_xlfn.XLOOKUP(Tabla5[[#This Row],[EAN CORREGIDO]],'Tabla Articulos'!B:B,'Tabla Articulos'!D:D)</f>
        <v/>
      </c>
      <c r="Q1257" s="96">
        <f>_xlfn.XLOOKUP(S1257,'Tabla Articulos'!B:B,'Tabla Articulos'!E:E)</f>
        <v/>
      </c>
      <c r="R1257" s="96">
        <f>O1257*Q1257</f>
        <v/>
      </c>
      <c r="S1257" s="97">
        <f>TRIM(E1257)</f>
        <v/>
      </c>
    </row>
    <row r="1258" hidden="1">
      <c r="A1258" s="22" t="n">
        <v>1</v>
      </c>
      <c r="B1258" t="inlineStr">
        <is>
          <t xml:space="preserve">CD MORENO                     </t>
        </is>
      </c>
      <c r="C1258" t="inlineStr">
        <is>
          <t xml:space="preserve">GRUPO L.                      </t>
        </is>
      </c>
      <c r="D1258" t="inlineStr">
        <is>
          <t>CHORIZOS</t>
        </is>
      </c>
      <c r="E1258" t="inlineStr">
        <is>
          <t xml:space="preserve">7790212031210       </t>
        </is>
      </c>
      <c r="F1258" t="n">
        <v>4017683</v>
      </c>
      <c r="G1258" t="inlineStr">
        <is>
          <t xml:space="preserve">CHORIZO BOMBON X KG                </t>
        </is>
      </c>
      <c r="H1258" t="inlineStr">
        <is>
          <t xml:space="preserve">Kgs                 </t>
        </is>
      </c>
      <c r="I1258" t="n">
        <v>30.7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30.7</v>
      </c>
      <c r="P1258" s="96">
        <f>_xlfn.XLOOKUP(Tabla5[[#This Row],[EAN CORREGIDO]],'Tabla Articulos'!B:B,'Tabla Articulos'!D:D)</f>
        <v/>
      </c>
      <c r="Q1258" s="96">
        <f>_xlfn.XLOOKUP(S1258,'Tabla Articulos'!B:B,'Tabla Articulos'!E:E)</f>
        <v/>
      </c>
      <c r="R1258" s="96">
        <f>O1258*Q1258</f>
        <v/>
      </c>
      <c r="S1258" s="97">
        <f>TRIM(E1258)</f>
        <v/>
      </c>
    </row>
    <row r="1259" hidden="1">
      <c r="A1259" s="22" t="n">
        <v>5</v>
      </c>
      <c r="B1259" t="inlineStr">
        <is>
          <t xml:space="preserve">CDM02 - MORENO 2              </t>
        </is>
      </c>
      <c r="C1259" t="inlineStr">
        <is>
          <t xml:space="preserve">GRUPO L.                      </t>
        </is>
      </c>
      <c r="D1259" t="inlineStr">
        <is>
          <t>ACETO</t>
        </is>
      </c>
      <c r="E1259" t="inlineStr">
        <is>
          <t xml:space="preserve">7790566000271       </t>
        </is>
      </c>
      <c r="F1259" t="n">
        <v>4019770</v>
      </c>
      <c r="G1259" t="inlineStr">
        <is>
          <t xml:space="preserve">ACETO BALSAMICO X5LT HEIMEN        </t>
        </is>
      </c>
      <c r="H1259" t="inlineStr">
        <is>
          <t xml:space="preserve">UNIDAD              </t>
        </is>
      </c>
      <c r="I1259" t="n">
        <v>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8</v>
      </c>
      <c r="P1259" s="96">
        <f>_xlfn.XLOOKUP(Tabla5[[#This Row],[EAN CORREGIDO]],'Tabla Articulos'!B:B,'Tabla Articulos'!D:D)</f>
        <v/>
      </c>
      <c r="Q1259" s="96">
        <f>_xlfn.XLOOKUP(S1259,'Tabla Articulos'!B:B,'Tabla Articulos'!E:E)</f>
        <v/>
      </c>
      <c r="R1259" s="96">
        <f>O1259*Q1259</f>
        <v/>
      </c>
      <c r="S1259" s="97">
        <f>TRIM(E1259)</f>
        <v/>
      </c>
    </row>
    <row r="1260" hidden="1">
      <c r="A1260" s="22" t="n">
        <v>5</v>
      </c>
      <c r="B1260" t="inlineStr">
        <is>
          <t xml:space="preserve">CDM02 - MORENO 2              </t>
        </is>
      </c>
      <c r="C1260" t="inlineStr">
        <is>
          <t xml:space="preserve">GRUPO L.                      </t>
        </is>
      </c>
      <c r="D1260" t="inlineStr">
        <is>
          <t>PIMIENTA BLANCA S/TACC</t>
        </is>
      </c>
      <c r="E1260" t="inlineStr">
        <is>
          <t xml:space="preserve">7790150550588       </t>
        </is>
      </c>
      <c r="F1260" t="n">
        <v>4019606</v>
      </c>
      <c r="G1260" t="inlineStr">
        <is>
          <t xml:space="preserve">PIMIENTA BLANCA X25G ALICANTE      </t>
        </is>
      </c>
      <c r="H1260" t="inlineStr">
        <is>
          <t xml:space="preserve">UNIDAD              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2</v>
      </c>
      <c r="P1260" s="96">
        <f>_xlfn.XLOOKUP(Tabla5[[#This Row],[EAN CORREGIDO]],'Tabla Articulos'!B:B,'Tabla Articulos'!D:D)</f>
        <v/>
      </c>
      <c r="Q1260" s="96">
        <f>_xlfn.XLOOKUP(S1260,'Tabla Articulos'!B:B,'Tabla Articulos'!E:E)</f>
        <v/>
      </c>
      <c r="R1260" s="96">
        <f>O1260*Q1260</f>
        <v/>
      </c>
      <c r="S1260" s="97">
        <f>TRIM(E1260)</f>
        <v/>
      </c>
    </row>
    <row r="1261" hidden="1">
      <c r="A1261" s="22" t="n">
        <v>1</v>
      </c>
      <c r="B1261" t="inlineStr">
        <is>
          <t xml:space="preserve">CD MORENO                     </t>
        </is>
      </c>
      <c r="C1261" t="inlineStr">
        <is>
          <t xml:space="preserve">GRUPO L.                      </t>
        </is>
      </c>
      <c r="D1261" s="11" t="inlineStr">
        <is>
          <t>PIMIENTA BLANCA S/TACC</t>
        </is>
      </c>
      <c r="E1261" t="inlineStr">
        <is>
          <t xml:space="preserve">7790150550588       </t>
        </is>
      </c>
      <c r="F1261" t="n">
        <v>4019606</v>
      </c>
      <c r="G1261" t="inlineStr">
        <is>
          <t xml:space="preserve">PIMIENTA BLANCA X25G ALICANTE      </t>
        </is>
      </c>
      <c r="H1261" t="inlineStr">
        <is>
          <t xml:space="preserve">UNIDAD              </t>
        </is>
      </c>
      <c r="I1261" t="n">
        <v>230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230</v>
      </c>
      <c r="P1261" s="96">
        <f>_xlfn.XLOOKUP(Tabla5[[#This Row],[EAN CORREGIDO]],'Tabla Articulos'!B:B,'Tabla Articulos'!D:D)</f>
        <v/>
      </c>
      <c r="Q1261" s="96">
        <f>_xlfn.XLOOKUP(S1261,'Tabla Articulos'!B:B,'Tabla Articulos'!E:E)</f>
        <v/>
      </c>
      <c r="R1261" s="96">
        <f>O1261*Q1261</f>
        <v/>
      </c>
      <c r="S1261" s="97">
        <f>TRIM(E1261)</f>
        <v/>
      </c>
    </row>
    <row r="1262" hidden="1">
      <c r="A1262" s="22" t="n">
        <v>6</v>
      </c>
      <c r="B1262" t="inlineStr">
        <is>
          <t xml:space="preserve">CDM03 - MORENO 3              </t>
        </is>
      </c>
      <c r="C1262" t="inlineStr">
        <is>
          <t xml:space="preserve">GRUPO L.                      </t>
        </is>
      </c>
      <c r="E1262" t="inlineStr">
        <is>
          <t xml:space="preserve">5000795             </t>
        </is>
      </c>
      <c r="F1262" t="n">
        <v>5000795</v>
      </c>
      <c r="G1262" t="inlineStr">
        <is>
          <t xml:space="preserve">BOTAS DE GOMA T:42                 </t>
        </is>
      </c>
      <c r="H1262" t="inlineStr">
        <is>
          <t xml:space="preserve">UNIDAD              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2</v>
      </c>
      <c r="P1262" s="96">
        <f>_xlfn.XLOOKUP(Tabla5[[#This Row],[EAN CORREGIDO]],'Tabla Articulos'!B:B,'Tabla Articulos'!D:D)</f>
        <v/>
      </c>
      <c r="Q1262" s="96">
        <f>_xlfn.XLOOKUP(S1262,'Tabla Articulos'!B:B,'Tabla Articulos'!E:E)</f>
        <v/>
      </c>
      <c r="R1262" s="96">
        <f>O1262*Q1262</f>
        <v/>
      </c>
      <c r="S1262" s="97">
        <f>TRIM(E1262)</f>
        <v/>
      </c>
    </row>
    <row r="1263" hidden="1">
      <c r="A1263" s="22" t="n">
        <v>1</v>
      </c>
      <c r="B1263" t="inlineStr">
        <is>
          <t xml:space="preserve">CD MORENO                     </t>
        </is>
      </c>
      <c r="C1263" t="inlineStr">
        <is>
          <t xml:space="preserve">GRUPO L.                      </t>
        </is>
      </c>
      <c r="D1263" t="inlineStr">
        <is>
          <t>CHAMPIGNON ENTERO</t>
        </is>
      </c>
      <c r="E1263" t="inlineStr">
        <is>
          <t xml:space="preserve">7790199604969       </t>
        </is>
      </c>
      <c r="F1263" t="n">
        <v>4024158</v>
      </c>
      <c r="G1263" t="inlineStr">
        <is>
          <t xml:space="preserve">CHAMPIGNON ENT X400GR MORIXE       </t>
        </is>
      </c>
      <c r="H1263" t="inlineStr">
        <is>
          <t xml:space="preserve">UNIDAD              </t>
        </is>
      </c>
      <c r="I1263" t="n">
        <v>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3</v>
      </c>
      <c r="P1263" s="96">
        <f>_xlfn.XLOOKUP(Tabla5[[#This Row],[EAN CORREGIDO]],'Tabla Articulos'!B:B,'Tabla Articulos'!D:D)</f>
        <v/>
      </c>
      <c r="Q1263" s="96">
        <f>_xlfn.XLOOKUP(S1263,'Tabla Articulos'!B:B,'Tabla Articulos'!E:E)</f>
        <v/>
      </c>
      <c r="R1263" s="96">
        <f>O1263*Q1263</f>
        <v/>
      </c>
      <c r="S1263" s="97">
        <f>TRIM(E1263)</f>
        <v/>
      </c>
    </row>
    <row r="1264" hidden="1">
      <c r="A1264" s="22" t="n">
        <v>6</v>
      </c>
      <c r="B1264" t="inlineStr">
        <is>
          <t xml:space="preserve">CDM03 - MORENO 3              </t>
        </is>
      </c>
      <c r="C1264" t="inlineStr">
        <is>
          <t xml:space="preserve">GRUPO L.                      </t>
        </is>
      </c>
      <c r="D1264" s="11" t="inlineStr">
        <is>
          <t>PAPEL HIGIENICO</t>
        </is>
      </c>
      <c r="E1264" t="inlineStr">
        <is>
          <t xml:space="preserve">7798430440017       </t>
        </is>
      </c>
      <c r="F1264" t="n">
        <v>2006225</v>
      </c>
      <c r="G1264" t="inlineStr">
        <is>
          <t xml:space="preserve">PAPEL HIGIE CONO CHICO 300MX8UN    </t>
        </is>
      </c>
      <c r="H1264" t="inlineStr">
        <is>
          <t xml:space="preserve">UNIDAD              </t>
        </is>
      </c>
      <c r="I1264" t="n">
        <v>330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330</v>
      </c>
      <c r="P1264" s="96">
        <f>_xlfn.XLOOKUP(Tabla5[[#This Row],[EAN CORREGIDO]],'Tabla Articulos'!B:B,'Tabla Articulos'!D:D)</f>
        <v/>
      </c>
      <c r="Q1264" s="96">
        <f>_xlfn.XLOOKUP(S1264,'Tabla Articulos'!B:B,'Tabla Articulos'!E:E)</f>
        <v/>
      </c>
      <c r="R1264" s="96">
        <f>O1264*Q1264</f>
        <v/>
      </c>
      <c r="S1264" s="97">
        <f>TRIM(E1264)</f>
        <v/>
      </c>
    </row>
    <row r="1265" hidden="1">
      <c r="A1265" s="22" t="n">
        <v>6</v>
      </c>
      <c r="B1265" t="inlineStr">
        <is>
          <t xml:space="preserve">CDM03 - MORENO 3              </t>
        </is>
      </c>
      <c r="C1265" t="inlineStr">
        <is>
          <t xml:space="preserve">GRUPO L.                      </t>
        </is>
      </c>
      <c r="D1265" s="11" t="n"/>
      <c r="E1265" t="inlineStr">
        <is>
          <t xml:space="preserve">UNIF000608          </t>
        </is>
      </c>
      <c r="F1265" t="n">
        <v>9003146</v>
      </c>
      <c r="G1265" t="inlineStr">
        <is>
          <t xml:space="preserve">GUARDAPOLV C LOGO C GOUR TALLE M   </t>
        </is>
      </c>
      <c r="H1265" t="inlineStr">
        <is>
          <t xml:space="preserve">UNIDAD              </t>
        </is>
      </c>
      <c r="I1265" t="n">
        <v>38</v>
      </c>
      <c r="J1265" t="n">
        <v>0</v>
      </c>
      <c r="K1265" t="n">
        <v>0</v>
      </c>
      <c r="L1265" t="n">
        <v>2</v>
      </c>
      <c r="M1265" t="n">
        <v>2</v>
      </c>
      <c r="N1265" t="n">
        <v>0</v>
      </c>
      <c r="O1265" t="n">
        <v>34</v>
      </c>
      <c r="P1265" s="96">
        <f>_xlfn.XLOOKUP(Tabla5[[#This Row],[EAN CORREGIDO]],'Tabla Articulos'!B:B,'Tabla Articulos'!D:D)</f>
        <v/>
      </c>
      <c r="Q1265" s="96">
        <f>_xlfn.XLOOKUP(S1265,'Tabla Articulos'!B:B,'Tabla Articulos'!E:E)</f>
        <v/>
      </c>
      <c r="R1265" s="96">
        <f>O1265*Q1265</f>
        <v/>
      </c>
      <c r="S1265" s="97">
        <f>TRIM(E1265)</f>
        <v/>
      </c>
    </row>
    <row r="1266" hidden="1">
      <c r="A1266" s="22" t="n">
        <v>6</v>
      </c>
      <c r="B1266" t="inlineStr">
        <is>
          <t xml:space="preserve">CDM03 - MORENO 3              </t>
        </is>
      </c>
      <c r="C1266" t="inlineStr">
        <is>
          <t xml:space="preserve">GRUPO L.                      </t>
        </is>
      </c>
      <c r="D1266" s="11" t="inlineStr">
        <is>
          <t>TAPA ENSALADERA</t>
        </is>
      </c>
      <c r="E1266" t="inlineStr">
        <is>
          <t xml:space="preserve">7790321000063       </t>
        </is>
      </c>
      <c r="F1266" t="n">
        <v>2006451</v>
      </c>
      <c r="G1266" t="inlineStr">
        <is>
          <t xml:space="preserve">ENS. CRISTAL TAPA X100U BANDEX     </t>
        </is>
      </c>
      <c r="H1266" t="inlineStr">
        <is>
          <t xml:space="preserve">UNIDAD              </t>
        </is>
      </c>
      <c r="I1266" t="n">
        <v>185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185</v>
      </c>
      <c r="P1266" s="96">
        <f>_xlfn.XLOOKUP(Tabla5[[#This Row],[EAN CORREGIDO]],'Tabla Articulos'!B:B,'Tabla Articulos'!D:D)</f>
        <v/>
      </c>
      <c r="Q1266" s="96">
        <f>_xlfn.XLOOKUP(S1266,'Tabla Articulos'!B:B,'Tabla Articulos'!E:E)</f>
        <v/>
      </c>
      <c r="R1266" s="96">
        <f>O1266*Q1266</f>
        <v/>
      </c>
      <c r="S1266" s="97">
        <f>TRIM(E1266)</f>
        <v/>
      </c>
    </row>
    <row r="1267" hidden="1">
      <c r="A1267" s="22" t="n">
        <v>1</v>
      </c>
      <c r="B1267" t="inlineStr">
        <is>
          <t xml:space="preserve">CD MORENO                     </t>
        </is>
      </c>
      <c r="C1267" t="inlineStr">
        <is>
          <t xml:space="preserve">GRUPO L.                      </t>
        </is>
      </c>
      <c r="D1267" s="11" t="inlineStr">
        <is>
          <t>CARAMELO LIQUIDO</t>
        </is>
      </c>
      <c r="E1267" t="inlineStr">
        <is>
          <t xml:space="preserve">7791113002588       </t>
        </is>
      </c>
      <c r="F1267" t="n">
        <v>4020154</v>
      </c>
      <c r="G1267" t="inlineStr">
        <is>
          <t xml:space="preserve">CARAMELO LIQ X1.25LTS DULFIX	      </t>
        </is>
      </c>
      <c r="H1267" t="inlineStr">
        <is>
          <t xml:space="preserve">UNIDAD              </t>
        </is>
      </c>
      <c r="I1267" t="n">
        <v>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3</v>
      </c>
      <c r="P1267" s="96">
        <f>_xlfn.XLOOKUP(Tabla5[[#This Row],[EAN CORREGIDO]],'Tabla Articulos'!B:B,'Tabla Articulos'!D:D)</f>
        <v/>
      </c>
      <c r="Q1267" s="96">
        <f>_xlfn.XLOOKUP(S1267,'Tabla Articulos'!B:B,'Tabla Articulos'!E:E)</f>
        <v/>
      </c>
      <c r="R1267" s="96">
        <f>O1267*Q1267</f>
        <v/>
      </c>
      <c r="S1267" s="97">
        <f>TRIM(E1267)</f>
        <v/>
      </c>
    </row>
    <row r="1268" hidden="1">
      <c r="A1268" s="22" t="n">
        <v>6</v>
      </c>
      <c r="B1268" t="inlineStr">
        <is>
          <t xml:space="preserve">CDM03 - MORENO 3              </t>
        </is>
      </c>
      <c r="C1268" t="inlineStr">
        <is>
          <t xml:space="preserve">GRUPO L.                      </t>
        </is>
      </c>
      <c r="E1268" t="inlineStr">
        <is>
          <t xml:space="preserve">UNIF000450          </t>
        </is>
      </c>
      <c r="F1268" t="n">
        <v>9003611</v>
      </c>
      <c r="G1268" t="inlineStr">
        <is>
          <t xml:space="preserve">CAMP. A. MAR. TRUCKER ELEVARE M    </t>
        </is>
      </c>
      <c r="H1268" t="inlineStr">
        <is>
          <t xml:space="preserve">UNIDAD              </t>
        </is>
      </c>
      <c r="I1268" t="n">
        <v>34</v>
      </c>
      <c r="J1268" t="n">
        <v>0</v>
      </c>
      <c r="K1268" t="n">
        <v>0</v>
      </c>
      <c r="L1268" t="n">
        <v>1</v>
      </c>
      <c r="M1268" t="n">
        <v>1</v>
      </c>
      <c r="N1268" t="n">
        <v>0</v>
      </c>
      <c r="O1268" t="n">
        <v>32</v>
      </c>
      <c r="P1268" s="96">
        <f>_xlfn.XLOOKUP(Tabla5[[#This Row],[EAN CORREGIDO]],'Tabla Articulos'!B:B,'Tabla Articulos'!D:D)</f>
        <v/>
      </c>
      <c r="Q1268" s="96">
        <f>_xlfn.XLOOKUP(S1268,'Tabla Articulos'!B:B,'Tabla Articulos'!E:E)</f>
        <v/>
      </c>
      <c r="R1268" s="96">
        <f>O1268*Q1268</f>
        <v/>
      </c>
      <c r="S1268" s="97">
        <f>TRIM(E1268)</f>
        <v/>
      </c>
    </row>
    <row r="1269" hidden="1">
      <c r="A1269" s="22" t="n">
        <v>6</v>
      </c>
      <c r="B1269" t="inlineStr">
        <is>
          <t xml:space="preserve">CDM03 - MORENO 3              </t>
        </is>
      </c>
      <c r="C1269" t="inlineStr">
        <is>
          <t xml:space="preserve">GRUPO L.                      </t>
        </is>
      </c>
      <c r="E1269" t="inlineStr">
        <is>
          <t xml:space="preserve">UNIF000155          </t>
        </is>
      </c>
      <c r="F1269" t="n">
        <v>9003572</v>
      </c>
      <c r="G1269" t="inlineStr">
        <is>
          <t xml:space="preserve">CAMI. BLAN.M. LARG 50 C. GOURMET   </t>
        </is>
      </c>
      <c r="H1269" t="inlineStr">
        <is>
          <t xml:space="preserve">UNIDAD              </t>
        </is>
      </c>
      <c r="I1269" t="n">
        <v>30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30</v>
      </c>
      <c r="P1269" s="96">
        <f>_xlfn.XLOOKUP(Tabla5[[#This Row],[EAN CORREGIDO]],'Tabla Articulos'!B:B,'Tabla Articulos'!D:D)</f>
        <v/>
      </c>
      <c r="Q1269" s="96">
        <f>_xlfn.XLOOKUP(S1269,'Tabla Articulos'!B:B,'Tabla Articulos'!E:E)</f>
        <v/>
      </c>
      <c r="R1269" s="96">
        <f>O1269*Q1269</f>
        <v/>
      </c>
      <c r="S1269" s="97">
        <f>TRIM(E1269)</f>
        <v/>
      </c>
    </row>
    <row r="1270" hidden="1">
      <c r="A1270" s="22" t="n">
        <v>6</v>
      </c>
      <c r="B1270" t="inlineStr">
        <is>
          <t xml:space="preserve">CDM03 - MORENO 3              </t>
        </is>
      </c>
      <c r="C1270" t="inlineStr">
        <is>
          <t xml:space="preserve">GRUPO L.                      </t>
        </is>
      </c>
      <c r="D1270" t="inlineStr">
        <is>
          <t>LIMPIADOR CREMOSO</t>
        </is>
      </c>
      <c r="E1270" t="inlineStr">
        <is>
          <t xml:space="preserve">7798188650072       </t>
        </is>
      </c>
      <c r="F1270" t="n">
        <v>2006703</v>
      </c>
      <c r="G1270" t="inlineStr">
        <is>
          <t xml:space="preserve">LIMPIADOR CREMOSO LIMON X500ML     </t>
        </is>
      </c>
      <c r="H1270" t="inlineStr">
        <is>
          <t xml:space="preserve">UNIDAD              </t>
        </is>
      </c>
      <c r="I1270" t="n">
        <v>5574</v>
      </c>
      <c r="J1270" t="n">
        <v>0</v>
      </c>
      <c r="K1270" t="n">
        <v>0</v>
      </c>
      <c r="L1270" t="n">
        <v>294</v>
      </c>
      <c r="M1270" t="n">
        <v>294</v>
      </c>
      <c r="N1270" t="n">
        <v>0</v>
      </c>
      <c r="O1270" t="n">
        <v>4986</v>
      </c>
      <c r="P1270" s="96">
        <f>_xlfn.XLOOKUP(Tabla5[[#This Row],[EAN CORREGIDO]],'Tabla Articulos'!B:B,'Tabla Articulos'!D:D)</f>
        <v/>
      </c>
      <c r="Q1270" s="96">
        <f>_xlfn.XLOOKUP(S1270,'Tabla Articulos'!B:B,'Tabla Articulos'!E:E)</f>
        <v/>
      </c>
      <c r="R1270" s="96">
        <f>O1270*Q1270</f>
        <v/>
      </c>
      <c r="S1270" s="97">
        <f>TRIM(E1270)</f>
        <v/>
      </c>
    </row>
    <row r="1271" hidden="1">
      <c r="A1271" s="22" t="n">
        <v>1</v>
      </c>
      <c r="B1271" t="inlineStr">
        <is>
          <t xml:space="preserve">CD MORENO                     </t>
        </is>
      </c>
      <c r="C1271" t="inlineStr">
        <is>
          <t xml:space="preserve">GRUPO L.                      </t>
        </is>
      </c>
      <c r="D1271" t="inlineStr">
        <is>
          <t>GALLE SURTIDA</t>
        </is>
      </c>
      <c r="E1271" t="inlineStr">
        <is>
          <t xml:space="preserve">7798024290752       </t>
        </is>
      </c>
      <c r="F1271" t="n">
        <v>4018875</v>
      </c>
      <c r="G1271" t="inlineStr">
        <is>
          <t xml:space="preserve">GALLE SURTIDAS X300G TRIMAK        </t>
        </is>
      </c>
      <c r="H1271" t="inlineStr">
        <is>
          <t xml:space="preserve">UNIDAD              </t>
        </is>
      </c>
      <c r="I1271" t="n">
        <v>7966</v>
      </c>
      <c r="J1271" t="n">
        <v>0</v>
      </c>
      <c r="K1271" t="n">
        <v>0</v>
      </c>
      <c r="L1271" t="n">
        <v>844</v>
      </c>
      <c r="M1271" t="n">
        <v>844</v>
      </c>
      <c r="N1271" t="n">
        <v>0</v>
      </c>
      <c r="O1271" t="n">
        <v>6278</v>
      </c>
      <c r="P1271" s="96">
        <f>_xlfn.XLOOKUP(Tabla5[[#This Row],[EAN CORREGIDO]],'Tabla Articulos'!B:B,'Tabla Articulos'!D:D)</f>
        <v/>
      </c>
      <c r="Q1271" s="96">
        <f>_xlfn.XLOOKUP(S1271,'Tabla Articulos'!B:B,'Tabla Articulos'!E:E)</f>
        <v/>
      </c>
      <c r="R1271" s="96">
        <f>O1271*Q1271</f>
        <v/>
      </c>
      <c r="S1271" s="97">
        <f>TRIM(E1271)</f>
        <v/>
      </c>
    </row>
    <row r="1272" hidden="1">
      <c r="A1272" s="22" t="n">
        <v>6</v>
      </c>
      <c r="B1272" t="inlineStr">
        <is>
          <t xml:space="preserve">CDM03 - MORENO 3              </t>
        </is>
      </c>
      <c r="C1272" t="inlineStr">
        <is>
          <t xml:space="preserve">GRUPO L.                      </t>
        </is>
      </c>
      <c r="E1272" t="inlineStr">
        <is>
          <t xml:space="preserve">UNIF000482          </t>
        </is>
      </c>
      <c r="F1272" t="n">
        <v>9003254</v>
      </c>
      <c r="G1272" t="inlineStr">
        <is>
          <t xml:space="preserve">PANTAL. GRAFA S. LOGO BLANCO 44    </t>
        </is>
      </c>
      <c r="H1272" t="inlineStr">
        <is>
          <t xml:space="preserve">UNIDAD              </t>
        </is>
      </c>
      <c r="I1272" t="n">
        <v>14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14</v>
      </c>
      <c r="P1272" s="96">
        <f>_xlfn.XLOOKUP(Tabla5[[#This Row],[EAN CORREGIDO]],'Tabla Articulos'!B:B,'Tabla Articulos'!D:D)</f>
        <v/>
      </c>
      <c r="Q1272" s="96">
        <f>_xlfn.XLOOKUP(S1272,'Tabla Articulos'!B:B,'Tabla Articulos'!E:E)</f>
        <v/>
      </c>
      <c r="R1272" s="96">
        <f>O1272*Q1272</f>
        <v/>
      </c>
      <c r="S1272" s="97">
        <f>TRIM(E1272)</f>
        <v/>
      </c>
    </row>
    <row r="1273" hidden="1">
      <c r="A1273" s="22" t="n">
        <v>6</v>
      </c>
      <c r="B1273" t="inlineStr">
        <is>
          <t xml:space="preserve">CDM03 - MORENO 3              </t>
        </is>
      </c>
      <c r="C1273" t="inlineStr">
        <is>
          <t xml:space="preserve">GRUPO L.                      </t>
        </is>
      </c>
      <c r="E1273" t="inlineStr">
        <is>
          <t xml:space="preserve">UNIF000035          </t>
        </is>
      </c>
      <c r="F1273" t="n">
        <v>9003282</v>
      </c>
      <c r="G1273" t="inlineStr">
        <is>
          <t xml:space="preserve">BUZO AZUL MARINO GRUPO L XL        </t>
        </is>
      </c>
      <c r="H1273" t="inlineStr">
        <is>
          <t xml:space="preserve">UNIDAD              </t>
        </is>
      </c>
      <c r="I1273" t="n">
        <v>0</v>
      </c>
      <c r="J1273" t="n">
        <v>250</v>
      </c>
      <c r="K1273" t="n">
        <v>0</v>
      </c>
      <c r="L1273" t="n">
        <v>0</v>
      </c>
      <c r="M1273" t="n">
        <v>0</v>
      </c>
      <c r="N1273" t="n">
        <v>0</v>
      </c>
      <c r="O1273" t="n">
        <v>250</v>
      </c>
      <c r="P1273" s="96">
        <f>_xlfn.XLOOKUP(Tabla5[[#This Row],[EAN CORREGIDO]],'Tabla Articulos'!B:B,'Tabla Articulos'!D:D)</f>
        <v/>
      </c>
      <c r="Q1273" s="96">
        <f>_xlfn.XLOOKUP(S1273,'Tabla Articulos'!B:B,'Tabla Articulos'!E:E)</f>
        <v/>
      </c>
      <c r="R1273" s="96">
        <f>O1273*Q1273</f>
        <v/>
      </c>
      <c r="S1273" s="97">
        <f>TRIM(E1273)</f>
        <v/>
      </c>
    </row>
    <row r="1274" hidden="1">
      <c r="A1274" s="22" t="n">
        <v>5</v>
      </c>
      <c r="B1274" t="inlineStr">
        <is>
          <t xml:space="preserve">CDM02 - MORENO 2              </t>
        </is>
      </c>
      <c r="C1274" t="inlineStr">
        <is>
          <t xml:space="preserve">GRUPO L.                      </t>
        </is>
      </c>
      <c r="D1274" t="inlineStr">
        <is>
          <t>GELATINA MANZANA</t>
        </is>
      </c>
      <c r="E1274" t="inlineStr">
        <is>
          <t xml:space="preserve">790757899490        </t>
        </is>
      </c>
      <c r="F1274" t="n">
        <v>4022495</v>
      </c>
      <c r="G1274" t="inlineStr">
        <is>
          <t xml:space="preserve">GELATINA MANZANA 1KG POREC         </t>
        </is>
      </c>
      <c r="H1274" t="inlineStr">
        <is>
          <t xml:space="preserve">UNIDAD              </t>
        </is>
      </c>
      <c r="I1274" t="n">
        <v>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9</v>
      </c>
      <c r="P1274" s="96">
        <f>_xlfn.XLOOKUP(Tabla5[[#This Row],[EAN CORREGIDO]],'Tabla Articulos'!B:B,'Tabla Articulos'!D:D)</f>
        <v/>
      </c>
      <c r="Q1274" s="96">
        <f>_xlfn.XLOOKUP(S1274,'Tabla Articulos'!B:B,'Tabla Articulos'!E:E)</f>
        <v/>
      </c>
      <c r="R1274" s="96">
        <f>O1274*Q1274</f>
        <v/>
      </c>
      <c r="S1274" s="97">
        <f>TRIM(E1274)</f>
        <v/>
      </c>
    </row>
    <row r="1275" hidden="1">
      <c r="A1275" s="22" t="n">
        <v>1</v>
      </c>
      <c r="B1275" t="inlineStr">
        <is>
          <t xml:space="preserve">CD MORENO                     </t>
        </is>
      </c>
      <c r="C1275" t="inlineStr">
        <is>
          <t xml:space="preserve">GRUPO L.                      </t>
        </is>
      </c>
      <c r="D1275" t="inlineStr">
        <is>
          <t>GELATINA MANZANA</t>
        </is>
      </c>
      <c r="E1275" t="inlineStr">
        <is>
          <t xml:space="preserve">790757899490        </t>
        </is>
      </c>
      <c r="F1275" t="n">
        <v>4022495</v>
      </c>
      <c r="G1275" t="inlineStr">
        <is>
          <t xml:space="preserve">GELATINA MANZANA 1KG POREC         </t>
        </is>
      </c>
      <c r="H1275" t="inlineStr">
        <is>
          <t xml:space="preserve">UNIDAD              </t>
        </is>
      </c>
      <c r="I1275" t="n">
        <v>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4</v>
      </c>
      <c r="P1275" s="96">
        <f>_xlfn.XLOOKUP(Tabla5[[#This Row],[EAN CORREGIDO]],'Tabla Articulos'!B:B,'Tabla Articulos'!D:D)</f>
        <v/>
      </c>
      <c r="Q1275" s="96">
        <f>_xlfn.XLOOKUP(S1275,'Tabla Articulos'!B:B,'Tabla Articulos'!E:E)</f>
        <v/>
      </c>
      <c r="R1275" s="96">
        <f>O1275*Q1275</f>
        <v/>
      </c>
      <c r="S1275" s="97">
        <f>TRIM(E1275)</f>
        <v/>
      </c>
    </row>
    <row r="1276" hidden="1">
      <c r="A1276" s="22" t="n">
        <v>6</v>
      </c>
      <c r="B1276" t="inlineStr">
        <is>
          <t xml:space="preserve">CDM03 - MORENO 3              </t>
        </is>
      </c>
      <c r="C1276" t="inlineStr">
        <is>
          <t xml:space="preserve">GRUPO L.                      </t>
        </is>
      </c>
      <c r="E1276" t="inlineStr">
        <is>
          <t xml:space="preserve">UNIF000528          </t>
        </is>
      </c>
      <c r="F1276" t="n">
        <v>9003651</v>
      </c>
      <c r="G1276" t="inlineStr">
        <is>
          <t xml:space="preserve">SWEET. GRIS LANA GL SUP LIMP XL    </t>
        </is>
      </c>
      <c r="H1276" t="inlineStr">
        <is>
          <t xml:space="preserve">UNIDAD              </t>
        </is>
      </c>
      <c r="I1276" t="n">
        <v>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8</v>
      </c>
      <c r="P1276" s="96">
        <f>_xlfn.XLOOKUP(Tabla5[[#This Row],[EAN CORREGIDO]],'Tabla Articulos'!B:B,'Tabla Articulos'!D:D)</f>
        <v/>
      </c>
      <c r="Q1276" s="96">
        <f>_xlfn.XLOOKUP(S1276,'Tabla Articulos'!B:B,'Tabla Articulos'!E:E)</f>
        <v/>
      </c>
      <c r="R1276" s="96">
        <f>O1276*Q1276</f>
        <v/>
      </c>
      <c r="S1276" s="97">
        <f>TRIM(E1276)</f>
        <v/>
      </c>
    </row>
    <row r="1277" hidden="1">
      <c r="A1277" s="22" t="n">
        <v>1</v>
      </c>
      <c r="B1277" t="inlineStr">
        <is>
          <t xml:space="preserve">CD MORENO                     </t>
        </is>
      </c>
      <c r="C1277" t="inlineStr">
        <is>
          <t xml:space="preserve">GRUPO L.                      </t>
        </is>
      </c>
      <c r="D1277" t="inlineStr">
        <is>
          <t>CHIPA</t>
        </is>
      </c>
      <c r="E1277" t="inlineStr">
        <is>
          <t xml:space="preserve">7792180009104       </t>
        </is>
      </c>
      <c r="F1277" t="n">
        <v>4076764</v>
      </c>
      <c r="G1277" t="inlineStr">
        <is>
          <t xml:space="preserve">VO CHIPA 20GR X150UN CANUELAS      </t>
        </is>
      </c>
      <c r="H1277" t="inlineStr">
        <is>
          <t xml:space="preserve">UNIDAD              </t>
        </is>
      </c>
      <c r="I1277" t="n">
        <v>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3</v>
      </c>
      <c r="P1277" s="96">
        <f>_xlfn.XLOOKUP(Tabla5[[#This Row],[EAN CORREGIDO]],'Tabla Articulos'!B:B,'Tabla Articulos'!D:D)</f>
        <v/>
      </c>
      <c r="Q1277" s="96">
        <f>_xlfn.XLOOKUP(S1277,'Tabla Articulos'!B:B,'Tabla Articulos'!E:E)</f>
        <v/>
      </c>
      <c r="R1277" s="96">
        <f>O1277*Q1277</f>
        <v/>
      </c>
      <c r="S1277" s="97">
        <f>TRIM(E1277)</f>
        <v/>
      </c>
    </row>
    <row r="1278" hidden="1">
      <c r="A1278" s="22" t="n">
        <v>1</v>
      </c>
      <c r="B1278" t="inlineStr">
        <is>
          <t xml:space="preserve">CD MORENO                     </t>
        </is>
      </c>
      <c r="C1278" t="inlineStr">
        <is>
          <t xml:space="preserve">GRUPO L.                      </t>
        </is>
      </c>
      <c r="D1278" t="inlineStr">
        <is>
          <t>SAL FINA INDIVIDUAL</t>
        </is>
      </c>
      <c r="E1278" t="inlineStr">
        <is>
          <t xml:space="preserve">7798011970384       </t>
        </is>
      </c>
      <c r="F1278" t="n">
        <v>4020346</v>
      </c>
      <c r="G1278" t="inlineStr">
        <is>
          <t xml:space="preserve">SAL FINA X 0.5 X 1000 U ABEDUL     </t>
        </is>
      </c>
      <c r="H1278" t="inlineStr">
        <is>
          <t xml:space="preserve">UNIDAD              </t>
        </is>
      </c>
      <c r="I1278" t="n">
        <v>20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20</v>
      </c>
      <c r="P1278" s="96">
        <f>_xlfn.XLOOKUP(Tabla5[[#This Row],[EAN CORREGIDO]],'Tabla Articulos'!B:B,'Tabla Articulos'!D:D)</f>
        <v/>
      </c>
      <c r="Q1278" s="96">
        <f>_xlfn.XLOOKUP(S1278,'Tabla Articulos'!B:B,'Tabla Articulos'!E:E)</f>
        <v/>
      </c>
      <c r="R1278" s="96">
        <f>O1278*Q1278</f>
        <v/>
      </c>
      <c r="S1278" s="97">
        <f>TRIM(E1278)</f>
        <v/>
      </c>
    </row>
    <row r="1279" hidden="1">
      <c r="A1279" s="22" t="n">
        <v>5</v>
      </c>
      <c r="B1279" t="inlineStr">
        <is>
          <t xml:space="preserve">CDM02 - MORENO 2              </t>
        </is>
      </c>
      <c r="C1279" t="inlineStr">
        <is>
          <t xml:space="preserve">GRUPO L.                      </t>
        </is>
      </c>
      <c r="D1279" t="inlineStr">
        <is>
          <t>SAL FINA INDIVIDUAL</t>
        </is>
      </c>
      <c r="E1279" t="inlineStr">
        <is>
          <t xml:space="preserve">7798011970384       </t>
        </is>
      </c>
      <c r="F1279" t="n">
        <v>4020346</v>
      </c>
      <c r="G1279" t="inlineStr">
        <is>
          <t xml:space="preserve">SAL FINA X 0.5 X 1000 U ABEDUL     </t>
        </is>
      </c>
      <c r="H1279" t="inlineStr">
        <is>
          <t xml:space="preserve">UNIDAD              </t>
        </is>
      </c>
      <c r="I1279" t="n">
        <v>260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260</v>
      </c>
      <c r="P1279" s="96">
        <f>_xlfn.XLOOKUP(Tabla5[[#This Row],[EAN CORREGIDO]],'Tabla Articulos'!B:B,'Tabla Articulos'!D:D)</f>
        <v/>
      </c>
      <c r="Q1279" s="96">
        <f>_xlfn.XLOOKUP(S1279,'Tabla Articulos'!B:B,'Tabla Articulos'!E:E)</f>
        <v/>
      </c>
      <c r="R1279" s="96">
        <f>O1279*Q1279</f>
        <v/>
      </c>
      <c r="S1279" s="97">
        <f>TRIM(E1279)</f>
        <v/>
      </c>
    </row>
    <row r="1280" hidden="1">
      <c r="A1280" s="22" t="n">
        <v>6</v>
      </c>
      <c r="B1280" t="inlineStr">
        <is>
          <t xml:space="preserve">CDM03 - MORENO 3              </t>
        </is>
      </c>
      <c r="C1280" t="inlineStr">
        <is>
          <t xml:space="preserve">GRUPO L.                      </t>
        </is>
      </c>
      <c r="E1280" t="inlineStr">
        <is>
          <t xml:space="preserve">BAZ001157           </t>
        </is>
      </c>
      <c r="F1280" t="n">
        <v>9003741</v>
      </c>
      <c r="G1280" t="inlineStr">
        <is>
          <t xml:space="preserve">PLATO TE LINEA RECTA BCO VERBANO   </t>
        </is>
      </c>
      <c r="H1280" t="inlineStr">
        <is>
          <t xml:space="preserve">UNIDAD              </t>
        </is>
      </c>
      <c r="I1280" t="n">
        <v>4952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4952</v>
      </c>
      <c r="P1280" s="96">
        <f>_xlfn.XLOOKUP(Tabla5[[#This Row],[EAN CORREGIDO]],'Tabla Articulos'!B:B,'Tabla Articulos'!D:D)</f>
        <v/>
      </c>
      <c r="Q1280" s="96">
        <f>_xlfn.XLOOKUP(S1280,'Tabla Articulos'!B:B,'Tabla Articulos'!E:E)</f>
        <v/>
      </c>
      <c r="R1280" s="96">
        <f>O1280*Q1280</f>
        <v/>
      </c>
      <c r="S1280" s="97">
        <f>TRIM(E1280)</f>
        <v/>
      </c>
    </row>
    <row r="1281" hidden="1">
      <c r="A1281" s="22" t="n">
        <v>6</v>
      </c>
      <c r="B1281" t="inlineStr">
        <is>
          <t xml:space="preserve">CDM03 - MORENO 3              </t>
        </is>
      </c>
      <c r="C1281" t="inlineStr">
        <is>
          <t xml:space="preserve">GRUPO L.                      </t>
        </is>
      </c>
      <c r="E1281" t="inlineStr">
        <is>
          <t xml:space="preserve">BAZ001147           </t>
        </is>
      </c>
      <c r="F1281" t="n">
        <v>9003707</v>
      </c>
      <c r="G1281" t="inlineStr">
        <is>
          <t xml:space="preserve">BAND PLAST FAST-FOOD 45X35 AZUL    </t>
        </is>
      </c>
      <c r="H1281" t="inlineStr">
        <is>
          <t xml:space="preserve">UNIDAD              </t>
        </is>
      </c>
      <c r="I1281" t="n">
        <v>926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926</v>
      </c>
      <c r="P1281" s="96">
        <f>_xlfn.XLOOKUP(Tabla5[[#This Row],[EAN CORREGIDO]],'Tabla Articulos'!B:B,'Tabla Articulos'!D:D)</f>
        <v/>
      </c>
      <c r="Q1281" s="96">
        <f>_xlfn.XLOOKUP(S1281,'Tabla Articulos'!B:B,'Tabla Articulos'!E:E)</f>
        <v/>
      </c>
      <c r="R1281" s="96">
        <f>O1281*Q1281</f>
        <v/>
      </c>
      <c r="S1281" s="97">
        <f>TRIM(E1281)</f>
        <v/>
      </c>
    </row>
    <row r="1282" hidden="1">
      <c r="A1282" s="22" t="n">
        <v>1</v>
      </c>
      <c r="B1282" t="inlineStr">
        <is>
          <t xml:space="preserve">CD MORENO                     </t>
        </is>
      </c>
      <c r="C1282" t="inlineStr">
        <is>
          <t xml:space="preserve">GRUPO L.                      </t>
        </is>
      </c>
      <c r="D1282" t="inlineStr">
        <is>
          <t>MERMELADA IND CIRUELA</t>
        </is>
      </c>
      <c r="E1282" t="inlineStr">
        <is>
          <t xml:space="preserve">7798011976690       </t>
        </is>
      </c>
      <c r="F1282" t="n">
        <v>4020380</v>
      </c>
      <c r="G1282" t="inlineStr">
        <is>
          <t xml:space="preserve">MERM CIRUELA X20GX108U ABEDUL      </t>
        </is>
      </c>
      <c r="H1282" t="inlineStr">
        <is>
          <t xml:space="preserve">UNIDAD              </t>
        </is>
      </c>
      <c r="I1282" t="n">
        <v>13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13</v>
      </c>
      <c r="P1282" s="96">
        <f>_xlfn.XLOOKUP(Tabla5[[#This Row],[EAN CORREGIDO]],'Tabla Articulos'!B:B,'Tabla Articulos'!D:D)</f>
        <v/>
      </c>
      <c r="Q1282" s="96">
        <f>_xlfn.XLOOKUP(S1282,'Tabla Articulos'!B:B,'Tabla Articulos'!E:E)</f>
        <v/>
      </c>
      <c r="R1282" s="96">
        <f>O1282*Q1282</f>
        <v/>
      </c>
      <c r="S1282" s="97">
        <f>TRIM(E1282)</f>
        <v/>
      </c>
    </row>
    <row r="1283" hidden="1">
      <c r="A1283" s="22" t="n">
        <v>1</v>
      </c>
      <c r="B1283" t="inlineStr">
        <is>
          <t xml:space="preserve">CD MORENO                     </t>
        </is>
      </c>
      <c r="C1283" t="inlineStr">
        <is>
          <t xml:space="preserve">GRUPO L.                      </t>
        </is>
      </c>
      <c r="D1283" s="11" t="inlineStr">
        <is>
          <t>LAUREL SECO</t>
        </is>
      </c>
      <c r="E1283" t="inlineStr">
        <is>
          <t xml:space="preserve">7793875314732       </t>
        </is>
      </c>
      <c r="F1283" t="n">
        <v>4020220</v>
      </c>
      <c r="G1283" t="inlineStr">
        <is>
          <t xml:space="preserve">LAUREL HOJAS X250G AYS             </t>
        </is>
      </c>
      <c r="H1283" t="inlineStr">
        <is>
          <t xml:space="preserve">UNIDAD              </t>
        </is>
      </c>
      <c r="I1283" t="n">
        <v>19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19</v>
      </c>
      <c r="P1283" s="96">
        <f>_xlfn.XLOOKUP(Tabla5[[#This Row],[EAN CORREGIDO]],'Tabla Articulos'!B:B,'Tabla Articulos'!D:D)</f>
        <v/>
      </c>
      <c r="Q1283" s="96">
        <f>_xlfn.XLOOKUP(S1283,'Tabla Articulos'!B:B,'Tabla Articulos'!E:E)</f>
        <v/>
      </c>
      <c r="R1283" s="96">
        <f>O1283*Q1283</f>
        <v/>
      </c>
      <c r="S1283" s="97">
        <f>TRIM(E1283)</f>
        <v/>
      </c>
    </row>
    <row r="1284" hidden="1">
      <c r="A1284" s="22" t="n">
        <v>6</v>
      </c>
      <c r="B1284" t="inlineStr">
        <is>
          <t xml:space="preserve">CDM03 - MORENO 3              </t>
        </is>
      </c>
      <c r="C1284" t="inlineStr">
        <is>
          <t xml:space="preserve">GRUPO L.                      </t>
        </is>
      </c>
      <c r="D1284" s="11" t="n"/>
      <c r="E1284" t="inlineStr">
        <is>
          <t xml:space="preserve">BAZ001351           </t>
        </is>
      </c>
      <c r="F1284" t="n">
        <v>9003730</v>
      </c>
      <c r="G1284" t="inlineStr">
        <is>
          <t xml:space="preserve">CUCHARITA TE MANGO PLAST NEGRO     </t>
        </is>
      </c>
      <c r="H1284" t="inlineStr">
        <is>
          <t xml:space="preserve">UNIDAD              </t>
        </is>
      </c>
      <c r="I1284" t="n">
        <v>180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180</v>
      </c>
      <c r="P1284" s="96">
        <f>_xlfn.XLOOKUP(Tabla5[[#This Row],[EAN CORREGIDO]],'Tabla Articulos'!B:B,'Tabla Articulos'!D:D)</f>
        <v/>
      </c>
      <c r="Q1284" s="96">
        <f>_xlfn.XLOOKUP(S1284,'Tabla Articulos'!B:B,'Tabla Articulos'!E:E)</f>
        <v/>
      </c>
      <c r="R1284" s="96">
        <f>O1284*Q1284</f>
        <v/>
      </c>
      <c r="S1284" s="97">
        <f>TRIM(E1284)</f>
        <v/>
      </c>
    </row>
    <row r="1285" hidden="1">
      <c r="A1285" s="22" t="n">
        <v>1</v>
      </c>
      <c r="B1285" t="inlineStr">
        <is>
          <t xml:space="preserve">CD MORENO                     </t>
        </is>
      </c>
      <c r="C1285" t="inlineStr">
        <is>
          <t xml:space="preserve">GRUPO L.                      </t>
        </is>
      </c>
      <c r="D1285" t="inlineStr">
        <is>
          <t xml:space="preserve">GARRAPIÑADA </t>
        </is>
      </c>
      <c r="E1285" t="inlineStr">
        <is>
          <t xml:space="preserve">7798411011236       </t>
        </is>
      </c>
      <c r="F1285" t="n">
        <v>4020579</v>
      </c>
      <c r="G1285" t="inlineStr">
        <is>
          <t xml:space="preserve">GARRAPIÑADA MANI X80G GOLOMASTER   </t>
        </is>
      </c>
      <c r="H1285" t="inlineStr">
        <is>
          <t xml:space="preserve">UNIDAD              </t>
        </is>
      </c>
      <c r="I1285" t="n">
        <v>415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415</v>
      </c>
      <c r="P1285" s="96">
        <f>_xlfn.XLOOKUP(Tabla5[[#This Row],[EAN CORREGIDO]],'Tabla Articulos'!B:B,'Tabla Articulos'!D:D)</f>
        <v/>
      </c>
      <c r="Q1285" s="96">
        <f>_xlfn.XLOOKUP(S1285,'Tabla Articulos'!B:B,'Tabla Articulos'!E:E)</f>
        <v/>
      </c>
      <c r="R1285" s="96">
        <f>O1285*Q1285</f>
        <v/>
      </c>
      <c r="S1285" s="97">
        <f>TRIM(E1285)</f>
        <v/>
      </c>
    </row>
    <row r="1286" hidden="1">
      <c r="A1286" s="22" t="n">
        <v>5</v>
      </c>
      <c r="B1286" t="inlineStr">
        <is>
          <t xml:space="preserve">CDM02 - MORENO 2              </t>
        </is>
      </c>
      <c r="C1286" t="inlineStr">
        <is>
          <t xml:space="preserve">GRUPO L.                      </t>
        </is>
      </c>
      <c r="D1286" t="inlineStr">
        <is>
          <t xml:space="preserve">GARRAPIÑADA </t>
        </is>
      </c>
      <c r="E1286" t="inlineStr">
        <is>
          <t xml:space="preserve">7798411011236       </t>
        </is>
      </c>
      <c r="F1286" t="n">
        <v>4020579</v>
      </c>
      <c r="G1286" t="inlineStr">
        <is>
          <t xml:space="preserve">GARRAPIÑADA MANI X80G GOLOMASTER   </t>
        </is>
      </c>
      <c r="H1286" t="inlineStr">
        <is>
          <t xml:space="preserve">UNIDAD              </t>
        </is>
      </c>
      <c r="I1286" t="n">
        <v>32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32</v>
      </c>
      <c r="P1286" s="96">
        <f>_xlfn.XLOOKUP(Tabla5[[#This Row],[EAN CORREGIDO]],'Tabla Articulos'!B:B,'Tabla Articulos'!D:D)</f>
        <v/>
      </c>
      <c r="Q1286" s="96">
        <f>_xlfn.XLOOKUP(S1286,'Tabla Articulos'!B:B,'Tabla Articulos'!E:E)</f>
        <v/>
      </c>
      <c r="R1286" s="96">
        <f>O1286*Q1286</f>
        <v/>
      </c>
      <c r="S1286" s="97">
        <f>TRIM(E1286)</f>
        <v/>
      </c>
    </row>
    <row r="1287" hidden="1">
      <c r="A1287" s="22" t="n">
        <v>6</v>
      </c>
      <c r="B1287" t="inlineStr">
        <is>
          <t xml:space="preserve">CDM03 - MORENO 3              </t>
        </is>
      </c>
      <c r="C1287" t="inlineStr">
        <is>
          <t xml:space="preserve">GRUPO L.                      </t>
        </is>
      </c>
      <c r="D1287" s="11" t="n"/>
      <c r="E1287" t="inlineStr">
        <is>
          <t xml:space="preserve">BAZ001225           </t>
        </is>
      </c>
      <c r="F1287" t="n">
        <v>9003802</v>
      </c>
      <c r="G1287" t="inlineStr">
        <is>
          <t xml:space="preserve">SARTEN MANG PLANCHU CHAPN°30       </t>
        </is>
      </c>
      <c r="H1287" t="inlineStr">
        <is>
          <t xml:space="preserve">UNIDAD              </t>
        </is>
      </c>
      <c r="I1287" t="n">
        <v>11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11</v>
      </c>
      <c r="P1287" s="96">
        <f>_xlfn.XLOOKUP(Tabla5[[#This Row],[EAN CORREGIDO]],'Tabla Articulos'!B:B,'Tabla Articulos'!D:D)</f>
        <v/>
      </c>
      <c r="Q1287" s="96">
        <f>_xlfn.XLOOKUP(S1287,'Tabla Articulos'!B:B,'Tabla Articulos'!E:E)</f>
        <v/>
      </c>
      <c r="R1287" s="96">
        <f>O1287*Q1287</f>
        <v/>
      </c>
      <c r="S1287" s="97">
        <f>TRIM(E1287)</f>
        <v/>
      </c>
    </row>
    <row r="1288" hidden="1">
      <c r="A1288" s="22" t="n">
        <v>6</v>
      </c>
      <c r="B1288" t="inlineStr">
        <is>
          <t xml:space="preserve">CDM03 - MORENO 3              </t>
        </is>
      </c>
      <c r="C1288" t="inlineStr">
        <is>
          <t xml:space="preserve">GRUPO L.                      </t>
        </is>
      </c>
      <c r="D1288" s="11" t="inlineStr">
        <is>
          <t>GUANTE LATEX</t>
        </is>
      </c>
      <c r="E1288" t="inlineStr">
        <is>
          <t xml:space="preserve">7798452810027       </t>
        </is>
      </c>
      <c r="F1288" t="n">
        <v>2011468</v>
      </c>
      <c r="G1288" t="inlineStr">
        <is>
          <t xml:space="preserve">GUANTES LATEX M X100U ALUMAX       </t>
        </is>
      </c>
      <c r="H1288" t="inlineStr">
        <is>
          <t xml:space="preserve">UNIDAD              </t>
        </is>
      </c>
      <c r="I1288" t="n">
        <v>85</v>
      </c>
      <c r="J1288" t="n">
        <v>0</v>
      </c>
      <c r="K1288" t="n">
        <v>0</v>
      </c>
      <c r="L1288" t="n">
        <v>30</v>
      </c>
      <c r="M1288" t="n">
        <v>30</v>
      </c>
      <c r="N1288" t="n">
        <v>0</v>
      </c>
      <c r="O1288" t="n">
        <v>25</v>
      </c>
      <c r="P1288" s="96">
        <f>_xlfn.XLOOKUP(Tabla5[[#This Row],[EAN CORREGIDO]],'Tabla Articulos'!B:B,'Tabla Articulos'!D:D)</f>
        <v/>
      </c>
      <c r="Q1288" s="96">
        <f>_xlfn.XLOOKUP(S1288,'Tabla Articulos'!B:B,'Tabla Articulos'!E:E)</f>
        <v/>
      </c>
      <c r="R1288" s="96">
        <f>O1288*Q1288</f>
        <v/>
      </c>
      <c r="S1288" s="97">
        <f>TRIM(E1288)</f>
        <v/>
      </c>
    </row>
    <row r="1289" hidden="1">
      <c r="A1289" s="22" t="n">
        <v>6</v>
      </c>
      <c r="B1289" t="inlineStr">
        <is>
          <t xml:space="preserve">CDM03 - MORENO 3              </t>
        </is>
      </c>
      <c r="C1289" t="inlineStr">
        <is>
          <t xml:space="preserve">GRUPO L.                      </t>
        </is>
      </c>
      <c r="E1289" t="inlineStr">
        <is>
          <t xml:space="preserve">7793071000118       </t>
        </is>
      </c>
      <c r="F1289" t="n">
        <v>2011403</v>
      </c>
      <c r="G1289" t="inlineStr">
        <is>
          <t xml:space="preserve">PALA CON CABO Y GOMA ROJO          </t>
        </is>
      </c>
      <c r="H1289" t="inlineStr">
        <is>
          <t xml:space="preserve">UNIDAD              </t>
        </is>
      </c>
      <c r="I1289" t="n">
        <v>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4</v>
      </c>
      <c r="P1289" s="96">
        <f>_xlfn.XLOOKUP(Tabla5[[#This Row],[EAN CORREGIDO]],'Tabla Articulos'!B:B,'Tabla Articulos'!D:D)</f>
        <v/>
      </c>
      <c r="Q1289" s="96">
        <f>_xlfn.XLOOKUP(S1289,'Tabla Articulos'!B:B,'Tabla Articulos'!E:E)</f>
        <v/>
      </c>
      <c r="R1289" s="96">
        <f>O1289*Q1289</f>
        <v/>
      </c>
      <c r="S1289" s="97">
        <f>TRIM(E1289)</f>
        <v/>
      </c>
    </row>
    <row r="1290" hidden="1">
      <c r="A1290" s="22" t="n">
        <v>6</v>
      </c>
      <c r="B1290" t="inlineStr">
        <is>
          <t xml:space="preserve">CDM03 - MORENO 3              </t>
        </is>
      </c>
      <c r="C1290" t="inlineStr">
        <is>
          <t xml:space="preserve">GRUPO L.                      </t>
        </is>
      </c>
      <c r="E1290" t="inlineStr">
        <is>
          <t xml:space="preserve">UNIF000091          </t>
        </is>
      </c>
      <c r="F1290" t="n">
        <v>9003552</v>
      </c>
      <c r="G1290" t="inlineStr">
        <is>
          <t>CAMISA BLANCA LISA 54 BLUE CATERING</t>
        </is>
      </c>
      <c r="H1290" t="inlineStr">
        <is>
          <t xml:space="preserve">UNIDAD              </t>
        </is>
      </c>
      <c r="I1290" t="n">
        <v>10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10</v>
      </c>
      <c r="P1290" s="96">
        <f>_xlfn.XLOOKUP(Tabla5[[#This Row],[EAN CORREGIDO]],'Tabla Articulos'!B:B,'Tabla Articulos'!D:D)</f>
        <v/>
      </c>
      <c r="Q1290" s="96">
        <f>_xlfn.XLOOKUP(S1290,'Tabla Articulos'!B:B,'Tabla Articulos'!E:E)</f>
        <v/>
      </c>
      <c r="R1290" s="96">
        <f>O1290*Q1290</f>
        <v/>
      </c>
      <c r="S1290" s="97">
        <f>TRIM(E1290)</f>
        <v/>
      </c>
    </row>
    <row r="1291" hidden="1">
      <c r="A1291" s="22" t="n">
        <v>6</v>
      </c>
      <c r="B1291" t="inlineStr">
        <is>
          <t xml:space="preserve">CDM03 - MORENO 3              </t>
        </is>
      </c>
      <c r="C1291" t="inlineStr">
        <is>
          <t xml:space="preserve">GRUPO L.                      </t>
        </is>
      </c>
      <c r="E1291" t="inlineStr">
        <is>
          <t xml:space="preserve">UNIF000364          </t>
        </is>
      </c>
      <c r="F1291" t="n">
        <v>9003233</v>
      </c>
      <c r="G1291" t="inlineStr">
        <is>
          <t xml:space="preserve">CORBATA NEGRA FINITA S. LOGO       </t>
        </is>
      </c>
      <c r="H1291" t="inlineStr">
        <is>
          <t xml:space="preserve">UNIDAD              </t>
        </is>
      </c>
      <c r="I1291" t="n">
        <v>111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111</v>
      </c>
      <c r="P1291" s="96">
        <f>_xlfn.XLOOKUP(Tabla5[[#This Row],[EAN CORREGIDO]],'Tabla Articulos'!B:B,'Tabla Articulos'!D:D)</f>
        <v/>
      </c>
      <c r="Q1291" s="96">
        <f>_xlfn.XLOOKUP(S1291,'Tabla Articulos'!B:B,'Tabla Articulos'!E:E)</f>
        <v/>
      </c>
      <c r="R1291" s="96">
        <f>O1291*Q1291</f>
        <v/>
      </c>
      <c r="S1291" s="97">
        <f>TRIM(E1291)</f>
        <v/>
      </c>
    </row>
    <row r="1292" hidden="1">
      <c r="A1292" s="22" t="n">
        <v>6</v>
      </c>
      <c r="B1292" t="inlineStr">
        <is>
          <t xml:space="preserve">CDM03 - MORENO 3              </t>
        </is>
      </c>
      <c r="C1292" t="inlineStr">
        <is>
          <t xml:space="preserve">GRUPO L.                      </t>
        </is>
      </c>
      <c r="D1292" s="11" t="n"/>
      <c r="E1292" t="inlineStr">
        <is>
          <t xml:space="preserve">UNIF000308          </t>
        </is>
      </c>
      <c r="F1292" t="n">
        <v>9003182</v>
      </c>
      <c r="G1292" t="inlineStr">
        <is>
          <t xml:space="preserve">REMERA C/RED AZUL MAR GRUPO L M    </t>
        </is>
      </c>
      <c r="H1292" t="inlineStr">
        <is>
          <t xml:space="preserve">UNIDAD              </t>
        </is>
      </c>
      <c r="I1292" t="n">
        <v>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9</v>
      </c>
      <c r="P1292" s="96">
        <f>_xlfn.XLOOKUP(Tabla5[[#This Row],[EAN CORREGIDO]],'Tabla Articulos'!B:B,'Tabla Articulos'!D:D)</f>
        <v/>
      </c>
      <c r="Q1292" s="96">
        <f>_xlfn.XLOOKUP(S1292,'Tabla Articulos'!B:B,'Tabla Articulos'!E:E)</f>
        <v/>
      </c>
      <c r="R1292" s="96">
        <f>O1292*Q1292</f>
        <v/>
      </c>
      <c r="S1292" s="97">
        <f>TRIM(E1292)</f>
        <v/>
      </c>
    </row>
    <row r="1293" hidden="1">
      <c r="A1293" s="22" t="n">
        <v>6</v>
      </c>
      <c r="B1293" t="inlineStr">
        <is>
          <t xml:space="preserve">CDM03 - MORENO 3              </t>
        </is>
      </c>
      <c r="C1293" t="inlineStr">
        <is>
          <t xml:space="preserve">GRUPO L.                      </t>
        </is>
      </c>
      <c r="D1293" t="inlineStr">
        <is>
          <t>TAPA 101</t>
        </is>
      </c>
      <c r="E1293" t="inlineStr">
        <is>
          <t xml:space="preserve">7798011210022       </t>
        </is>
      </c>
      <c r="F1293" t="n">
        <v>2011501</v>
      </c>
      <c r="G1293" t="inlineStr">
        <is>
          <t>TAPA BANDEJA 121 MICRO COTNYL X100U</t>
        </is>
      </c>
      <c r="H1293" t="inlineStr">
        <is>
          <t xml:space="preserve">UNIDAD              </t>
        </is>
      </c>
      <c r="I1293" t="n">
        <v>96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96</v>
      </c>
      <c r="P1293" s="96">
        <f>_xlfn.XLOOKUP(Tabla5[[#This Row],[EAN CORREGIDO]],'Tabla Articulos'!B:B,'Tabla Articulos'!D:D)</f>
        <v/>
      </c>
      <c r="Q1293" s="96">
        <f>_xlfn.XLOOKUP(S1293,'Tabla Articulos'!B:B,'Tabla Articulos'!E:E)</f>
        <v/>
      </c>
      <c r="R1293" s="96">
        <f>O1293*Q1293</f>
        <v/>
      </c>
      <c r="S1293" s="97">
        <f>TRIM(E1293)</f>
        <v/>
      </c>
    </row>
    <row r="1294" hidden="1">
      <c r="A1294" s="22" t="n">
        <v>6</v>
      </c>
      <c r="B1294" t="inlineStr">
        <is>
          <t xml:space="preserve">CDM03 - MORENO 3              </t>
        </is>
      </c>
      <c r="C1294" t="inlineStr">
        <is>
          <t xml:space="preserve">GRUPO L.                      </t>
        </is>
      </c>
      <c r="E1294" t="inlineStr">
        <is>
          <t xml:space="preserve">BAZ001172           </t>
        </is>
      </c>
      <c r="F1294" t="n">
        <v>9003812</v>
      </c>
      <c r="G1294" t="inlineStr">
        <is>
          <t xml:space="preserve">ASADERA CHAPA ENLO REFOR 40X50CM   </t>
        </is>
      </c>
      <c r="H1294" t="inlineStr">
        <is>
          <t xml:space="preserve">UNIDAD              </t>
        </is>
      </c>
      <c r="I1294" t="n">
        <v>257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257</v>
      </c>
      <c r="P1294" s="96">
        <f>_xlfn.XLOOKUP(Tabla5[[#This Row],[EAN CORREGIDO]],'Tabla Articulos'!B:B,'Tabla Articulos'!D:D)</f>
        <v/>
      </c>
      <c r="Q1294" s="96">
        <f>_xlfn.XLOOKUP(S1294,'Tabla Articulos'!B:B,'Tabla Articulos'!E:E)</f>
        <v/>
      </c>
      <c r="R1294" s="96">
        <f>O1294*Q1294</f>
        <v/>
      </c>
      <c r="S1294" s="97">
        <f>TRIM(E1294)</f>
        <v/>
      </c>
    </row>
    <row r="1295" hidden="1">
      <c r="A1295" s="22" t="n">
        <v>6</v>
      </c>
      <c r="B1295" t="inlineStr">
        <is>
          <t xml:space="preserve">CDM03 - MORENO 3              </t>
        </is>
      </c>
      <c r="C1295" t="inlineStr">
        <is>
          <t xml:space="preserve">GRUPO L.                      </t>
        </is>
      </c>
      <c r="D1295" s="11" t="inlineStr">
        <is>
          <t>BANDEJAS CARTON NRO 1</t>
        </is>
      </c>
      <c r="E1295" t="inlineStr">
        <is>
          <t xml:space="preserve">7790000000910       </t>
        </is>
      </c>
      <c r="F1295" t="n">
        <v>2016770</v>
      </c>
      <c r="G1295" t="inlineStr">
        <is>
          <t xml:space="preserve">BANDEJA CARTON N°1 X1600U          </t>
        </is>
      </c>
      <c r="H1295" t="inlineStr">
        <is>
          <t xml:space="preserve">UNIDAD              </t>
        </is>
      </c>
      <c r="I1295" t="n">
        <v>0</v>
      </c>
      <c r="J1295" t="n">
        <v>50</v>
      </c>
      <c r="K1295" t="n">
        <v>0</v>
      </c>
      <c r="L1295" t="n">
        <v>0</v>
      </c>
      <c r="M1295" t="n">
        <v>0</v>
      </c>
      <c r="N1295" t="n">
        <v>0</v>
      </c>
      <c r="O1295" t="n">
        <v>50</v>
      </c>
      <c r="P1295" s="96">
        <f>_xlfn.XLOOKUP(Tabla5[[#This Row],[EAN CORREGIDO]],'Tabla Articulos'!B:B,'Tabla Articulos'!D:D)</f>
        <v/>
      </c>
      <c r="Q1295" s="96">
        <f>_xlfn.XLOOKUP(S1295,'Tabla Articulos'!B:B,'Tabla Articulos'!E:E)</f>
        <v/>
      </c>
      <c r="R1295" s="96">
        <f>O1295*Q1295</f>
        <v/>
      </c>
      <c r="S1295" s="97">
        <f>TRIM(E1295)</f>
        <v/>
      </c>
    </row>
    <row r="1296" hidden="1">
      <c r="A1296" s="22" t="n">
        <v>6</v>
      </c>
      <c r="B1296" t="inlineStr">
        <is>
          <t xml:space="preserve">CDM03 - MORENO 3              </t>
        </is>
      </c>
      <c r="C1296" t="inlineStr">
        <is>
          <t xml:space="preserve">GRUPO L.                      </t>
        </is>
      </c>
      <c r="E1296" t="inlineStr">
        <is>
          <t xml:space="preserve">UNIF000631          </t>
        </is>
      </c>
      <c r="F1296" t="n">
        <v>9003169</v>
      </c>
      <c r="G1296" t="inlineStr">
        <is>
          <t xml:space="preserve">FALDON NEGRO LARGO GL SUPPORT      </t>
        </is>
      </c>
      <c r="H1296" t="inlineStr">
        <is>
          <t xml:space="preserve">UNIDAD              </t>
        </is>
      </c>
      <c r="I1296" t="n">
        <v>108</v>
      </c>
      <c r="J1296" t="n">
        <v>300</v>
      </c>
      <c r="K1296" t="n">
        <v>0</v>
      </c>
      <c r="L1296" t="n">
        <v>0</v>
      </c>
      <c r="M1296" t="n">
        <v>0</v>
      </c>
      <c r="N1296" t="n">
        <v>0</v>
      </c>
      <c r="O1296" t="n">
        <v>408</v>
      </c>
      <c r="P1296" s="96">
        <f>_xlfn.XLOOKUP(Tabla5[[#This Row],[EAN CORREGIDO]],'Tabla Articulos'!B:B,'Tabla Articulos'!D:D)</f>
        <v/>
      </c>
      <c r="Q1296" s="96">
        <f>_xlfn.XLOOKUP(S1296,'Tabla Articulos'!B:B,'Tabla Articulos'!E:E)</f>
        <v/>
      </c>
      <c r="R1296" s="96">
        <f>O1296*Q1296</f>
        <v/>
      </c>
      <c r="S1296" s="97">
        <f>TRIM(E1296)</f>
        <v/>
      </c>
    </row>
    <row r="1297" hidden="1">
      <c r="A1297" s="22" t="n">
        <v>5</v>
      </c>
      <c r="B1297" t="inlineStr">
        <is>
          <t xml:space="preserve">CDM02 - MORENO 2              </t>
        </is>
      </c>
      <c r="C1297" t="inlineStr">
        <is>
          <t xml:space="preserve">GRUPO L.                      </t>
        </is>
      </c>
      <c r="D1297" t="inlineStr">
        <is>
          <t xml:space="preserve">PEPINO  </t>
        </is>
      </c>
      <c r="E1297" t="inlineStr">
        <is>
          <t xml:space="preserve">7790216020099       </t>
        </is>
      </c>
      <c r="F1297" t="n">
        <v>4018017</v>
      </c>
      <c r="G1297" t="inlineStr">
        <is>
          <t xml:space="preserve">PEPINO X KG                        </t>
        </is>
      </c>
      <c r="H1297" t="inlineStr">
        <is>
          <t xml:space="preserve">Kgs                 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2.2</v>
      </c>
      <c r="P1297" s="96">
        <f>_xlfn.XLOOKUP(Tabla5[[#This Row],[EAN CORREGIDO]],'Tabla Articulos'!B:B,'Tabla Articulos'!D:D)</f>
        <v/>
      </c>
      <c r="Q1297" s="96">
        <f>_xlfn.XLOOKUP(S1297,'Tabla Articulos'!B:B,'Tabla Articulos'!E:E)</f>
        <v/>
      </c>
      <c r="R1297" s="96">
        <f>O1297*Q1297</f>
        <v/>
      </c>
      <c r="S1297" s="97">
        <f>TRIM(E1297)</f>
        <v/>
      </c>
    </row>
    <row r="1298" hidden="1">
      <c r="A1298" s="22" t="n">
        <v>1</v>
      </c>
      <c r="B1298" t="inlineStr">
        <is>
          <t xml:space="preserve">CD MORENO                     </t>
        </is>
      </c>
      <c r="C1298" t="inlineStr">
        <is>
          <t xml:space="preserve">GRUPO L.                      </t>
        </is>
      </c>
      <c r="D1298" t="inlineStr">
        <is>
          <t>HARINA 0000</t>
        </is>
      </c>
      <c r="E1298" t="inlineStr">
        <is>
          <t xml:space="preserve">7791599000221       </t>
        </is>
      </c>
      <c r="F1298" t="n">
        <v>4048940</v>
      </c>
      <c r="G1298" t="inlineStr">
        <is>
          <t xml:space="preserve">HARINA 0000 X1KG BRUNNG            </t>
        </is>
      </c>
      <c r="H1298" t="inlineStr">
        <is>
          <t xml:space="preserve">UNIDAD              </t>
        </is>
      </c>
      <c r="I1298" t="n">
        <v>1566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1566</v>
      </c>
      <c r="P1298" s="96">
        <f>_xlfn.XLOOKUP(Tabla5[[#This Row],[EAN CORREGIDO]],'Tabla Articulos'!B:B,'Tabla Articulos'!D:D)</f>
        <v/>
      </c>
      <c r="Q1298" s="96">
        <f>_xlfn.XLOOKUP(S1298,'Tabla Articulos'!B:B,'Tabla Articulos'!E:E)</f>
        <v/>
      </c>
      <c r="R1298" s="96">
        <f>O1298*Q1298</f>
        <v/>
      </c>
      <c r="S1298" s="97">
        <f>TRIM(E1298)</f>
        <v/>
      </c>
    </row>
    <row r="1299" hidden="1">
      <c r="A1299" s="22" t="n">
        <v>5</v>
      </c>
      <c r="B1299" t="inlineStr">
        <is>
          <t xml:space="preserve">CDM02 - MORENO 2              </t>
        </is>
      </c>
      <c r="C1299" t="inlineStr">
        <is>
          <t xml:space="preserve">GRUPO L.                      </t>
        </is>
      </c>
      <c r="D1299" s="11" t="inlineStr">
        <is>
          <t>HARINA 0000</t>
        </is>
      </c>
      <c r="E1299" t="inlineStr">
        <is>
          <t xml:space="preserve">7791599000221       </t>
        </is>
      </c>
      <c r="F1299" t="n">
        <v>4048940</v>
      </c>
      <c r="G1299" t="inlineStr">
        <is>
          <t xml:space="preserve">HARINA 0000 X1KG BRUNNG            </t>
        </is>
      </c>
      <c r="H1299" t="inlineStr">
        <is>
          <t xml:space="preserve">UNIDAD              </t>
        </is>
      </c>
      <c r="I1299" t="n">
        <v>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6</v>
      </c>
      <c r="P1299" s="96">
        <f>_xlfn.XLOOKUP(Tabla5[[#This Row],[EAN CORREGIDO]],'Tabla Articulos'!B:B,'Tabla Articulos'!D:D)</f>
        <v/>
      </c>
      <c r="Q1299" s="96">
        <f>_xlfn.XLOOKUP(S1299,'Tabla Articulos'!B:B,'Tabla Articulos'!E:E)</f>
        <v/>
      </c>
      <c r="R1299" s="96">
        <f>O1299*Q1299</f>
        <v/>
      </c>
      <c r="S1299" s="97">
        <f>TRIM(E1299)</f>
        <v/>
      </c>
    </row>
    <row r="1300" hidden="1">
      <c r="A1300" s="22" t="n">
        <v>5</v>
      </c>
      <c r="B1300" t="inlineStr">
        <is>
          <t xml:space="preserve">CDM02 - MORENO 2              </t>
        </is>
      </c>
      <c r="C1300" t="inlineStr">
        <is>
          <t xml:space="preserve">GRUPO L.                      </t>
        </is>
      </c>
      <c r="D1300" t="inlineStr">
        <is>
          <t>VINO BLANCO</t>
        </is>
      </c>
      <c r="E1300" t="inlineStr">
        <is>
          <t xml:space="preserve">7790984000037       </t>
        </is>
      </c>
      <c r="F1300" t="n">
        <v>4017328</v>
      </c>
      <c r="G1300" t="inlineStr">
        <is>
          <t xml:space="preserve">VINO BLANCO X 1L PICO DE ORO       </t>
        </is>
      </c>
      <c r="H1300" t="inlineStr">
        <is>
          <t xml:space="preserve">UNIDAD              </t>
        </is>
      </c>
      <c r="I1300" t="n">
        <v>28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28</v>
      </c>
      <c r="P1300" s="96">
        <f>_xlfn.XLOOKUP(Tabla5[[#This Row],[EAN CORREGIDO]],'Tabla Articulos'!B:B,'Tabla Articulos'!D:D)</f>
        <v/>
      </c>
      <c r="Q1300" s="96">
        <f>_xlfn.XLOOKUP(S1300,'Tabla Articulos'!B:B,'Tabla Articulos'!E:E)</f>
        <v/>
      </c>
      <c r="R1300" s="96">
        <f>O1300*Q1300</f>
        <v/>
      </c>
      <c r="S1300" s="97">
        <f>TRIM(E1300)</f>
        <v/>
      </c>
    </row>
    <row r="1301" hidden="1">
      <c r="A1301" s="22" t="n">
        <v>6</v>
      </c>
      <c r="B1301" t="inlineStr">
        <is>
          <t xml:space="preserve">CDM03 - MORENO 3              </t>
        </is>
      </c>
      <c r="C1301" t="inlineStr">
        <is>
          <t xml:space="preserve">GRUPO L.                      </t>
        </is>
      </c>
      <c r="D1301" s="11" t="n"/>
      <c r="E1301" t="inlineStr">
        <is>
          <t xml:space="preserve">UNIF000738          </t>
        </is>
      </c>
      <c r="F1301" t="n">
        <v>9004192</v>
      </c>
      <c r="G1301" t="inlineStr">
        <is>
          <t xml:space="preserve">CHAQUETA CHEF BLUE CAFÉ M          </t>
        </is>
      </c>
      <c r="H1301" t="inlineStr">
        <is>
          <t xml:space="preserve">UNIDAD              </t>
        </is>
      </c>
      <c r="I1301" t="n">
        <v>30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30</v>
      </c>
      <c r="P1301" s="96">
        <f>_xlfn.XLOOKUP(Tabla5[[#This Row],[EAN CORREGIDO]],'Tabla Articulos'!B:B,'Tabla Articulos'!D:D)</f>
        <v/>
      </c>
      <c r="Q1301" s="96">
        <f>_xlfn.XLOOKUP(S1301,'Tabla Articulos'!B:B,'Tabla Articulos'!E:E)</f>
        <v/>
      </c>
      <c r="R1301" s="96">
        <f>O1301*Q1301</f>
        <v/>
      </c>
      <c r="S1301" s="97">
        <f>TRIM(E1301)</f>
        <v/>
      </c>
    </row>
    <row r="1302" hidden="1">
      <c r="A1302" s="22" t="n">
        <v>6</v>
      </c>
      <c r="B1302" t="inlineStr">
        <is>
          <t xml:space="preserve">CDM03 - MORENO 3              </t>
        </is>
      </c>
      <c r="C1302" t="inlineStr">
        <is>
          <t xml:space="preserve">GRUPO L.                      </t>
        </is>
      </c>
      <c r="E1302" t="inlineStr">
        <is>
          <t xml:space="preserve">UNIF000437          </t>
        </is>
      </c>
      <c r="F1302" t="n">
        <v>9003598</v>
      </c>
      <c r="G1302" t="inlineStr">
        <is>
          <t xml:space="preserve">CAMPERA TRUCKER A. MAR GL SUP L    </t>
        </is>
      </c>
      <c r="H1302" t="inlineStr">
        <is>
          <t xml:space="preserve">UNIDAD              </t>
        </is>
      </c>
      <c r="I1302" t="n">
        <v>42</v>
      </c>
      <c r="J1302" t="n">
        <v>0</v>
      </c>
      <c r="K1302" t="n">
        <v>0</v>
      </c>
      <c r="L1302" t="n">
        <v>9</v>
      </c>
      <c r="M1302" t="n">
        <v>9</v>
      </c>
      <c r="N1302" t="n">
        <v>0</v>
      </c>
      <c r="O1302" t="n">
        <v>24</v>
      </c>
      <c r="P1302" s="96">
        <f>_xlfn.XLOOKUP(Tabla5[[#This Row],[EAN CORREGIDO]],'Tabla Articulos'!B:B,'Tabla Articulos'!D:D)</f>
        <v/>
      </c>
      <c r="Q1302" s="96">
        <f>_xlfn.XLOOKUP(S1302,'Tabla Articulos'!B:B,'Tabla Articulos'!E:E)</f>
        <v/>
      </c>
      <c r="R1302" s="96">
        <f>O1302*Q1302</f>
        <v/>
      </c>
      <c r="S1302" s="97">
        <f>TRIM(E1302)</f>
        <v/>
      </c>
    </row>
    <row r="1303" hidden="1">
      <c r="A1303" s="22" t="n">
        <v>6</v>
      </c>
      <c r="B1303" t="inlineStr">
        <is>
          <t xml:space="preserve">CDM03 - MORENO 3              </t>
        </is>
      </c>
      <c r="C1303" t="inlineStr">
        <is>
          <t xml:space="preserve">GRUPO L.                      </t>
        </is>
      </c>
      <c r="D1303" s="11" t="n"/>
      <c r="E1303" t="inlineStr">
        <is>
          <t xml:space="preserve">UNIF000428          </t>
        </is>
      </c>
      <c r="F1303" t="n">
        <v>9003589</v>
      </c>
      <c r="G1303" t="inlineStr">
        <is>
          <t xml:space="preserve">CAMP. A. MAR. TRUCKER PULCRUS S    </t>
        </is>
      </c>
      <c r="H1303" t="inlineStr">
        <is>
          <t xml:space="preserve">UNIDAD              </t>
        </is>
      </c>
      <c r="I1303" t="n">
        <v>185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185</v>
      </c>
      <c r="P1303" s="96">
        <f>_xlfn.XLOOKUP(Tabla5[[#This Row],[EAN CORREGIDO]],'Tabla Articulos'!B:B,'Tabla Articulos'!D:D)</f>
        <v/>
      </c>
      <c r="Q1303" s="96">
        <f>_xlfn.XLOOKUP(S1303,'Tabla Articulos'!B:B,'Tabla Articulos'!E:E)</f>
        <v/>
      </c>
      <c r="R1303" s="96">
        <f>O1303*Q1303</f>
        <v/>
      </c>
      <c r="S1303" s="97">
        <f>TRIM(E1303)</f>
        <v/>
      </c>
    </row>
    <row r="1304" hidden="1">
      <c r="A1304" s="22" t="n">
        <v>1</v>
      </c>
      <c r="B1304" t="inlineStr">
        <is>
          <t xml:space="preserve">CD MORENO                     </t>
        </is>
      </c>
      <c r="C1304" t="inlineStr">
        <is>
          <t xml:space="preserve">GRUPO L.                      </t>
        </is>
      </c>
      <c r="D1304" s="11" t="inlineStr">
        <is>
          <t>BONDIOLA CERDO CONGELADA</t>
        </is>
      </c>
      <c r="E1304" t="inlineStr">
        <is>
          <t xml:space="preserve">7790000000593       </t>
        </is>
      </c>
      <c r="F1304" t="n">
        <v>4002835</v>
      </c>
      <c r="G1304" t="inlineStr">
        <is>
          <t xml:space="preserve"> BONDIOLA CERDO CONG XKG           </t>
        </is>
      </c>
      <c r="H1304" t="inlineStr">
        <is>
          <t xml:space="preserve">Kgs                 </t>
        </is>
      </c>
      <c r="I1304" t="n">
        <v>231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231</v>
      </c>
      <c r="P1304" s="96">
        <f>_xlfn.XLOOKUP(Tabla5[[#This Row],[EAN CORREGIDO]],'Tabla Articulos'!B:B,'Tabla Articulos'!D:D)</f>
        <v/>
      </c>
      <c r="Q1304" s="96">
        <f>_xlfn.XLOOKUP(S1304,'Tabla Articulos'!B:B,'Tabla Articulos'!E:E)</f>
        <v/>
      </c>
      <c r="R1304" s="96">
        <f>O1304*Q1304</f>
        <v/>
      </c>
      <c r="S1304" s="97">
        <f>TRIM(E1304)</f>
        <v/>
      </c>
    </row>
    <row r="1305" hidden="1">
      <c r="A1305" s="22" t="n">
        <v>6</v>
      </c>
      <c r="B1305" t="inlineStr">
        <is>
          <t xml:space="preserve">CDM03 - MORENO 3              </t>
        </is>
      </c>
      <c r="C1305" t="inlineStr">
        <is>
          <t xml:space="preserve">GRUPO L.                      </t>
        </is>
      </c>
      <c r="E1305" t="inlineStr">
        <is>
          <t xml:space="preserve">UNIF000196          </t>
        </is>
      </c>
      <c r="F1305" t="n">
        <v>9003436</v>
      </c>
      <c r="G1305" t="inlineStr">
        <is>
          <t xml:space="preserve">PANTA. CARGO NEGRO 46 GL SUPPORT   </t>
        </is>
      </c>
      <c r="H1305" t="inlineStr">
        <is>
          <t xml:space="preserve">UNIDAD              </t>
        </is>
      </c>
      <c r="I1305" t="n">
        <v>86</v>
      </c>
      <c r="J1305" t="n">
        <v>0</v>
      </c>
      <c r="K1305" t="n">
        <v>0</v>
      </c>
      <c r="L1305" t="n">
        <v>1</v>
      </c>
      <c r="M1305" t="n">
        <v>1</v>
      </c>
      <c r="N1305" t="n">
        <v>0</v>
      </c>
      <c r="O1305" t="n">
        <v>84</v>
      </c>
      <c r="P1305" s="96">
        <f>_xlfn.XLOOKUP(Tabla5[[#This Row],[EAN CORREGIDO]],'Tabla Articulos'!B:B,'Tabla Articulos'!D:D)</f>
        <v/>
      </c>
      <c r="Q1305" s="96">
        <f>_xlfn.XLOOKUP(S1305,'Tabla Articulos'!B:B,'Tabla Articulos'!E:E)</f>
        <v/>
      </c>
      <c r="R1305" s="96">
        <f>O1305*Q1305</f>
        <v/>
      </c>
      <c r="S1305" s="97">
        <f>TRIM(E1305)</f>
        <v/>
      </c>
    </row>
    <row r="1306" hidden="1">
      <c r="A1306" s="22" t="n">
        <v>5</v>
      </c>
      <c r="B1306" t="inlineStr">
        <is>
          <t xml:space="preserve">CDM02 - MORENO 2              </t>
        </is>
      </c>
      <c r="C1306" t="inlineStr">
        <is>
          <t xml:space="preserve">GRUPO L.                      </t>
        </is>
      </c>
      <c r="D1306" t="inlineStr">
        <is>
          <t>LENTEJAS REMOJADAS</t>
        </is>
      </c>
      <c r="E1306" t="inlineStr">
        <is>
          <t xml:space="preserve">7792290000398       </t>
        </is>
      </c>
      <c r="F1306" t="n">
        <v>4020213</v>
      </c>
      <c r="G1306" t="inlineStr">
        <is>
          <t xml:space="preserve">LENTEJAS X 340GR MONTENEVI         </t>
        </is>
      </c>
      <c r="H1306" t="inlineStr">
        <is>
          <t xml:space="preserve">UNIDAD              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2</v>
      </c>
      <c r="P1306" s="96">
        <f>_xlfn.XLOOKUP(Tabla5[[#This Row],[EAN CORREGIDO]],'Tabla Articulos'!B:B,'Tabla Articulos'!D:D)</f>
        <v/>
      </c>
      <c r="Q1306" s="96">
        <f>_xlfn.XLOOKUP(S1306,'Tabla Articulos'!B:B,'Tabla Articulos'!E:E)</f>
        <v/>
      </c>
      <c r="R1306" s="96">
        <f>O1306*Q1306</f>
        <v/>
      </c>
      <c r="S1306" s="97">
        <f>TRIM(E1306)</f>
        <v/>
      </c>
    </row>
    <row r="1307" hidden="1">
      <c r="A1307" s="22" t="n">
        <v>6</v>
      </c>
      <c r="B1307" t="inlineStr">
        <is>
          <t xml:space="preserve">CDM03 - MORENO 3              </t>
        </is>
      </c>
      <c r="C1307" t="inlineStr">
        <is>
          <t xml:space="preserve">GRUPO L.                      </t>
        </is>
      </c>
      <c r="E1307" t="inlineStr">
        <is>
          <t xml:space="preserve">UNIF000712          </t>
        </is>
      </c>
      <c r="F1307" t="n">
        <v>9004071</v>
      </c>
      <c r="G1307" t="inlineStr">
        <is>
          <t xml:space="preserve">CAMP. NARAN TRUCKER ELEVARE L      </t>
        </is>
      </c>
      <c r="H1307" t="inlineStr">
        <is>
          <t xml:space="preserve">UNIDAD              </t>
        </is>
      </c>
      <c r="I1307" t="n">
        <v>33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33</v>
      </c>
      <c r="P1307" s="96">
        <f>_xlfn.XLOOKUP(Tabla5[[#This Row],[EAN CORREGIDO]],'Tabla Articulos'!B:B,'Tabla Articulos'!D:D)</f>
        <v/>
      </c>
      <c r="Q1307" s="96">
        <f>_xlfn.XLOOKUP(S1307,'Tabla Articulos'!B:B,'Tabla Articulos'!E:E)</f>
        <v/>
      </c>
      <c r="R1307" s="96">
        <f>O1307*Q1307</f>
        <v/>
      </c>
      <c r="S1307" s="97">
        <f>TRIM(E1307)</f>
        <v/>
      </c>
    </row>
    <row r="1308" hidden="1">
      <c r="A1308" s="22" t="n">
        <v>5</v>
      </c>
      <c r="B1308" t="inlineStr">
        <is>
          <t xml:space="preserve">CDM02 - MORENO 2              </t>
        </is>
      </c>
      <c r="C1308" t="inlineStr">
        <is>
          <t xml:space="preserve">GRUPO L.                      </t>
        </is>
      </c>
      <c r="D1308" t="inlineStr">
        <is>
          <t>EDULCORANTE SOBRE CHEF GOURMET</t>
        </is>
      </c>
      <c r="E1308" t="inlineStr">
        <is>
          <t xml:space="preserve">7798011977406       </t>
        </is>
      </c>
      <c r="F1308" t="n">
        <v>4022178</v>
      </c>
      <c r="G1308" t="inlineStr">
        <is>
          <t xml:space="preserve">EDULC SOB 0.8G CHEF GOURMET 400U   </t>
        </is>
      </c>
      <c r="H1308" t="inlineStr">
        <is>
          <t xml:space="preserve">UNIDAD              </t>
        </is>
      </c>
      <c r="I1308" t="n">
        <v>44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44</v>
      </c>
      <c r="P1308" s="96">
        <f>_xlfn.XLOOKUP(Tabla5[[#This Row],[EAN CORREGIDO]],'Tabla Articulos'!B:B,'Tabla Articulos'!D:D)</f>
        <v/>
      </c>
      <c r="Q1308" s="96">
        <f>_xlfn.XLOOKUP(S1308,'Tabla Articulos'!B:B,'Tabla Articulos'!E:E)</f>
        <v/>
      </c>
      <c r="R1308" s="96">
        <f>O1308*Q1308</f>
        <v/>
      </c>
      <c r="S1308" s="97">
        <f>TRIM(E1308)</f>
        <v/>
      </c>
    </row>
    <row r="1309" hidden="1">
      <c r="A1309" s="22" t="n">
        <v>1</v>
      </c>
      <c r="B1309" t="inlineStr">
        <is>
          <t xml:space="preserve">CD MORENO                     </t>
        </is>
      </c>
      <c r="C1309" t="inlineStr">
        <is>
          <t xml:space="preserve">GRUPO L.                      </t>
        </is>
      </c>
      <c r="D1309" t="inlineStr">
        <is>
          <t>EDULCORANTE SOBRE CHEF GOURMET</t>
        </is>
      </c>
      <c r="E1309" t="inlineStr">
        <is>
          <t xml:space="preserve">7798011977406       </t>
        </is>
      </c>
      <c r="F1309" t="n">
        <v>4022178</v>
      </c>
      <c r="G1309" t="inlineStr">
        <is>
          <t xml:space="preserve">EDULC SOB 0.8G CHEF GOURMET 400U   </t>
        </is>
      </c>
      <c r="H1309" t="inlineStr">
        <is>
          <t xml:space="preserve">UNIDAD              </t>
        </is>
      </c>
      <c r="I1309" t="n">
        <v>10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10</v>
      </c>
      <c r="P1309" s="96">
        <f>_xlfn.XLOOKUP(Tabla5[[#This Row],[EAN CORREGIDO]],'Tabla Articulos'!B:B,'Tabla Articulos'!D:D)</f>
        <v/>
      </c>
      <c r="Q1309" s="96">
        <f>_xlfn.XLOOKUP(S1309,'Tabla Articulos'!B:B,'Tabla Articulos'!E:E)</f>
        <v/>
      </c>
      <c r="R1309" s="96">
        <f>O1309*Q1309</f>
        <v/>
      </c>
      <c r="S1309" s="97">
        <f>TRIM(E1309)</f>
        <v/>
      </c>
    </row>
    <row r="1310" hidden="1">
      <c r="A1310" s="22" t="n">
        <v>6</v>
      </c>
      <c r="B1310" t="inlineStr">
        <is>
          <t xml:space="preserve">CDM03 - MORENO 3              </t>
        </is>
      </c>
      <c r="C1310" t="inlineStr">
        <is>
          <t xml:space="preserve">GRUPO L.                      </t>
        </is>
      </c>
      <c r="E1310" t="inlineStr">
        <is>
          <t xml:space="preserve">100ND46             </t>
        </is>
      </c>
      <c r="F1310" t="n">
        <v>9004414</v>
      </c>
      <c r="G1310" t="inlineStr">
        <is>
          <t xml:space="preserve">GL ZAPATO SEG. NEG. 46 GAMAX       </t>
        </is>
      </c>
      <c r="H1310" t="inlineStr">
        <is>
          <t xml:space="preserve">UNIDAD              </t>
        </is>
      </c>
      <c r="I1310" t="n">
        <v>0</v>
      </c>
      <c r="J1310" t="n">
        <v>70</v>
      </c>
      <c r="K1310" t="n">
        <v>0</v>
      </c>
      <c r="L1310" t="n">
        <v>1</v>
      </c>
      <c r="M1310" t="n">
        <v>1</v>
      </c>
      <c r="N1310" t="n">
        <v>0</v>
      </c>
      <c r="O1310" t="n">
        <v>68</v>
      </c>
      <c r="P1310" s="96">
        <f>_xlfn.XLOOKUP(Tabla5[[#This Row],[EAN CORREGIDO]],'Tabla Articulos'!B:B,'Tabla Articulos'!D:D)</f>
        <v/>
      </c>
      <c r="Q1310" s="96">
        <f>_xlfn.XLOOKUP(S1310,'Tabla Articulos'!B:B,'Tabla Articulos'!E:E)</f>
        <v/>
      </c>
      <c r="R1310" s="96">
        <f>O1310*Q1310</f>
        <v/>
      </c>
      <c r="S1310" s="97">
        <f>TRIM(E1310)</f>
        <v/>
      </c>
    </row>
    <row r="1311" hidden="1">
      <c r="A1311" s="22" t="n">
        <v>1</v>
      </c>
      <c r="B1311" t="inlineStr">
        <is>
          <t xml:space="preserve">CD MORENO                     </t>
        </is>
      </c>
      <c r="C1311" t="inlineStr">
        <is>
          <t xml:space="preserve">GRUPO L.                      </t>
        </is>
      </c>
      <c r="D1311" t="inlineStr">
        <is>
          <t>GALLE AGUA LIGHT S/SAL</t>
        </is>
      </c>
      <c r="E1311" t="inlineStr">
        <is>
          <t xml:space="preserve">7790045004912       </t>
        </is>
      </c>
      <c r="F1311" t="n">
        <v>4077275</v>
      </c>
      <c r="G1311" t="inlineStr">
        <is>
          <t>GALLETITAS LIGHT S/SAL 360GR GRANIX</t>
        </is>
      </c>
      <c r="H1311" t="inlineStr">
        <is>
          <t xml:space="preserve">UNIDAD              </t>
        </is>
      </c>
      <c r="I1311" t="n">
        <v>436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436</v>
      </c>
      <c r="P1311" s="96">
        <f>_xlfn.XLOOKUP(Tabla5[[#This Row],[EAN CORREGIDO]],'Tabla Articulos'!B:B,'Tabla Articulos'!D:D)</f>
        <v/>
      </c>
      <c r="Q1311" s="96">
        <f>_xlfn.XLOOKUP(S1311,'Tabla Articulos'!B:B,'Tabla Articulos'!E:E)</f>
        <v/>
      </c>
      <c r="R1311" s="96">
        <f>O1311*Q1311</f>
        <v/>
      </c>
      <c r="S1311" s="97">
        <f>TRIM(E1311)</f>
        <v/>
      </c>
    </row>
    <row r="1312" hidden="1">
      <c r="A1312" s="22" t="n">
        <v>6</v>
      </c>
      <c r="B1312" t="inlineStr">
        <is>
          <t xml:space="preserve">CDM03 - MORENO 3              </t>
        </is>
      </c>
      <c r="C1312" t="inlineStr">
        <is>
          <t xml:space="preserve">GRUPO L.                      </t>
        </is>
      </c>
      <c r="E1312" t="inlineStr">
        <is>
          <t xml:space="preserve">UNIF000470          </t>
        </is>
      </c>
      <c r="F1312" t="n">
        <v>9003242</v>
      </c>
      <c r="G1312" t="inlineStr">
        <is>
          <t xml:space="preserve">PANTALON GRAF S. LOGO VERD 56      </t>
        </is>
      </c>
      <c r="H1312" t="inlineStr">
        <is>
          <t xml:space="preserve">UNIDAD              </t>
        </is>
      </c>
      <c r="I1312" t="n">
        <v>12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12</v>
      </c>
      <c r="P1312" s="96">
        <f>_xlfn.XLOOKUP(Tabla5[[#This Row],[EAN CORREGIDO]],'Tabla Articulos'!B:B,'Tabla Articulos'!D:D)</f>
        <v/>
      </c>
      <c r="Q1312" s="96">
        <f>_xlfn.XLOOKUP(S1312,'Tabla Articulos'!B:B,'Tabla Articulos'!E:E)</f>
        <v/>
      </c>
      <c r="R1312" s="96">
        <f>O1312*Q1312</f>
        <v/>
      </c>
      <c r="S1312" s="97">
        <f>TRIM(E1312)</f>
        <v/>
      </c>
    </row>
    <row r="1313" hidden="1">
      <c r="A1313" s="22" t="n">
        <v>6</v>
      </c>
      <c r="B1313" t="inlineStr">
        <is>
          <t xml:space="preserve">CDM03 - MORENO 3              </t>
        </is>
      </c>
      <c r="C1313" t="inlineStr">
        <is>
          <t xml:space="preserve">GRUPO L.                      </t>
        </is>
      </c>
      <c r="E1313" t="inlineStr">
        <is>
          <t xml:space="preserve">BAZ001252           </t>
        </is>
      </c>
      <c r="F1313" t="n">
        <v>9003749</v>
      </c>
      <c r="G1313" t="inlineStr">
        <is>
          <t xml:space="preserve">COMPOTE CERE PORC. VERBANORRECTO   </t>
        </is>
      </c>
      <c r="H1313" t="inlineStr">
        <is>
          <t xml:space="preserve">UNIDAD              </t>
        </is>
      </c>
      <c r="I1313" t="n">
        <v>51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51</v>
      </c>
      <c r="P1313" s="96">
        <f>_xlfn.XLOOKUP(Tabla5[[#This Row],[EAN CORREGIDO]],'Tabla Articulos'!B:B,'Tabla Articulos'!D:D)</f>
        <v/>
      </c>
      <c r="Q1313" s="96">
        <f>_xlfn.XLOOKUP(S1313,'Tabla Articulos'!B:B,'Tabla Articulos'!E:E)</f>
        <v/>
      </c>
      <c r="R1313" s="96">
        <f>O1313*Q1313</f>
        <v/>
      </c>
      <c r="S1313" s="97">
        <f>TRIM(E1313)</f>
        <v/>
      </c>
    </row>
    <row r="1314" hidden="1">
      <c r="A1314" s="22" t="n">
        <v>6</v>
      </c>
      <c r="B1314" t="inlineStr">
        <is>
          <t xml:space="preserve">CDM03 - MORENO 3              </t>
        </is>
      </c>
      <c r="C1314" t="inlineStr">
        <is>
          <t xml:space="preserve">GRUPO L.                      </t>
        </is>
      </c>
      <c r="D1314" s="11" t="inlineStr">
        <is>
          <t>BAND 103</t>
        </is>
      </c>
      <c r="E1314" t="inlineStr">
        <is>
          <t xml:space="preserve">7790000000380       </t>
        </is>
      </c>
      <c r="F1314" t="n">
        <v>2007322</v>
      </c>
      <c r="G1314" t="inlineStr">
        <is>
          <t xml:space="preserve">BANDEJA 103 BIODEG. X 900U MPROP   </t>
        </is>
      </c>
      <c r="H1314" t="inlineStr">
        <is>
          <t xml:space="preserve">UNIDAD              </t>
        </is>
      </c>
      <c r="I1314" t="n">
        <v>0</v>
      </c>
      <c r="J1314" t="n">
        <v>25</v>
      </c>
      <c r="K1314" t="n">
        <v>0</v>
      </c>
      <c r="L1314" t="n">
        <v>0</v>
      </c>
      <c r="M1314" t="n">
        <v>0</v>
      </c>
      <c r="N1314" t="n">
        <v>0</v>
      </c>
      <c r="O1314" t="n">
        <v>25</v>
      </c>
      <c r="P1314" s="96">
        <f>_xlfn.XLOOKUP(Tabla5[[#This Row],[EAN CORREGIDO]],'Tabla Articulos'!B:B,'Tabla Articulos'!D:D)</f>
        <v/>
      </c>
      <c r="Q1314" s="96">
        <f>_xlfn.XLOOKUP(S1314,'Tabla Articulos'!B:B,'Tabla Articulos'!E:E)</f>
        <v/>
      </c>
      <c r="R1314" s="96">
        <f>O1314*Q1314</f>
        <v/>
      </c>
      <c r="S1314" s="97">
        <f>TRIM(E1314)</f>
        <v/>
      </c>
    </row>
    <row r="1315" hidden="1">
      <c r="A1315" s="22" t="n">
        <v>1</v>
      </c>
      <c r="B1315" t="inlineStr">
        <is>
          <t xml:space="preserve">CD MORENO                     </t>
        </is>
      </c>
      <c r="C1315" t="inlineStr">
        <is>
          <t xml:space="preserve">GRUPO L.                      </t>
        </is>
      </c>
      <c r="D1315" s="11" t="inlineStr">
        <is>
          <t>OREGANO</t>
        </is>
      </c>
      <c r="E1315" t="inlineStr">
        <is>
          <t xml:space="preserve">7793875360074       </t>
        </is>
      </c>
      <c r="F1315" t="n">
        <v>4020627</v>
      </c>
      <c r="G1315" t="inlineStr">
        <is>
          <t xml:space="preserve">OREGANO X 25 G AROMAS Y SAB        </t>
        </is>
      </c>
      <c r="H1315" t="inlineStr">
        <is>
          <t xml:space="preserve">UNIDAD              </t>
        </is>
      </c>
      <c r="I1315" t="n">
        <v>12729</v>
      </c>
      <c r="J1315" t="n">
        <v>140</v>
      </c>
      <c r="K1315" t="n">
        <v>0</v>
      </c>
      <c r="L1315" t="n">
        <v>16</v>
      </c>
      <c r="M1315" t="n">
        <v>16</v>
      </c>
      <c r="N1315" t="n">
        <v>0</v>
      </c>
      <c r="O1315" t="n">
        <v>12837</v>
      </c>
      <c r="P1315" s="96">
        <f>_xlfn.XLOOKUP(Tabla5[[#This Row],[EAN CORREGIDO]],'Tabla Articulos'!B:B,'Tabla Articulos'!D:D)</f>
        <v/>
      </c>
      <c r="Q1315" s="96">
        <f>_xlfn.XLOOKUP(S1315,'Tabla Articulos'!B:B,'Tabla Articulos'!E:E)</f>
        <v/>
      </c>
      <c r="R1315" s="96">
        <f>O1315*Q1315</f>
        <v/>
      </c>
      <c r="S1315" s="97">
        <f>TRIM(E1315)</f>
        <v/>
      </c>
    </row>
    <row r="1316" hidden="1">
      <c r="A1316" s="22" t="n">
        <v>6</v>
      </c>
      <c r="B1316" t="inlineStr">
        <is>
          <t xml:space="preserve">CDM03 - MORENO 3              </t>
        </is>
      </c>
      <c r="C1316" t="inlineStr">
        <is>
          <t xml:space="preserve">GRUPO L.                      </t>
        </is>
      </c>
      <c r="E1316" t="inlineStr">
        <is>
          <t xml:space="preserve">BAZ001169           </t>
        </is>
      </c>
      <c r="F1316" t="n">
        <v>9003835</v>
      </c>
      <c r="G1316" t="inlineStr">
        <is>
          <t xml:space="preserve">BAND PLAST FAST-FOOD 450X35 NEGR   </t>
        </is>
      </c>
      <c r="H1316" t="inlineStr">
        <is>
          <t xml:space="preserve">UNIDAD              </t>
        </is>
      </c>
      <c r="I1316" t="n">
        <v>1740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1740</v>
      </c>
      <c r="P1316" s="96">
        <f>_xlfn.XLOOKUP(Tabla5[[#This Row],[EAN CORREGIDO]],'Tabla Articulos'!B:B,'Tabla Articulos'!D:D)</f>
        <v/>
      </c>
      <c r="Q1316" s="96">
        <f>_xlfn.XLOOKUP(S1316,'Tabla Articulos'!B:B,'Tabla Articulos'!E:E)</f>
        <v/>
      </c>
      <c r="R1316" s="96">
        <f>O1316*Q1316</f>
        <v/>
      </c>
      <c r="S1316" s="97">
        <f>TRIM(E1316)</f>
        <v/>
      </c>
    </row>
    <row r="1317" hidden="1">
      <c r="A1317" s="22" t="n">
        <v>6</v>
      </c>
      <c r="B1317" t="inlineStr">
        <is>
          <t xml:space="preserve">CDM03 - MORENO 3              </t>
        </is>
      </c>
      <c r="C1317" t="inlineStr">
        <is>
          <t xml:space="preserve">GRUPO L.                      </t>
        </is>
      </c>
      <c r="E1317" t="inlineStr">
        <is>
          <t xml:space="preserve">UNIF000330          </t>
        </is>
      </c>
      <c r="F1317" t="n">
        <v>9003205</v>
      </c>
      <c r="G1317" t="inlineStr">
        <is>
          <t xml:space="preserve">REME. CUELLO RED BLAN NUTRI 5XL    </t>
        </is>
      </c>
      <c r="H1317" t="inlineStr">
        <is>
          <t xml:space="preserve">UNIDAD              </t>
        </is>
      </c>
      <c r="I1317" t="n">
        <v>70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70</v>
      </c>
      <c r="P1317" s="96">
        <f>_xlfn.XLOOKUP(Tabla5[[#This Row],[EAN CORREGIDO]],'Tabla Articulos'!B:B,'Tabla Articulos'!D:D)</f>
        <v/>
      </c>
      <c r="Q1317" s="96">
        <f>_xlfn.XLOOKUP(S1317,'Tabla Articulos'!B:B,'Tabla Articulos'!E:E)</f>
        <v/>
      </c>
      <c r="R1317" s="96">
        <f>O1317*Q1317</f>
        <v/>
      </c>
      <c r="S1317" s="97">
        <f>TRIM(E1317)</f>
        <v/>
      </c>
    </row>
    <row r="1318" hidden="1">
      <c r="A1318" s="22" t="n">
        <v>6</v>
      </c>
      <c r="B1318" t="inlineStr">
        <is>
          <t xml:space="preserve">CDM03 - MORENO 3              </t>
        </is>
      </c>
      <c r="C1318" t="inlineStr">
        <is>
          <t xml:space="preserve">GRUPO L.                      </t>
        </is>
      </c>
      <c r="E1318" t="inlineStr">
        <is>
          <t xml:space="preserve">4040337565359       </t>
        </is>
      </c>
      <c r="F1318" t="n">
        <v>9004125</v>
      </c>
      <c r="G1318" t="inlineStr">
        <is>
          <t xml:space="preserve">PASTILLA VERDE X 150               </t>
        </is>
      </c>
      <c r="H1318" t="inlineStr">
        <is>
          <t xml:space="preserve">UNIDAD              </t>
        </is>
      </c>
      <c r="I1318" t="n">
        <v>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9</v>
      </c>
      <c r="P1318" s="96">
        <f>_xlfn.XLOOKUP(Tabla5[[#This Row],[EAN CORREGIDO]],'Tabla Articulos'!B:B,'Tabla Articulos'!D:D)</f>
        <v/>
      </c>
      <c r="Q1318" s="96">
        <f>_xlfn.XLOOKUP(S1318,'Tabla Articulos'!B:B,'Tabla Articulos'!E:E)</f>
        <v/>
      </c>
      <c r="R1318" s="96">
        <f>O1318*Q1318</f>
        <v/>
      </c>
      <c r="S1318" s="97">
        <f>TRIM(E1318)</f>
        <v/>
      </c>
    </row>
    <row r="1319" hidden="1">
      <c r="A1319" s="22" t="n">
        <v>5</v>
      </c>
      <c r="B1319" t="inlineStr">
        <is>
          <t xml:space="preserve">CDM02 - MORENO 2              </t>
        </is>
      </c>
      <c r="C1319" t="inlineStr">
        <is>
          <t xml:space="preserve">GRUPO L.                      </t>
        </is>
      </c>
      <c r="D1319" s="11" t="inlineStr">
        <is>
          <t>AJI AMARRILLO</t>
        </is>
      </c>
      <c r="E1319" t="inlineStr">
        <is>
          <t xml:space="preserve">7790216012612       </t>
        </is>
      </c>
      <c r="F1319" t="n">
        <v>4018029</v>
      </c>
      <c r="G1319" t="inlineStr">
        <is>
          <t xml:space="preserve">AJI PIMIENTO AMARILLO x KG         </t>
        </is>
      </c>
      <c r="H1319" t="inlineStr">
        <is>
          <t xml:space="preserve">Kgs                 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1</v>
      </c>
      <c r="P1319" s="96">
        <f>_xlfn.XLOOKUP(Tabla5[[#This Row],[EAN CORREGIDO]],'Tabla Articulos'!B:B,'Tabla Articulos'!D:D)</f>
        <v/>
      </c>
      <c r="Q1319" s="96">
        <f>_xlfn.XLOOKUP(S1319,'Tabla Articulos'!B:B,'Tabla Articulos'!E:E)</f>
        <v/>
      </c>
      <c r="R1319" s="96">
        <f>O1319*Q1319</f>
        <v/>
      </c>
      <c r="S1319" s="97">
        <f>TRIM(E1319)</f>
        <v/>
      </c>
    </row>
    <row r="1320" hidden="1">
      <c r="A1320" s="22" t="n">
        <v>6</v>
      </c>
      <c r="B1320" t="inlineStr">
        <is>
          <t xml:space="preserve">CDM03 - MORENO 3              </t>
        </is>
      </c>
      <c r="C1320" t="inlineStr">
        <is>
          <t xml:space="preserve">GRUPO L.                      </t>
        </is>
      </c>
      <c r="D1320" s="11" t="n"/>
      <c r="E1320" t="inlineStr">
        <is>
          <t xml:space="preserve">7798092964043       </t>
        </is>
      </c>
      <c r="F1320" t="n">
        <v>2016759</v>
      </c>
      <c r="G1320" t="inlineStr">
        <is>
          <t xml:space="preserve">FIBRA ESPONJA MAKE XU              </t>
        </is>
      </c>
      <c r="H1320" t="inlineStr">
        <is>
          <t xml:space="preserve">UNIDAD              </t>
        </is>
      </c>
      <c r="I1320" t="n">
        <v>5493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5493</v>
      </c>
      <c r="P1320" s="96">
        <f>_xlfn.XLOOKUP(Tabla5[[#This Row],[EAN CORREGIDO]],'Tabla Articulos'!B:B,'Tabla Articulos'!D:D)</f>
        <v/>
      </c>
      <c r="Q1320" s="96">
        <f>_xlfn.XLOOKUP(S1320,'Tabla Articulos'!B:B,'Tabla Articulos'!E:E)</f>
        <v/>
      </c>
      <c r="R1320" s="96">
        <f>O1320*Q1320</f>
        <v/>
      </c>
      <c r="S1320" s="97">
        <f>TRIM(E1320)</f>
        <v/>
      </c>
    </row>
    <row r="1321" hidden="1">
      <c r="A1321" s="22" t="n">
        <v>6</v>
      </c>
      <c r="B1321" t="inlineStr">
        <is>
          <t xml:space="preserve">CDM03 - MORENO 3              </t>
        </is>
      </c>
      <c r="C1321" t="inlineStr">
        <is>
          <t xml:space="preserve">GRUPO L.                      </t>
        </is>
      </c>
      <c r="D1321" s="11" t="n"/>
      <c r="E1321" t="inlineStr">
        <is>
          <t xml:space="preserve">UNIF000108          </t>
        </is>
      </c>
      <c r="F1321" t="n">
        <v>9003421</v>
      </c>
      <c r="G1321" t="inlineStr">
        <is>
          <t xml:space="preserve">PANTALON CARGO NEGRO 50            </t>
        </is>
      </c>
      <c r="H1321" t="inlineStr">
        <is>
          <t xml:space="preserve">UNIDAD              </t>
        </is>
      </c>
      <c r="I1321" t="n">
        <v>54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54</v>
      </c>
      <c r="P1321" s="96">
        <f>_xlfn.XLOOKUP(Tabla5[[#This Row],[EAN CORREGIDO]],'Tabla Articulos'!B:B,'Tabla Articulos'!D:D)</f>
        <v/>
      </c>
      <c r="Q1321" s="96">
        <f>_xlfn.XLOOKUP(S1321,'Tabla Articulos'!B:B,'Tabla Articulos'!E:E)</f>
        <v/>
      </c>
      <c r="R1321" s="96">
        <f>O1321*Q1321</f>
        <v/>
      </c>
      <c r="S1321" s="97">
        <f>TRIM(E1321)</f>
        <v/>
      </c>
    </row>
    <row r="1322" hidden="1">
      <c r="A1322" s="22" t="n">
        <v>1</v>
      </c>
      <c r="B1322" t="inlineStr">
        <is>
          <t xml:space="preserve">CD MORENO                     </t>
        </is>
      </c>
      <c r="C1322" t="inlineStr">
        <is>
          <t xml:space="preserve">GRUPO L.                      </t>
        </is>
      </c>
      <c r="D1322" s="11" t="inlineStr">
        <is>
          <t>TOMATE PERITA</t>
        </is>
      </c>
      <c r="E1322" t="inlineStr">
        <is>
          <t xml:space="preserve">7790580567903       </t>
        </is>
      </c>
      <c r="G1322" t="inlineStr">
        <is>
          <t>TOMATE PERITA EN LATA X 400 G ARCOR</t>
        </is>
      </c>
      <c r="H1322" t="inlineStr">
        <is>
          <t xml:space="preserve">UNIDAD              </t>
        </is>
      </c>
      <c r="I1322" t="n">
        <v>90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90</v>
      </c>
      <c r="P1322" s="96">
        <f>_xlfn.XLOOKUP(Tabla5[[#This Row],[EAN CORREGIDO]],'Tabla Articulos'!B:B,'Tabla Articulos'!D:D)</f>
        <v/>
      </c>
      <c r="Q1322" s="96">
        <f>_xlfn.XLOOKUP(S1322,'Tabla Articulos'!B:B,'Tabla Articulos'!E:E)</f>
        <v/>
      </c>
      <c r="R1322" s="96">
        <f>O1322*Q1322</f>
        <v/>
      </c>
      <c r="S1322" s="97">
        <f>TRIM(E1322)</f>
        <v/>
      </c>
    </row>
    <row r="1323" hidden="1">
      <c r="A1323" s="22" t="n">
        <v>5</v>
      </c>
      <c r="B1323" t="inlineStr">
        <is>
          <t xml:space="preserve">CDM02 - MORENO 2              </t>
        </is>
      </c>
      <c r="C1323" t="inlineStr">
        <is>
          <t xml:space="preserve">GRUPO L.                      </t>
        </is>
      </c>
      <c r="D1323" t="inlineStr">
        <is>
          <t>TOMATE PERITA</t>
        </is>
      </c>
      <c r="E1323" t="inlineStr">
        <is>
          <t xml:space="preserve">7790580567903       </t>
        </is>
      </c>
      <c r="G1323" t="inlineStr">
        <is>
          <t>TOMATE PERITA EN LATA X 400 G ARCOR</t>
        </is>
      </c>
      <c r="H1323" t="inlineStr">
        <is>
          <t xml:space="preserve">UNIDAD              </t>
        </is>
      </c>
      <c r="I1323" t="n">
        <v>9850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9850</v>
      </c>
      <c r="P1323" s="96">
        <f>_xlfn.XLOOKUP(Tabla5[[#This Row],[EAN CORREGIDO]],'Tabla Articulos'!B:B,'Tabla Articulos'!D:D)</f>
        <v/>
      </c>
      <c r="Q1323" s="96">
        <f>_xlfn.XLOOKUP(S1323,'Tabla Articulos'!B:B,'Tabla Articulos'!E:E)</f>
        <v/>
      </c>
      <c r="R1323" s="96">
        <f>O1323*Q1323</f>
        <v/>
      </c>
      <c r="S1323" s="97">
        <f>TRIM(E1323)</f>
        <v/>
      </c>
    </row>
    <row r="1324" hidden="1">
      <c r="A1324" s="22" t="n">
        <v>6</v>
      </c>
      <c r="B1324" t="inlineStr">
        <is>
          <t xml:space="preserve">CDM03 - MORENO 3              </t>
        </is>
      </c>
      <c r="C1324" t="inlineStr">
        <is>
          <t xml:space="preserve">GRUPO L.                      </t>
        </is>
      </c>
      <c r="E1324" t="inlineStr">
        <is>
          <t xml:space="preserve">BUSAT000165         </t>
        </is>
      </c>
      <c r="G1324" t="inlineStr">
        <is>
          <t>BLA DE CORTE 35X50 CM VARIOS COLORE</t>
        </is>
      </c>
      <c r="H1324" t="inlineStr">
        <is>
          <t xml:space="preserve">UNIDAD              </t>
        </is>
      </c>
      <c r="I1324" t="n">
        <v>12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12</v>
      </c>
      <c r="P1324" s="96">
        <f>_xlfn.XLOOKUP(Tabla5[[#This Row],[EAN CORREGIDO]],'Tabla Articulos'!B:B,'Tabla Articulos'!D:D)</f>
        <v/>
      </c>
      <c r="Q1324" s="96">
        <f>_xlfn.XLOOKUP(S1324,'Tabla Articulos'!B:B,'Tabla Articulos'!E:E)</f>
        <v/>
      </c>
      <c r="R1324" s="96">
        <f>O1324*Q1324</f>
        <v/>
      </c>
      <c r="S1324" s="97">
        <f>TRIM(E1324)</f>
        <v/>
      </c>
    </row>
    <row r="1325" hidden="1">
      <c r="A1325" s="22" t="n">
        <v>6</v>
      </c>
      <c r="B1325" t="inlineStr">
        <is>
          <t xml:space="preserve">CDM03 - MORENO 3              </t>
        </is>
      </c>
      <c r="C1325" t="inlineStr">
        <is>
          <t xml:space="preserve">GRUPO L.                      </t>
        </is>
      </c>
      <c r="E1325" t="inlineStr">
        <is>
          <t xml:space="preserve">BUSAT000083         </t>
        </is>
      </c>
      <c r="G1325" t="inlineStr">
        <is>
          <t xml:space="preserve">MOLDE DE TARTA C/ AUJERO X U       </t>
        </is>
      </c>
      <c r="H1325" t="inlineStr">
        <is>
          <t xml:space="preserve">BULTOS              </t>
        </is>
      </c>
      <c r="I1325" t="n">
        <v>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8</v>
      </c>
      <c r="P1325" s="96">
        <f>_xlfn.XLOOKUP(Tabla5[[#This Row],[EAN CORREGIDO]],'Tabla Articulos'!B:B,'Tabla Articulos'!D:D)</f>
        <v/>
      </c>
      <c r="Q1325" s="96">
        <f>_xlfn.XLOOKUP(S1325,'Tabla Articulos'!B:B,'Tabla Articulos'!E:E)</f>
        <v/>
      </c>
      <c r="R1325" s="96">
        <f>O1325*Q1325</f>
        <v/>
      </c>
      <c r="S1325" s="97">
        <f>TRIM(E1325)</f>
        <v/>
      </c>
    </row>
    <row r="1326" hidden="1">
      <c r="A1326" s="22" t="n">
        <v>6</v>
      </c>
      <c r="B1326" t="inlineStr">
        <is>
          <t xml:space="preserve">CDM03 - MORENO 3              </t>
        </is>
      </c>
      <c r="C1326" t="inlineStr">
        <is>
          <t xml:space="preserve">GRUPO L.                      </t>
        </is>
      </c>
      <c r="E1326" t="inlineStr">
        <is>
          <t xml:space="preserve">BUSAT000010         </t>
        </is>
      </c>
      <c r="G1326" t="inlineStr">
        <is>
          <t xml:space="preserve">COLADOR CHICO ACERO INOXIDABLE X U </t>
        </is>
      </c>
      <c r="H1326" t="inlineStr">
        <is>
          <t xml:space="preserve">BULTOS              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2</v>
      </c>
      <c r="P1326" s="96">
        <f>_xlfn.XLOOKUP(Tabla5[[#This Row],[EAN CORREGIDO]],'Tabla Articulos'!B:B,'Tabla Articulos'!D:D)</f>
        <v/>
      </c>
      <c r="Q1326" s="96">
        <f>_xlfn.XLOOKUP(S1326,'Tabla Articulos'!B:B,'Tabla Articulos'!E:E)</f>
        <v/>
      </c>
      <c r="R1326" s="96">
        <f>O1326*Q1326</f>
        <v/>
      </c>
      <c r="S1326" s="97">
        <f>TRIM(E1326)</f>
        <v/>
      </c>
    </row>
    <row r="1327" hidden="1">
      <c r="A1327" s="22" t="n">
        <v>6</v>
      </c>
      <c r="B1327" t="inlineStr">
        <is>
          <t xml:space="preserve">CDM03 - MORENO 3              </t>
        </is>
      </c>
      <c r="C1327" t="inlineStr">
        <is>
          <t xml:space="preserve">GRUPO L.                      </t>
        </is>
      </c>
      <c r="D1327" s="11" t="n"/>
      <c r="E1327" t="inlineStr">
        <is>
          <t xml:space="preserve">BUSAT000724         </t>
        </is>
      </c>
      <c r="G1327" t="inlineStr">
        <is>
          <t xml:space="preserve">CHOMBA GRIS CUELLO AZUL M/CORTA S  </t>
        </is>
      </c>
      <c r="H1327" t="inlineStr">
        <is>
          <t xml:space="preserve">UNIDAD              </t>
        </is>
      </c>
      <c r="I1327" t="n">
        <v>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3</v>
      </c>
      <c r="P1327" s="96">
        <f>_xlfn.XLOOKUP(Tabla5[[#This Row],[EAN CORREGIDO]],'Tabla Articulos'!B:B,'Tabla Articulos'!D:D)</f>
        <v/>
      </c>
      <c r="Q1327" s="96">
        <f>_xlfn.XLOOKUP(S1327,'Tabla Articulos'!B:B,'Tabla Articulos'!E:E)</f>
        <v/>
      </c>
      <c r="R1327" s="96">
        <f>O1327*Q1327</f>
        <v/>
      </c>
      <c r="S1327" s="97">
        <f>TRIM(E1327)</f>
        <v/>
      </c>
    </row>
    <row r="1328" hidden="1">
      <c r="A1328" s="22" t="n">
        <v>6</v>
      </c>
      <c r="B1328" t="inlineStr">
        <is>
          <t xml:space="preserve">CDM03 - MORENO 3              </t>
        </is>
      </c>
      <c r="C1328" t="inlineStr">
        <is>
          <t xml:space="preserve">GRUPO L.                      </t>
        </is>
      </c>
      <c r="E1328" t="inlineStr">
        <is>
          <t xml:space="preserve">BUSAT000859         </t>
        </is>
      </c>
      <c r="G1328" t="inlineStr">
        <is>
          <t xml:space="preserve">CESTO FREIDORA GRANDE              </t>
        </is>
      </c>
      <c r="H1328" t="inlineStr">
        <is>
          <t xml:space="preserve">UNIDAD              </t>
        </is>
      </c>
      <c r="I1328" t="n">
        <v>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2</v>
      </c>
      <c r="P1328" s="96">
        <f>_xlfn.XLOOKUP(Tabla5[[#This Row],[EAN CORREGIDO]],'Tabla Articulos'!B:B,'Tabla Articulos'!D:D)</f>
        <v/>
      </c>
      <c r="Q1328" s="96">
        <f>_xlfn.XLOOKUP(S1328,'Tabla Articulos'!B:B,'Tabla Articulos'!E:E)</f>
        <v/>
      </c>
      <c r="R1328" s="96">
        <f>O1328*Q1328</f>
        <v/>
      </c>
      <c r="S1328" s="97">
        <f>TRIM(E1328)</f>
        <v/>
      </c>
    </row>
    <row r="1329" hidden="1">
      <c r="A1329" s="22" t="n">
        <v>6</v>
      </c>
      <c r="B1329" t="inlineStr">
        <is>
          <t xml:space="preserve">CDM03 - MORENO 3              </t>
        </is>
      </c>
      <c r="C1329" t="inlineStr">
        <is>
          <t xml:space="preserve">GRUPO L.                      </t>
        </is>
      </c>
      <c r="E1329" t="inlineStr">
        <is>
          <t xml:space="preserve">BUSAT000627         </t>
        </is>
      </c>
      <c r="G1329" t="inlineStr">
        <is>
          <t xml:space="preserve">BUZO AZUL UNILEVER XXL             </t>
        </is>
      </c>
      <c r="H1329" t="inlineStr">
        <is>
          <t xml:space="preserve">UNIDAD              </t>
        </is>
      </c>
      <c r="I1329" t="n">
        <v>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3</v>
      </c>
      <c r="P1329" s="96">
        <f>_xlfn.XLOOKUP(Tabla5[[#This Row],[EAN CORREGIDO]],'Tabla Articulos'!B:B,'Tabla Articulos'!D:D)</f>
        <v/>
      </c>
      <c r="Q1329" s="96">
        <f>_xlfn.XLOOKUP(S1329,'Tabla Articulos'!B:B,'Tabla Articulos'!E:E)</f>
        <v/>
      </c>
      <c r="R1329" s="96">
        <f>O1329*Q1329</f>
        <v/>
      </c>
      <c r="S1329" s="97">
        <f>TRIM(E1329)</f>
        <v/>
      </c>
    </row>
    <row r="1330" hidden="1">
      <c r="A1330" s="22" t="n">
        <v>6</v>
      </c>
      <c r="B1330" t="inlineStr">
        <is>
          <t xml:space="preserve">CDM03 - MORENO 3              </t>
        </is>
      </c>
      <c r="C1330" t="inlineStr">
        <is>
          <t xml:space="preserve">GRUPO L.                      </t>
        </is>
      </c>
      <c r="E1330" t="inlineStr">
        <is>
          <t xml:space="preserve">BUSAT001019         </t>
        </is>
      </c>
      <c r="G1330" t="inlineStr">
        <is>
          <t xml:space="preserve">ZAPATO CHUBUT TALLE 39             </t>
        </is>
      </c>
      <c r="H1330" t="inlineStr">
        <is>
          <t xml:space="preserve">UNIDAD              </t>
        </is>
      </c>
      <c r="I1330" t="n">
        <v>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3</v>
      </c>
      <c r="P1330" s="96">
        <f>_xlfn.XLOOKUP(Tabla5[[#This Row],[EAN CORREGIDO]],'Tabla Articulos'!B:B,'Tabla Articulos'!D:D)</f>
        <v/>
      </c>
      <c r="Q1330" s="96">
        <f>_xlfn.XLOOKUP(S1330,'Tabla Articulos'!B:B,'Tabla Articulos'!E:E)</f>
        <v/>
      </c>
      <c r="R1330" s="96">
        <f>O1330*Q1330</f>
        <v/>
      </c>
      <c r="S1330" s="97">
        <f>TRIM(E1330)</f>
        <v/>
      </c>
    </row>
    <row r="1331" hidden="1">
      <c r="A1331" s="22" t="n">
        <v>6</v>
      </c>
      <c r="B1331" t="inlineStr">
        <is>
          <t xml:space="preserve">CDM03 - MORENO 3              </t>
        </is>
      </c>
      <c r="C1331" t="inlineStr">
        <is>
          <t xml:space="preserve">GRUPO L.                      </t>
        </is>
      </c>
      <c r="E1331" t="inlineStr">
        <is>
          <t xml:space="preserve">BUSAT000605         </t>
        </is>
      </c>
      <c r="G1331" t="inlineStr">
        <is>
          <t xml:space="preserve">CHOMBA GRIS M/C M                  </t>
        </is>
      </c>
      <c r="H1331" t="inlineStr">
        <is>
          <t xml:space="preserve">UNIDAD              </t>
        </is>
      </c>
      <c r="I1331" t="n">
        <v>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2</v>
      </c>
      <c r="P1331" s="96">
        <f>_xlfn.XLOOKUP(Tabla5[[#This Row],[EAN CORREGIDO]],'Tabla Articulos'!B:B,'Tabla Articulos'!D:D)</f>
        <v/>
      </c>
      <c r="Q1331" s="96">
        <f>_xlfn.XLOOKUP(S1331,'Tabla Articulos'!B:B,'Tabla Articulos'!E:E)</f>
        <v/>
      </c>
      <c r="R1331" s="96">
        <f>O1331*Q1331</f>
        <v/>
      </c>
      <c r="S1331" s="97">
        <f>TRIM(E1331)</f>
        <v/>
      </c>
    </row>
    <row r="1332" hidden="1">
      <c r="A1332" s="22" t="n">
        <v>1</v>
      </c>
      <c r="B1332" t="inlineStr">
        <is>
          <t xml:space="preserve">CD MORENO                     </t>
        </is>
      </c>
      <c r="C1332" t="inlineStr">
        <is>
          <t xml:space="preserve">GRUPO L.                      </t>
        </is>
      </c>
      <c r="D1332" s="11" t="inlineStr">
        <is>
          <t>ARROZ 0000</t>
        </is>
      </c>
      <c r="E1332" t="inlineStr">
        <is>
          <t xml:space="preserve">7793650000034       </t>
        </is>
      </c>
      <c r="F1332" t="n">
        <v>4020619</v>
      </c>
      <c r="G1332" t="inlineStr">
        <is>
          <t xml:space="preserve">ARROZ 0000 X1KG CAROGRAN           </t>
        </is>
      </c>
      <c r="H1332" t="inlineStr">
        <is>
          <t xml:space="preserve">UNIDAD              </t>
        </is>
      </c>
      <c r="I1332" t="n">
        <v>66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66</v>
      </c>
      <c r="P1332" s="96">
        <f>_xlfn.XLOOKUP(Tabla5[[#This Row],[EAN CORREGIDO]],'Tabla Articulos'!B:B,'Tabla Articulos'!D:D)</f>
        <v/>
      </c>
      <c r="Q1332" s="96">
        <f>_xlfn.XLOOKUP(S1332,'Tabla Articulos'!B:B,'Tabla Articulos'!E:E)</f>
        <v/>
      </c>
      <c r="R1332" s="96">
        <f>O1332*Q1332</f>
        <v/>
      </c>
      <c r="S1332" s="97">
        <f>TRIM(E1332)</f>
        <v/>
      </c>
    </row>
    <row r="1333" hidden="1">
      <c r="A1333" s="22" t="n">
        <v>1</v>
      </c>
      <c r="B1333" t="inlineStr">
        <is>
          <t xml:space="preserve">CD MORENO                     </t>
        </is>
      </c>
      <c r="C1333" t="inlineStr">
        <is>
          <t xml:space="preserve">GRUPO L.                      </t>
        </is>
      </c>
      <c r="D1333" t="inlineStr">
        <is>
          <t>BONIATO</t>
        </is>
      </c>
      <c r="E1333" t="inlineStr">
        <is>
          <t xml:space="preserve">7790216010023       </t>
        </is>
      </c>
      <c r="F1333" t="n">
        <v>4024054</v>
      </c>
      <c r="G1333" t="inlineStr">
        <is>
          <t xml:space="preserve">BATATA BONIATO XKG                 </t>
        </is>
      </c>
      <c r="H1333" t="inlineStr">
        <is>
          <t xml:space="preserve">Kgs                 </t>
        </is>
      </c>
      <c r="I1333" t="n">
        <v>22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22</v>
      </c>
      <c r="P1333" s="96">
        <f>_xlfn.XLOOKUP(Tabla5[[#This Row],[EAN CORREGIDO]],'Tabla Articulos'!B:B,'Tabla Articulos'!D:D)</f>
        <v/>
      </c>
      <c r="Q1333" s="96">
        <f>_xlfn.XLOOKUP(S1333,'Tabla Articulos'!B:B,'Tabla Articulos'!E:E)</f>
        <v/>
      </c>
      <c r="R1333" s="96">
        <f>O1333*Q1333</f>
        <v/>
      </c>
      <c r="S1333" s="97">
        <f>TRIM(E1333)</f>
        <v/>
      </c>
    </row>
    <row r="1334" hidden="1">
      <c r="A1334" s="22" t="n">
        <v>6</v>
      </c>
      <c r="B1334" t="inlineStr">
        <is>
          <t xml:space="preserve">CDM03 - MORENO 3              </t>
        </is>
      </c>
      <c r="C1334" t="inlineStr">
        <is>
          <t xml:space="preserve">GRUPO L.                      </t>
        </is>
      </c>
      <c r="D1334" t="inlineStr">
        <is>
          <t>TAPA 103 NO MICROO</t>
        </is>
      </c>
      <c r="E1334" t="inlineStr">
        <is>
          <t xml:space="preserve">7790321020307       </t>
        </is>
      </c>
      <c r="F1334" t="n">
        <v>2006203</v>
      </c>
      <c r="G1334" t="inlineStr">
        <is>
          <t xml:space="preserve">TAPA 103 PET X100U CELPAK          </t>
        </is>
      </c>
      <c r="H1334" t="inlineStr">
        <is>
          <t xml:space="preserve">UNIDAD              </t>
        </is>
      </c>
      <c r="I1334" t="n">
        <v>204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204</v>
      </c>
      <c r="P1334" s="96">
        <f>_xlfn.XLOOKUP(Tabla5[[#This Row],[EAN CORREGIDO]],'Tabla Articulos'!B:B,'Tabla Articulos'!D:D)</f>
        <v/>
      </c>
      <c r="Q1334" s="96">
        <f>_xlfn.XLOOKUP(S1334,'Tabla Articulos'!B:B,'Tabla Articulos'!E:E)</f>
        <v/>
      </c>
      <c r="R1334" s="96">
        <f>O1334*Q1334</f>
        <v/>
      </c>
      <c r="S1334" s="97">
        <f>TRIM(E1334)</f>
        <v/>
      </c>
    </row>
    <row r="1335" hidden="1">
      <c r="A1335" s="22" t="n">
        <v>1</v>
      </c>
      <c r="B1335" t="inlineStr">
        <is>
          <t xml:space="preserve">CD MORENO                     </t>
        </is>
      </c>
      <c r="C1335" t="inlineStr">
        <is>
          <t xml:space="preserve">GRUPO L.                      </t>
        </is>
      </c>
      <c r="D1335" s="11" t="inlineStr">
        <is>
          <t>HAMBURGUESAS</t>
        </is>
      </c>
      <c r="E1335" t="inlineStr">
        <is>
          <t xml:space="preserve">7798346030098       </t>
        </is>
      </c>
      <c r="F1335" t="n">
        <v>4017598</v>
      </c>
      <c r="G1335" t="inlineStr">
        <is>
          <t xml:space="preserve">HAMBURGUESAS X2U BRAVA             </t>
        </is>
      </c>
      <c r="H1335" t="inlineStr">
        <is>
          <t xml:space="preserve">UNIDAD              </t>
        </is>
      </c>
      <c r="I1335" t="n">
        <v>3928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3928</v>
      </c>
      <c r="P1335" s="96">
        <f>_xlfn.XLOOKUP(Tabla5[[#This Row],[EAN CORREGIDO]],'Tabla Articulos'!B:B,'Tabla Articulos'!D:D)</f>
        <v/>
      </c>
      <c r="Q1335" s="96">
        <f>_xlfn.XLOOKUP(S1335,'Tabla Articulos'!B:B,'Tabla Articulos'!E:E)</f>
        <v/>
      </c>
      <c r="R1335" s="96">
        <f>O1335*Q1335</f>
        <v/>
      </c>
      <c r="S1335" s="97">
        <f>TRIM(E1335)</f>
        <v/>
      </c>
    </row>
    <row r="1336" hidden="1">
      <c r="A1336" s="22" t="n">
        <v>6</v>
      </c>
      <c r="B1336" t="inlineStr">
        <is>
          <t xml:space="preserve">CDM03 - MORENO 3              </t>
        </is>
      </c>
      <c r="C1336" t="inlineStr">
        <is>
          <t xml:space="preserve">GRUPO L.                      </t>
        </is>
      </c>
      <c r="D1336" s="11" t="n"/>
      <c r="E1336" t="inlineStr">
        <is>
          <t xml:space="preserve">UNIF000058          </t>
        </is>
      </c>
      <c r="F1336" t="n">
        <v>9003311</v>
      </c>
      <c r="G1336" t="inlineStr">
        <is>
          <t xml:space="preserve">BUZO A. MARINO-FRISA GL SUP- 3XL   </t>
        </is>
      </c>
      <c r="H1336" t="inlineStr">
        <is>
          <t xml:space="preserve">UNIDAD              </t>
        </is>
      </c>
      <c r="I1336" t="n">
        <v>27</v>
      </c>
      <c r="J1336" t="n">
        <v>50</v>
      </c>
      <c r="K1336" t="n">
        <v>0</v>
      </c>
      <c r="L1336" t="n">
        <v>1</v>
      </c>
      <c r="M1336" t="n">
        <v>1</v>
      </c>
      <c r="N1336" t="n">
        <v>0</v>
      </c>
      <c r="O1336" t="n">
        <v>75</v>
      </c>
      <c r="P1336" s="96">
        <f>_xlfn.XLOOKUP(Tabla5[[#This Row],[EAN CORREGIDO]],'Tabla Articulos'!B:B,'Tabla Articulos'!D:D)</f>
        <v/>
      </c>
      <c r="Q1336" s="96">
        <f>_xlfn.XLOOKUP(S1336,'Tabla Articulos'!B:B,'Tabla Articulos'!E:E)</f>
        <v/>
      </c>
      <c r="R1336" s="96">
        <f>O1336*Q1336</f>
        <v/>
      </c>
      <c r="S1336" s="97">
        <f>TRIM(E1336)</f>
        <v/>
      </c>
    </row>
    <row r="1337" hidden="1">
      <c r="A1337" s="22" t="n">
        <v>6</v>
      </c>
      <c r="B1337" t="inlineStr">
        <is>
          <t xml:space="preserve">CDM03 - MORENO 3              </t>
        </is>
      </c>
      <c r="C1337" t="inlineStr">
        <is>
          <t xml:space="preserve">GRUPO L.                      </t>
        </is>
      </c>
      <c r="D1337" s="11" t="inlineStr">
        <is>
          <t>BOLSAS ARRANQUE</t>
        </is>
      </c>
      <c r="E1337" t="inlineStr">
        <is>
          <t xml:space="preserve">7794459003066       </t>
        </is>
      </c>
      <c r="F1337" t="n">
        <v>2016605</v>
      </c>
      <c r="G1337" t="inlineStr">
        <is>
          <t xml:space="preserve">ROLLO ARRANQUE 50X70 X6U 1500GR    </t>
        </is>
      </c>
      <c r="H1337" t="inlineStr">
        <is>
          <t xml:space="preserve">UNIDAD              </t>
        </is>
      </c>
      <c r="I1337" t="n">
        <v>200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200</v>
      </c>
      <c r="P1337" s="96">
        <f>_xlfn.XLOOKUP(Tabla5[[#This Row],[EAN CORREGIDO]],'Tabla Articulos'!B:B,'Tabla Articulos'!D:D)</f>
        <v/>
      </c>
      <c r="Q1337" s="96">
        <f>_xlfn.XLOOKUP(S1337,'Tabla Articulos'!B:B,'Tabla Articulos'!E:E)</f>
        <v/>
      </c>
      <c r="R1337" s="96">
        <f>O1337*Q1337</f>
        <v/>
      </c>
      <c r="S1337" s="97">
        <f>TRIM(E1337)</f>
        <v/>
      </c>
    </row>
    <row r="1338" hidden="1">
      <c r="A1338" s="22" t="n">
        <v>5</v>
      </c>
      <c r="B1338" t="inlineStr">
        <is>
          <t xml:space="preserve">CDM02 - MORENO 2              </t>
        </is>
      </c>
      <c r="C1338" t="inlineStr">
        <is>
          <t xml:space="preserve">GRUPO L.                      </t>
        </is>
      </c>
      <c r="D1338" t="inlineStr">
        <is>
          <t>ATUN A/A DESMEN</t>
        </is>
      </c>
      <c r="E1338" t="inlineStr">
        <is>
          <t xml:space="preserve">7790645001809       </t>
        </is>
      </c>
      <c r="F1338" t="n">
        <v>4019852</v>
      </c>
      <c r="G1338" t="inlineStr">
        <is>
          <t xml:space="preserve">ATUN DESM E/A x 170 GR CARACAS     </t>
        </is>
      </c>
      <c r="H1338" t="inlineStr">
        <is>
          <t xml:space="preserve">UNIDAD              </t>
        </is>
      </c>
      <c r="I1338" t="n">
        <v>42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42</v>
      </c>
      <c r="P1338" s="96">
        <f>_xlfn.XLOOKUP(Tabla5[[#This Row],[EAN CORREGIDO]],'Tabla Articulos'!B:B,'Tabla Articulos'!D:D)</f>
        <v/>
      </c>
      <c r="Q1338" s="96">
        <f>_xlfn.XLOOKUP(S1338,'Tabla Articulos'!B:B,'Tabla Articulos'!E:E)</f>
        <v/>
      </c>
      <c r="R1338" s="96">
        <f>O1338*Q1338</f>
        <v/>
      </c>
      <c r="S1338" s="97">
        <f>TRIM(E1338)</f>
        <v/>
      </c>
    </row>
    <row r="1339" hidden="1">
      <c r="A1339" s="22" t="n">
        <v>1</v>
      </c>
      <c r="B1339" t="inlineStr">
        <is>
          <t xml:space="preserve">CD MORENO                     </t>
        </is>
      </c>
      <c r="C1339" t="inlineStr">
        <is>
          <t xml:space="preserve">GRUPO L.                      </t>
        </is>
      </c>
      <c r="D1339" t="inlineStr">
        <is>
          <t>ATUN A/A DESMEN</t>
        </is>
      </c>
      <c r="E1339" t="inlineStr">
        <is>
          <t xml:space="preserve">7790645001809       </t>
        </is>
      </c>
      <c r="F1339" t="n">
        <v>4019852</v>
      </c>
      <c r="G1339" t="inlineStr">
        <is>
          <t xml:space="preserve">ATUN DESM E/A x 170 GR CARACAS     </t>
        </is>
      </c>
      <c r="H1339" t="inlineStr">
        <is>
          <t xml:space="preserve">UNIDAD              </t>
        </is>
      </c>
      <c r="I1339" t="n">
        <v>960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960</v>
      </c>
      <c r="P1339" s="96">
        <f>_xlfn.XLOOKUP(Tabla5[[#This Row],[EAN CORREGIDO]],'Tabla Articulos'!B:B,'Tabla Articulos'!D:D)</f>
        <v/>
      </c>
      <c r="Q1339" s="96">
        <f>_xlfn.XLOOKUP(S1339,'Tabla Articulos'!B:B,'Tabla Articulos'!E:E)</f>
        <v/>
      </c>
      <c r="R1339" s="96">
        <f>O1339*Q1339</f>
        <v/>
      </c>
      <c r="S1339" s="97">
        <f>TRIM(E1339)</f>
        <v/>
      </c>
    </row>
    <row r="1340" hidden="1">
      <c r="A1340" s="22" t="n">
        <v>1</v>
      </c>
      <c r="B1340" t="inlineStr">
        <is>
          <t xml:space="preserve">CD MORENO                     </t>
        </is>
      </c>
      <c r="C1340" t="inlineStr">
        <is>
          <t xml:space="preserve">GRUPO L.                      </t>
        </is>
      </c>
      <c r="D1340" t="inlineStr">
        <is>
          <t>QUESOS ESPECIALES</t>
        </is>
      </c>
      <c r="E1340" t="inlineStr">
        <is>
          <t xml:space="preserve">7790212060904       </t>
        </is>
      </c>
      <c r="F1340" t="n">
        <v>4018312</v>
      </c>
      <c r="G1340" t="inlineStr">
        <is>
          <t xml:space="preserve">QUESO ROQUEFORT XKG EMPERADOR      </t>
        </is>
      </c>
      <c r="H1340" t="inlineStr">
        <is>
          <t xml:space="preserve">Kgs                 </t>
        </is>
      </c>
      <c r="I1340" t="n">
        <v>8</v>
      </c>
      <c r="J1340" t="n">
        <v>0</v>
      </c>
      <c r="K1340" t="n">
        <v>0</v>
      </c>
      <c r="L1340" t="n">
        <v>0.6</v>
      </c>
      <c r="M1340" t="n">
        <v>0.6</v>
      </c>
      <c r="N1340" t="n">
        <v>0</v>
      </c>
      <c r="O1340" t="n">
        <v>6.8</v>
      </c>
      <c r="P1340" s="96">
        <f>_xlfn.XLOOKUP(Tabla5[[#This Row],[EAN CORREGIDO]],'Tabla Articulos'!B:B,'Tabla Articulos'!D:D)</f>
        <v/>
      </c>
      <c r="Q1340" s="96">
        <f>_xlfn.XLOOKUP(S1340,'Tabla Articulos'!B:B,'Tabla Articulos'!E:E)</f>
        <v/>
      </c>
      <c r="R1340" s="96">
        <f>O1340*Q1340</f>
        <v/>
      </c>
      <c r="S1340" s="97">
        <f>TRIM(E1340)</f>
        <v/>
      </c>
    </row>
    <row r="1341" hidden="1">
      <c r="A1341" s="22" t="n">
        <v>6</v>
      </c>
      <c r="B1341" t="inlineStr">
        <is>
          <t xml:space="preserve">CDM03 - MORENO 3              </t>
        </is>
      </c>
      <c r="C1341" t="inlineStr">
        <is>
          <t xml:space="preserve">GRUPO L.                      </t>
        </is>
      </c>
      <c r="D1341" t="inlineStr">
        <is>
          <t>BOLSAS RESIDUO 30 MICRO NEGRA</t>
        </is>
      </c>
      <c r="E1341" t="inlineStr">
        <is>
          <t xml:space="preserve">LIM000109           </t>
        </is>
      </c>
      <c r="F1341" t="n">
        <v>2006275</v>
      </c>
      <c r="G1341" t="inlineStr">
        <is>
          <t xml:space="preserve">BOLSA RESIDUO NEGRA 80X110X50U     </t>
        </is>
      </c>
      <c r="H1341" t="inlineStr">
        <is>
          <t xml:space="preserve">UNIDAD              </t>
        </is>
      </c>
      <c r="I1341" t="n">
        <v>1823</v>
      </c>
      <c r="J1341" t="n">
        <v>0</v>
      </c>
      <c r="K1341" t="n">
        <v>0</v>
      </c>
      <c r="L1341" t="n">
        <v>24</v>
      </c>
      <c r="M1341" t="n">
        <v>24</v>
      </c>
      <c r="N1341" t="n">
        <v>0</v>
      </c>
      <c r="O1341" t="n">
        <v>1775</v>
      </c>
      <c r="P1341" s="96">
        <f>_xlfn.XLOOKUP(Tabla5[[#This Row],[EAN CORREGIDO]],'Tabla Articulos'!B:B,'Tabla Articulos'!D:D)</f>
        <v/>
      </c>
      <c r="Q1341" s="96">
        <f>_xlfn.XLOOKUP(S1341,'Tabla Articulos'!B:B,'Tabla Articulos'!E:E)</f>
        <v/>
      </c>
      <c r="R1341" s="96">
        <f>O1341*Q1341</f>
        <v/>
      </c>
      <c r="S1341" s="97">
        <f>TRIM(E1341)</f>
        <v/>
      </c>
    </row>
    <row r="1342" hidden="1">
      <c r="A1342" s="22" t="n">
        <v>6</v>
      </c>
      <c r="B1342" t="inlineStr">
        <is>
          <t xml:space="preserve">CDM03 - MORENO 3              </t>
        </is>
      </c>
      <c r="C1342" t="inlineStr">
        <is>
          <t xml:space="preserve">GRUPO L.                      </t>
        </is>
      </c>
      <c r="D1342" t="inlineStr">
        <is>
          <t xml:space="preserve">ESCOBILLON  </t>
        </is>
      </c>
      <c r="E1342" t="inlineStr">
        <is>
          <t xml:space="preserve">67798152430299      </t>
        </is>
      </c>
      <c r="F1342" t="n">
        <v>2016621</v>
      </c>
      <c r="G1342" t="inlineStr">
        <is>
          <t xml:space="preserve">ESCOBILLON FRANCES PLAST 80CM      </t>
        </is>
      </c>
      <c r="H1342" t="inlineStr">
        <is>
          <t xml:space="preserve">UNIDAD              </t>
        </is>
      </c>
      <c r="I1342" t="n">
        <v>996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996</v>
      </c>
      <c r="P1342" s="96">
        <f>_xlfn.XLOOKUP(Tabla5[[#This Row],[EAN CORREGIDO]],'Tabla Articulos'!B:B,'Tabla Articulos'!D:D)</f>
        <v/>
      </c>
      <c r="Q1342" s="96">
        <f>_xlfn.XLOOKUP(S1342,'Tabla Articulos'!B:B,'Tabla Articulos'!E:E)</f>
        <v/>
      </c>
      <c r="R1342" s="96">
        <f>O1342*Q1342</f>
        <v/>
      </c>
      <c r="S1342" s="97">
        <f>TRIM(E1342)</f>
        <v/>
      </c>
    </row>
    <row r="1343" hidden="1">
      <c r="A1343" s="22" t="n">
        <v>1</v>
      </c>
      <c r="B1343" t="inlineStr">
        <is>
          <t xml:space="preserve">CD MORENO                     </t>
        </is>
      </c>
      <c r="C1343" t="inlineStr">
        <is>
          <t xml:space="preserve">GRUPO L.                      </t>
        </is>
      </c>
      <c r="D1343" t="inlineStr">
        <is>
          <t>MOUSSE CHOCOLATE</t>
        </is>
      </c>
      <c r="E1343" t="inlineStr">
        <is>
          <t xml:space="preserve">7790971002501       </t>
        </is>
      </c>
      <c r="F1343" t="n">
        <v>4019673</v>
      </c>
      <c r="G1343" t="inlineStr">
        <is>
          <t xml:space="preserve">MOUSSE CHOCOLATE X5KG ORLOC        </t>
        </is>
      </c>
      <c r="H1343" t="inlineStr">
        <is>
          <t xml:space="preserve">UNIDAD              </t>
        </is>
      </c>
      <c r="I1343" t="n">
        <v>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5</v>
      </c>
      <c r="P1343" s="96">
        <f>_xlfn.XLOOKUP(Tabla5[[#This Row],[EAN CORREGIDO]],'Tabla Articulos'!B:B,'Tabla Articulos'!D:D)</f>
        <v/>
      </c>
      <c r="Q1343" s="96">
        <f>_xlfn.XLOOKUP(S1343,'Tabla Articulos'!B:B,'Tabla Articulos'!E:E)</f>
        <v/>
      </c>
      <c r="R1343" s="96">
        <f>O1343*Q1343</f>
        <v/>
      </c>
      <c r="S1343" s="97">
        <f>TRIM(E1343)</f>
        <v/>
      </c>
    </row>
    <row r="1344" hidden="1">
      <c r="A1344" s="22" t="n">
        <v>6</v>
      </c>
      <c r="B1344" t="inlineStr">
        <is>
          <t xml:space="preserve">CDM03 - MORENO 3              </t>
        </is>
      </c>
      <c r="C1344" t="inlineStr">
        <is>
          <t xml:space="preserve">GRUPO L.                      </t>
        </is>
      </c>
      <c r="D1344" t="inlineStr">
        <is>
          <t>URINAL</t>
        </is>
      </c>
      <c r="E1344" t="inlineStr">
        <is>
          <t xml:space="preserve">7790000000745       </t>
        </is>
      </c>
      <c r="F1344" t="n">
        <v>2016587</v>
      </c>
      <c r="G1344" t="inlineStr">
        <is>
          <t xml:space="preserve">URINAL THAMES X U                  </t>
        </is>
      </c>
      <c r="H1344" t="inlineStr">
        <is>
          <t xml:space="preserve">UNIDAD              </t>
        </is>
      </c>
      <c r="I1344" t="n">
        <v>289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289</v>
      </c>
      <c r="P1344" s="96">
        <f>_xlfn.XLOOKUP(Tabla5[[#This Row],[EAN CORREGIDO]],'Tabla Articulos'!B:B,'Tabla Articulos'!D:D)</f>
        <v/>
      </c>
      <c r="Q1344" s="96">
        <f>_xlfn.XLOOKUP(S1344,'Tabla Articulos'!B:B,'Tabla Articulos'!E:E)</f>
        <v/>
      </c>
      <c r="R1344" s="96">
        <f>O1344*Q1344</f>
        <v/>
      </c>
      <c r="S1344" s="97">
        <f>TRIM(E1344)</f>
        <v/>
      </c>
    </row>
    <row r="1345" hidden="1">
      <c r="A1345" s="22" t="n">
        <v>1</v>
      </c>
      <c r="B1345" t="inlineStr">
        <is>
          <t xml:space="preserve">CD MORENO                     </t>
        </is>
      </c>
      <c r="C1345" t="inlineStr">
        <is>
          <t xml:space="preserve">GRUPO L.                      </t>
        </is>
      </c>
      <c r="D1345" t="inlineStr">
        <is>
          <t>MEDIALUNA MANT CONGELADA</t>
        </is>
      </c>
      <c r="E1345" t="inlineStr">
        <is>
          <t xml:space="preserve">7792590005864       </t>
        </is>
      </c>
      <c r="F1345" t="n">
        <v>4076702</v>
      </c>
      <c r="G1345" t="inlineStr">
        <is>
          <t xml:space="preserve">	 MEDIALU MANT CONGE X150UN CREMACH</t>
        </is>
      </c>
      <c r="H1345" t="inlineStr">
        <is>
          <t xml:space="preserve">UNIDAD              </t>
        </is>
      </c>
      <c r="I1345" t="n">
        <v>44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44</v>
      </c>
      <c r="P1345" s="96">
        <f>_xlfn.XLOOKUP(Tabla5[[#This Row],[EAN CORREGIDO]],'Tabla Articulos'!B:B,'Tabla Articulos'!D:D)</f>
        <v/>
      </c>
      <c r="Q1345" s="96">
        <f>_xlfn.XLOOKUP(S1345,'Tabla Articulos'!B:B,'Tabla Articulos'!E:E)</f>
        <v/>
      </c>
      <c r="R1345" s="96">
        <f>O1345*Q1345</f>
        <v/>
      </c>
      <c r="S1345" s="97">
        <f>TRIM(E1345)</f>
        <v/>
      </c>
    </row>
    <row r="1346" hidden="1">
      <c r="A1346" s="22" t="n">
        <v>5</v>
      </c>
      <c r="B1346" t="inlineStr">
        <is>
          <t xml:space="preserve">CDM02 - MORENO 2              </t>
        </is>
      </c>
      <c r="C1346" t="inlineStr">
        <is>
          <t xml:space="preserve">GRUPO L.                      </t>
        </is>
      </c>
      <c r="D1346" s="11" t="inlineStr">
        <is>
          <t>LENTEJAS S/TACC</t>
        </is>
      </c>
      <c r="E1346" t="inlineStr">
        <is>
          <t xml:space="preserve">7798156760659       </t>
        </is>
      </c>
      <c r="F1346" t="n">
        <v>4020438</v>
      </c>
      <c r="G1346" t="inlineStr">
        <is>
          <t xml:space="preserve">LENTEJA S/TACC X340G SAB DEL VALLE </t>
        </is>
      </c>
      <c r="H1346" t="inlineStr">
        <is>
          <t xml:space="preserve">UNIDAD              </t>
        </is>
      </c>
      <c r="I1346" t="n">
        <v>107468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107468</v>
      </c>
      <c r="P1346" s="96">
        <f>_xlfn.XLOOKUP(Tabla5[[#This Row],[EAN CORREGIDO]],'Tabla Articulos'!B:B,'Tabla Articulos'!D:D)</f>
        <v/>
      </c>
      <c r="Q1346" s="96">
        <f>_xlfn.XLOOKUP(S1346,'Tabla Articulos'!B:B,'Tabla Articulos'!E:E)</f>
        <v/>
      </c>
      <c r="R1346" s="96">
        <f>O1346*Q1346</f>
        <v/>
      </c>
      <c r="S1346" s="97">
        <f>TRIM(E1346)</f>
        <v/>
      </c>
    </row>
    <row r="1347" hidden="1">
      <c r="A1347" s="22" t="n">
        <v>1</v>
      </c>
      <c r="B1347" t="inlineStr">
        <is>
          <t xml:space="preserve">CD MORENO                     </t>
        </is>
      </c>
      <c r="C1347" t="inlineStr">
        <is>
          <t xml:space="preserve">GRUPO L.                      </t>
        </is>
      </c>
      <c r="D1347" t="inlineStr">
        <is>
          <t>LENTEJAS S/TACC</t>
        </is>
      </c>
      <c r="E1347" t="inlineStr">
        <is>
          <t xml:space="preserve">7798156760659       </t>
        </is>
      </c>
      <c r="F1347" t="n">
        <v>4020438</v>
      </c>
      <c r="G1347" t="inlineStr">
        <is>
          <t xml:space="preserve">LENTEJA S/TACC X340G SAB DEL VALLE </t>
        </is>
      </c>
      <c r="H1347" t="inlineStr">
        <is>
          <t xml:space="preserve">UNIDAD              </t>
        </is>
      </c>
      <c r="I1347" t="n">
        <v>1502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1502</v>
      </c>
      <c r="P1347" s="96">
        <f>_xlfn.XLOOKUP(Tabla5[[#This Row],[EAN CORREGIDO]],'Tabla Articulos'!B:B,'Tabla Articulos'!D:D)</f>
        <v/>
      </c>
      <c r="Q1347" s="96">
        <f>_xlfn.XLOOKUP(S1347,'Tabla Articulos'!B:B,'Tabla Articulos'!E:E)</f>
        <v/>
      </c>
      <c r="R1347" s="96">
        <f>O1347*Q1347</f>
        <v/>
      </c>
      <c r="S1347" s="97">
        <f>TRIM(E1347)</f>
        <v/>
      </c>
    </row>
    <row r="1348" hidden="1">
      <c r="A1348" s="22" t="n">
        <v>6</v>
      </c>
      <c r="B1348" t="inlineStr">
        <is>
          <t xml:space="preserve">CDM03 - MORENO 3              </t>
        </is>
      </c>
      <c r="C1348" t="inlineStr">
        <is>
          <t xml:space="preserve">GRUPO L.                      </t>
        </is>
      </c>
      <c r="E1348" t="inlineStr">
        <is>
          <t xml:space="preserve">UNIF000306          </t>
        </is>
      </c>
      <c r="F1348" t="n">
        <v>9003179</v>
      </c>
      <c r="G1348" t="inlineStr">
        <is>
          <t xml:space="preserve">REME VERDE M CR GL SUP LIMP 4XL    </t>
        </is>
      </c>
      <c r="H1348" t="inlineStr">
        <is>
          <t xml:space="preserve">UNIDAD              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1</v>
      </c>
      <c r="P1348" s="96">
        <f>_xlfn.XLOOKUP(Tabla5[[#This Row],[EAN CORREGIDO]],'Tabla Articulos'!B:B,'Tabla Articulos'!D:D)</f>
        <v/>
      </c>
      <c r="Q1348" s="96">
        <f>_xlfn.XLOOKUP(S1348,'Tabla Articulos'!B:B,'Tabla Articulos'!E:E)</f>
        <v/>
      </c>
      <c r="R1348" s="96">
        <f>O1348*Q1348</f>
        <v/>
      </c>
      <c r="S1348" s="97">
        <f>TRIM(E1348)</f>
        <v/>
      </c>
    </row>
    <row r="1349" hidden="1">
      <c r="A1349" s="22" t="n">
        <v>6</v>
      </c>
      <c r="B1349" t="inlineStr">
        <is>
          <t xml:space="preserve">CDM03 - MORENO 3              </t>
        </is>
      </c>
      <c r="C1349" t="inlineStr">
        <is>
          <t xml:space="preserve">GRUPO L.                      </t>
        </is>
      </c>
      <c r="E1349" t="inlineStr">
        <is>
          <t xml:space="preserve">BAZ001291           </t>
        </is>
      </c>
      <c r="F1349" t="n">
        <v>9003797</v>
      </c>
      <c r="G1349" t="inlineStr">
        <is>
          <t xml:space="preserve">FRA.ACEITER 500CC PICO VERT.CIER   </t>
        </is>
      </c>
      <c r="H1349" t="inlineStr">
        <is>
          <t xml:space="preserve">UNIDAD              </t>
        </is>
      </c>
      <c r="I1349" t="n">
        <v>83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83</v>
      </c>
      <c r="P1349" s="96">
        <f>_xlfn.XLOOKUP(Tabla5[[#This Row],[EAN CORREGIDO]],'Tabla Articulos'!B:B,'Tabla Articulos'!D:D)</f>
        <v/>
      </c>
      <c r="Q1349" s="96">
        <f>_xlfn.XLOOKUP(S1349,'Tabla Articulos'!B:B,'Tabla Articulos'!E:E)</f>
        <v/>
      </c>
      <c r="R1349" s="96">
        <f>O1349*Q1349</f>
        <v/>
      </c>
      <c r="S1349" s="97">
        <f>TRIM(E1349)</f>
        <v/>
      </c>
    </row>
    <row r="1350" hidden="1">
      <c r="A1350" s="22" t="n">
        <v>6</v>
      </c>
      <c r="B1350" t="inlineStr">
        <is>
          <t xml:space="preserve">CDM03 - MORENO 3              </t>
        </is>
      </c>
      <c r="C1350" t="inlineStr">
        <is>
          <t xml:space="preserve">GRUPO L.                      </t>
        </is>
      </c>
      <c r="E1350" t="inlineStr">
        <is>
          <t xml:space="preserve">UNIF000148          </t>
        </is>
      </c>
      <c r="F1350" t="n">
        <v>9003565</v>
      </c>
      <c r="G1350" t="inlineStr">
        <is>
          <t xml:space="preserve">CAMI.3/4 BLAN SALUD MUJ 5 C.GOUR   </t>
        </is>
      </c>
      <c r="H1350" t="inlineStr">
        <is>
          <t xml:space="preserve">UNIDAD              </t>
        </is>
      </c>
      <c r="I1350" t="n">
        <v>13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13</v>
      </c>
      <c r="P1350" s="96">
        <f>_xlfn.XLOOKUP(Tabla5[[#This Row],[EAN CORREGIDO]],'Tabla Articulos'!B:B,'Tabla Articulos'!D:D)</f>
        <v/>
      </c>
      <c r="Q1350" s="96">
        <f>_xlfn.XLOOKUP(S1350,'Tabla Articulos'!B:B,'Tabla Articulos'!E:E)</f>
        <v/>
      </c>
      <c r="R1350" s="96">
        <f>O1350*Q1350</f>
        <v/>
      </c>
      <c r="S1350" s="97">
        <f>TRIM(E1350)</f>
        <v/>
      </c>
    </row>
    <row r="1351" hidden="1">
      <c r="A1351" s="22" t="n">
        <v>1</v>
      </c>
      <c r="B1351" t="inlineStr">
        <is>
          <t xml:space="preserve">CD MORENO                     </t>
        </is>
      </c>
      <c r="C1351" t="inlineStr">
        <is>
          <t xml:space="preserve">GRUPO L.                      </t>
        </is>
      </c>
      <c r="D1351" t="inlineStr">
        <is>
          <t>HELADO PALITO AGUA</t>
        </is>
      </c>
      <c r="E1351" t="inlineStr">
        <is>
          <t xml:space="preserve">7798131012438       </t>
        </is>
      </c>
      <c r="F1351" t="n">
        <v>4023462</v>
      </c>
      <c r="G1351" t="inlineStr">
        <is>
          <t xml:space="preserve">PALITO AGUA SURT X64G MONDIAL      </t>
        </is>
      </c>
      <c r="H1351" t="inlineStr">
        <is>
          <t xml:space="preserve">UNIDAD              </t>
        </is>
      </c>
      <c r="I1351" t="n">
        <v>7568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7568</v>
      </c>
      <c r="P1351" s="96">
        <f>_xlfn.XLOOKUP(Tabla5[[#This Row],[EAN CORREGIDO]],'Tabla Articulos'!B:B,'Tabla Articulos'!D:D)</f>
        <v/>
      </c>
      <c r="Q1351" s="96">
        <f>_xlfn.XLOOKUP(S1351,'Tabla Articulos'!B:B,'Tabla Articulos'!E:E)</f>
        <v/>
      </c>
      <c r="R1351" s="96">
        <f>O1351*Q1351</f>
        <v/>
      </c>
      <c r="S1351" s="97">
        <f>TRIM(E1351)</f>
        <v/>
      </c>
    </row>
    <row r="1352" hidden="1">
      <c r="A1352" s="22" t="n">
        <v>6</v>
      </c>
      <c r="B1352" t="inlineStr">
        <is>
          <t xml:space="preserve">CDM03 - MORENO 3              </t>
        </is>
      </c>
      <c r="C1352" t="inlineStr">
        <is>
          <t xml:space="preserve">GRUPO L.                      </t>
        </is>
      </c>
      <c r="D1352" s="11" t="n"/>
      <c r="E1352" t="inlineStr">
        <is>
          <t xml:space="preserve">BAZ001266           </t>
        </is>
      </c>
      <c r="F1352" t="n">
        <v>9003736</v>
      </c>
      <c r="G1352" t="inlineStr">
        <is>
          <t xml:space="preserve">VASO OCTOGONAL POLICAR SAN 300CC   </t>
        </is>
      </c>
      <c r="H1352" t="inlineStr">
        <is>
          <t xml:space="preserve">UNIDAD              </t>
        </is>
      </c>
      <c r="I1352" t="n">
        <v>1844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1844</v>
      </c>
      <c r="P1352" s="96">
        <f>_xlfn.XLOOKUP(Tabla5[[#This Row],[EAN CORREGIDO]],'Tabla Articulos'!B:B,'Tabla Articulos'!D:D)</f>
        <v/>
      </c>
      <c r="Q1352" s="96">
        <f>_xlfn.XLOOKUP(S1352,'Tabla Articulos'!B:B,'Tabla Articulos'!E:E)</f>
        <v/>
      </c>
      <c r="R1352" s="96">
        <f>O1352*Q1352</f>
        <v/>
      </c>
      <c r="S1352" s="97">
        <f>TRIM(E1352)</f>
        <v/>
      </c>
    </row>
    <row r="1353" hidden="1">
      <c r="A1353" s="22" t="n">
        <v>6</v>
      </c>
      <c r="B1353" t="inlineStr">
        <is>
          <t xml:space="preserve">CDM03 - MORENO 3              </t>
        </is>
      </c>
      <c r="C1353" t="inlineStr">
        <is>
          <t xml:space="preserve">GRUPO L.                      </t>
        </is>
      </c>
      <c r="E1353" t="inlineStr">
        <is>
          <t xml:space="preserve">UNIF000127          </t>
        </is>
      </c>
      <c r="F1353" t="n">
        <v>9003063</v>
      </c>
      <c r="G1353" t="inlineStr">
        <is>
          <t xml:space="preserve">AMBO GRIS GL SUPPORT ESC V S       </t>
        </is>
      </c>
      <c r="H1353" t="inlineStr">
        <is>
          <t xml:space="preserve">UNIDAD              </t>
        </is>
      </c>
      <c r="I1353" t="n">
        <v>10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10</v>
      </c>
      <c r="P1353" s="96">
        <f>_xlfn.XLOOKUP(Tabla5[[#This Row],[EAN CORREGIDO]],'Tabla Articulos'!B:B,'Tabla Articulos'!D:D)</f>
        <v/>
      </c>
      <c r="Q1353" s="96">
        <f>_xlfn.XLOOKUP(S1353,'Tabla Articulos'!B:B,'Tabla Articulos'!E:E)</f>
        <v/>
      </c>
      <c r="R1353" s="96">
        <f>O1353*Q1353</f>
        <v/>
      </c>
      <c r="S1353" s="97">
        <f>TRIM(E1353)</f>
        <v/>
      </c>
    </row>
    <row r="1354" hidden="1">
      <c r="A1354" s="22" t="n">
        <v>6</v>
      </c>
      <c r="B1354" t="inlineStr">
        <is>
          <t xml:space="preserve">CDM03 - MORENO 3              </t>
        </is>
      </c>
      <c r="C1354" t="inlineStr">
        <is>
          <t xml:space="preserve">GRUPO L.                      </t>
        </is>
      </c>
      <c r="E1354" t="inlineStr">
        <is>
          <t xml:space="preserve">UNIF000195          </t>
        </is>
      </c>
      <c r="F1354" t="n">
        <v>9003435</v>
      </c>
      <c r="G1354" t="inlineStr">
        <is>
          <t xml:space="preserve">PANTA. CARGO NEGRO 44 GL SUPPORT   </t>
        </is>
      </c>
      <c r="H1354" t="inlineStr">
        <is>
          <t xml:space="preserve">UNIDAD              </t>
        </is>
      </c>
      <c r="I1354" t="n">
        <v>69</v>
      </c>
      <c r="J1354" t="n">
        <v>0</v>
      </c>
      <c r="K1354" t="n">
        <v>0</v>
      </c>
      <c r="L1354" t="n">
        <v>2</v>
      </c>
      <c r="M1354" t="n">
        <v>2</v>
      </c>
      <c r="N1354" t="n">
        <v>0</v>
      </c>
      <c r="O1354" t="n">
        <v>65</v>
      </c>
      <c r="P1354" s="96">
        <f>_xlfn.XLOOKUP(Tabla5[[#This Row],[EAN CORREGIDO]],'Tabla Articulos'!B:B,'Tabla Articulos'!D:D)</f>
        <v/>
      </c>
      <c r="Q1354" s="96">
        <f>_xlfn.XLOOKUP(S1354,'Tabla Articulos'!B:B,'Tabla Articulos'!E:E)</f>
        <v/>
      </c>
      <c r="R1354" s="96">
        <f>O1354*Q1354</f>
        <v/>
      </c>
      <c r="S1354" s="97">
        <f>TRIM(E1354)</f>
        <v/>
      </c>
    </row>
    <row r="1355" hidden="1">
      <c r="A1355" s="22" t="n">
        <v>1</v>
      </c>
      <c r="B1355" t="inlineStr">
        <is>
          <t xml:space="preserve">CD MORENO                     </t>
        </is>
      </c>
      <c r="C1355" t="inlineStr">
        <is>
          <t xml:space="preserve">GRUPO L.                      </t>
        </is>
      </c>
      <c r="D1355" s="11" t="inlineStr">
        <is>
          <t>MERMELADA FRUTILLA VIDRIO</t>
        </is>
      </c>
      <c r="E1355" t="inlineStr">
        <is>
          <t xml:space="preserve">7791113000911       </t>
        </is>
      </c>
      <c r="F1355" s="11" t="n">
        <v>4019794</v>
      </c>
      <c r="G1355" t="inlineStr">
        <is>
          <t xml:space="preserve">MERM FRUTILLA X454GR EMETH VIDRIO  </t>
        </is>
      </c>
      <c r="H1355" t="inlineStr">
        <is>
          <t xml:space="preserve">UNIDAD              </t>
        </is>
      </c>
      <c r="I1355" t="n">
        <v>509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509</v>
      </c>
      <c r="P1355" s="96">
        <f>_xlfn.XLOOKUP(Tabla5[[#This Row],[EAN CORREGIDO]],'Tabla Articulos'!B:B,'Tabla Articulos'!D:D)</f>
        <v/>
      </c>
      <c r="Q1355" s="96">
        <f>_xlfn.XLOOKUP(S1355,'Tabla Articulos'!B:B,'Tabla Articulos'!E:E)</f>
        <v/>
      </c>
      <c r="R1355" s="96">
        <f>O1355*Q1355</f>
        <v/>
      </c>
      <c r="S1355" s="97">
        <f>TRIM(E1355)</f>
        <v/>
      </c>
    </row>
    <row r="1356" hidden="1">
      <c r="A1356" s="22" t="n">
        <v>1</v>
      </c>
      <c r="B1356" t="inlineStr">
        <is>
          <t xml:space="preserve">CD MORENO                     </t>
        </is>
      </c>
      <c r="C1356" t="inlineStr">
        <is>
          <t xml:space="preserve">GRUPO L.                      </t>
        </is>
      </c>
      <c r="D1356" t="inlineStr">
        <is>
          <t>VINAGRE ALCOHOL</t>
        </is>
      </c>
      <c r="E1356" t="inlineStr">
        <is>
          <t xml:space="preserve">7792378000814       </t>
        </is>
      </c>
      <c r="F1356" t="n">
        <v>4021281</v>
      </c>
      <c r="G1356" t="inlineStr">
        <is>
          <t xml:space="preserve">VINAGRE ALCOHOL X1L COMENSAL       </t>
        </is>
      </c>
      <c r="H1356" t="inlineStr">
        <is>
          <t xml:space="preserve">UNIDAD              </t>
        </is>
      </c>
      <c r="I1356" t="n">
        <v>1005</v>
      </c>
      <c r="J1356" t="n">
        <v>0</v>
      </c>
      <c r="K1356" t="n">
        <v>0</v>
      </c>
      <c r="L1356" t="n">
        <v>77</v>
      </c>
      <c r="M1356" t="n">
        <v>77</v>
      </c>
      <c r="N1356" t="n">
        <v>0</v>
      </c>
      <c r="O1356" t="n">
        <v>851</v>
      </c>
      <c r="P1356" s="96">
        <f>_xlfn.XLOOKUP(Tabla5[[#This Row],[EAN CORREGIDO]],'Tabla Articulos'!B:B,'Tabla Articulos'!D:D)</f>
        <v/>
      </c>
      <c r="Q1356" s="96">
        <f>_xlfn.XLOOKUP(S1356,'Tabla Articulos'!B:B,'Tabla Articulos'!E:E)</f>
        <v/>
      </c>
      <c r="R1356" s="96">
        <f>O1356*Q1356</f>
        <v/>
      </c>
      <c r="S1356" s="97">
        <f>TRIM(E1356)</f>
        <v/>
      </c>
    </row>
    <row r="1357" hidden="1">
      <c r="A1357" s="22" t="n">
        <v>5</v>
      </c>
      <c r="B1357" t="inlineStr">
        <is>
          <t xml:space="preserve">CDM02 - MORENO 2              </t>
        </is>
      </c>
      <c r="C1357" t="inlineStr">
        <is>
          <t xml:space="preserve">GRUPO L.                      </t>
        </is>
      </c>
      <c r="D1357" t="inlineStr">
        <is>
          <t>VINAGRE ALCOHOL</t>
        </is>
      </c>
      <c r="E1357" t="inlineStr">
        <is>
          <t xml:space="preserve">7792378000814       </t>
        </is>
      </c>
      <c r="F1357" t="n">
        <v>4021281</v>
      </c>
      <c r="G1357" t="inlineStr">
        <is>
          <t xml:space="preserve">VINAGRE ALCOHOL X1L COMENSAL       </t>
        </is>
      </c>
      <c r="H1357" t="inlineStr">
        <is>
          <t xml:space="preserve">UNIDAD              </t>
        </is>
      </c>
      <c r="I1357" t="n">
        <v>31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31</v>
      </c>
      <c r="P1357" s="96">
        <f>_xlfn.XLOOKUP(Tabla5[[#This Row],[EAN CORREGIDO]],'Tabla Articulos'!B:B,'Tabla Articulos'!D:D)</f>
        <v/>
      </c>
      <c r="Q1357" s="96">
        <f>_xlfn.XLOOKUP(S1357,'Tabla Articulos'!B:B,'Tabla Articulos'!E:E)</f>
        <v/>
      </c>
      <c r="R1357" s="96">
        <f>O1357*Q1357</f>
        <v/>
      </c>
      <c r="S1357" s="97">
        <f>TRIM(E1357)</f>
        <v/>
      </c>
    </row>
    <row r="1358" hidden="1">
      <c r="A1358" s="22" t="n">
        <v>6</v>
      </c>
      <c r="B1358" t="inlineStr">
        <is>
          <t xml:space="preserve">CDM03 - MORENO 3              </t>
        </is>
      </c>
      <c r="C1358" t="inlineStr">
        <is>
          <t xml:space="preserve">GRUPO L.                      </t>
        </is>
      </c>
      <c r="E1358" t="inlineStr">
        <is>
          <t xml:space="preserve">UNIF000208          </t>
        </is>
      </c>
      <c r="F1358" t="n">
        <v>9003476</v>
      </c>
      <c r="G1358" t="inlineStr">
        <is>
          <t xml:space="preserve">PANTAL CARG NEGRO AZ. 48 GL SUP    </t>
        </is>
      </c>
      <c r="H1358" t="inlineStr">
        <is>
          <t xml:space="preserve">UNIDAD              </t>
        </is>
      </c>
      <c r="I1358" t="n">
        <v>21</v>
      </c>
      <c r="J1358" t="n">
        <v>0</v>
      </c>
      <c r="K1358" t="n">
        <v>0</v>
      </c>
      <c r="L1358" t="n">
        <v>1</v>
      </c>
      <c r="M1358" t="n">
        <v>1</v>
      </c>
      <c r="N1358" t="n">
        <v>0</v>
      </c>
      <c r="O1358" t="n">
        <v>19</v>
      </c>
      <c r="P1358" s="96">
        <f>_xlfn.XLOOKUP(Tabla5[[#This Row],[EAN CORREGIDO]],'Tabla Articulos'!B:B,'Tabla Articulos'!D:D)</f>
        <v/>
      </c>
      <c r="Q1358" s="96">
        <f>_xlfn.XLOOKUP(S1358,'Tabla Articulos'!B:B,'Tabla Articulos'!E:E)</f>
        <v/>
      </c>
      <c r="R1358" s="96">
        <f>O1358*Q1358</f>
        <v/>
      </c>
      <c r="S1358" s="97">
        <f>TRIM(E1358)</f>
        <v/>
      </c>
    </row>
    <row r="1359" hidden="1">
      <c r="A1359" s="22" t="n">
        <v>6</v>
      </c>
      <c r="B1359" t="inlineStr">
        <is>
          <t xml:space="preserve">CDM03 - MORENO 3              </t>
        </is>
      </c>
      <c r="C1359" t="inlineStr">
        <is>
          <t xml:space="preserve">GRUPO L.                      </t>
        </is>
      </c>
      <c r="D1359" s="11" t="inlineStr">
        <is>
          <t>CUCHARAS</t>
        </is>
      </c>
      <c r="E1359" t="inlineStr">
        <is>
          <t xml:space="preserve">7790321020186       </t>
        </is>
      </c>
      <c r="F1359" t="n">
        <v>2006449</v>
      </c>
      <c r="G1359" t="inlineStr">
        <is>
          <t xml:space="preserve">CUCHARA SOP DESC X  1000 U         </t>
        </is>
      </c>
      <c r="H1359" t="inlineStr">
        <is>
          <t xml:space="preserve">UNIDAD              </t>
        </is>
      </c>
      <c r="I1359" t="n">
        <v>10</v>
      </c>
      <c r="J1359" t="n">
        <v>0</v>
      </c>
      <c r="K1359" t="n">
        <v>0</v>
      </c>
      <c r="L1359" t="n">
        <v>3</v>
      </c>
      <c r="M1359" t="n">
        <v>3</v>
      </c>
      <c r="N1359" t="n">
        <v>0</v>
      </c>
      <c r="O1359" t="n">
        <v>4</v>
      </c>
      <c r="P1359" s="96">
        <f>_xlfn.XLOOKUP(Tabla5[[#This Row],[EAN CORREGIDO]],'Tabla Articulos'!B:B,'Tabla Articulos'!D:D)</f>
        <v/>
      </c>
      <c r="Q1359" s="96">
        <f>_xlfn.XLOOKUP(S1359,'Tabla Articulos'!B:B,'Tabla Articulos'!E:E)</f>
        <v/>
      </c>
      <c r="R1359" s="96">
        <f>O1359*Q1359</f>
        <v/>
      </c>
      <c r="S1359" s="97">
        <f>TRIM(E1359)</f>
        <v/>
      </c>
    </row>
    <row r="1360" hidden="1">
      <c r="A1360" s="22" t="n">
        <v>6</v>
      </c>
      <c r="B1360" t="inlineStr">
        <is>
          <t xml:space="preserve">CDM03 - MORENO 3              </t>
        </is>
      </c>
      <c r="C1360" t="inlineStr">
        <is>
          <t xml:space="preserve">GRUPO L.                      </t>
        </is>
      </c>
      <c r="E1360" t="inlineStr">
        <is>
          <t xml:space="preserve">UNIF000032          </t>
        </is>
      </c>
      <c r="F1360" t="n">
        <v>9003279</v>
      </c>
      <c r="G1360" t="inlineStr">
        <is>
          <t xml:space="preserve">BUZO AZUL MARINO GRUPO L S         </t>
        </is>
      </c>
      <c r="H1360" t="inlineStr">
        <is>
          <t xml:space="preserve">UNIDAD              </t>
        </is>
      </c>
      <c r="I1360" t="n">
        <v>22</v>
      </c>
      <c r="J1360" t="n">
        <v>150</v>
      </c>
      <c r="K1360" t="n">
        <v>0</v>
      </c>
      <c r="L1360" t="n">
        <v>0</v>
      </c>
      <c r="M1360" t="n">
        <v>0</v>
      </c>
      <c r="N1360" t="n">
        <v>0</v>
      </c>
      <c r="O1360" t="n">
        <v>172</v>
      </c>
      <c r="P1360" s="96">
        <f>_xlfn.XLOOKUP(Tabla5[[#This Row],[EAN CORREGIDO]],'Tabla Articulos'!B:B,'Tabla Articulos'!D:D)</f>
        <v/>
      </c>
      <c r="Q1360" s="96">
        <f>_xlfn.XLOOKUP(S1360,'Tabla Articulos'!B:B,'Tabla Articulos'!E:E)</f>
        <v/>
      </c>
      <c r="R1360" s="96">
        <f>O1360*Q1360</f>
        <v/>
      </c>
      <c r="S1360" s="97">
        <f>TRIM(E1360)</f>
        <v/>
      </c>
    </row>
    <row r="1361" hidden="1">
      <c r="A1361" s="22" t="n">
        <v>6</v>
      </c>
      <c r="B1361" t="inlineStr">
        <is>
          <t xml:space="preserve">CDM03 - MORENO 3              </t>
        </is>
      </c>
      <c r="C1361" t="inlineStr">
        <is>
          <t xml:space="preserve">GRUPO L.                      </t>
        </is>
      </c>
      <c r="E1361" t="inlineStr">
        <is>
          <t xml:space="preserve">UNIF000366          </t>
        </is>
      </c>
      <c r="F1361" t="n">
        <v>9003171</v>
      </c>
      <c r="G1361" t="inlineStr">
        <is>
          <t xml:space="preserve">BANDANA NEGRA NUTRIRE              </t>
        </is>
      </c>
      <c r="H1361" t="inlineStr">
        <is>
          <t xml:space="preserve">UNIDAD              </t>
        </is>
      </c>
      <c r="I1361" t="n">
        <v>109</v>
      </c>
      <c r="J1361" t="n">
        <v>450</v>
      </c>
      <c r="K1361" t="n">
        <v>0</v>
      </c>
      <c r="L1361" t="n">
        <v>3</v>
      </c>
      <c r="M1361" t="n">
        <v>3</v>
      </c>
      <c r="N1361" t="n">
        <v>0</v>
      </c>
      <c r="O1361" t="n">
        <v>553</v>
      </c>
      <c r="P1361" s="96">
        <f>_xlfn.XLOOKUP(Tabla5[[#This Row],[EAN CORREGIDO]],'Tabla Articulos'!B:B,'Tabla Articulos'!D:D)</f>
        <v/>
      </c>
      <c r="Q1361" s="96">
        <f>_xlfn.XLOOKUP(S1361,'Tabla Articulos'!B:B,'Tabla Articulos'!E:E)</f>
        <v/>
      </c>
      <c r="R1361" s="96">
        <f>O1361*Q1361</f>
        <v/>
      </c>
      <c r="S1361" s="97">
        <f>TRIM(E1361)</f>
        <v/>
      </c>
    </row>
    <row r="1362" hidden="1">
      <c r="A1362" s="22" t="n">
        <v>6</v>
      </c>
      <c r="B1362" t="inlineStr">
        <is>
          <t xml:space="preserve">CDM03 - MORENO 3              </t>
        </is>
      </c>
      <c r="C1362" t="inlineStr">
        <is>
          <t xml:space="preserve">GRUPO L.                      </t>
        </is>
      </c>
      <c r="D1362" t="inlineStr">
        <is>
          <t>QUITA SARRO</t>
        </is>
      </c>
      <c r="E1362" t="inlineStr">
        <is>
          <t xml:space="preserve">7798188650690       </t>
        </is>
      </c>
      <c r="F1362" t="n">
        <v>2006335</v>
      </c>
      <c r="G1362" t="inlineStr">
        <is>
          <t xml:space="preserve">QUITASARRO GEL X500CC ATTACK       </t>
        </is>
      </c>
      <c r="H1362" t="inlineStr">
        <is>
          <t xml:space="preserve">UNIDAD              </t>
        </is>
      </c>
      <c r="I1362" t="n">
        <v>62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62</v>
      </c>
      <c r="P1362" s="96">
        <f>_xlfn.XLOOKUP(Tabla5[[#This Row],[EAN CORREGIDO]],'Tabla Articulos'!B:B,'Tabla Articulos'!D:D)</f>
        <v/>
      </c>
      <c r="Q1362" s="96">
        <f>_xlfn.XLOOKUP(S1362,'Tabla Articulos'!B:B,'Tabla Articulos'!E:E)</f>
        <v/>
      </c>
      <c r="R1362" s="96">
        <f>O1362*Q1362</f>
        <v/>
      </c>
      <c r="S1362" s="97">
        <f>TRIM(E1362)</f>
        <v/>
      </c>
    </row>
    <row r="1363" hidden="1">
      <c r="A1363" s="22" t="n">
        <v>1</v>
      </c>
      <c r="B1363" t="inlineStr">
        <is>
          <t xml:space="preserve">CD MORENO                     </t>
        </is>
      </c>
      <c r="C1363" t="inlineStr">
        <is>
          <t xml:space="preserve">GRUPO L.                      </t>
        </is>
      </c>
      <c r="D1363" t="inlineStr">
        <is>
          <t>ARROZ 00000</t>
        </is>
      </c>
      <c r="E1363" t="inlineStr">
        <is>
          <t xml:space="preserve">7797470003718       </t>
        </is>
      </c>
      <c r="F1363" t="n">
        <v>4022301</v>
      </c>
      <c r="G1363" t="inlineStr">
        <is>
          <t xml:space="preserve">ARROZ 00000 S/TACC X1KG MAROLIO    </t>
        </is>
      </c>
      <c r="H1363" t="inlineStr">
        <is>
          <t xml:space="preserve">UNIDAD              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1</v>
      </c>
      <c r="P1363" s="96">
        <f>_xlfn.XLOOKUP(Tabla5[[#This Row],[EAN CORREGIDO]],'Tabla Articulos'!B:B,'Tabla Articulos'!D:D)</f>
        <v/>
      </c>
      <c r="Q1363" s="96">
        <f>_xlfn.XLOOKUP(S1363,'Tabla Articulos'!B:B,'Tabla Articulos'!E:E)</f>
        <v/>
      </c>
      <c r="R1363" s="96">
        <f>O1363*Q1363</f>
        <v/>
      </c>
      <c r="S1363" s="97">
        <f>TRIM(E1363)</f>
        <v/>
      </c>
    </row>
    <row r="1364" hidden="1">
      <c r="A1364" s="22" t="n">
        <v>5</v>
      </c>
      <c r="B1364" t="inlineStr">
        <is>
          <t xml:space="preserve">CDM02 - MORENO 2              </t>
        </is>
      </c>
      <c r="C1364" t="inlineStr">
        <is>
          <t xml:space="preserve">GRUPO L.                      </t>
        </is>
      </c>
      <c r="D1364" t="inlineStr">
        <is>
          <t>TE ENSOB S/TACC</t>
        </is>
      </c>
      <c r="E1364" t="inlineStr">
        <is>
          <t xml:space="preserve">7790150231258       </t>
        </is>
      </c>
      <c r="F1364" t="n">
        <v>4019376</v>
      </c>
      <c r="G1364" t="inlineStr">
        <is>
          <t>TE VIRGIN ISLANDS ENSOB X50U LA VIR</t>
        </is>
      </c>
      <c r="H1364" t="inlineStr">
        <is>
          <t xml:space="preserve">BULTOS              </t>
        </is>
      </c>
      <c r="I1364" t="n">
        <v>50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50</v>
      </c>
      <c r="P1364" s="96">
        <f>_xlfn.XLOOKUP(Tabla5[[#This Row],[EAN CORREGIDO]],'Tabla Articulos'!B:B,'Tabla Articulos'!D:D)</f>
        <v/>
      </c>
      <c r="Q1364" s="96">
        <f>_xlfn.XLOOKUP(S1364,'Tabla Articulos'!B:B,'Tabla Articulos'!E:E)</f>
        <v/>
      </c>
      <c r="R1364" s="96">
        <f>O1364*Q1364</f>
        <v/>
      </c>
      <c r="S1364" s="97">
        <f>TRIM(E1364)</f>
        <v/>
      </c>
    </row>
    <row r="1365" hidden="1">
      <c r="A1365" s="22" t="n">
        <v>5</v>
      </c>
      <c r="B1365" t="inlineStr">
        <is>
          <t xml:space="preserve">CDM02 - MORENO 2              </t>
        </is>
      </c>
      <c r="C1365" t="inlineStr">
        <is>
          <t xml:space="preserve">GRUPO L.                      </t>
        </is>
      </c>
      <c r="D1365" t="inlineStr">
        <is>
          <t>CHOCLO GRANO S/TACC</t>
        </is>
      </c>
      <c r="E1365" t="inlineStr">
        <is>
          <t xml:space="preserve">7790499017629       </t>
        </is>
      </c>
      <c r="F1365" t="n">
        <v>4019870</v>
      </c>
      <c r="G1365" t="inlineStr">
        <is>
          <t>CHOCLO GRANO TETRA X 340 G LA BANDA</t>
        </is>
      </c>
      <c r="H1365" t="inlineStr">
        <is>
          <t xml:space="preserve">UNIDAD              </t>
        </is>
      </c>
      <c r="I1365" t="n">
        <v>10008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10008</v>
      </c>
      <c r="P1365" s="96">
        <f>_xlfn.XLOOKUP(Tabla5[[#This Row],[EAN CORREGIDO]],'Tabla Articulos'!B:B,'Tabla Articulos'!D:D)</f>
        <v/>
      </c>
      <c r="Q1365" s="96">
        <f>_xlfn.XLOOKUP(S1365,'Tabla Articulos'!B:B,'Tabla Articulos'!E:E)</f>
        <v/>
      </c>
      <c r="R1365" s="96">
        <f>O1365*Q1365</f>
        <v/>
      </c>
      <c r="S1365" s="97">
        <f>TRIM(E1365)</f>
        <v/>
      </c>
    </row>
    <row r="1366" hidden="1">
      <c r="A1366" s="22" t="n">
        <v>1</v>
      </c>
      <c r="B1366" t="inlineStr">
        <is>
          <t xml:space="preserve">CD MORENO                     </t>
        </is>
      </c>
      <c r="C1366" t="inlineStr">
        <is>
          <t xml:space="preserve">GRUPO L.                      </t>
        </is>
      </c>
      <c r="D1366" s="11" t="inlineStr">
        <is>
          <t>CHOCLO GRANO S/TACC</t>
        </is>
      </c>
      <c r="E1366" t="inlineStr">
        <is>
          <t xml:space="preserve">7790499017629       </t>
        </is>
      </c>
      <c r="F1366" t="n">
        <v>4019870</v>
      </c>
      <c r="G1366" t="inlineStr">
        <is>
          <t>CHOCLO GRANO TETRA X 340 G LA BANDA</t>
        </is>
      </c>
      <c r="H1366" t="inlineStr">
        <is>
          <t xml:space="preserve">UNIDAD              </t>
        </is>
      </c>
      <c r="I1366" t="n">
        <v>17</v>
      </c>
      <c r="J1366" t="n">
        <v>0</v>
      </c>
      <c r="K1366" t="n">
        <v>0</v>
      </c>
      <c r="L1366" t="n">
        <v>4</v>
      </c>
      <c r="M1366" t="n">
        <v>4</v>
      </c>
      <c r="N1366" t="n">
        <v>0</v>
      </c>
      <c r="O1366" t="n">
        <v>9</v>
      </c>
      <c r="P1366" s="96">
        <f>_xlfn.XLOOKUP(Tabla5[[#This Row],[EAN CORREGIDO]],'Tabla Articulos'!B:B,'Tabla Articulos'!D:D)</f>
        <v/>
      </c>
      <c r="Q1366" s="96">
        <f>_xlfn.XLOOKUP(S1366,'Tabla Articulos'!B:B,'Tabla Articulos'!E:E)</f>
        <v/>
      </c>
      <c r="R1366" s="96">
        <f>O1366*Q1366</f>
        <v/>
      </c>
      <c r="S1366" s="97">
        <f>TRIM(E1366)</f>
        <v/>
      </c>
    </row>
    <row r="1367" hidden="1">
      <c r="A1367" s="22" t="n">
        <v>5</v>
      </c>
      <c r="B1367" t="inlineStr">
        <is>
          <t xml:space="preserve">CDM02 - MORENO 2              </t>
        </is>
      </c>
      <c r="C1367" t="inlineStr">
        <is>
          <t xml:space="preserve">GRUPO L.                      </t>
        </is>
      </c>
      <c r="D1367" t="inlineStr">
        <is>
          <t>NARANJA SAE</t>
        </is>
      </c>
      <c r="E1367" t="inlineStr">
        <is>
          <t xml:space="preserve">7790216020115       </t>
        </is>
      </c>
      <c r="F1367" t="n">
        <v>4018081</v>
      </c>
      <c r="G1367" t="inlineStr">
        <is>
          <t xml:space="preserve">FRUTA NARANJA SAE 100-130 XU       </t>
        </is>
      </c>
      <c r="H1367" t="inlineStr">
        <is>
          <t xml:space="preserve">UNIDAD              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1</v>
      </c>
      <c r="P1367" s="96">
        <f>_xlfn.XLOOKUP(Tabla5[[#This Row],[EAN CORREGIDO]],'Tabla Articulos'!B:B,'Tabla Articulos'!D:D)</f>
        <v/>
      </c>
      <c r="Q1367" s="96">
        <f>_xlfn.XLOOKUP(S1367,'Tabla Articulos'!B:B,'Tabla Articulos'!E:E)</f>
        <v/>
      </c>
      <c r="R1367" s="96">
        <f>O1367*Q1367</f>
        <v/>
      </c>
      <c r="S1367" s="97">
        <f>TRIM(E1367)</f>
        <v/>
      </c>
    </row>
    <row r="1368" hidden="1">
      <c r="A1368" s="22" t="n">
        <v>1</v>
      </c>
      <c r="B1368" t="inlineStr">
        <is>
          <t xml:space="preserve">CD MORENO                     </t>
        </is>
      </c>
      <c r="C1368" t="inlineStr">
        <is>
          <t xml:space="preserve">GRUPO L.                      </t>
        </is>
      </c>
      <c r="D1368" t="inlineStr">
        <is>
          <t>PURE PAPA INSTANTANEO</t>
        </is>
      </c>
      <c r="E1368" t="inlineStr">
        <is>
          <t xml:space="preserve">7792180140586       </t>
        </is>
      </c>
      <c r="F1368" t="n">
        <v>4019832</v>
      </c>
      <c r="G1368" t="inlineStr">
        <is>
          <t xml:space="preserve">PURE PAPA INST X125G MAMA COCINA	  </t>
        </is>
      </c>
      <c r="H1368" t="inlineStr">
        <is>
          <t xml:space="preserve">UNIDAD              </t>
        </is>
      </c>
      <c r="I1368" t="n">
        <v>55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55</v>
      </c>
      <c r="P1368" s="96">
        <f>_xlfn.XLOOKUP(Tabla5[[#This Row],[EAN CORREGIDO]],'Tabla Articulos'!B:B,'Tabla Articulos'!D:D)</f>
        <v/>
      </c>
      <c r="Q1368" s="96">
        <f>_xlfn.XLOOKUP(S1368,'Tabla Articulos'!B:B,'Tabla Articulos'!E:E)</f>
        <v/>
      </c>
      <c r="R1368" s="96">
        <f>O1368*Q1368</f>
        <v/>
      </c>
      <c r="S1368" s="97">
        <f>TRIM(E1368)</f>
        <v/>
      </c>
    </row>
    <row r="1369" hidden="1">
      <c r="A1369" s="22" t="n">
        <v>5</v>
      </c>
      <c r="B1369" t="inlineStr">
        <is>
          <t xml:space="preserve">CDM02 - MORENO 2              </t>
        </is>
      </c>
      <c r="C1369" t="inlineStr">
        <is>
          <t xml:space="preserve">GRUPO L.                      </t>
        </is>
      </c>
      <c r="D1369" t="inlineStr">
        <is>
          <t>ARROZ 00000</t>
        </is>
      </c>
      <c r="E1369" t="inlineStr">
        <is>
          <t xml:space="preserve">7797470003701       </t>
        </is>
      </c>
      <c r="F1369" t="n">
        <v>4077023</v>
      </c>
      <c r="G1369" t="inlineStr">
        <is>
          <t xml:space="preserve">ARROZ 00000 S/TACC X500G MAROLIO   </t>
        </is>
      </c>
      <c r="H1369" t="inlineStr">
        <is>
          <t xml:space="preserve">UNIDAD              </t>
        </is>
      </c>
      <c r="I1369" t="n">
        <v>149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149</v>
      </c>
      <c r="P1369" s="96">
        <f>_xlfn.XLOOKUP(Tabla5[[#This Row],[EAN CORREGIDO]],'Tabla Articulos'!B:B,'Tabla Articulos'!D:D)</f>
        <v/>
      </c>
      <c r="Q1369" s="96">
        <f>_xlfn.XLOOKUP(S1369,'Tabla Articulos'!B:B,'Tabla Articulos'!E:E)</f>
        <v/>
      </c>
      <c r="R1369" s="96">
        <f>O1369*Q1369</f>
        <v/>
      </c>
      <c r="S1369" s="97">
        <f>TRIM(E1369)</f>
        <v/>
      </c>
    </row>
    <row r="1370" hidden="1">
      <c r="A1370" s="22" t="n">
        <v>6</v>
      </c>
      <c r="B1370" t="inlineStr">
        <is>
          <t xml:space="preserve">CDM03 - MORENO 3              </t>
        </is>
      </c>
      <c r="C1370" t="inlineStr">
        <is>
          <t xml:space="preserve">GRUPO L.                      </t>
        </is>
      </c>
      <c r="D1370" s="11" t="n"/>
      <c r="E1370" t="inlineStr">
        <is>
          <t xml:space="preserve">UNIF000315          </t>
        </is>
      </c>
      <c r="F1370" t="n">
        <v>9003189</v>
      </c>
      <c r="G1370" t="inlineStr">
        <is>
          <t xml:space="preserve">REM CUELLO RED A. MAR. ELEVA. S    </t>
        </is>
      </c>
      <c r="H1370" t="inlineStr">
        <is>
          <t xml:space="preserve">UNIDAD              </t>
        </is>
      </c>
      <c r="I1370" t="n">
        <v>57</v>
      </c>
      <c r="J1370" t="n">
        <v>0</v>
      </c>
      <c r="K1370" t="n">
        <v>0</v>
      </c>
      <c r="L1370" t="n">
        <v>4</v>
      </c>
      <c r="M1370" t="n">
        <v>4</v>
      </c>
      <c r="N1370" t="n">
        <v>0</v>
      </c>
      <c r="O1370" t="n">
        <v>49</v>
      </c>
      <c r="P1370" s="96">
        <f>_xlfn.XLOOKUP(Tabla5[[#This Row],[EAN CORREGIDO]],'Tabla Articulos'!B:B,'Tabla Articulos'!D:D)</f>
        <v/>
      </c>
      <c r="Q1370" s="96">
        <f>_xlfn.XLOOKUP(S1370,'Tabla Articulos'!B:B,'Tabla Articulos'!E:E)</f>
        <v/>
      </c>
      <c r="R1370" s="96">
        <f>O1370*Q1370</f>
        <v/>
      </c>
      <c r="S1370" s="97">
        <f>TRIM(E1370)</f>
        <v/>
      </c>
    </row>
    <row r="1371" hidden="1">
      <c r="A1371" s="22" t="n">
        <v>6</v>
      </c>
      <c r="B1371" t="inlineStr">
        <is>
          <t xml:space="preserve">CDM03 - MORENO 3              </t>
        </is>
      </c>
      <c r="C1371" t="inlineStr">
        <is>
          <t xml:space="preserve">GRUPO L.                      </t>
        </is>
      </c>
      <c r="E1371" t="inlineStr">
        <is>
          <t xml:space="preserve">UNIF000472          </t>
        </is>
      </c>
      <c r="F1371" t="n">
        <v>9003244</v>
      </c>
      <c r="G1371" t="inlineStr">
        <is>
          <t xml:space="preserve">PANTAL. GRAFA S. LOGO A. MAR 42    </t>
        </is>
      </c>
      <c r="H1371" t="inlineStr">
        <is>
          <t xml:space="preserve">UNIDAD              </t>
        </is>
      </c>
      <c r="I1371" t="n">
        <v>28</v>
      </c>
      <c r="J1371" t="n">
        <v>0</v>
      </c>
      <c r="K1371" t="n">
        <v>0</v>
      </c>
      <c r="L1371" t="n">
        <v>2</v>
      </c>
      <c r="M1371" t="n">
        <v>2</v>
      </c>
      <c r="N1371" t="n">
        <v>0</v>
      </c>
      <c r="O1371" t="n">
        <v>24</v>
      </c>
      <c r="P1371" s="96">
        <f>_xlfn.XLOOKUP(Tabla5[[#This Row],[EAN CORREGIDO]],'Tabla Articulos'!B:B,'Tabla Articulos'!D:D)</f>
        <v/>
      </c>
      <c r="Q1371" s="96">
        <f>_xlfn.XLOOKUP(S1371,'Tabla Articulos'!B:B,'Tabla Articulos'!E:E)</f>
        <v/>
      </c>
      <c r="R1371" s="96">
        <f>O1371*Q1371</f>
        <v/>
      </c>
      <c r="S1371" s="97">
        <f>TRIM(E1371)</f>
        <v/>
      </c>
    </row>
    <row r="1372" hidden="1">
      <c r="A1372" s="22" t="n">
        <v>5</v>
      </c>
      <c r="B1372" t="inlineStr">
        <is>
          <t xml:space="preserve">CDM02 - MORENO 2              </t>
        </is>
      </c>
      <c r="C1372" t="inlineStr">
        <is>
          <t xml:space="preserve">GRUPO L.                      </t>
        </is>
      </c>
      <c r="D1372" t="inlineStr">
        <is>
          <t>LECHE POLVO ENTERA</t>
        </is>
      </c>
      <c r="E1372" t="inlineStr">
        <is>
          <t xml:space="preserve">7798113473127       </t>
        </is>
      </c>
      <c r="F1372" t="n">
        <v>4021624</v>
      </c>
      <c r="G1372" t="inlineStr">
        <is>
          <t xml:space="preserve">LECHE POLVO 250G XUN FRESKA LECHE  </t>
        </is>
      </c>
      <c r="H1372" t="inlineStr">
        <is>
          <t xml:space="preserve">UNIDAD              </t>
        </is>
      </c>
      <c r="I1372" t="n">
        <v>574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574</v>
      </c>
      <c r="P1372" s="96">
        <f>_xlfn.XLOOKUP(Tabla5[[#This Row],[EAN CORREGIDO]],'Tabla Articulos'!B:B,'Tabla Articulos'!D:D)</f>
        <v/>
      </c>
      <c r="Q1372" s="96">
        <f>_xlfn.XLOOKUP(S1372,'Tabla Articulos'!B:B,'Tabla Articulos'!E:E)</f>
        <v/>
      </c>
      <c r="R1372" s="96">
        <f>O1372*Q1372</f>
        <v/>
      </c>
      <c r="S1372" s="97">
        <f>TRIM(E1372)</f>
        <v/>
      </c>
    </row>
    <row r="1373" hidden="1">
      <c r="A1373" s="22" t="n">
        <v>1</v>
      </c>
      <c r="B1373" t="inlineStr">
        <is>
          <t xml:space="preserve">CD MORENO                     </t>
        </is>
      </c>
      <c r="C1373" t="inlineStr">
        <is>
          <t xml:space="preserve">GRUPO L.                      </t>
        </is>
      </c>
      <c r="D1373" t="inlineStr">
        <is>
          <t>PRE PIZZAS</t>
        </is>
      </c>
      <c r="E1373" t="inlineStr">
        <is>
          <t xml:space="preserve">7790213010076       </t>
        </is>
      </c>
      <c r="F1373" t="n">
        <v>4018515</v>
      </c>
      <c r="G1373" t="inlineStr">
        <is>
          <t xml:space="preserve">PRE-PIZZA X U                      </t>
        </is>
      </c>
      <c r="H1373" t="inlineStr">
        <is>
          <t xml:space="preserve">UNIDAD              </t>
        </is>
      </c>
      <c r="I1373" t="n">
        <v>425</v>
      </c>
      <c r="J1373" t="n">
        <v>0</v>
      </c>
      <c r="K1373" t="n">
        <v>0</v>
      </c>
      <c r="L1373" t="n">
        <v>30</v>
      </c>
      <c r="M1373" t="n">
        <v>227</v>
      </c>
      <c r="N1373" t="n">
        <v>0</v>
      </c>
      <c r="O1373" t="n">
        <v>168</v>
      </c>
      <c r="P1373" s="96">
        <f>_xlfn.XLOOKUP(Tabla5[[#This Row],[EAN CORREGIDO]],'Tabla Articulos'!B:B,'Tabla Articulos'!D:D)</f>
        <v/>
      </c>
      <c r="Q1373" s="96">
        <f>_xlfn.XLOOKUP(S1373,'Tabla Articulos'!B:B,'Tabla Articulos'!E:E)</f>
        <v/>
      </c>
      <c r="R1373" s="96">
        <f>O1373*Q1373</f>
        <v/>
      </c>
      <c r="S1373" s="97">
        <f>TRIM(E1373)</f>
        <v/>
      </c>
    </row>
    <row r="1374" hidden="1">
      <c r="A1374" s="22" t="n">
        <v>6</v>
      </c>
      <c r="B1374" t="inlineStr">
        <is>
          <t xml:space="preserve">CDM03 - MORENO 3              </t>
        </is>
      </c>
      <c r="C1374" t="inlineStr">
        <is>
          <t xml:space="preserve">GRUPO L.                      </t>
        </is>
      </c>
      <c r="D1374" t="inlineStr">
        <is>
          <t>CERA INCOLORA</t>
        </is>
      </c>
      <c r="E1374" t="inlineStr">
        <is>
          <t xml:space="preserve">7798188650430       </t>
        </is>
      </c>
      <c r="F1374" t="n">
        <v>2011404</v>
      </c>
      <c r="G1374" t="inlineStr">
        <is>
          <t xml:space="preserve">CERA INCOLORA X5L WAX              </t>
        </is>
      </c>
      <c r="H1374" t="inlineStr">
        <is>
          <t xml:space="preserve">UNIDAD              </t>
        </is>
      </c>
      <c r="I1374" t="n">
        <v>233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233</v>
      </c>
      <c r="P1374" s="96">
        <f>_xlfn.XLOOKUP(Tabla5[[#This Row],[EAN CORREGIDO]],'Tabla Articulos'!B:B,'Tabla Articulos'!D:D)</f>
        <v/>
      </c>
      <c r="Q1374" s="96">
        <f>_xlfn.XLOOKUP(S1374,'Tabla Articulos'!B:B,'Tabla Articulos'!E:E)</f>
        <v/>
      </c>
      <c r="R1374" s="96">
        <f>O1374*Q1374</f>
        <v/>
      </c>
      <c r="S1374" s="97">
        <f>TRIM(E1374)</f>
        <v/>
      </c>
    </row>
    <row r="1375" hidden="1">
      <c r="A1375" s="22" t="n">
        <v>6</v>
      </c>
      <c r="B1375" t="inlineStr">
        <is>
          <t xml:space="preserve">CDM03 - MORENO 3              </t>
        </is>
      </c>
      <c r="C1375" t="inlineStr">
        <is>
          <t xml:space="preserve">GRUPO L.                      </t>
        </is>
      </c>
      <c r="D1375" s="11" t="n"/>
      <c r="E1375" t="inlineStr">
        <is>
          <t xml:space="preserve">UNIF000597          </t>
        </is>
      </c>
      <c r="F1375" t="n">
        <v>9003135</v>
      </c>
      <c r="G1375" t="inlineStr">
        <is>
          <t xml:space="preserve">CHAQUETA CUELLO MAO T5 C GOURM     </t>
        </is>
      </c>
      <c r="H1375" t="inlineStr">
        <is>
          <t xml:space="preserve">UNIDAD              </t>
        </is>
      </c>
      <c r="I1375" t="n">
        <v>497</v>
      </c>
      <c r="J1375" t="n">
        <v>0</v>
      </c>
      <c r="K1375" t="n">
        <v>0</v>
      </c>
      <c r="L1375" t="n">
        <v>5</v>
      </c>
      <c r="M1375" t="n">
        <v>5</v>
      </c>
      <c r="N1375" t="n">
        <v>0</v>
      </c>
      <c r="O1375" t="n">
        <v>487</v>
      </c>
      <c r="P1375" s="96">
        <f>_xlfn.XLOOKUP(Tabla5[[#This Row],[EAN CORREGIDO]],'Tabla Articulos'!B:B,'Tabla Articulos'!D:D)</f>
        <v/>
      </c>
      <c r="Q1375" s="96">
        <f>_xlfn.XLOOKUP(S1375,'Tabla Articulos'!B:B,'Tabla Articulos'!E:E)</f>
        <v/>
      </c>
      <c r="R1375" s="96">
        <f>O1375*Q1375</f>
        <v/>
      </c>
      <c r="S1375" s="97">
        <f>TRIM(E1375)</f>
        <v/>
      </c>
    </row>
    <row r="1376" hidden="1">
      <c r="A1376" s="22" t="n">
        <v>1</v>
      </c>
      <c r="B1376" t="inlineStr">
        <is>
          <t xml:space="preserve">CD MORENO                     </t>
        </is>
      </c>
      <c r="C1376" t="inlineStr">
        <is>
          <t xml:space="preserve">GRUPO L.                      </t>
        </is>
      </c>
      <c r="D1376" t="inlineStr">
        <is>
          <t>VINAGRE VINO</t>
        </is>
      </c>
      <c r="E1376" t="inlineStr">
        <is>
          <t xml:space="preserve">7792378000838       </t>
        </is>
      </c>
      <c r="F1376" t="n">
        <v>4049031</v>
      </c>
      <c r="G1376" t="inlineStr">
        <is>
          <t xml:space="preserve">VINAGRE VINO 1LT COMENSAL          </t>
        </is>
      </c>
      <c r="H1376" t="inlineStr">
        <is>
          <t xml:space="preserve">UNIDAD              </t>
        </is>
      </c>
      <c r="I1376" t="n">
        <v>42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42</v>
      </c>
      <c r="P1376" s="96">
        <f>_xlfn.XLOOKUP(Tabla5[[#This Row],[EAN CORREGIDO]],'Tabla Articulos'!B:B,'Tabla Articulos'!D:D)</f>
        <v/>
      </c>
      <c r="Q1376" s="96">
        <f>_xlfn.XLOOKUP(S1376,'Tabla Articulos'!B:B,'Tabla Articulos'!E:E)</f>
        <v/>
      </c>
      <c r="R1376" s="96">
        <f>O1376*Q1376</f>
        <v/>
      </c>
      <c r="S1376" s="97">
        <f>TRIM(E1376)</f>
        <v/>
      </c>
    </row>
    <row r="1377" hidden="1">
      <c r="A1377" s="22" t="n">
        <v>1</v>
      </c>
      <c r="B1377" t="inlineStr">
        <is>
          <t xml:space="preserve">CD MORENO                     </t>
        </is>
      </c>
      <c r="C1377" t="inlineStr">
        <is>
          <t xml:space="preserve">GRUPO L.                      </t>
        </is>
      </c>
      <c r="D1377" t="inlineStr">
        <is>
          <t>MEDALLONES DE POLLO</t>
        </is>
      </c>
      <c r="E1377" t="inlineStr">
        <is>
          <t xml:space="preserve">7794058001265       </t>
        </is>
      </c>
      <c r="F1377" t="n">
        <v>4077656</v>
      </c>
      <c r="G1377" t="inlineStr">
        <is>
          <t>MEDALLON POLLO REBOZ(60U)X6KG ARTIC</t>
        </is>
      </c>
      <c r="H1377" t="inlineStr">
        <is>
          <t xml:space="preserve">UNIDAD              </t>
        </is>
      </c>
      <c r="I1377" t="n">
        <v>285</v>
      </c>
      <c r="J1377" t="n">
        <v>0</v>
      </c>
      <c r="K1377" t="n">
        <v>0</v>
      </c>
      <c r="L1377" t="n">
        <v>3</v>
      </c>
      <c r="M1377" t="n">
        <v>3</v>
      </c>
      <c r="N1377" t="n">
        <v>0</v>
      </c>
      <c r="O1377" t="n">
        <v>279</v>
      </c>
      <c r="P1377" s="96">
        <f>_xlfn.XLOOKUP(Tabla5[[#This Row],[EAN CORREGIDO]],'Tabla Articulos'!B:B,'Tabla Articulos'!D:D)</f>
        <v/>
      </c>
      <c r="Q1377" s="96">
        <f>_xlfn.XLOOKUP(S1377,'Tabla Articulos'!B:B,'Tabla Articulos'!E:E)</f>
        <v/>
      </c>
      <c r="R1377" s="96">
        <f>O1377*Q1377</f>
        <v/>
      </c>
      <c r="S1377" s="97">
        <f>TRIM(E1377)</f>
        <v/>
      </c>
    </row>
    <row r="1378" hidden="1">
      <c r="A1378" s="22" t="n">
        <v>1</v>
      </c>
      <c r="B1378" t="inlineStr">
        <is>
          <t xml:space="preserve">CD MORENO                     </t>
        </is>
      </c>
      <c r="C1378" t="inlineStr">
        <is>
          <t xml:space="preserve">GRUPO L.                      </t>
        </is>
      </c>
      <c r="D1378" s="11" t="inlineStr">
        <is>
          <t>EMPANADA CONG HUMITA</t>
        </is>
      </c>
      <c r="E1378" t="inlineStr">
        <is>
          <t xml:space="preserve">77902113030047      </t>
        </is>
      </c>
      <c r="F1378" t="n">
        <v>4018641</v>
      </c>
      <c r="G1378" t="inlineStr">
        <is>
          <t xml:space="preserve">EMPANADA CONGELADA HUMITA X50U     </t>
        </is>
      </c>
      <c r="H1378" t="inlineStr">
        <is>
          <t xml:space="preserve">UNIDAD              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1</v>
      </c>
      <c r="P1378" s="96">
        <f>_xlfn.XLOOKUP(Tabla5[[#This Row],[EAN CORREGIDO]],'Tabla Articulos'!B:B,'Tabla Articulos'!D:D)</f>
        <v/>
      </c>
      <c r="Q1378" s="96">
        <f>_xlfn.XLOOKUP(S1378,'Tabla Articulos'!B:B,'Tabla Articulos'!E:E)</f>
        <v/>
      </c>
      <c r="R1378" s="96">
        <f>O1378*Q1378</f>
        <v/>
      </c>
      <c r="S1378" s="97">
        <f>TRIM(E1378)</f>
        <v/>
      </c>
    </row>
    <row r="1379" hidden="1">
      <c r="A1379" s="22" t="n">
        <v>1</v>
      </c>
      <c r="B1379" t="inlineStr">
        <is>
          <t xml:space="preserve">CD MORENO                     </t>
        </is>
      </c>
      <c r="C1379" t="inlineStr">
        <is>
          <t xml:space="preserve">GRUPO L.                      </t>
        </is>
      </c>
      <c r="D1379" t="inlineStr">
        <is>
          <t>COCO RALLADO</t>
        </is>
      </c>
      <c r="E1379" t="inlineStr">
        <is>
          <t xml:space="preserve">7793875342155       </t>
        </is>
      </c>
      <c r="F1379" t="n">
        <v>4020758</v>
      </c>
      <c r="G1379" t="inlineStr">
        <is>
          <t xml:space="preserve">COCO RALLADO X1KG AROMAS           </t>
        </is>
      </c>
      <c r="H1379" t="inlineStr">
        <is>
          <t xml:space="preserve">UNIDAD              </t>
        </is>
      </c>
      <c r="I1379" t="n">
        <v>126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126</v>
      </c>
      <c r="P1379" s="96">
        <f>_xlfn.XLOOKUP(Tabla5[[#This Row],[EAN CORREGIDO]],'Tabla Articulos'!B:B,'Tabla Articulos'!D:D)</f>
        <v/>
      </c>
      <c r="Q1379" s="96">
        <f>_xlfn.XLOOKUP(S1379,'Tabla Articulos'!B:B,'Tabla Articulos'!E:E)</f>
        <v/>
      </c>
      <c r="R1379" s="96">
        <f>O1379*Q1379</f>
        <v/>
      </c>
      <c r="S1379" s="97">
        <f>TRIM(E1379)</f>
        <v/>
      </c>
    </row>
    <row r="1380" hidden="1">
      <c r="A1380" s="22" t="n">
        <v>6</v>
      </c>
      <c r="B1380" t="inlineStr">
        <is>
          <t xml:space="preserve">CDM03 - MORENO 3              </t>
        </is>
      </c>
      <c r="C1380" t="inlineStr">
        <is>
          <t xml:space="preserve">GRUPO L.                      </t>
        </is>
      </c>
      <c r="D1380" t="inlineStr">
        <is>
          <t>ROLLO DE PAPEL PARA DISPENSER</t>
        </is>
      </c>
      <c r="E1380" t="inlineStr">
        <is>
          <t xml:space="preserve">76625238104         </t>
        </is>
      </c>
      <c r="F1380" t="n">
        <v>2011477</v>
      </c>
      <c r="G1380" t="inlineStr">
        <is>
          <t xml:space="preserve">BOBINA INDUST HS  400M X2UN        </t>
        </is>
      </c>
      <c r="H1380" t="inlineStr">
        <is>
          <t xml:space="preserve">UNIDAD              </t>
        </is>
      </c>
      <c r="I1380" t="n">
        <v>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3</v>
      </c>
      <c r="P1380" s="96">
        <f>_xlfn.XLOOKUP(Tabla5[[#This Row],[EAN CORREGIDO]],'Tabla Articulos'!B:B,'Tabla Articulos'!D:D)</f>
        <v/>
      </c>
      <c r="Q1380" s="96">
        <f>_xlfn.XLOOKUP(S1380,'Tabla Articulos'!B:B,'Tabla Articulos'!E:E)</f>
        <v/>
      </c>
      <c r="R1380" s="96">
        <f>O1380*Q1380</f>
        <v/>
      </c>
      <c r="S1380" s="97">
        <f>TRIM(E1380)</f>
        <v/>
      </c>
    </row>
    <row r="1381" hidden="1">
      <c r="A1381" s="22" t="n">
        <v>6</v>
      </c>
      <c r="B1381" t="inlineStr">
        <is>
          <t xml:space="preserve">CDM03 - MORENO 3              </t>
        </is>
      </c>
      <c r="C1381" t="inlineStr">
        <is>
          <t xml:space="preserve">GRUPO L.                      </t>
        </is>
      </c>
      <c r="E1381" t="inlineStr">
        <is>
          <t xml:space="preserve">7798188650058       </t>
        </is>
      </c>
      <c r="F1381" t="n">
        <v>2011405</v>
      </c>
      <c r="G1381" t="inlineStr">
        <is>
          <t xml:space="preserve">STEEL SHINE LIMP ACERO INOX XUN    </t>
        </is>
      </c>
      <c r="H1381" t="inlineStr">
        <is>
          <t xml:space="preserve">UNIDAD              </t>
        </is>
      </c>
      <c r="I1381" t="n">
        <v>117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117</v>
      </c>
      <c r="P1381" s="96">
        <f>_xlfn.XLOOKUP(Tabla5[[#This Row],[EAN CORREGIDO]],'Tabla Articulos'!B:B,'Tabla Articulos'!D:D)</f>
        <v/>
      </c>
      <c r="Q1381" s="96">
        <f>_xlfn.XLOOKUP(S1381,'Tabla Articulos'!B:B,'Tabla Articulos'!E:E)</f>
        <v/>
      </c>
      <c r="R1381" s="96">
        <f>O1381*Q1381</f>
        <v/>
      </c>
      <c r="S1381" s="97">
        <f>TRIM(E1381)</f>
        <v/>
      </c>
    </row>
    <row r="1382" hidden="1">
      <c r="A1382" s="22" t="n">
        <v>1</v>
      </c>
      <c r="B1382" t="inlineStr">
        <is>
          <t xml:space="preserve">CD MORENO                     </t>
        </is>
      </c>
      <c r="C1382" t="inlineStr">
        <is>
          <t xml:space="preserve">GRUPO L.                      </t>
        </is>
      </c>
      <c r="D1382" t="inlineStr">
        <is>
          <t>ALBAHACA SECA</t>
        </is>
      </c>
      <c r="E1382" t="inlineStr">
        <is>
          <t xml:space="preserve">7793875321549       </t>
        </is>
      </c>
      <c r="F1382" t="n">
        <v>4020244</v>
      </c>
      <c r="G1382" t="inlineStr">
        <is>
          <t xml:space="preserve">ALBAHACA X 500G AROMAS Y SABORES   </t>
        </is>
      </c>
      <c r="H1382" t="inlineStr">
        <is>
          <t xml:space="preserve">UNIDAD              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2</v>
      </c>
      <c r="P1382" s="96">
        <f>_xlfn.XLOOKUP(Tabla5[[#This Row],[EAN CORREGIDO]],'Tabla Articulos'!B:B,'Tabla Articulos'!D:D)</f>
        <v/>
      </c>
      <c r="Q1382" s="96">
        <f>_xlfn.XLOOKUP(S1382,'Tabla Articulos'!B:B,'Tabla Articulos'!E:E)</f>
        <v/>
      </c>
      <c r="R1382" s="96">
        <f>O1382*Q1382</f>
        <v/>
      </c>
      <c r="S1382" s="97">
        <f>TRIM(E1382)</f>
        <v/>
      </c>
    </row>
    <row r="1383" hidden="1">
      <c r="A1383" s="22" t="n">
        <v>6</v>
      </c>
      <c r="B1383" t="inlineStr">
        <is>
          <t xml:space="preserve">CDM03 - MORENO 3              </t>
        </is>
      </c>
      <c r="C1383" t="inlineStr">
        <is>
          <t xml:space="preserve">GRUPO L.                      </t>
        </is>
      </c>
      <c r="D1383" t="inlineStr">
        <is>
          <t>CAJA NAVIDEÑA</t>
        </is>
      </c>
      <c r="E1383" t="inlineStr">
        <is>
          <t xml:space="preserve">REG000007           </t>
        </is>
      </c>
      <c r="F1383" t="n">
        <v>2006824</v>
      </c>
      <c r="G1383" t="inlineStr">
        <is>
          <t xml:space="preserve">CAJA NAVIDADEÑA XUN                </t>
        </is>
      </c>
      <c r="H1383" t="inlineStr">
        <is>
          <t xml:space="preserve">UNIDAD              </t>
        </is>
      </c>
      <c r="I1383" t="n">
        <v>100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100</v>
      </c>
      <c r="P1383" s="96">
        <f>_xlfn.XLOOKUP(Tabla5[[#This Row],[EAN CORREGIDO]],'Tabla Articulos'!B:B,'Tabla Articulos'!D:D)</f>
        <v/>
      </c>
      <c r="Q1383" s="96">
        <f>_xlfn.XLOOKUP(S1383,'Tabla Articulos'!B:B,'Tabla Articulos'!E:E)</f>
        <v/>
      </c>
      <c r="R1383" s="96">
        <f>O1383*Q1383</f>
        <v/>
      </c>
      <c r="S1383" s="97">
        <f>TRIM(E1383)</f>
        <v/>
      </c>
    </row>
    <row r="1384" hidden="1">
      <c r="A1384" s="22" t="n">
        <v>6</v>
      </c>
      <c r="B1384" t="inlineStr">
        <is>
          <t xml:space="preserve">CDM03 - MORENO 3              </t>
        </is>
      </c>
      <c r="C1384" t="inlineStr">
        <is>
          <t xml:space="preserve">GRUPO L.                      </t>
        </is>
      </c>
      <c r="E1384" t="inlineStr">
        <is>
          <t xml:space="preserve">UNIF000362          </t>
        </is>
      </c>
      <c r="F1384" t="n">
        <v>9003206</v>
      </c>
      <c r="G1384" t="inlineStr">
        <is>
          <t xml:space="preserve">GORRO COCINERO BAJO NUTRIRE        </t>
        </is>
      </c>
      <c r="H1384" t="inlineStr">
        <is>
          <t xml:space="preserve">UNIDAD              </t>
        </is>
      </c>
      <c r="I1384" t="n">
        <v>20</v>
      </c>
      <c r="J1384" t="n">
        <v>30</v>
      </c>
      <c r="K1384" t="n">
        <v>0</v>
      </c>
      <c r="L1384" t="n">
        <v>0</v>
      </c>
      <c r="M1384" t="n">
        <v>0</v>
      </c>
      <c r="N1384" t="n">
        <v>0</v>
      </c>
      <c r="O1384" t="n">
        <v>50</v>
      </c>
      <c r="P1384" s="96">
        <f>_xlfn.XLOOKUP(Tabla5[[#This Row],[EAN CORREGIDO]],'Tabla Articulos'!B:B,'Tabla Articulos'!D:D)</f>
        <v/>
      </c>
      <c r="Q1384" s="96">
        <f>_xlfn.XLOOKUP(S1384,'Tabla Articulos'!B:B,'Tabla Articulos'!E:E)</f>
        <v/>
      </c>
      <c r="R1384" s="96">
        <f>O1384*Q1384</f>
        <v/>
      </c>
      <c r="S1384" s="97">
        <f>TRIM(E1384)</f>
        <v/>
      </c>
    </row>
    <row r="1385" hidden="1">
      <c r="A1385" s="22" t="n">
        <v>6</v>
      </c>
      <c r="B1385" t="inlineStr">
        <is>
          <t xml:space="preserve">CDM03 - MORENO 3              </t>
        </is>
      </c>
      <c r="C1385" t="inlineStr">
        <is>
          <t xml:space="preserve">GRUPO L.                      </t>
        </is>
      </c>
      <c r="D1385" s="11" t="n"/>
      <c r="E1385" t="inlineStr">
        <is>
          <t xml:space="preserve">UNIF000622          </t>
        </is>
      </c>
      <c r="F1385" t="n">
        <v>9003160</v>
      </c>
      <c r="G1385" t="inlineStr">
        <is>
          <t xml:space="preserve">PANTALON NAUTICO NEG S LOGO T1     </t>
        </is>
      </c>
      <c r="H1385" t="inlineStr">
        <is>
          <t xml:space="preserve">UNIDAD              </t>
        </is>
      </c>
      <c r="I1385" t="n">
        <v>60</v>
      </c>
      <c r="J1385" t="n">
        <v>150</v>
      </c>
      <c r="K1385" t="n">
        <v>0</v>
      </c>
      <c r="L1385" t="n">
        <v>12</v>
      </c>
      <c r="M1385" t="n">
        <v>12</v>
      </c>
      <c r="N1385" t="n">
        <v>0</v>
      </c>
      <c r="O1385" t="n">
        <v>186</v>
      </c>
      <c r="P1385" s="96">
        <f>_xlfn.XLOOKUP(Tabla5[[#This Row],[EAN CORREGIDO]],'Tabla Articulos'!B:B,'Tabla Articulos'!D:D)</f>
        <v/>
      </c>
      <c r="Q1385" s="96">
        <f>_xlfn.XLOOKUP(S1385,'Tabla Articulos'!B:B,'Tabla Articulos'!E:E)</f>
        <v/>
      </c>
      <c r="R1385" s="96">
        <f>O1385*Q1385</f>
        <v/>
      </c>
      <c r="S1385" s="97">
        <f>TRIM(E1385)</f>
        <v/>
      </c>
    </row>
    <row r="1386" hidden="1">
      <c r="A1386" s="22" t="n">
        <v>6</v>
      </c>
      <c r="B1386" t="inlineStr">
        <is>
          <t xml:space="preserve">CDM03 - MORENO 3              </t>
        </is>
      </c>
      <c r="C1386" t="inlineStr">
        <is>
          <t xml:space="preserve">GRUPO L.                      </t>
        </is>
      </c>
      <c r="E1386" t="inlineStr">
        <is>
          <t xml:space="preserve">UNIF000617          </t>
        </is>
      </c>
      <c r="F1386" t="n">
        <v>9003155</v>
      </c>
      <c r="G1386" t="inlineStr">
        <is>
          <t xml:space="preserve">BANDANA NEGRA C VIVO AMARILLO      </t>
        </is>
      </c>
      <c r="H1386" t="inlineStr">
        <is>
          <t xml:space="preserve">UNIDAD              </t>
        </is>
      </c>
      <c r="I1386" t="n">
        <v>35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35</v>
      </c>
      <c r="P1386" s="96">
        <f>_xlfn.XLOOKUP(Tabla5[[#This Row],[EAN CORREGIDO]],'Tabla Articulos'!B:B,'Tabla Articulos'!D:D)</f>
        <v/>
      </c>
      <c r="Q1386" s="96">
        <f>_xlfn.XLOOKUP(S1386,'Tabla Articulos'!B:B,'Tabla Articulos'!E:E)</f>
        <v/>
      </c>
      <c r="R1386" s="96">
        <f>O1386*Q1386</f>
        <v/>
      </c>
      <c r="S1386" s="97">
        <f>TRIM(E1386)</f>
        <v/>
      </c>
    </row>
    <row r="1387" hidden="1">
      <c r="A1387" s="22" t="n">
        <v>1</v>
      </c>
      <c r="B1387" t="inlineStr">
        <is>
          <t xml:space="preserve">CD MORENO                     </t>
        </is>
      </c>
      <c r="C1387" t="inlineStr">
        <is>
          <t xml:space="preserve">GRUPO L.                      </t>
        </is>
      </c>
      <c r="D1387" t="inlineStr">
        <is>
          <t>SUPREMA REFRIGERADA</t>
        </is>
      </c>
      <c r="E1387" t="inlineStr">
        <is>
          <t xml:space="preserve">7798172641284       </t>
        </is>
      </c>
      <c r="F1387" t="n">
        <v>4017458</v>
      </c>
      <c r="G1387" t="inlineStr">
        <is>
          <t xml:space="preserve">SUPREMA REFRI X5KG SOYCH           </t>
        </is>
      </c>
      <c r="H1387" t="inlineStr">
        <is>
          <t xml:space="preserve">UNIDAD              </t>
        </is>
      </c>
      <c r="I1387" t="n">
        <v>57</v>
      </c>
      <c r="J1387" t="n">
        <v>0</v>
      </c>
      <c r="K1387" t="n">
        <v>0</v>
      </c>
      <c r="L1387" t="n">
        <v>23</v>
      </c>
      <c r="M1387" t="n">
        <v>23</v>
      </c>
      <c r="N1387" t="n">
        <v>0</v>
      </c>
      <c r="O1387" t="n">
        <v>11</v>
      </c>
      <c r="P1387" s="96">
        <f>_xlfn.XLOOKUP(Tabla5[[#This Row],[EAN CORREGIDO]],'Tabla Articulos'!B:B,'Tabla Articulos'!D:D)</f>
        <v/>
      </c>
      <c r="Q1387" s="96">
        <f>_xlfn.XLOOKUP(S1387,'Tabla Articulos'!B:B,'Tabla Articulos'!E:E)</f>
        <v/>
      </c>
      <c r="R1387" s="96">
        <f>O1387*Q1387</f>
        <v/>
      </c>
      <c r="S1387" s="97">
        <f>TRIM(E1387)</f>
        <v/>
      </c>
    </row>
    <row r="1388" hidden="1">
      <c r="A1388" s="22" t="n">
        <v>6</v>
      </c>
      <c r="B1388" t="inlineStr">
        <is>
          <t xml:space="preserve">CDM03 - MORENO 3              </t>
        </is>
      </c>
      <c r="C1388" t="inlineStr">
        <is>
          <t xml:space="preserve">GRUPO L.                      </t>
        </is>
      </c>
      <c r="E1388" t="inlineStr">
        <is>
          <t xml:space="preserve">807174532708        </t>
        </is>
      </c>
      <c r="F1388" t="n">
        <v>2007611</v>
      </c>
      <c r="G1388" t="inlineStr">
        <is>
          <t xml:space="preserve">LIMP.ACE.INOXGLOSS X12 DIVERSEY    </t>
        </is>
      </c>
      <c r="H1388" t="inlineStr">
        <is>
          <t xml:space="preserve">UNIDAD              </t>
        </is>
      </c>
      <c r="I1388" t="n">
        <v>6</v>
      </c>
      <c r="J1388" t="n">
        <v>7</v>
      </c>
      <c r="K1388" t="n">
        <v>0</v>
      </c>
      <c r="L1388" t="n">
        <v>0</v>
      </c>
      <c r="M1388" t="n">
        <v>0</v>
      </c>
      <c r="N1388" t="n">
        <v>0</v>
      </c>
      <c r="O1388" t="n">
        <v>13</v>
      </c>
      <c r="P1388" s="96">
        <f>_xlfn.XLOOKUP(Tabla5[[#This Row],[EAN CORREGIDO]],'Tabla Articulos'!B:B,'Tabla Articulos'!D:D)</f>
        <v/>
      </c>
      <c r="Q1388" s="96">
        <f>_xlfn.XLOOKUP(S1388,'Tabla Articulos'!B:B,'Tabla Articulos'!E:E)</f>
        <v/>
      </c>
      <c r="R1388" s="96">
        <f>O1388*Q1388</f>
        <v/>
      </c>
      <c r="S1388" s="97">
        <f>TRIM(E1388)</f>
        <v/>
      </c>
    </row>
    <row r="1389" hidden="1">
      <c r="A1389" s="22" t="n">
        <v>6</v>
      </c>
      <c r="B1389" t="inlineStr">
        <is>
          <t xml:space="preserve">CDM03 - MORENO 3              </t>
        </is>
      </c>
      <c r="C1389" t="inlineStr">
        <is>
          <t xml:space="preserve">GRUPO L.                      </t>
        </is>
      </c>
      <c r="D1389" s="11" t="inlineStr">
        <is>
          <t>ESCOBILLA BAÑO</t>
        </is>
      </c>
      <c r="E1389" t="inlineStr">
        <is>
          <t xml:space="preserve">7798012211417       </t>
        </is>
      </c>
      <c r="F1389" t="n">
        <v>2006547</v>
      </c>
      <c r="G1389" t="inlineStr">
        <is>
          <t xml:space="preserve">ESCOBILLA DE INYECTADA CALA        </t>
        </is>
      </c>
      <c r="H1389" t="inlineStr">
        <is>
          <t xml:space="preserve">UNIDAD              </t>
        </is>
      </c>
      <c r="I1389" t="n">
        <v>7847</v>
      </c>
      <c r="J1389" t="n">
        <v>0</v>
      </c>
      <c r="K1389" t="n">
        <v>0</v>
      </c>
      <c r="L1389" t="n">
        <v>294</v>
      </c>
      <c r="M1389" t="n">
        <v>294</v>
      </c>
      <c r="N1389" t="n">
        <v>0</v>
      </c>
      <c r="O1389" t="n">
        <v>7259</v>
      </c>
      <c r="P1389" s="96">
        <f>_xlfn.XLOOKUP(Tabla5[[#This Row],[EAN CORREGIDO]],'Tabla Articulos'!B:B,'Tabla Articulos'!D:D)</f>
        <v/>
      </c>
      <c r="Q1389" s="96">
        <f>_xlfn.XLOOKUP(S1389,'Tabla Articulos'!B:B,'Tabla Articulos'!E:E)</f>
        <v/>
      </c>
      <c r="R1389" s="96">
        <f>O1389*Q1389</f>
        <v/>
      </c>
      <c r="S1389" s="97">
        <f>TRIM(E1389)</f>
        <v/>
      </c>
    </row>
    <row r="1390" hidden="1">
      <c r="A1390" s="22" t="n">
        <v>6</v>
      </c>
      <c r="B1390" t="inlineStr">
        <is>
          <t xml:space="preserve">CDM03 - MORENO 3              </t>
        </is>
      </c>
      <c r="C1390" t="inlineStr">
        <is>
          <t xml:space="preserve">GRUPO L.                      </t>
        </is>
      </c>
      <c r="D1390" t="inlineStr">
        <is>
          <t>SERVILLETA NUTRIRE</t>
        </is>
      </c>
      <c r="E1390" t="inlineStr">
        <is>
          <t xml:space="preserve">7790000000709       </t>
        </is>
      </c>
      <c r="F1390" t="n">
        <v>2016500</v>
      </c>
      <c r="G1390" t="inlineStr">
        <is>
          <t xml:space="preserve">SERVILLETA 33X21.5 NUTRIRE X1000UN </t>
        </is>
      </c>
      <c r="H1390" t="inlineStr">
        <is>
          <t xml:space="preserve">UNIDAD              </t>
        </is>
      </c>
      <c r="I1390" t="n">
        <v>150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150</v>
      </c>
      <c r="P1390" s="96">
        <f>_xlfn.XLOOKUP(Tabla5[[#This Row],[EAN CORREGIDO]],'Tabla Articulos'!B:B,'Tabla Articulos'!D:D)</f>
        <v/>
      </c>
      <c r="Q1390" s="96">
        <f>_xlfn.XLOOKUP(S1390,'Tabla Articulos'!B:B,'Tabla Articulos'!E:E)</f>
        <v/>
      </c>
      <c r="R1390" s="96">
        <f>O1390*Q1390</f>
        <v/>
      </c>
      <c r="S1390" s="97">
        <f>TRIM(E1390)</f>
        <v/>
      </c>
    </row>
    <row r="1391" hidden="1">
      <c r="A1391" s="22" t="n">
        <v>6</v>
      </c>
      <c r="B1391" t="inlineStr">
        <is>
          <t xml:space="preserve">CDM03 - MORENO 3              </t>
        </is>
      </c>
      <c r="C1391" t="inlineStr">
        <is>
          <t xml:space="preserve">GRUPO L.                      </t>
        </is>
      </c>
      <c r="D1391" t="inlineStr">
        <is>
          <t>JABON LIQUIDO</t>
        </is>
      </c>
      <c r="E1391" t="inlineStr">
        <is>
          <t xml:space="preserve">7798188650737       </t>
        </is>
      </c>
      <c r="F1391" t="n">
        <v>2006574</v>
      </c>
      <c r="G1391" t="inlineStr">
        <is>
          <t xml:space="preserve">JABON LIQ.CLEANER MANZANA X5L      </t>
        </is>
      </c>
      <c r="H1391" t="inlineStr">
        <is>
          <t xml:space="preserve">UNIDAD              </t>
        </is>
      </c>
      <c r="I1391" t="n">
        <v>1148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1148</v>
      </c>
      <c r="P1391" s="96">
        <f>_xlfn.XLOOKUP(Tabla5[[#This Row],[EAN CORREGIDO]],'Tabla Articulos'!B:B,'Tabla Articulos'!D:D)</f>
        <v/>
      </c>
      <c r="Q1391" s="96">
        <f>_xlfn.XLOOKUP(S1391,'Tabla Articulos'!B:B,'Tabla Articulos'!E:E)</f>
        <v/>
      </c>
      <c r="R1391" s="96">
        <f>O1391*Q1391</f>
        <v/>
      </c>
      <c r="S1391" s="97">
        <f>TRIM(E1391)</f>
        <v/>
      </c>
    </row>
    <row r="1392" hidden="1">
      <c r="A1392" s="22" t="n">
        <v>5</v>
      </c>
      <c r="B1392" t="inlineStr">
        <is>
          <t xml:space="preserve">CDM02 - MORENO 2              </t>
        </is>
      </c>
      <c r="C1392" t="inlineStr">
        <is>
          <t xml:space="preserve">GRUPO L.                      </t>
        </is>
      </c>
      <c r="D1392" t="inlineStr">
        <is>
          <t>DULCE DE LECHE REPOST</t>
        </is>
      </c>
      <c r="E1392" t="inlineStr">
        <is>
          <t xml:space="preserve">7790398000326       </t>
        </is>
      </c>
      <c r="F1392" t="n">
        <v>4019727</v>
      </c>
      <c r="G1392" t="inlineStr">
        <is>
          <t>DULCE LECHE REPOSTERO X 1 KG PAULIN</t>
        </is>
      </c>
      <c r="H1392" t="inlineStr">
        <is>
          <t xml:space="preserve">UNIDAD              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1</v>
      </c>
      <c r="P1392" s="96">
        <f>_xlfn.XLOOKUP(Tabla5[[#This Row],[EAN CORREGIDO]],'Tabla Articulos'!B:B,'Tabla Articulos'!D:D)</f>
        <v/>
      </c>
      <c r="Q1392" s="96">
        <f>_xlfn.XLOOKUP(S1392,'Tabla Articulos'!B:B,'Tabla Articulos'!E:E)</f>
        <v/>
      </c>
      <c r="R1392" s="96">
        <f>O1392*Q1392</f>
        <v/>
      </c>
      <c r="S1392" s="97">
        <f>TRIM(E1392)</f>
        <v/>
      </c>
    </row>
    <row r="1393" hidden="1">
      <c r="A1393" s="22" t="n">
        <v>1</v>
      </c>
      <c r="B1393" t="inlineStr">
        <is>
          <t xml:space="preserve">CD MORENO                     </t>
        </is>
      </c>
      <c r="C1393" t="inlineStr">
        <is>
          <t xml:space="preserve">GRUPO L.                      </t>
        </is>
      </c>
      <c r="D1393" s="11" t="inlineStr">
        <is>
          <t>DURAZNO MITAD LATA</t>
        </is>
      </c>
      <c r="E1393" t="inlineStr">
        <is>
          <t xml:space="preserve">7798132920626       </t>
        </is>
      </c>
      <c r="F1393" t="n">
        <v>4048972</v>
      </c>
      <c r="G1393" t="inlineStr">
        <is>
          <t xml:space="preserve">DURAZNOS MITADES 820GR PUNTERO     </t>
        </is>
      </c>
      <c r="H1393" t="inlineStr">
        <is>
          <t xml:space="preserve">UNIDAD              </t>
        </is>
      </c>
      <c r="I1393" t="n">
        <v>996</v>
      </c>
      <c r="J1393" t="n">
        <v>0</v>
      </c>
      <c r="K1393" t="n">
        <v>0</v>
      </c>
      <c r="L1393" t="n">
        <v>48</v>
      </c>
      <c r="M1393" t="n">
        <v>48</v>
      </c>
      <c r="N1393" t="n">
        <v>0</v>
      </c>
      <c r="O1393" t="n">
        <v>900</v>
      </c>
      <c r="P1393" s="96">
        <f>_xlfn.XLOOKUP(Tabla5[[#This Row],[EAN CORREGIDO]],'Tabla Articulos'!B:B,'Tabla Articulos'!D:D)</f>
        <v/>
      </c>
      <c r="Q1393" s="96">
        <f>_xlfn.XLOOKUP(S1393,'Tabla Articulos'!B:B,'Tabla Articulos'!E:E)</f>
        <v/>
      </c>
      <c r="R1393" s="96">
        <f>O1393*Q1393</f>
        <v/>
      </c>
      <c r="S1393" s="97">
        <f>TRIM(E1393)</f>
        <v/>
      </c>
    </row>
    <row r="1394" hidden="1">
      <c r="A1394" s="22" t="n">
        <v>6</v>
      </c>
      <c r="B1394" t="inlineStr">
        <is>
          <t xml:space="preserve">CDM03 - MORENO 3              </t>
        </is>
      </c>
      <c r="C1394" t="inlineStr">
        <is>
          <t xml:space="preserve">GRUPO L.                      </t>
        </is>
      </c>
      <c r="E1394" t="inlineStr">
        <is>
          <t xml:space="preserve">7791290793804       </t>
        </is>
      </c>
      <c r="F1394" t="n">
        <v>2016778</v>
      </c>
      <c r="G1394" t="inlineStr">
        <is>
          <t xml:space="preserve">CIF GEL CON LAVANDINA X 500 CC     </t>
        </is>
      </c>
      <c r="H1394" t="inlineStr">
        <is>
          <t xml:space="preserve">BULTOS              </t>
        </is>
      </c>
      <c r="I1394" t="n">
        <v>276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276</v>
      </c>
      <c r="P1394" s="96">
        <f>_xlfn.XLOOKUP(Tabla5[[#This Row],[EAN CORREGIDO]],'Tabla Articulos'!B:B,'Tabla Articulos'!D:D)</f>
        <v/>
      </c>
      <c r="Q1394" s="96">
        <f>_xlfn.XLOOKUP(S1394,'Tabla Articulos'!B:B,'Tabla Articulos'!E:E)</f>
        <v/>
      </c>
      <c r="R1394" s="96">
        <f>O1394*Q1394</f>
        <v/>
      </c>
      <c r="S1394" s="97">
        <f>TRIM(E1394)</f>
        <v/>
      </c>
    </row>
    <row r="1395" hidden="1">
      <c r="A1395" s="22" t="n">
        <v>1</v>
      </c>
      <c r="B1395" t="inlineStr">
        <is>
          <t xml:space="preserve">CD MORENO                     </t>
        </is>
      </c>
      <c r="C1395" t="inlineStr">
        <is>
          <t xml:space="preserve">GRUPO L.                      </t>
        </is>
      </c>
      <c r="D1395" t="inlineStr">
        <is>
          <t>ARROZ LARGO FINO</t>
        </is>
      </c>
      <c r="E1395" t="inlineStr">
        <is>
          <t xml:space="preserve">7798151692504       </t>
        </is>
      </c>
      <c r="F1395" t="n">
        <v>4023047</v>
      </c>
      <c r="G1395" t="inlineStr">
        <is>
          <t xml:space="preserve">ARROZ LF 00000 500G DO#A LUISA     </t>
        </is>
      </c>
      <c r="H1395" t="inlineStr">
        <is>
          <t xml:space="preserve">UNIDAD              </t>
        </is>
      </c>
      <c r="I1395" t="n">
        <v>14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14</v>
      </c>
      <c r="P1395" s="96">
        <f>_xlfn.XLOOKUP(Tabla5[[#This Row],[EAN CORREGIDO]],'Tabla Articulos'!B:B,'Tabla Articulos'!D:D)</f>
        <v/>
      </c>
      <c r="Q1395" s="96">
        <f>_xlfn.XLOOKUP(S1395,'Tabla Articulos'!B:B,'Tabla Articulos'!E:E)</f>
        <v/>
      </c>
      <c r="R1395" s="96">
        <f>O1395*Q1395</f>
        <v/>
      </c>
      <c r="S1395" s="97">
        <f>TRIM(E1395)</f>
        <v/>
      </c>
    </row>
    <row r="1396" hidden="1">
      <c r="A1396" s="22" t="n">
        <v>5</v>
      </c>
      <c r="B1396" t="inlineStr">
        <is>
          <t xml:space="preserve">CDM02 - MORENO 2              </t>
        </is>
      </c>
      <c r="C1396" t="inlineStr">
        <is>
          <t xml:space="preserve">GRUPO L.                      </t>
        </is>
      </c>
      <c r="D1396" t="inlineStr">
        <is>
          <t>CIRUELA</t>
        </is>
      </c>
      <c r="E1396" t="inlineStr">
        <is>
          <t xml:space="preserve">7790216020094       </t>
        </is>
      </c>
      <c r="F1396" t="n">
        <v>4018077</v>
      </c>
      <c r="G1396" t="inlineStr">
        <is>
          <t xml:space="preserve">FRUTA CIRUELA X KG                 </t>
        </is>
      </c>
      <c r="H1396" t="inlineStr">
        <is>
          <t xml:space="preserve">Kgs                 </t>
        </is>
      </c>
      <c r="I1396" t="n">
        <v>1.56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1.56</v>
      </c>
      <c r="P1396" s="96">
        <f>_xlfn.XLOOKUP(Tabla5[[#This Row],[EAN CORREGIDO]],'Tabla Articulos'!B:B,'Tabla Articulos'!D:D)</f>
        <v/>
      </c>
      <c r="Q1396" s="96">
        <f>_xlfn.XLOOKUP(S1396,'Tabla Articulos'!B:B,'Tabla Articulos'!E:E)</f>
        <v/>
      </c>
      <c r="R1396" s="96">
        <f>O1396*Q1396</f>
        <v/>
      </c>
      <c r="S1396" s="97">
        <f>TRIM(E1396)</f>
        <v/>
      </c>
    </row>
    <row r="1397" hidden="1">
      <c r="A1397" s="22" t="n">
        <v>6</v>
      </c>
      <c r="B1397" t="inlineStr">
        <is>
          <t xml:space="preserve">CDM03 - MORENO 3              </t>
        </is>
      </c>
      <c r="C1397" t="inlineStr">
        <is>
          <t xml:space="preserve">GRUPO L.                      </t>
        </is>
      </c>
      <c r="E1397" t="inlineStr">
        <is>
          <t xml:space="preserve">LIM000464           </t>
        </is>
      </c>
      <c r="F1397" t="n">
        <v>2006300</v>
      </c>
      <c r="G1397" t="inlineStr">
        <is>
          <t xml:space="preserve">MICROFIBRA DE MANO CELESTE X U     </t>
        </is>
      </c>
      <c r="H1397" t="inlineStr">
        <is>
          <t xml:space="preserve">UNIDAD              </t>
        </is>
      </c>
      <c r="I1397" t="n">
        <v>49</v>
      </c>
      <c r="J1397" t="n">
        <v>0</v>
      </c>
      <c r="K1397" t="n">
        <v>0</v>
      </c>
      <c r="L1397" t="n">
        <v>10</v>
      </c>
      <c r="M1397" t="n">
        <v>10</v>
      </c>
      <c r="N1397" t="n">
        <v>0</v>
      </c>
      <c r="O1397" t="n">
        <v>29</v>
      </c>
      <c r="P1397" s="96">
        <f>_xlfn.XLOOKUP(Tabla5[[#This Row],[EAN CORREGIDO]],'Tabla Articulos'!B:B,'Tabla Articulos'!D:D)</f>
        <v/>
      </c>
      <c r="Q1397" s="96">
        <f>_xlfn.XLOOKUP(S1397,'Tabla Articulos'!B:B,'Tabla Articulos'!E:E)</f>
        <v/>
      </c>
      <c r="R1397" s="96">
        <f>O1397*Q1397</f>
        <v/>
      </c>
      <c r="S1397" s="97">
        <f>TRIM(E1397)</f>
        <v/>
      </c>
    </row>
    <row r="1398" hidden="1">
      <c r="A1398" s="22" t="n">
        <v>1</v>
      </c>
      <c r="B1398" t="inlineStr">
        <is>
          <t xml:space="preserve">CD MORENO                     </t>
        </is>
      </c>
      <c r="C1398" t="inlineStr">
        <is>
          <t xml:space="preserve">GRUPO L.                      </t>
        </is>
      </c>
      <c r="D1398" t="inlineStr">
        <is>
          <t>AZUCAR INDIV CHEF GOURMET</t>
        </is>
      </c>
      <c r="E1398" t="inlineStr">
        <is>
          <t xml:space="preserve">7798011977376       </t>
        </is>
      </c>
      <c r="F1398" t="n">
        <v>4022175</v>
      </c>
      <c r="G1398" t="inlineStr">
        <is>
          <t>AZUCAR SOB  6.25G CHEF GOURMET 800U</t>
        </is>
      </c>
      <c r="H1398" t="inlineStr">
        <is>
          <t xml:space="preserve">UNIDAD              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2</v>
      </c>
      <c r="P1398" s="96">
        <f>_xlfn.XLOOKUP(Tabla5[[#This Row],[EAN CORREGIDO]],'Tabla Articulos'!B:B,'Tabla Articulos'!D:D)</f>
        <v/>
      </c>
      <c r="Q1398" s="96">
        <f>_xlfn.XLOOKUP(S1398,'Tabla Articulos'!B:B,'Tabla Articulos'!E:E)</f>
        <v/>
      </c>
      <c r="R1398" s="96">
        <f>O1398*Q1398</f>
        <v/>
      </c>
      <c r="S1398" s="97">
        <f>TRIM(E1398)</f>
        <v/>
      </c>
    </row>
    <row r="1399" hidden="1">
      <c r="A1399" s="22" t="n">
        <v>1</v>
      </c>
      <c r="B1399" t="inlineStr">
        <is>
          <t xml:space="preserve">CD MORENO                     </t>
        </is>
      </c>
      <c r="C1399" t="inlineStr">
        <is>
          <t xml:space="preserve">GRUPO L.                      </t>
        </is>
      </c>
      <c r="D1399" t="inlineStr">
        <is>
          <t>ACETO</t>
        </is>
      </c>
      <c r="E1399" t="inlineStr">
        <is>
          <t xml:space="preserve">7790566000271       </t>
        </is>
      </c>
      <c r="F1399" t="n">
        <v>4019770</v>
      </c>
      <c r="G1399" t="inlineStr">
        <is>
          <t xml:space="preserve">ACETO BALSAMICO X5LT HEIMEN        </t>
        </is>
      </c>
      <c r="H1399" t="inlineStr">
        <is>
          <t xml:space="preserve">UNIDAD              </t>
        </is>
      </c>
      <c r="I1399" t="n">
        <v>40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40</v>
      </c>
      <c r="P1399" s="96">
        <f>_xlfn.XLOOKUP(Tabla5[[#This Row],[EAN CORREGIDO]],'Tabla Articulos'!B:B,'Tabla Articulos'!D:D)</f>
        <v/>
      </c>
      <c r="Q1399" s="96">
        <f>_xlfn.XLOOKUP(S1399,'Tabla Articulos'!B:B,'Tabla Articulos'!E:E)</f>
        <v/>
      </c>
      <c r="R1399" s="96">
        <f>O1399*Q1399</f>
        <v/>
      </c>
      <c r="S1399" s="97">
        <f>TRIM(E1399)</f>
        <v/>
      </c>
    </row>
    <row r="1400" hidden="1">
      <c r="A1400" s="22" t="n">
        <v>1</v>
      </c>
      <c r="B1400" t="inlineStr">
        <is>
          <t xml:space="preserve">CD MORENO                     </t>
        </is>
      </c>
      <c r="C1400" t="inlineStr">
        <is>
          <t xml:space="preserve">GRUPO L.                      </t>
        </is>
      </c>
      <c r="D1400" t="inlineStr">
        <is>
          <t>BUDIN CHOCOLATE</t>
        </is>
      </c>
      <c r="E1400" t="inlineStr">
        <is>
          <t xml:space="preserve">7791118012766       </t>
        </is>
      </c>
      <c r="F1400" t="n">
        <v>4049062</v>
      </c>
      <c r="G1400" t="inlineStr">
        <is>
          <t xml:space="preserve">GL BUDIN CHOC X200GR LHERITIER     </t>
        </is>
      </c>
      <c r="H1400" t="inlineStr">
        <is>
          <t xml:space="preserve">UNIDAD              </t>
        </is>
      </c>
      <c r="I1400" t="n">
        <v>22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22</v>
      </c>
      <c r="P1400" s="96">
        <f>_xlfn.XLOOKUP(Tabla5[[#This Row],[EAN CORREGIDO]],'Tabla Articulos'!B:B,'Tabla Articulos'!D:D)</f>
        <v/>
      </c>
      <c r="Q1400" s="96">
        <f>_xlfn.XLOOKUP(S1400,'Tabla Articulos'!B:B,'Tabla Articulos'!E:E)</f>
        <v/>
      </c>
      <c r="R1400" s="96">
        <f>O1400*Q1400</f>
        <v/>
      </c>
      <c r="S1400" s="97">
        <f>TRIM(E1400)</f>
        <v/>
      </c>
    </row>
    <row r="1401" hidden="1">
      <c r="A1401" s="22" t="n">
        <v>6</v>
      </c>
      <c r="B1401" t="inlineStr">
        <is>
          <t xml:space="preserve">CDM03 - MORENO 3              </t>
        </is>
      </c>
      <c r="C1401" t="inlineStr">
        <is>
          <t xml:space="preserve">GRUPO L.                      </t>
        </is>
      </c>
      <c r="D1401" t="inlineStr">
        <is>
          <t>BALDE 12 LT</t>
        </is>
      </c>
      <c r="E1401" t="inlineStr">
        <is>
          <t xml:space="preserve">779261001101        </t>
        </is>
      </c>
      <c r="F1401" t="n">
        <v>2006509</v>
      </c>
      <c r="G1401" t="inlineStr">
        <is>
          <t xml:space="preserve">BALDE NEGRO X12LT                  </t>
        </is>
      </c>
      <c r="H1401" t="inlineStr">
        <is>
          <t xml:space="preserve">UNIDAD              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1</v>
      </c>
      <c r="P1401" s="96">
        <f>_xlfn.XLOOKUP(Tabla5[[#This Row],[EAN CORREGIDO]],'Tabla Articulos'!B:B,'Tabla Articulos'!D:D)</f>
        <v/>
      </c>
      <c r="Q1401" s="96">
        <f>_xlfn.XLOOKUP(S1401,'Tabla Articulos'!B:B,'Tabla Articulos'!E:E)</f>
        <v/>
      </c>
      <c r="R1401" s="96">
        <f>O1401*Q1401</f>
        <v/>
      </c>
      <c r="S1401" s="97">
        <f>TRIM(E1401)</f>
        <v/>
      </c>
    </row>
    <row r="1402" hidden="1">
      <c r="A1402" s="22" t="n">
        <v>5</v>
      </c>
      <c r="B1402" t="inlineStr">
        <is>
          <t xml:space="preserve">CDM02 - MORENO 2              </t>
        </is>
      </c>
      <c r="C1402" t="inlineStr">
        <is>
          <t xml:space="preserve">GRUPO L.                      </t>
        </is>
      </c>
      <c r="D1402" t="inlineStr">
        <is>
          <t>JUGO LIMON</t>
        </is>
      </c>
      <c r="E1402" t="inlineStr">
        <is>
          <t xml:space="preserve">7792378002238       </t>
        </is>
      </c>
      <c r="F1402" t="n">
        <v>4023824</v>
      </c>
      <c r="G1402" t="inlineStr">
        <is>
          <t xml:space="preserve">JUGO LIMON PET X1LT COMENSAL       </t>
        </is>
      </c>
      <c r="H1402" t="inlineStr">
        <is>
          <t xml:space="preserve">UNIDAD              </t>
        </is>
      </c>
      <c r="I1402" t="n">
        <v>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4</v>
      </c>
      <c r="P1402" s="96">
        <f>_xlfn.XLOOKUP(Tabla5[[#This Row],[EAN CORREGIDO]],'Tabla Articulos'!B:B,'Tabla Articulos'!D:D)</f>
        <v/>
      </c>
      <c r="Q1402" s="96">
        <f>_xlfn.XLOOKUP(S1402,'Tabla Articulos'!B:B,'Tabla Articulos'!E:E)</f>
        <v/>
      </c>
      <c r="R1402" s="96">
        <f>O1402*Q1402</f>
        <v/>
      </c>
      <c r="S1402" s="97">
        <f>TRIM(E1402)</f>
        <v/>
      </c>
    </row>
    <row r="1403" hidden="1">
      <c r="A1403" s="22" t="n">
        <v>1</v>
      </c>
      <c r="B1403" t="inlineStr">
        <is>
          <t xml:space="preserve">CD MORENO                     </t>
        </is>
      </c>
      <c r="C1403" t="inlineStr">
        <is>
          <t xml:space="preserve">GRUPO L.                      </t>
        </is>
      </c>
      <c r="D1403" t="inlineStr">
        <is>
          <t>JUGO LIMON</t>
        </is>
      </c>
      <c r="E1403" t="inlineStr">
        <is>
          <t xml:space="preserve">7792378002238       </t>
        </is>
      </c>
      <c r="F1403" t="n">
        <v>4023824</v>
      </c>
      <c r="G1403" t="inlineStr">
        <is>
          <t xml:space="preserve">JUGO LIMON PET X1LT COMENSAL       </t>
        </is>
      </c>
      <c r="H1403" t="inlineStr">
        <is>
          <t xml:space="preserve">UNIDAD              </t>
        </is>
      </c>
      <c r="I1403" t="n">
        <v>275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275</v>
      </c>
      <c r="P1403" s="96">
        <f>_xlfn.XLOOKUP(Tabla5[[#This Row],[EAN CORREGIDO]],'Tabla Articulos'!B:B,'Tabla Articulos'!D:D)</f>
        <v/>
      </c>
      <c r="Q1403" s="96">
        <f>_xlfn.XLOOKUP(S1403,'Tabla Articulos'!B:B,'Tabla Articulos'!E:E)</f>
        <v/>
      </c>
      <c r="R1403" s="96">
        <f>O1403*Q1403</f>
        <v/>
      </c>
      <c r="S1403" s="97">
        <f>TRIM(E1403)</f>
        <v/>
      </c>
    </row>
    <row r="1404" hidden="1">
      <c r="A1404" s="22" t="n">
        <v>5</v>
      </c>
      <c r="B1404" t="inlineStr">
        <is>
          <t xml:space="preserve">CDM02 - MORENO 2              </t>
        </is>
      </c>
      <c r="C1404" t="inlineStr">
        <is>
          <t xml:space="preserve">GRUPO L.                      </t>
        </is>
      </c>
      <c r="D1404" s="11" t="inlineStr">
        <is>
          <t>SAL GRUESA</t>
        </is>
      </c>
      <c r="E1404" t="inlineStr">
        <is>
          <t xml:space="preserve">7790641000028       </t>
        </is>
      </c>
      <c r="F1404" t="n">
        <v>4019650</v>
      </c>
      <c r="G1404" t="inlineStr">
        <is>
          <t xml:space="preserve">SAL GRUESA X 1 KG COLOSAL          </t>
        </is>
      </c>
      <c r="H1404" t="inlineStr">
        <is>
          <t xml:space="preserve">UNIDAD              </t>
        </is>
      </c>
      <c r="I1404" t="n">
        <v>3852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3852</v>
      </c>
      <c r="P1404" s="96">
        <f>_xlfn.XLOOKUP(Tabla5[[#This Row],[EAN CORREGIDO]],'Tabla Articulos'!B:B,'Tabla Articulos'!D:D)</f>
        <v/>
      </c>
      <c r="Q1404" s="96">
        <f>_xlfn.XLOOKUP(S1404,'Tabla Articulos'!B:B,'Tabla Articulos'!E:E)</f>
        <v/>
      </c>
      <c r="R1404" s="96">
        <f>O1404*Q1404</f>
        <v/>
      </c>
      <c r="S1404" s="97">
        <f>TRIM(E1404)</f>
        <v/>
      </c>
    </row>
    <row r="1405" hidden="1">
      <c r="A1405" s="22" t="n">
        <v>1</v>
      </c>
      <c r="B1405" t="inlineStr">
        <is>
          <t xml:space="preserve">CD MORENO                     </t>
        </is>
      </c>
      <c r="C1405" t="inlineStr">
        <is>
          <t xml:space="preserve">GRUPO L.                      </t>
        </is>
      </c>
      <c r="D1405" t="inlineStr">
        <is>
          <t>SAL GRUESA</t>
        </is>
      </c>
      <c r="E1405" t="inlineStr">
        <is>
          <t xml:space="preserve">7790641000028       </t>
        </is>
      </c>
      <c r="F1405" t="n">
        <v>4019650</v>
      </c>
      <c r="G1405" t="inlineStr">
        <is>
          <t xml:space="preserve">SAL GRUESA X 1 KG COLOSAL          </t>
        </is>
      </c>
      <c r="H1405" t="inlineStr">
        <is>
          <t xml:space="preserve">UNIDAD              </t>
        </is>
      </c>
      <c r="I1405" t="n">
        <v>1553</v>
      </c>
      <c r="J1405" t="n">
        <v>0</v>
      </c>
      <c r="K1405" t="n">
        <v>0</v>
      </c>
      <c r="L1405" t="n">
        <v>3</v>
      </c>
      <c r="M1405" t="n">
        <v>3</v>
      </c>
      <c r="N1405" t="n">
        <v>0</v>
      </c>
      <c r="O1405" t="n">
        <v>1547</v>
      </c>
      <c r="P1405" s="96">
        <f>_xlfn.XLOOKUP(Tabla5[[#This Row],[EAN CORREGIDO]],'Tabla Articulos'!B:B,'Tabla Articulos'!D:D)</f>
        <v/>
      </c>
      <c r="Q1405" s="96">
        <f>_xlfn.XLOOKUP(S1405,'Tabla Articulos'!B:B,'Tabla Articulos'!E:E)</f>
        <v/>
      </c>
      <c r="R1405" s="96">
        <f>O1405*Q1405</f>
        <v/>
      </c>
      <c r="S1405" s="97">
        <f>TRIM(E1405)</f>
        <v/>
      </c>
    </row>
    <row r="1406" hidden="1">
      <c r="A1406" s="22" t="n">
        <v>6</v>
      </c>
      <c r="B1406" t="inlineStr">
        <is>
          <t xml:space="preserve">CDM03 - MORENO 3              </t>
        </is>
      </c>
      <c r="C1406" t="inlineStr">
        <is>
          <t xml:space="preserve">GRUPO L.                      </t>
        </is>
      </c>
      <c r="E1406" t="inlineStr">
        <is>
          <t xml:space="preserve">UNIF000213          </t>
        </is>
      </c>
      <c r="F1406" t="n">
        <v>9003481</v>
      </c>
      <c r="G1406" t="inlineStr">
        <is>
          <t xml:space="preserve">PANTAL CARG NEGRO NAR. 40 GL SUP   </t>
        </is>
      </c>
      <c r="H1406" t="inlineStr">
        <is>
          <t xml:space="preserve">UNIDAD              </t>
        </is>
      </c>
      <c r="I1406" t="n">
        <v>0</v>
      </c>
      <c r="J1406" t="n">
        <v>20</v>
      </c>
      <c r="K1406" t="n">
        <v>0</v>
      </c>
      <c r="L1406" t="n">
        <v>0</v>
      </c>
      <c r="M1406" t="n">
        <v>0</v>
      </c>
      <c r="N1406" t="n">
        <v>0</v>
      </c>
      <c r="O1406" t="n">
        <v>20</v>
      </c>
      <c r="P1406" s="96">
        <f>_xlfn.XLOOKUP(Tabla5[[#This Row],[EAN CORREGIDO]],'Tabla Articulos'!B:B,'Tabla Articulos'!D:D)</f>
        <v/>
      </c>
      <c r="Q1406" s="96">
        <f>_xlfn.XLOOKUP(S1406,'Tabla Articulos'!B:B,'Tabla Articulos'!E:E)</f>
        <v/>
      </c>
      <c r="R1406" s="96">
        <f>O1406*Q1406</f>
        <v/>
      </c>
      <c r="S1406" s="97">
        <f>TRIM(E1406)</f>
        <v/>
      </c>
    </row>
    <row r="1407" hidden="1">
      <c r="A1407" s="22" t="n">
        <v>6</v>
      </c>
      <c r="B1407" t="inlineStr">
        <is>
          <t xml:space="preserve">CDM03 - MORENO 3              </t>
        </is>
      </c>
      <c r="C1407" t="inlineStr">
        <is>
          <t xml:space="preserve">GRUPO L.                      </t>
        </is>
      </c>
      <c r="E1407" t="inlineStr">
        <is>
          <t xml:space="preserve">UNIF000414          </t>
        </is>
      </c>
      <c r="F1407" t="n">
        <v>9003274</v>
      </c>
      <c r="G1407" t="inlineStr">
        <is>
          <t xml:space="preserve">BUZO BLANCO NUTRIRE FRISA XL       </t>
        </is>
      </c>
      <c r="H1407" t="inlineStr">
        <is>
          <t xml:space="preserve">UNIDAD              </t>
        </is>
      </c>
      <c r="I1407" t="n">
        <v>9</v>
      </c>
      <c r="J1407" t="n">
        <v>0</v>
      </c>
      <c r="K1407" t="n">
        <v>0</v>
      </c>
      <c r="L1407" t="n">
        <v>3</v>
      </c>
      <c r="M1407" t="n">
        <v>3</v>
      </c>
      <c r="N1407" t="n">
        <v>0</v>
      </c>
      <c r="O1407" t="n">
        <v>3</v>
      </c>
      <c r="P1407" s="96">
        <f>_xlfn.XLOOKUP(Tabla5[[#This Row],[EAN CORREGIDO]],'Tabla Articulos'!B:B,'Tabla Articulos'!D:D)</f>
        <v/>
      </c>
      <c r="Q1407" s="96">
        <f>_xlfn.XLOOKUP(S1407,'Tabla Articulos'!B:B,'Tabla Articulos'!E:E)</f>
        <v/>
      </c>
      <c r="R1407" s="96">
        <f>O1407*Q1407</f>
        <v/>
      </c>
      <c r="S1407" s="97">
        <f>TRIM(E1407)</f>
        <v/>
      </c>
    </row>
    <row r="1408" hidden="1">
      <c r="A1408" s="22" t="n">
        <v>6</v>
      </c>
      <c r="B1408" t="inlineStr">
        <is>
          <t xml:space="preserve">CDM03 - MORENO 3              </t>
        </is>
      </c>
      <c r="C1408" t="inlineStr">
        <is>
          <t xml:space="preserve">GRUPO L.                      </t>
        </is>
      </c>
      <c r="E1408" t="inlineStr">
        <is>
          <t xml:space="preserve">UNIF000454          </t>
        </is>
      </c>
      <c r="F1408" t="n">
        <v>9003615</v>
      </c>
      <c r="G1408" t="inlineStr">
        <is>
          <t xml:space="preserve">CAMP A. MAR TRUCKER ELEVARE 3XL    </t>
        </is>
      </c>
      <c r="H1408" t="inlineStr">
        <is>
          <t xml:space="preserve">UNIDAD              </t>
        </is>
      </c>
      <c r="I1408" t="n">
        <v>20</v>
      </c>
      <c r="J1408" t="n">
        <v>0</v>
      </c>
      <c r="K1408" t="n">
        <v>0</v>
      </c>
      <c r="L1408" t="n">
        <v>6</v>
      </c>
      <c r="M1408" t="n">
        <v>6</v>
      </c>
      <c r="N1408" t="n">
        <v>0</v>
      </c>
      <c r="O1408" t="n">
        <v>8</v>
      </c>
      <c r="P1408" s="96">
        <f>_xlfn.XLOOKUP(Tabla5[[#This Row],[EAN CORREGIDO]],'Tabla Articulos'!B:B,'Tabla Articulos'!D:D)</f>
        <v/>
      </c>
      <c r="Q1408" s="96">
        <f>_xlfn.XLOOKUP(S1408,'Tabla Articulos'!B:B,'Tabla Articulos'!E:E)</f>
        <v/>
      </c>
      <c r="R1408" s="96">
        <f>O1408*Q1408</f>
        <v/>
      </c>
      <c r="S1408" s="97">
        <f>TRIM(E1408)</f>
        <v/>
      </c>
    </row>
    <row r="1409" hidden="1">
      <c r="A1409" s="22" t="n">
        <v>6</v>
      </c>
      <c r="B1409" t="inlineStr">
        <is>
          <t xml:space="preserve">CDM03 - MORENO 3              </t>
        </is>
      </c>
      <c r="C1409" t="inlineStr">
        <is>
          <t xml:space="preserve">GRUPO L.                      </t>
        </is>
      </c>
      <c r="D1409" s="11" t="n"/>
      <c r="E1409" t="inlineStr">
        <is>
          <t xml:space="preserve">BUSAT000612         </t>
        </is>
      </c>
      <c r="G1409" t="inlineStr">
        <is>
          <t xml:space="preserve">PANTALON CARGO NEGRO CAFETERIA     </t>
        </is>
      </c>
      <c r="H1409" t="inlineStr">
        <is>
          <t xml:space="preserve">UNIDAD              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2</v>
      </c>
      <c r="P1409" s="96">
        <f>_xlfn.XLOOKUP(Tabla5[[#This Row],[EAN CORREGIDO]],'Tabla Articulos'!B:B,'Tabla Articulos'!D:D)</f>
        <v/>
      </c>
      <c r="Q1409" s="96">
        <f>_xlfn.XLOOKUP(S1409,'Tabla Articulos'!B:B,'Tabla Articulos'!E:E)</f>
        <v/>
      </c>
      <c r="R1409" s="96">
        <f>O1409*Q1409</f>
        <v/>
      </c>
      <c r="S1409" s="97">
        <f>TRIM(E1409)</f>
        <v/>
      </c>
    </row>
    <row r="1410" hidden="1">
      <c r="A1410" s="22" t="n">
        <v>6</v>
      </c>
      <c r="B1410" t="inlineStr">
        <is>
          <t xml:space="preserve">CDM03 - MORENO 3              </t>
        </is>
      </c>
      <c r="C1410" t="inlineStr">
        <is>
          <t xml:space="preserve">GRUPO L.                      </t>
        </is>
      </c>
      <c r="E1410" t="inlineStr">
        <is>
          <t xml:space="preserve">BUSAT000148         </t>
        </is>
      </c>
      <c r="G1410" t="inlineStr">
        <is>
          <t xml:space="preserve">JARRAS VIDRIO C/TAPA               </t>
        </is>
      </c>
      <c r="H1410" t="inlineStr">
        <is>
          <t xml:space="preserve">UNIDAD              </t>
        </is>
      </c>
      <c r="I1410" t="n">
        <v>47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47</v>
      </c>
      <c r="P1410" s="96">
        <f>_xlfn.XLOOKUP(Tabla5[[#This Row],[EAN CORREGIDO]],'Tabla Articulos'!B:B,'Tabla Articulos'!D:D)</f>
        <v/>
      </c>
      <c r="Q1410" s="96">
        <f>_xlfn.XLOOKUP(S1410,'Tabla Articulos'!B:B,'Tabla Articulos'!E:E)</f>
        <v/>
      </c>
      <c r="R1410" s="96">
        <f>O1410*Q1410</f>
        <v/>
      </c>
      <c r="S1410" s="97">
        <f>TRIM(E1410)</f>
        <v/>
      </c>
    </row>
    <row r="1411" hidden="1">
      <c r="A1411" s="22" t="n">
        <v>6</v>
      </c>
      <c r="B1411" t="inlineStr">
        <is>
          <t xml:space="preserve">CDM03 - MORENO 3              </t>
        </is>
      </c>
      <c r="C1411" t="inlineStr">
        <is>
          <t xml:space="preserve">GRUPO L.                      </t>
        </is>
      </c>
      <c r="D1411" s="11" t="n"/>
      <c r="E1411" t="inlineStr">
        <is>
          <t xml:space="preserve">BUSAT000084         </t>
        </is>
      </c>
      <c r="G1411" t="inlineStr">
        <is>
          <t xml:space="preserve">MOLDE DE TARTA X U                 </t>
        </is>
      </c>
      <c r="H1411" t="inlineStr">
        <is>
          <t xml:space="preserve">BULTOS              </t>
        </is>
      </c>
      <c r="I1411" t="n">
        <v>16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16</v>
      </c>
      <c r="P1411" s="96">
        <f>_xlfn.XLOOKUP(Tabla5[[#This Row],[EAN CORREGIDO]],'Tabla Articulos'!B:B,'Tabla Articulos'!D:D)</f>
        <v/>
      </c>
      <c r="Q1411" s="96">
        <f>_xlfn.XLOOKUP(S1411,'Tabla Articulos'!B:B,'Tabla Articulos'!E:E)</f>
        <v/>
      </c>
      <c r="R1411" s="96">
        <f>O1411*Q1411</f>
        <v/>
      </c>
      <c r="S1411" s="97">
        <f>TRIM(E1411)</f>
        <v/>
      </c>
    </row>
    <row r="1412" hidden="1">
      <c r="A1412" s="22" t="n">
        <v>6</v>
      </c>
      <c r="B1412" t="inlineStr">
        <is>
          <t xml:space="preserve">CDM03 - MORENO 3              </t>
        </is>
      </c>
      <c r="C1412" t="inlineStr">
        <is>
          <t xml:space="preserve">GRUPO L.                      </t>
        </is>
      </c>
      <c r="E1412" t="inlineStr">
        <is>
          <t xml:space="preserve">BUSAT000204         </t>
        </is>
      </c>
      <c r="G1412" t="inlineStr">
        <is>
          <t xml:space="preserve">BANDEJAS FAST FOOD ROJAS X U       </t>
        </is>
      </c>
      <c r="H1412" t="inlineStr">
        <is>
          <t xml:space="preserve">UNIDAD              </t>
        </is>
      </c>
      <c r="I1412" t="n">
        <v>42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42</v>
      </c>
      <c r="P1412" s="96">
        <f>_xlfn.XLOOKUP(Tabla5[[#This Row],[EAN CORREGIDO]],'Tabla Articulos'!B:B,'Tabla Articulos'!D:D)</f>
        <v/>
      </c>
      <c r="Q1412" s="96">
        <f>_xlfn.XLOOKUP(S1412,'Tabla Articulos'!B:B,'Tabla Articulos'!E:E)</f>
        <v/>
      </c>
      <c r="R1412" s="96">
        <f>O1412*Q1412</f>
        <v/>
      </c>
      <c r="S1412" s="97">
        <f>TRIM(E1412)</f>
        <v/>
      </c>
    </row>
    <row r="1413" hidden="1">
      <c r="A1413" s="22" t="n">
        <v>6</v>
      </c>
      <c r="B1413" t="inlineStr">
        <is>
          <t xml:space="preserve">CDM03 - MORENO 3              </t>
        </is>
      </c>
      <c r="C1413" t="inlineStr">
        <is>
          <t xml:space="preserve">GRUPO L.                      </t>
        </is>
      </c>
      <c r="D1413" s="11" t="n"/>
      <c r="E1413" t="inlineStr">
        <is>
          <t xml:space="preserve">BUSAT000601         </t>
        </is>
      </c>
      <c r="F1413" s="11" t="n"/>
      <c r="G1413" t="inlineStr">
        <is>
          <t xml:space="preserve">CHOMBA GRIS  M/L XXL               </t>
        </is>
      </c>
      <c r="H1413" t="inlineStr">
        <is>
          <t xml:space="preserve">UNIDAD              </t>
        </is>
      </c>
      <c r="I1413" t="n">
        <v>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4</v>
      </c>
      <c r="P1413" s="96">
        <f>_xlfn.XLOOKUP(Tabla5[[#This Row],[EAN CORREGIDO]],'Tabla Articulos'!B:B,'Tabla Articulos'!D:D)</f>
        <v/>
      </c>
      <c r="Q1413" s="96">
        <f>_xlfn.XLOOKUP(S1413,'Tabla Articulos'!B:B,'Tabla Articulos'!E:E)</f>
        <v/>
      </c>
      <c r="R1413" s="96">
        <f>O1413*Q1413</f>
        <v/>
      </c>
      <c r="S1413" s="97">
        <f>TRIM(E1413)</f>
        <v/>
      </c>
    </row>
    <row r="1414" hidden="1">
      <c r="A1414" s="22" t="n">
        <v>1</v>
      </c>
      <c r="B1414" t="inlineStr">
        <is>
          <t xml:space="preserve">CD MORENO                     </t>
        </is>
      </c>
      <c r="C1414" t="inlineStr">
        <is>
          <t xml:space="preserve">GRUPO L.                      </t>
        </is>
      </c>
      <c r="D1414" s="11" t="inlineStr">
        <is>
          <t>FLAN CHOCOLATE</t>
        </is>
      </c>
      <c r="E1414" t="inlineStr">
        <is>
          <t xml:space="preserve">7790971002426       </t>
        </is>
      </c>
      <c r="F1414" s="11" t="n"/>
      <c r="G1414" t="inlineStr">
        <is>
          <t xml:space="preserve">FLAN CHOC X 60 GR RAVANA           </t>
        </is>
      </c>
      <c r="H1414" t="inlineStr">
        <is>
          <t xml:space="preserve">UNIDAD              </t>
        </is>
      </c>
      <c r="I1414" t="n">
        <v>24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24</v>
      </c>
      <c r="P1414" s="96">
        <f>_xlfn.XLOOKUP(Tabla5[[#This Row],[EAN CORREGIDO]],'Tabla Articulos'!B:B,'Tabla Articulos'!D:D)</f>
        <v/>
      </c>
      <c r="Q1414" s="96">
        <f>_xlfn.XLOOKUP(S1414,'Tabla Articulos'!B:B,'Tabla Articulos'!E:E)</f>
        <v/>
      </c>
      <c r="R1414" s="96">
        <f>O1414*Q1414</f>
        <v/>
      </c>
      <c r="S1414" s="97">
        <f>TRIM(E1414)</f>
        <v/>
      </c>
    </row>
    <row r="1415" hidden="1">
      <c r="A1415" s="22" t="n">
        <v>6</v>
      </c>
      <c r="B1415" t="inlineStr">
        <is>
          <t xml:space="preserve">CDM03 - MORENO 3              </t>
        </is>
      </c>
      <c r="C1415" t="inlineStr">
        <is>
          <t xml:space="preserve">GRUPO L.                      </t>
        </is>
      </c>
      <c r="D1415" s="11" t="n"/>
      <c r="E1415" t="inlineStr">
        <is>
          <t xml:space="preserve">LIM000569           </t>
        </is>
      </c>
      <c r="F1415" s="11" t="n"/>
      <c r="G1415" t="inlineStr">
        <is>
          <t xml:space="preserve">BAR DISC                           </t>
        </is>
      </c>
      <c r="H1415" t="inlineStr">
        <is>
          <t xml:space="preserve">BULTOS              </t>
        </is>
      </c>
      <c r="I1415" t="n">
        <v>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4</v>
      </c>
      <c r="P1415" s="96">
        <f>_xlfn.XLOOKUP(Tabla5[[#This Row],[EAN CORREGIDO]],'Tabla Articulos'!B:B,'Tabla Articulos'!D:D)</f>
        <v/>
      </c>
      <c r="Q1415" s="96">
        <f>_xlfn.XLOOKUP(S1415,'Tabla Articulos'!B:B,'Tabla Articulos'!E:E)</f>
        <v/>
      </c>
      <c r="R1415" s="96">
        <f>O1415*Q1415</f>
        <v/>
      </c>
      <c r="S1415" s="97">
        <f>TRIM(E1415)</f>
        <v/>
      </c>
    </row>
    <row r="1416" hidden="1">
      <c r="A1416" s="22" t="n">
        <v>6</v>
      </c>
      <c r="B1416" t="inlineStr">
        <is>
          <t xml:space="preserve">CDM03 - MORENO 3              </t>
        </is>
      </c>
      <c r="C1416" t="inlineStr">
        <is>
          <t xml:space="preserve">GRUPO L.                      </t>
        </is>
      </c>
      <c r="D1416" s="11" t="n"/>
      <c r="E1416" t="inlineStr">
        <is>
          <t xml:space="preserve">BUSAT000336         </t>
        </is>
      </c>
      <c r="F1416" s="11" t="n"/>
      <c r="G1416" t="inlineStr">
        <is>
          <t xml:space="preserve">BICI CANASTO FLORES SAND BIS       </t>
        </is>
      </c>
      <c r="H1416" t="inlineStr">
        <is>
          <t xml:space="preserve">UNIDAD              </t>
        </is>
      </c>
      <c r="I1416" t="n">
        <v>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4</v>
      </c>
      <c r="P1416" s="96">
        <f>_xlfn.XLOOKUP(Tabla5[[#This Row],[EAN CORREGIDO]],'Tabla Articulos'!B:B,'Tabla Articulos'!D:D)</f>
        <v/>
      </c>
      <c r="Q1416" s="96">
        <f>_xlfn.XLOOKUP(S1416,'Tabla Articulos'!B:B,'Tabla Articulos'!E:E)</f>
        <v/>
      </c>
      <c r="R1416" s="96">
        <f>O1416*Q1416</f>
        <v/>
      </c>
      <c r="S1416" s="97">
        <f>TRIM(E1416)</f>
        <v/>
      </c>
    </row>
    <row r="1417" hidden="1">
      <c r="A1417" s="22" t="n">
        <v>6</v>
      </c>
      <c r="B1417" t="inlineStr">
        <is>
          <t xml:space="preserve">CDM03 - MORENO 3              </t>
        </is>
      </c>
      <c r="C1417" t="inlineStr">
        <is>
          <t xml:space="preserve">GRUPO L.                      </t>
        </is>
      </c>
      <c r="D1417" s="11" t="n"/>
      <c r="E1417" t="inlineStr">
        <is>
          <t xml:space="preserve">BUSAT000988         </t>
        </is>
      </c>
      <c r="F1417" s="11" t="n"/>
      <c r="G1417" t="inlineStr">
        <is>
          <t xml:space="preserve">TETERA CON TAPA ACERO INOX CHICA   </t>
        </is>
      </c>
      <c r="H1417" t="inlineStr">
        <is>
          <t xml:space="preserve">UNIDAD              </t>
        </is>
      </c>
      <c r="I1417" t="n">
        <v>140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140</v>
      </c>
      <c r="P1417" s="96">
        <f>_xlfn.XLOOKUP(Tabla5[[#This Row],[EAN CORREGIDO]],'Tabla Articulos'!B:B,'Tabla Articulos'!D:D)</f>
        <v/>
      </c>
      <c r="Q1417" s="96">
        <f>_xlfn.XLOOKUP(S1417,'Tabla Articulos'!B:B,'Tabla Articulos'!E:E)</f>
        <v/>
      </c>
      <c r="R1417" s="96">
        <f>O1417*Q1417</f>
        <v/>
      </c>
      <c r="S1417" s="97">
        <f>TRIM(E1417)</f>
        <v/>
      </c>
    </row>
    <row r="1418" hidden="1">
      <c r="A1418" s="22" t="n">
        <v>6</v>
      </c>
      <c r="B1418" t="inlineStr">
        <is>
          <t xml:space="preserve">CDM03 - MORENO 3              </t>
        </is>
      </c>
      <c r="C1418" t="inlineStr">
        <is>
          <t xml:space="preserve">GRUPO L.                      </t>
        </is>
      </c>
      <c r="D1418" s="11" t="n"/>
      <c r="E1418" t="inlineStr">
        <is>
          <t xml:space="preserve">BUSAT000066         </t>
        </is>
      </c>
      <c r="F1418" s="11" t="n"/>
      <c r="G1418" t="inlineStr">
        <is>
          <t xml:space="preserve">ACEITERO DOBLE                     </t>
        </is>
      </c>
      <c r="H1418" t="inlineStr">
        <is>
          <t xml:space="preserve">UNIDAD              </t>
        </is>
      </c>
      <c r="I1418" t="n">
        <v>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6</v>
      </c>
      <c r="P1418" s="96">
        <f>_xlfn.XLOOKUP(Tabla5[[#This Row],[EAN CORREGIDO]],'Tabla Articulos'!B:B,'Tabla Articulos'!D:D)</f>
        <v/>
      </c>
      <c r="Q1418" s="96">
        <f>_xlfn.XLOOKUP(S1418,'Tabla Articulos'!B:B,'Tabla Articulos'!E:E)</f>
        <v/>
      </c>
      <c r="R1418" s="96">
        <f>O1418*Q1418</f>
        <v/>
      </c>
      <c r="S1418" s="97">
        <f>TRIM(E1418)</f>
        <v/>
      </c>
    </row>
    <row r="1419" hidden="1">
      <c r="A1419" s="22" t="n">
        <v>6</v>
      </c>
      <c r="B1419" t="inlineStr">
        <is>
          <t xml:space="preserve">CDM03 - MORENO 3              </t>
        </is>
      </c>
      <c r="C1419" t="inlineStr">
        <is>
          <t xml:space="preserve">GRUPO L.                      </t>
        </is>
      </c>
      <c r="D1419" s="11" t="n"/>
      <c r="E1419" t="inlineStr">
        <is>
          <t xml:space="preserve">BUSAT001100         </t>
        </is>
      </c>
      <c r="F1419" s="11" t="n"/>
      <c r="G1419" t="inlineStr">
        <is>
          <t xml:space="preserve">TOLBA CAFE                         </t>
        </is>
      </c>
      <c r="H1419" t="inlineStr">
        <is>
          <t xml:space="preserve">UNIDAD              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1</v>
      </c>
      <c r="P1419" s="96">
        <f>_xlfn.XLOOKUP(Tabla5[[#This Row],[EAN CORREGIDO]],'Tabla Articulos'!B:B,'Tabla Articulos'!D:D)</f>
        <v/>
      </c>
      <c r="Q1419" s="96">
        <f>_xlfn.XLOOKUP(S1419,'Tabla Articulos'!B:B,'Tabla Articulos'!E:E)</f>
        <v/>
      </c>
      <c r="R1419" s="96">
        <f>O1419*Q1419</f>
        <v/>
      </c>
      <c r="S1419" s="97">
        <f>TRIM(E1419)</f>
        <v/>
      </c>
    </row>
    <row r="1420" hidden="1">
      <c r="A1420" s="22" t="n">
        <v>6</v>
      </c>
      <c r="B1420" t="inlineStr">
        <is>
          <t xml:space="preserve">CDM03 - MORENO 3              </t>
        </is>
      </c>
      <c r="C1420" t="inlineStr">
        <is>
          <t xml:space="preserve">GRUPO L.                      </t>
        </is>
      </c>
      <c r="E1420" t="inlineStr">
        <is>
          <t xml:space="preserve">705958              </t>
        </is>
      </c>
      <c r="F1420" s="11" t="n"/>
      <c r="G1420" t="inlineStr">
        <is>
          <t xml:space="preserve">MIC DIG AT 20L                     </t>
        </is>
      </c>
      <c r="H1420" t="inlineStr">
        <is>
          <t xml:space="preserve">UNIDAD              </t>
        </is>
      </c>
      <c r="I1420" t="n">
        <v>13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13</v>
      </c>
      <c r="P1420" s="96">
        <f>_xlfn.XLOOKUP(Tabla5[[#This Row],[EAN CORREGIDO]],'Tabla Articulos'!B:B,'Tabla Articulos'!D:D)</f>
        <v/>
      </c>
      <c r="Q1420" s="96">
        <f>_xlfn.XLOOKUP(S1420,'Tabla Articulos'!B:B,'Tabla Articulos'!E:E)</f>
        <v/>
      </c>
      <c r="R1420" s="96">
        <f>O1420*Q1420</f>
        <v/>
      </c>
      <c r="S1420" s="97">
        <f>TRIM(E1420)</f>
        <v/>
      </c>
    </row>
    <row r="1421" hidden="1">
      <c r="A1421" s="22" t="n">
        <v>6</v>
      </c>
      <c r="B1421" t="inlineStr">
        <is>
          <t xml:space="preserve">CDM03 - MORENO 3              </t>
        </is>
      </c>
      <c r="C1421" t="inlineStr">
        <is>
          <t xml:space="preserve">GRUPO L.                      </t>
        </is>
      </c>
      <c r="E1421" t="inlineStr">
        <is>
          <t xml:space="preserve">BUSAT000894         </t>
        </is>
      </c>
      <c r="F1421" s="11" t="n"/>
      <c r="G1421" t="inlineStr">
        <is>
          <t xml:space="preserve">BOWL INDUSTRIAL ACERO              </t>
        </is>
      </c>
      <c r="H1421" t="inlineStr">
        <is>
          <t xml:space="preserve">UNIDAD              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2</v>
      </c>
      <c r="P1421" s="96">
        <f>_xlfn.XLOOKUP(Tabla5[[#This Row],[EAN CORREGIDO]],'Tabla Articulos'!B:B,'Tabla Articulos'!D:D)</f>
        <v/>
      </c>
      <c r="Q1421" s="96">
        <f>_xlfn.XLOOKUP(S1421,'Tabla Articulos'!B:B,'Tabla Articulos'!E:E)</f>
        <v/>
      </c>
      <c r="R1421" s="96">
        <f>O1421*Q1421</f>
        <v/>
      </c>
      <c r="S1421" s="97">
        <f>TRIM(E1421)</f>
        <v/>
      </c>
    </row>
    <row r="1422" hidden="1">
      <c r="A1422" s="22" t="n">
        <v>6</v>
      </c>
      <c r="B1422" t="inlineStr">
        <is>
          <t xml:space="preserve">CDM03 - MORENO 3              </t>
        </is>
      </c>
      <c r="C1422" t="inlineStr">
        <is>
          <t xml:space="preserve">GRUPO L.                      </t>
        </is>
      </c>
      <c r="E1422" t="inlineStr">
        <is>
          <t xml:space="preserve">BUSAT000318         </t>
        </is>
      </c>
      <c r="F1422" s="11" t="n"/>
      <c r="G1422" t="inlineStr">
        <is>
          <t xml:space="preserve">ESTRUCTURA DE MESA                 </t>
        </is>
      </c>
      <c r="H1422" t="inlineStr">
        <is>
          <t xml:space="preserve">UNIDAD              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2</v>
      </c>
      <c r="P1422" s="96">
        <f>_xlfn.XLOOKUP(Tabla5[[#This Row],[EAN CORREGIDO]],'Tabla Articulos'!B:B,'Tabla Articulos'!D:D)</f>
        <v/>
      </c>
      <c r="Q1422" s="96">
        <f>_xlfn.XLOOKUP(S1422,'Tabla Articulos'!B:B,'Tabla Articulos'!E:E)</f>
        <v/>
      </c>
      <c r="R1422" s="96">
        <f>O1422*Q1422</f>
        <v/>
      </c>
      <c r="S1422" s="97">
        <f>TRIM(E1422)</f>
        <v/>
      </c>
    </row>
    <row r="1423" hidden="1">
      <c r="A1423" s="22" t="n">
        <v>6</v>
      </c>
      <c r="B1423" t="inlineStr">
        <is>
          <t xml:space="preserve">CDM03 - MORENO 3              </t>
        </is>
      </c>
      <c r="C1423" t="inlineStr">
        <is>
          <t xml:space="preserve">GRUPO L.                      </t>
        </is>
      </c>
      <c r="D1423" s="11" t="n"/>
      <c r="E1423" t="inlineStr">
        <is>
          <t xml:space="preserve">BUSAT000087         </t>
        </is>
      </c>
      <c r="F1423" s="11" t="n"/>
      <c r="G1423" t="inlineStr">
        <is>
          <t xml:space="preserve">ESPUMADERA                         </t>
        </is>
      </c>
      <c r="H1423" t="inlineStr">
        <is>
          <t xml:space="preserve">UNIDAD              </t>
        </is>
      </c>
      <c r="I1423" t="n">
        <v>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5</v>
      </c>
      <c r="P1423" s="96">
        <f>_xlfn.XLOOKUP(Tabla5[[#This Row],[EAN CORREGIDO]],'Tabla Articulos'!B:B,'Tabla Articulos'!D:D)</f>
        <v/>
      </c>
      <c r="Q1423" s="96">
        <f>_xlfn.XLOOKUP(S1423,'Tabla Articulos'!B:B,'Tabla Articulos'!E:E)</f>
        <v/>
      </c>
      <c r="R1423" s="96">
        <f>O1423*Q1423</f>
        <v/>
      </c>
      <c r="S1423" s="97">
        <f>TRIM(E1423)</f>
        <v/>
      </c>
    </row>
    <row r="1424" hidden="1">
      <c r="A1424" s="22" t="n">
        <v>6</v>
      </c>
      <c r="B1424" t="inlineStr">
        <is>
          <t xml:space="preserve">CDM03 - MORENO 3              </t>
        </is>
      </c>
      <c r="C1424" t="inlineStr">
        <is>
          <t xml:space="preserve">GRUPO L.                      </t>
        </is>
      </c>
      <c r="D1424" s="11" t="n"/>
      <c r="E1424" t="inlineStr">
        <is>
          <t xml:space="preserve">BUSAT000381         </t>
        </is>
      </c>
      <c r="F1424" s="11" t="n"/>
      <c r="G1424" t="inlineStr">
        <is>
          <t xml:space="preserve">DELANTAL CUERO DESCARNE            </t>
        </is>
      </c>
      <c r="H1424" t="inlineStr">
        <is>
          <t xml:space="preserve">UNIDAD              </t>
        </is>
      </c>
      <c r="I1424" t="n">
        <v>11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11</v>
      </c>
      <c r="P1424" s="96">
        <f>_xlfn.XLOOKUP(Tabla5[[#This Row],[EAN CORREGIDO]],'Tabla Articulos'!B:B,'Tabla Articulos'!D:D)</f>
        <v/>
      </c>
      <c r="Q1424" s="96">
        <f>_xlfn.XLOOKUP(S1424,'Tabla Articulos'!B:B,'Tabla Articulos'!E:E)</f>
        <v/>
      </c>
      <c r="R1424" s="96">
        <f>O1424*Q1424</f>
        <v/>
      </c>
      <c r="S1424" s="97">
        <f>TRIM(E1424)</f>
        <v/>
      </c>
    </row>
    <row r="1425" hidden="1">
      <c r="A1425" s="22" t="n">
        <v>6</v>
      </c>
      <c r="B1425" t="inlineStr">
        <is>
          <t xml:space="preserve">CDM03 - MORENO 3              </t>
        </is>
      </c>
      <c r="C1425" t="inlineStr">
        <is>
          <t xml:space="preserve">GRUPO L.                      </t>
        </is>
      </c>
      <c r="D1425" s="11" t="inlineStr">
        <is>
          <t>ANTORCHITA</t>
        </is>
      </c>
      <c r="E1425" t="inlineStr">
        <is>
          <t xml:space="preserve">7797390190505       </t>
        </is>
      </c>
      <c r="F1425" s="11" t="n">
        <v>2006441</v>
      </c>
      <c r="G1425" t="inlineStr">
        <is>
          <t xml:space="preserve">ANTORCHITAS X24U                   </t>
        </is>
      </c>
      <c r="H1425" t="inlineStr">
        <is>
          <t xml:space="preserve">UNIDAD              </t>
        </is>
      </c>
      <c r="I1425" t="n">
        <v>25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25</v>
      </c>
      <c r="P1425" s="96">
        <f>_xlfn.XLOOKUP(Tabla5[[#This Row],[EAN CORREGIDO]],'Tabla Articulos'!B:B,'Tabla Articulos'!D:D)</f>
        <v/>
      </c>
      <c r="Q1425" s="96">
        <f>_xlfn.XLOOKUP(S1425,'Tabla Articulos'!B:B,'Tabla Articulos'!E:E)</f>
        <v/>
      </c>
      <c r="R1425" s="96">
        <f>O1425*Q1425</f>
        <v/>
      </c>
      <c r="S1425" s="97">
        <f>TRIM(E1425)</f>
        <v/>
      </c>
    </row>
    <row r="1426" hidden="1">
      <c r="A1426" s="22" t="n">
        <v>1</v>
      </c>
      <c r="B1426" t="inlineStr">
        <is>
          <t xml:space="preserve">CD MORENO                     </t>
        </is>
      </c>
      <c r="C1426" t="inlineStr">
        <is>
          <t xml:space="preserve">GRUPO L.                      </t>
        </is>
      </c>
      <c r="D1426" t="inlineStr">
        <is>
          <t>SAL GRUESA S/TACC</t>
        </is>
      </c>
      <c r="E1426" t="inlineStr">
        <is>
          <t xml:space="preserve">7791004000082       </t>
        </is>
      </c>
      <c r="F1426" s="11" t="n">
        <v>4019864</v>
      </c>
      <c r="G1426" t="inlineStr">
        <is>
          <t xml:space="preserve">SAL GRUESA X 1 KG CELUSAL          </t>
        </is>
      </c>
      <c r="H1426" t="inlineStr">
        <is>
          <t xml:space="preserve">UNIDAD              </t>
        </is>
      </c>
      <c r="I1426" t="n">
        <v>57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57</v>
      </c>
      <c r="P1426" s="96">
        <f>_xlfn.XLOOKUP(Tabla5[[#This Row],[EAN CORREGIDO]],'Tabla Articulos'!B:B,'Tabla Articulos'!D:D)</f>
        <v/>
      </c>
      <c r="Q1426" s="96">
        <f>_xlfn.XLOOKUP(S1426,'Tabla Articulos'!B:B,'Tabla Articulos'!E:E)</f>
        <v/>
      </c>
      <c r="R1426" s="96">
        <f>O1426*Q1426</f>
        <v/>
      </c>
      <c r="S1426" s="97">
        <f>TRIM(E1426)</f>
        <v/>
      </c>
    </row>
    <row r="1427" hidden="1">
      <c r="A1427" s="22" t="n">
        <v>6</v>
      </c>
      <c r="B1427" t="inlineStr">
        <is>
          <t xml:space="preserve">CDM03 - MORENO 3              </t>
        </is>
      </c>
      <c r="C1427" t="inlineStr">
        <is>
          <t xml:space="preserve">GRUPO L.                      </t>
        </is>
      </c>
      <c r="D1427" s="11" t="n"/>
      <c r="E1427" t="inlineStr">
        <is>
          <t xml:space="preserve">UNIF000386          </t>
        </is>
      </c>
      <c r="F1427" s="11" t="n">
        <v>9003453</v>
      </c>
      <c r="G1427" t="inlineStr">
        <is>
          <t xml:space="preserve">PANTALON NAUTICO-JEAN 4            </t>
        </is>
      </c>
      <c r="H1427" t="inlineStr">
        <is>
          <t xml:space="preserve">UNIDAD              </t>
        </is>
      </c>
      <c r="I1427" t="n">
        <v>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5</v>
      </c>
      <c r="P1427" s="96">
        <f>_xlfn.XLOOKUP(Tabla5[[#This Row],[EAN CORREGIDO]],'Tabla Articulos'!B:B,'Tabla Articulos'!D:D)</f>
        <v/>
      </c>
      <c r="Q1427" s="96">
        <f>_xlfn.XLOOKUP(S1427,'Tabla Articulos'!B:B,'Tabla Articulos'!E:E)</f>
        <v/>
      </c>
      <c r="R1427" s="96">
        <f>O1427*Q1427</f>
        <v/>
      </c>
      <c r="S1427" s="97">
        <f>TRIM(E1427)</f>
        <v/>
      </c>
    </row>
    <row r="1428" hidden="1">
      <c r="A1428" s="22" t="n">
        <v>6</v>
      </c>
      <c r="B1428" t="inlineStr">
        <is>
          <t xml:space="preserve">CDM03 - MORENO 3              </t>
        </is>
      </c>
      <c r="C1428" t="inlineStr">
        <is>
          <t xml:space="preserve">GRUPO L.                      </t>
        </is>
      </c>
      <c r="E1428" t="inlineStr">
        <is>
          <t xml:space="preserve">OBR000126           </t>
        </is>
      </c>
      <c r="F1428" s="11" t="n"/>
      <c r="G1428" t="inlineStr">
        <is>
          <t xml:space="preserve">MAQ ENMARCADORAA                   </t>
        </is>
      </c>
      <c r="H1428" t="inlineStr">
        <is>
          <t xml:space="preserve">UNIDAD              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2</v>
      </c>
      <c r="P1428" s="96">
        <f>_xlfn.XLOOKUP(Tabla5[[#This Row],[EAN CORREGIDO]],'Tabla Articulos'!B:B,'Tabla Articulos'!D:D)</f>
        <v/>
      </c>
      <c r="Q1428" s="96">
        <f>_xlfn.XLOOKUP(S1428,'Tabla Articulos'!B:B,'Tabla Articulos'!E:E)</f>
        <v/>
      </c>
      <c r="R1428" s="96">
        <f>O1428*Q1428</f>
        <v/>
      </c>
      <c r="S1428" s="97">
        <f>TRIM(E1428)</f>
        <v/>
      </c>
    </row>
    <row r="1429" hidden="1">
      <c r="A1429" s="22" t="n">
        <v>6</v>
      </c>
      <c r="B1429" t="inlineStr">
        <is>
          <t xml:space="preserve">CDM03 - MORENO 3              </t>
        </is>
      </c>
      <c r="C1429" t="inlineStr">
        <is>
          <t xml:space="preserve">GRUPO L.                      </t>
        </is>
      </c>
      <c r="D1429" s="11" t="n"/>
      <c r="E1429" t="inlineStr">
        <is>
          <t xml:space="preserve">BUSAT000020         </t>
        </is>
      </c>
      <c r="F1429" s="11" t="n"/>
      <c r="G1429" t="inlineStr">
        <is>
          <t xml:space="preserve">POSA PLATO MICROONDAS              </t>
        </is>
      </c>
      <c r="H1429" t="inlineStr">
        <is>
          <t xml:space="preserve">UNIDAD              </t>
        </is>
      </c>
      <c r="I1429" t="n">
        <v>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5</v>
      </c>
      <c r="P1429" s="96">
        <f>_xlfn.XLOOKUP(Tabla5[[#This Row],[EAN CORREGIDO]],'Tabla Articulos'!B:B,'Tabla Articulos'!D:D)</f>
        <v/>
      </c>
      <c r="Q1429" s="96">
        <f>_xlfn.XLOOKUP(S1429,'Tabla Articulos'!B:B,'Tabla Articulos'!E:E)</f>
        <v/>
      </c>
      <c r="R1429" s="96">
        <f>O1429*Q1429</f>
        <v/>
      </c>
      <c r="S1429" s="97">
        <f>TRIM(E1429)</f>
        <v/>
      </c>
    </row>
    <row r="1430" hidden="1">
      <c r="A1430" s="22" t="n">
        <v>6</v>
      </c>
      <c r="B1430" t="inlineStr">
        <is>
          <t xml:space="preserve">CDM03 - MORENO 3              </t>
        </is>
      </c>
      <c r="C1430" t="inlineStr">
        <is>
          <t xml:space="preserve">GRUPO L.                      </t>
        </is>
      </c>
      <c r="D1430" s="11" t="n"/>
      <c r="E1430" t="inlineStr">
        <is>
          <t xml:space="preserve">BUSAT000193         </t>
        </is>
      </c>
      <c r="F1430" s="11" t="n"/>
      <c r="G1430" t="inlineStr">
        <is>
          <t xml:space="preserve">CARRO HEL/ SANDWICHES 03           </t>
        </is>
      </c>
      <c r="H1430" t="inlineStr">
        <is>
          <t xml:space="preserve">UNIDAD              </t>
        </is>
      </c>
      <c r="I1430" t="n">
        <v>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1</v>
      </c>
      <c r="P1430" s="96">
        <f>_xlfn.XLOOKUP(Tabla5[[#This Row],[EAN CORREGIDO]],'Tabla Articulos'!B:B,'Tabla Articulos'!D:D)</f>
        <v/>
      </c>
      <c r="Q1430" s="96">
        <f>_xlfn.XLOOKUP(S1430,'Tabla Articulos'!B:B,'Tabla Articulos'!E:E)</f>
        <v/>
      </c>
      <c r="R1430" s="96">
        <f>O1430*Q1430</f>
        <v/>
      </c>
      <c r="S1430" s="97">
        <f>TRIM(E1430)</f>
        <v/>
      </c>
    </row>
    <row r="1431" hidden="1">
      <c r="A1431" s="22" t="n">
        <v>6</v>
      </c>
      <c r="B1431" t="inlineStr">
        <is>
          <t xml:space="preserve">CDM03 - MORENO 3              </t>
        </is>
      </c>
      <c r="C1431" t="inlineStr">
        <is>
          <t xml:space="preserve">GRUPO L.                      </t>
        </is>
      </c>
      <c r="D1431" s="11" t="n"/>
      <c r="E1431" t="inlineStr">
        <is>
          <t xml:space="preserve">F01005C2S/N103      </t>
        </is>
      </c>
      <c r="F1431" s="11" t="n"/>
      <c r="G1431" t="inlineStr">
        <is>
          <t xml:space="preserve">SECARROPAS KOHINOOR                </t>
        </is>
      </c>
      <c r="H1431" t="inlineStr">
        <is>
          <t xml:space="preserve">UNIDAD              </t>
        </is>
      </c>
      <c r="I1431" t="n">
        <v>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2</v>
      </c>
      <c r="P1431" s="96">
        <f>_xlfn.XLOOKUP(Tabla5[[#This Row],[EAN CORREGIDO]],'Tabla Articulos'!B:B,'Tabla Articulos'!D:D)</f>
        <v/>
      </c>
      <c r="Q1431" s="96">
        <f>_xlfn.XLOOKUP(S1431,'Tabla Articulos'!B:B,'Tabla Articulos'!E:E)</f>
        <v/>
      </c>
      <c r="R1431" s="96">
        <f>O1431*Q1431</f>
        <v/>
      </c>
      <c r="S1431" s="97">
        <f>TRIM(E1431)</f>
        <v/>
      </c>
    </row>
    <row r="1432" hidden="1">
      <c r="A1432" s="22" t="n">
        <v>6</v>
      </c>
      <c r="B1432" t="inlineStr">
        <is>
          <t xml:space="preserve">CDM03 - MORENO 3              </t>
        </is>
      </c>
      <c r="C1432" t="inlineStr">
        <is>
          <t xml:space="preserve">GRUPO L.                      </t>
        </is>
      </c>
      <c r="D1432" s="11" t="n"/>
      <c r="E1432" t="inlineStr">
        <is>
          <t xml:space="preserve">BUSAT000997         </t>
        </is>
      </c>
      <c r="F1432" s="11" t="n"/>
      <c r="G1432" t="inlineStr">
        <is>
          <t xml:space="preserve">CHOMBA AZUL MANGA CORTA S          </t>
        </is>
      </c>
      <c r="H1432" t="inlineStr">
        <is>
          <t xml:space="preserve">UNIDAD              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1</v>
      </c>
      <c r="P1432" s="96">
        <f>_xlfn.XLOOKUP(Tabla5[[#This Row],[EAN CORREGIDO]],'Tabla Articulos'!B:B,'Tabla Articulos'!D:D)</f>
        <v/>
      </c>
      <c r="Q1432" s="96">
        <f>_xlfn.XLOOKUP(S1432,'Tabla Articulos'!B:B,'Tabla Articulos'!E:E)</f>
        <v/>
      </c>
      <c r="R1432" s="96">
        <f>O1432*Q1432</f>
        <v/>
      </c>
      <c r="S1432" s="97">
        <f>TRIM(E1432)</f>
        <v/>
      </c>
    </row>
    <row r="1433" hidden="1">
      <c r="A1433" s="22" t="n">
        <v>6</v>
      </c>
      <c r="B1433" t="inlineStr">
        <is>
          <t xml:space="preserve">CDM03 - MORENO 3              </t>
        </is>
      </c>
      <c r="C1433" t="inlineStr">
        <is>
          <t xml:space="preserve">GRUPO L.                      </t>
        </is>
      </c>
      <c r="D1433" s="11" t="n"/>
      <c r="E1433" t="inlineStr">
        <is>
          <t xml:space="preserve">BUSAT000006         </t>
        </is>
      </c>
      <c r="F1433" s="11" t="n"/>
      <c r="G1433" t="inlineStr">
        <is>
          <t xml:space="preserve">BATIDOR MEDIANO X U                </t>
        </is>
      </c>
      <c r="H1433" t="inlineStr">
        <is>
          <t xml:space="preserve">UNIDAD              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1</v>
      </c>
      <c r="P1433" s="96">
        <f>_xlfn.XLOOKUP(Tabla5[[#This Row],[EAN CORREGIDO]],'Tabla Articulos'!B:B,'Tabla Articulos'!D:D)</f>
        <v/>
      </c>
      <c r="Q1433" s="96">
        <f>_xlfn.XLOOKUP(S1433,'Tabla Articulos'!B:B,'Tabla Articulos'!E:E)</f>
        <v/>
      </c>
      <c r="R1433" s="96">
        <f>O1433*Q1433</f>
        <v/>
      </c>
      <c r="S1433" s="97">
        <f>TRIM(E1433)</f>
        <v/>
      </c>
    </row>
    <row r="1434" hidden="1">
      <c r="A1434" s="22" t="n">
        <v>6</v>
      </c>
      <c r="B1434" t="inlineStr">
        <is>
          <t xml:space="preserve">CDM03 - MORENO 3              </t>
        </is>
      </c>
      <c r="C1434" t="inlineStr">
        <is>
          <t xml:space="preserve">GRUPO L.                      </t>
        </is>
      </c>
      <c r="E1434" t="inlineStr">
        <is>
          <t xml:space="preserve">BUSAT000413         </t>
        </is>
      </c>
      <c r="F1434" s="11" t="n"/>
      <c r="G1434" t="inlineStr">
        <is>
          <t xml:space="preserve">PANTALON CARGO GRIS FRANJA AZUL	38 </t>
        </is>
      </c>
      <c r="H1434" t="inlineStr">
        <is>
          <t xml:space="preserve">UNIDAD              </t>
        </is>
      </c>
      <c r="I1434" t="n">
        <v>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1</v>
      </c>
      <c r="P1434" s="96">
        <f>_xlfn.XLOOKUP(Tabla5[[#This Row],[EAN CORREGIDO]],'Tabla Articulos'!B:B,'Tabla Articulos'!D:D)</f>
        <v/>
      </c>
      <c r="Q1434" s="96">
        <f>_xlfn.XLOOKUP(S1434,'Tabla Articulos'!B:B,'Tabla Articulos'!E:E)</f>
        <v/>
      </c>
      <c r="R1434" s="96">
        <f>O1434*Q1434</f>
        <v/>
      </c>
      <c r="S1434" s="97">
        <f>TRIM(E1434)</f>
        <v/>
      </c>
    </row>
    <row r="1435" hidden="1">
      <c r="A1435" s="22" t="n">
        <v>6</v>
      </c>
      <c r="B1435" t="inlineStr">
        <is>
          <t xml:space="preserve">CDM03 - MORENO 3              </t>
        </is>
      </c>
      <c r="C1435" t="inlineStr">
        <is>
          <t xml:space="preserve">GRUPO L.                      </t>
        </is>
      </c>
      <c r="D1435" s="11" t="n"/>
      <c r="E1435" t="inlineStr">
        <is>
          <t xml:space="preserve">BUSAT000042         </t>
        </is>
      </c>
      <c r="F1435" s="11" t="n"/>
      <c r="G1435" t="inlineStr">
        <is>
          <t xml:space="preserve">PINZA DE HIELO                     </t>
        </is>
      </c>
      <c r="H1435" t="inlineStr">
        <is>
          <t xml:space="preserve">UNIDAD              </t>
        </is>
      </c>
      <c r="I1435" t="n">
        <v>94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94</v>
      </c>
      <c r="P1435" s="96">
        <f>_xlfn.XLOOKUP(Tabla5[[#This Row],[EAN CORREGIDO]],'Tabla Articulos'!B:B,'Tabla Articulos'!D:D)</f>
        <v/>
      </c>
      <c r="Q1435" s="96">
        <f>_xlfn.XLOOKUP(S1435,'Tabla Articulos'!B:B,'Tabla Articulos'!E:E)</f>
        <v/>
      </c>
      <c r="R1435" s="96">
        <f>O1435*Q1435</f>
        <v/>
      </c>
      <c r="S1435" s="97">
        <f>TRIM(E1435)</f>
        <v/>
      </c>
    </row>
    <row r="1436" hidden="1">
      <c r="A1436" s="22" t="n">
        <v>6</v>
      </c>
      <c r="B1436" t="inlineStr">
        <is>
          <t xml:space="preserve">CDM03 - MORENO 3              </t>
        </is>
      </c>
      <c r="C1436" t="inlineStr">
        <is>
          <t xml:space="preserve">GRUPO L.                      </t>
        </is>
      </c>
      <c r="D1436" s="11" t="n"/>
      <c r="E1436" t="inlineStr">
        <is>
          <t xml:space="preserve">BUSAT000036         </t>
        </is>
      </c>
      <c r="F1436" s="11" t="n"/>
      <c r="G1436" t="inlineStr">
        <is>
          <t xml:space="preserve">CILINDRO PARA SALSA CHICO          </t>
        </is>
      </c>
      <c r="H1436" t="inlineStr">
        <is>
          <t xml:space="preserve">UNIDAD              </t>
        </is>
      </c>
      <c r="I1436" t="n">
        <v>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8</v>
      </c>
      <c r="P1436" s="96">
        <f>_xlfn.XLOOKUP(Tabla5[[#This Row],[EAN CORREGIDO]],'Tabla Articulos'!B:B,'Tabla Articulos'!D:D)</f>
        <v/>
      </c>
      <c r="Q1436" s="96">
        <f>_xlfn.XLOOKUP(S1436,'Tabla Articulos'!B:B,'Tabla Articulos'!E:E)</f>
        <v/>
      </c>
      <c r="R1436" s="96">
        <f>O1436*Q1436</f>
        <v/>
      </c>
      <c r="S1436" s="97">
        <f>TRIM(E1436)</f>
        <v/>
      </c>
    </row>
    <row r="1437" hidden="1">
      <c r="A1437" s="22" t="n">
        <v>6</v>
      </c>
      <c r="B1437" t="inlineStr">
        <is>
          <t xml:space="preserve">CDM03 - MORENO 3              </t>
        </is>
      </c>
      <c r="C1437" t="inlineStr">
        <is>
          <t xml:space="preserve">GRUPO L.                      </t>
        </is>
      </c>
      <c r="E1437" t="inlineStr">
        <is>
          <t xml:space="preserve">OBR000124           </t>
        </is>
      </c>
      <c r="F1437" s="11" t="n"/>
      <c r="G1437" t="inlineStr">
        <is>
          <t xml:space="preserve">COMPCTADORA                        </t>
        </is>
      </c>
      <c r="H1437" t="inlineStr">
        <is>
          <t xml:space="preserve">UNIDAD              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2</v>
      </c>
      <c r="P1437" s="96">
        <f>_xlfn.XLOOKUP(Tabla5[[#This Row],[EAN CORREGIDO]],'Tabla Articulos'!B:B,'Tabla Articulos'!D:D)</f>
        <v/>
      </c>
      <c r="Q1437" s="96">
        <f>_xlfn.XLOOKUP(S1437,'Tabla Articulos'!B:B,'Tabla Articulos'!E:E)</f>
        <v/>
      </c>
      <c r="R1437" s="96">
        <f>O1437*Q1437</f>
        <v/>
      </c>
      <c r="S1437" s="97">
        <f>TRIM(E1437)</f>
        <v/>
      </c>
    </row>
    <row r="1438" hidden="1">
      <c r="A1438" s="22" t="n">
        <v>6</v>
      </c>
      <c r="B1438" t="inlineStr">
        <is>
          <t xml:space="preserve">CDM03 - MORENO 3              </t>
        </is>
      </c>
      <c r="C1438" t="inlineStr">
        <is>
          <t xml:space="preserve">GRUPO L.                      </t>
        </is>
      </c>
      <c r="D1438" s="11" t="n"/>
      <c r="E1438" t="inlineStr">
        <is>
          <t xml:space="preserve">BUSAT000202         </t>
        </is>
      </c>
      <c r="F1438" s="11" t="n"/>
      <c r="G1438" t="inlineStr">
        <is>
          <t xml:space="preserve">FARDO 04 (EXPERIENCIA Y SABORES)   </t>
        </is>
      </c>
      <c r="H1438" t="inlineStr">
        <is>
          <t xml:space="preserve">UNIDAD              </t>
        </is>
      </c>
      <c r="I1438" t="n">
        <v>0</v>
      </c>
      <c r="J1438" t="n">
        <v>2</v>
      </c>
      <c r="K1438" t="n">
        <v>0</v>
      </c>
      <c r="L1438" t="n">
        <v>0</v>
      </c>
      <c r="M1438" t="n">
        <v>0</v>
      </c>
      <c r="N1438" t="n">
        <v>0</v>
      </c>
      <c r="O1438" t="n">
        <v>2</v>
      </c>
      <c r="P1438" s="96">
        <f>_xlfn.XLOOKUP(Tabla5[[#This Row],[EAN CORREGIDO]],'Tabla Articulos'!B:B,'Tabla Articulos'!D:D)</f>
        <v/>
      </c>
      <c r="Q1438" s="96">
        <f>_xlfn.XLOOKUP(S1438,'Tabla Articulos'!B:B,'Tabla Articulos'!E:E)</f>
        <v/>
      </c>
      <c r="R1438" s="96">
        <f>O1438*Q1438</f>
        <v/>
      </c>
      <c r="S1438" s="97">
        <f>TRIM(E1438)</f>
        <v/>
      </c>
    </row>
    <row r="1439" hidden="1">
      <c r="A1439" s="22" t="n">
        <v>6</v>
      </c>
      <c r="B1439" t="inlineStr">
        <is>
          <t xml:space="preserve">CDM03 - MORENO 3              </t>
        </is>
      </c>
      <c r="C1439" t="inlineStr">
        <is>
          <t xml:space="preserve">GRUPO L.                      </t>
        </is>
      </c>
      <c r="D1439" s="11" t="n"/>
      <c r="E1439" t="inlineStr">
        <is>
          <t xml:space="preserve">BUSAT000126         </t>
        </is>
      </c>
      <c r="F1439" s="11" t="n"/>
      <c r="G1439" t="inlineStr">
        <is>
          <t xml:space="preserve">SOPERO ELECTRICO GRANDE            </t>
        </is>
      </c>
      <c r="H1439" t="inlineStr">
        <is>
          <t xml:space="preserve">UNIDAD              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1</v>
      </c>
      <c r="P1439" s="96">
        <f>_xlfn.XLOOKUP(Tabla5[[#This Row],[EAN CORREGIDO]],'Tabla Articulos'!B:B,'Tabla Articulos'!D:D)</f>
        <v/>
      </c>
      <c r="Q1439" s="96">
        <f>_xlfn.XLOOKUP(S1439,'Tabla Articulos'!B:B,'Tabla Articulos'!E:E)</f>
        <v/>
      </c>
      <c r="R1439" s="96">
        <f>O1439*Q1439</f>
        <v/>
      </c>
      <c r="S1439" s="97">
        <f>TRIM(E1439)</f>
        <v/>
      </c>
    </row>
    <row r="1440" hidden="1">
      <c r="A1440" s="22" t="n">
        <v>6</v>
      </c>
      <c r="B1440" t="inlineStr">
        <is>
          <t xml:space="preserve">CDM03 - MORENO 3              </t>
        </is>
      </c>
      <c r="C1440" t="inlineStr">
        <is>
          <t xml:space="preserve">GRUPO L.                      </t>
        </is>
      </c>
      <c r="D1440" s="11" t="n"/>
      <c r="E1440" t="inlineStr">
        <is>
          <t xml:space="preserve">BUSAT000019         </t>
        </is>
      </c>
      <c r="F1440" s="11" t="n"/>
      <c r="G1440" t="inlineStr">
        <is>
          <t xml:space="preserve">DISPENSER PAPEL TORK  X U          </t>
        </is>
      </c>
      <c r="H1440" t="inlineStr">
        <is>
          <t xml:space="preserve">UNIDAD              </t>
        </is>
      </c>
      <c r="I1440" t="n">
        <v>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3</v>
      </c>
      <c r="P1440" s="96">
        <f>_xlfn.XLOOKUP(Tabla5[[#This Row],[EAN CORREGIDO]],'Tabla Articulos'!B:B,'Tabla Articulos'!D:D)</f>
        <v/>
      </c>
      <c r="Q1440" s="96">
        <f>_xlfn.XLOOKUP(S1440,'Tabla Articulos'!B:B,'Tabla Articulos'!E:E)</f>
        <v/>
      </c>
      <c r="R1440" s="96">
        <f>O1440*Q1440</f>
        <v/>
      </c>
      <c r="S1440" s="97">
        <f>TRIM(E1440)</f>
        <v/>
      </c>
    </row>
    <row r="1441" hidden="1">
      <c r="A1441" s="22" t="n">
        <v>6</v>
      </c>
      <c r="B1441" t="inlineStr">
        <is>
          <t xml:space="preserve">CDM03 - MORENO 3              </t>
        </is>
      </c>
      <c r="C1441" t="inlineStr">
        <is>
          <t xml:space="preserve">GRUPO L.                      </t>
        </is>
      </c>
      <c r="D1441" s="11" t="n"/>
      <c r="E1441" t="inlineStr">
        <is>
          <t xml:space="preserve">BUSAT000081         </t>
        </is>
      </c>
      <c r="F1441" s="11" t="n"/>
      <c r="G1441" t="inlineStr">
        <is>
          <t xml:space="preserve">COLADOR CHINO ACERO INOXIDABLE X U </t>
        </is>
      </c>
      <c r="H1441" t="inlineStr">
        <is>
          <t xml:space="preserve">UNIDAD              </t>
        </is>
      </c>
      <c r="I1441" t="n">
        <v>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6</v>
      </c>
      <c r="P1441" s="96">
        <f>_xlfn.XLOOKUP(Tabla5[[#This Row],[EAN CORREGIDO]],'Tabla Articulos'!B:B,'Tabla Articulos'!D:D)</f>
        <v/>
      </c>
      <c r="Q1441" s="96">
        <f>_xlfn.XLOOKUP(S1441,'Tabla Articulos'!B:B,'Tabla Articulos'!E:E)</f>
        <v/>
      </c>
      <c r="R1441" s="96">
        <f>O1441*Q1441</f>
        <v/>
      </c>
      <c r="S1441" s="97">
        <f>TRIM(E1441)</f>
        <v/>
      </c>
    </row>
    <row r="1442" hidden="1">
      <c r="A1442" s="22" t="n">
        <v>6</v>
      </c>
      <c r="B1442" t="inlineStr">
        <is>
          <t xml:space="preserve">CDM03 - MORENO 3              </t>
        </is>
      </c>
      <c r="C1442" t="inlineStr">
        <is>
          <t xml:space="preserve">GRUPO L.                      </t>
        </is>
      </c>
      <c r="E1442" t="inlineStr">
        <is>
          <t xml:space="preserve">BUSAT000907         </t>
        </is>
      </c>
      <c r="F1442" s="11" t="n"/>
      <c r="G1442" t="inlineStr">
        <is>
          <t xml:space="preserve">VENTILADOR DE PIE BLANCO           </t>
        </is>
      </c>
      <c r="H1442" t="inlineStr">
        <is>
          <t xml:space="preserve">UNIDAD              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1</v>
      </c>
      <c r="P1442" s="96">
        <f>_xlfn.XLOOKUP(Tabla5[[#This Row],[EAN CORREGIDO]],'Tabla Articulos'!B:B,'Tabla Articulos'!D:D)</f>
        <v/>
      </c>
      <c r="Q1442" s="96">
        <f>_xlfn.XLOOKUP(S1442,'Tabla Articulos'!B:B,'Tabla Articulos'!E:E)</f>
        <v/>
      </c>
      <c r="R1442" s="96">
        <f>O1442*Q1442</f>
        <v/>
      </c>
      <c r="S1442" s="97">
        <f>TRIM(E1442)</f>
        <v/>
      </c>
    </row>
    <row r="1443" hidden="1">
      <c r="A1443" s="22" t="n">
        <v>6</v>
      </c>
      <c r="B1443" t="inlineStr">
        <is>
          <t xml:space="preserve">CDM03 - MORENO 3              </t>
        </is>
      </c>
      <c r="C1443" t="inlineStr">
        <is>
          <t xml:space="preserve">GRUPO L.                      </t>
        </is>
      </c>
      <c r="E1443" t="inlineStr">
        <is>
          <t xml:space="preserve">BUSAT001110         </t>
        </is>
      </c>
      <c r="G1443" t="inlineStr">
        <is>
          <t xml:space="preserve">CARRO CANDY BAR (COLOR CREMA)      </t>
        </is>
      </c>
      <c r="H1443" t="inlineStr">
        <is>
          <t xml:space="preserve">UNIDAD              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1</v>
      </c>
      <c r="P1443" s="96">
        <f>_xlfn.XLOOKUP(Tabla5[[#This Row],[EAN CORREGIDO]],'Tabla Articulos'!B:B,'Tabla Articulos'!D:D)</f>
        <v/>
      </c>
      <c r="Q1443" s="96">
        <f>_xlfn.XLOOKUP(S1443,'Tabla Articulos'!B:B,'Tabla Articulos'!E:E)</f>
        <v/>
      </c>
      <c r="R1443" s="96">
        <f>O1443*Q1443</f>
        <v/>
      </c>
      <c r="S1443" s="97">
        <f>TRIM(E1443)</f>
        <v/>
      </c>
    </row>
    <row r="1444" hidden="1">
      <c r="A1444" s="22" t="n">
        <v>6</v>
      </c>
      <c r="B1444" t="inlineStr">
        <is>
          <t xml:space="preserve">CDM03 - MORENO 3              </t>
        </is>
      </c>
      <c r="C1444" t="inlineStr">
        <is>
          <t xml:space="preserve">GRUPO L.                      </t>
        </is>
      </c>
      <c r="E1444" t="inlineStr">
        <is>
          <t xml:space="preserve">BUSAT000135         </t>
        </is>
      </c>
      <c r="G1444" t="inlineStr">
        <is>
          <t xml:space="preserve">TONELES ( BARRIL)                  </t>
        </is>
      </c>
      <c r="H1444" t="inlineStr">
        <is>
          <t xml:space="preserve">UNIDAD              </t>
        </is>
      </c>
      <c r="I1444" t="n">
        <v>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2</v>
      </c>
      <c r="P1444" s="96">
        <f>_xlfn.XLOOKUP(Tabla5[[#This Row],[EAN CORREGIDO]],'Tabla Articulos'!B:B,'Tabla Articulos'!D:D)</f>
        <v/>
      </c>
      <c r="Q1444" s="96">
        <f>_xlfn.XLOOKUP(S1444,'Tabla Articulos'!B:B,'Tabla Articulos'!E:E)</f>
        <v/>
      </c>
      <c r="R1444" s="96">
        <f>O1444*Q1444</f>
        <v/>
      </c>
      <c r="S1444" s="97">
        <f>TRIM(E1444)</f>
        <v/>
      </c>
    </row>
    <row r="1445" hidden="1">
      <c r="A1445" s="22" t="n">
        <v>6</v>
      </c>
      <c r="B1445" t="inlineStr">
        <is>
          <t xml:space="preserve">CDM03 - MORENO 3              </t>
        </is>
      </c>
      <c r="C1445" t="inlineStr">
        <is>
          <t xml:space="preserve">GRUPO L.                      </t>
        </is>
      </c>
      <c r="D1445" s="11" t="n"/>
      <c r="E1445" t="inlineStr">
        <is>
          <t xml:space="preserve">BUSAT000923         </t>
        </is>
      </c>
      <c r="G1445" t="inlineStr">
        <is>
          <t xml:space="preserve">BANDEJA PLASTICA ROSADA            </t>
        </is>
      </c>
      <c r="H1445" t="inlineStr">
        <is>
          <t xml:space="preserve">UNIDAD              </t>
        </is>
      </c>
      <c r="I1445" t="n">
        <v>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8</v>
      </c>
      <c r="P1445" s="96">
        <f>_xlfn.XLOOKUP(Tabla5[[#This Row],[EAN CORREGIDO]],'Tabla Articulos'!B:B,'Tabla Articulos'!D:D)</f>
        <v/>
      </c>
      <c r="Q1445" s="96">
        <f>_xlfn.XLOOKUP(S1445,'Tabla Articulos'!B:B,'Tabla Articulos'!E:E)</f>
        <v/>
      </c>
      <c r="R1445" s="96">
        <f>O1445*Q1445</f>
        <v/>
      </c>
      <c r="S1445" s="97">
        <f>TRIM(E1445)</f>
        <v/>
      </c>
    </row>
    <row r="1446" hidden="1">
      <c r="A1446" s="22" t="n">
        <v>6</v>
      </c>
      <c r="B1446" t="inlineStr">
        <is>
          <t xml:space="preserve">CDM03 - MORENO 3              </t>
        </is>
      </c>
      <c r="C1446" t="inlineStr">
        <is>
          <t xml:space="preserve">GRUPO L.                      </t>
        </is>
      </c>
      <c r="E1446" t="inlineStr">
        <is>
          <t xml:space="preserve">BUSAT000457         </t>
        </is>
      </c>
      <c r="G1446" t="inlineStr">
        <is>
          <t xml:space="preserve">CAMPERA AZUL POLAR	XXXL            </t>
        </is>
      </c>
      <c r="H1446" t="inlineStr">
        <is>
          <t xml:space="preserve">UNIDAD              </t>
        </is>
      </c>
      <c r="I1446" t="n">
        <v>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3</v>
      </c>
      <c r="P1446" s="96">
        <f>_xlfn.XLOOKUP(Tabla5[[#This Row],[EAN CORREGIDO]],'Tabla Articulos'!B:B,'Tabla Articulos'!D:D)</f>
        <v/>
      </c>
      <c r="Q1446" s="96">
        <f>_xlfn.XLOOKUP(S1446,'Tabla Articulos'!B:B,'Tabla Articulos'!E:E)</f>
        <v/>
      </c>
      <c r="R1446" s="96">
        <f>O1446*Q1446</f>
        <v/>
      </c>
      <c r="S1446" s="97">
        <f>TRIM(E1446)</f>
        <v/>
      </c>
    </row>
    <row r="1447" hidden="1">
      <c r="A1447" s="22" t="n">
        <v>6</v>
      </c>
      <c r="B1447" t="inlineStr">
        <is>
          <t xml:space="preserve">CDM03 - MORENO 3              </t>
        </is>
      </c>
      <c r="C1447" t="inlineStr">
        <is>
          <t xml:space="preserve">GRUPO L.                      </t>
        </is>
      </c>
      <c r="E1447" t="inlineStr">
        <is>
          <t xml:space="preserve">BUSAT000358         </t>
        </is>
      </c>
      <c r="G1447" t="inlineStr">
        <is>
          <t xml:space="preserve">CAJA PLA G/ ART. VARIOS/ SAND 04 B </t>
        </is>
      </c>
      <c r="H1447" t="inlineStr">
        <is>
          <t xml:space="preserve">UNIDAD              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1</v>
      </c>
      <c r="P1447" s="96">
        <f>_xlfn.XLOOKUP(Tabla5[[#This Row],[EAN CORREGIDO]],'Tabla Articulos'!B:B,'Tabla Articulos'!D:D)</f>
        <v/>
      </c>
      <c r="Q1447" s="96">
        <f>_xlfn.XLOOKUP(S1447,'Tabla Articulos'!B:B,'Tabla Articulos'!E:E)</f>
        <v/>
      </c>
      <c r="R1447" s="96">
        <f>O1447*Q1447</f>
        <v/>
      </c>
      <c r="S1447" s="97">
        <f>TRIM(E1447)</f>
        <v/>
      </c>
    </row>
    <row r="1448" hidden="1">
      <c r="A1448" s="22" t="n">
        <v>6</v>
      </c>
      <c r="B1448" t="inlineStr">
        <is>
          <t xml:space="preserve">CDM03 - MORENO 3              </t>
        </is>
      </c>
      <c r="C1448" t="inlineStr">
        <is>
          <t xml:space="preserve">GRUPO L.                      </t>
        </is>
      </c>
      <c r="D1448" t="inlineStr">
        <is>
          <t>PAÑO MICROFIBRA</t>
        </is>
      </c>
      <c r="E1448" t="inlineStr">
        <is>
          <t xml:space="preserve">7790000000461       </t>
        </is>
      </c>
      <c r="F1448" t="n">
        <v>2007484</v>
      </c>
      <c r="G1448" t="inlineStr">
        <is>
          <t xml:space="preserve">PANO MICROF.MULT VERDE CLEANTEX    </t>
        </is>
      </c>
      <c r="H1448" t="inlineStr">
        <is>
          <t xml:space="preserve">UNIDAD              </t>
        </is>
      </c>
      <c r="I1448" t="n">
        <v>488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488</v>
      </c>
      <c r="P1448" s="96">
        <f>_xlfn.XLOOKUP(Tabla5[[#This Row],[EAN CORREGIDO]],'Tabla Articulos'!B:B,'Tabla Articulos'!D:D)</f>
        <v/>
      </c>
      <c r="Q1448" s="96">
        <f>_xlfn.XLOOKUP(S1448,'Tabla Articulos'!B:B,'Tabla Articulos'!E:E)</f>
        <v/>
      </c>
      <c r="R1448" s="96">
        <f>O1448*Q1448</f>
        <v/>
      </c>
      <c r="S1448" s="97">
        <f>TRIM(E1448)</f>
        <v/>
      </c>
    </row>
    <row r="1449" hidden="1">
      <c r="A1449" s="22" t="n">
        <v>6</v>
      </c>
      <c r="B1449" t="inlineStr">
        <is>
          <t xml:space="preserve">CDM03 - MORENO 3              </t>
        </is>
      </c>
      <c r="C1449" t="inlineStr">
        <is>
          <t xml:space="preserve">GRUPO L.                      </t>
        </is>
      </c>
      <c r="E1449" t="inlineStr">
        <is>
          <t xml:space="preserve">BAZ001256           </t>
        </is>
      </c>
      <c r="F1449" t="n">
        <v>9003859</v>
      </c>
      <c r="G1449" t="inlineStr">
        <is>
          <t xml:space="preserve">ASADERA CHAP ENLOZ REF 30X40X5.6   </t>
        </is>
      </c>
      <c r="H1449" t="inlineStr">
        <is>
          <t xml:space="preserve">UNIDAD              </t>
        </is>
      </c>
      <c r="I1449" t="n">
        <v>212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212</v>
      </c>
      <c r="P1449" s="96">
        <f>_xlfn.XLOOKUP(Tabla5[[#This Row],[EAN CORREGIDO]],'Tabla Articulos'!B:B,'Tabla Articulos'!D:D)</f>
        <v/>
      </c>
      <c r="Q1449" s="96">
        <f>_xlfn.XLOOKUP(S1449,'Tabla Articulos'!B:B,'Tabla Articulos'!E:E)</f>
        <v/>
      </c>
      <c r="R1449" s="96">
        <f>O1449*Q1449</f>
        <v/>
      </c>
      <c r="S1449" s="97">
        <f>TRIM(E1449)</f>
        <v/>
      </c>
    </row>
    <row r="1450" hidden="1">
      <c r="A1450" s="22" t="n">
        <v>6</v>
      </c>
      <c r="B1450" t="inlineStr">
        <is>
          <t xml:space="preserve">CDM03 - MORENO 3              </t>
        </is>
      </c>
      <c r="C1450" t="inlineStr">
        <is>
          <t xml:space="preserve">GRUPO L.                      </t>
        </is>
      </c>
      <c r="E1450" t="inlineStr">
        <is>
          <t xml:space="preserve">UNIF000079          </t>
        </is>
      </c>
      <c r="F1450" t="n">
        <v>9003540</v>
      </c>
      <c r="G1450" t="inlineStr">
        <is>
          <t xml:space="preserve">CAMISA BLANCA LISA 50 S. LOGO      </t>
        </is>
      </c>
      <c r="H1450" t="inlineStr">
        <is>
          <t xml:space="preserve">UNIDAD              </t>
        </is>
      </c>
      <c r="I1450" t="n">
        <v>27</v>
      </c>
      <c r="J1450" t="n">
        <v>25</v>
      </c>
      <c r="K1450" t="n">
        <v>0</v>
      </c>
      <c r="L1450" t="n">
        <v>0</v>
      </c>
      <c r="M1450" t="n">
        <v>0</v>
      </c>
      <c r="N1450" t="n">
        <v>0</v>
      </c>
      <c r="O1450" t="n">
        <v>52</v>
      </c>
      <c r="P1450" s="96">
        <f>_xlfn.XLOOKUP(Tabla5[[#This Row],[EAN CORREGIDO]],'Tabla Articulos'!B:B,'Tabla Articulos'!D:D)</f>
        <v/>
      </c>
      <c r="Q1450" s="96">
        <f>_xlfn.XLOOKUP(S1450,'Tabla Articulos'!B:B,'Tabla Articulos'!E:E)</f>
        <v/>
      </c>
      <c r="R1450" s="96">
        <f>O1450*Q1450</f>
        <v/>
      </c>
      <c r="S1450" s="97">
        <f>TRIM(E1450)</f>
        <v/>
      </c>
    </row>
    <row r="1451" hidden="1">
      <c r="A1451" s="22" t="n">
        <v>1</v>
      </c>
      <c r="B1451" t="inlineStr">
        <is>
          <t xml:space="preserve">CD MORENO                     </t>
        </is>
      </c>
      <c r="C1451" t="inlineStr">
        <is>
          <t xml:space="preserve">GRUPO L.                      </t>
        </is>
      </c>
      <c r="D1451" t="inlineStr">
        <is>
          <t>BROCOLI CONGELADO</t>
        </is>
      </c>
      <c r="E1451" t="inlineStr">
        <is>
          <t xml:space="preserve">7798184272681       </t>
        </is>
      </c>
      <c r="F1451" t="n">
        <v>4076548</v>
      </c>
      <c r="G1451" t="inlineStr">
        <is>
          <t xml:space="preserve">BROCOLI CONG BIOMAC 500G X UN      </t>
        </is>
      </c>
      <c r="H1451" t="inlineStr">
        <is>
          <t xml:space="preserve">UNIDAD              </t>
        </is>
      </c>
      <c r="I1451" t="n">
        <v>25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25</v>
      </c>
      <c r="P1451" s="96">
        <f>_xlfn.XLOOKUP(Tabla5[[#This Row],[EAN CORREGIDO]],'Tabla Articulos'!B:B,'Tabla Articulos'!D:D)</f>
        <v/>
      </c>
      <c r="Q1451" s="96">
        <f>_xlfn.XLOOKUP(S1451,'Tabla Articulos'!B:B,'Tabla Articulos'!E:E)</f>
        <v/>
      </c>
      <c r="R1451" s="96">
        <f>O1451*Q1451</f>
        <v/>
      </c>
      <c r="S1451" s="97">
        <f>TRIM(E1451)</f>
        <v/>
      </c>
    </row>
    <row r="1452" hidden="1">
      <c r="A1452" s="22" t="n">
        <v>1</v>
      </c>
      <c r="B1452" t="inlineStr">
        <is>
          <t xml:space="preserve">CD MORENO                     </t>
        </is>
      </c>
      <c r="C1452" t="inlineStr">
        <is>
          <t xml:space="preserve">GRUPO L.                      </t>
        </is>
      </c>
      <c r="D1452" t="inlineStr">
        <is>
          <t>HARINA LEUDANTE</t>
        </is>
      </c>
      <c r="E1452" t="inlineStr">
        <is>
          <t xml:space="preserve">7792590001064       </t>
        </is>
      </c>
      <c r="F1452" t="n">
        <v>4020088</v>
      </c>
      <c r="G1452" t="inlineStr">
        <is>
          <t xml:space="preserve">HARINA LEUDANTE X 1 KG CASERITA    </t>
        </is>
      </c>
      <c r="H1452" t="inlineStr">
        <is>
          <t xml:space="preserve">UNIDAD              </t>
        </is>
      </c>
      <c r="I1452" t="n">
        <v>11482</v>
      </c>
      <c r="J1452" t="n">
        <v>0</v>
      </c>
      <c r="K1452" t="n">
        <v>0</v>
      </c>
      <c r="L1452" t="n">
        <v>20</v>
      </c>
      <c r="M1452" t="n">
        <v>20</v>
      </c>
      <c r="N1452" t="n">
        <v>0</v>
      </c>
      <c r="O1452" t="n">
        <v>11442</v>
      </c>
      <c r="P1452" s="96">
        <f>_xlfn.XLOOKUP(Tabla5[[#This Row],[EAN CORREGIDO]],'Tabla Articulos'!B:B,'Tabla Articulos'!D:D)</f>
        <v/>
      </c>
      <c r="Q1452" s="96">
        <f>_xlfn.XLOOKUP(S1452,'Tabla Articulos'!B:B,'Tabla Articulos'!E:E)</f>
        <v/>
      </c>
      <c r="R1452" s="96">
        <f>O1452*Q1452</f>
        <v/>
      </c>
      <c r="S1452" s="97">
        <f>TRIM(E1452)</f>
        <v/>
      </c>
    </row>
    <row r="1453" hidden="1">
      <c r="A1453" s="22" t="n">
        <v>5</v>
      </c>
      <c r="B1453" t="inlineStr">
        <is>
          <t xml:space="preserve">CDM02 - MORENO 2              </t>
        </is>
      </c>
      <c r="C1453" t="inlineStr">
        <is>
          <t xml:space="preserve">GRUPO L.                      </t>
        </is>
      </c>
      <c r="D1453" t="inlineStr">
        <is>
          <t>HARINA LEUDANTE</t>
        </is>
      </c>
      <c r="E1453" t="inlineStr">
        <is>
          <t xml:space="preserve">7792590001064       </t>
        </is>
      </c>
      <c r="F1453" t="n">
        <v>4020088</v>
      </c>
      <c r="G1453" t="inlineStr">
        <is>
          <t xml:space="preserve">HARINA LEUDANTE X 1 KG CASERITA    </t>
        </is>
      </c>
      <c r="H1453" t="inlineStr">
        <is>
          <t xml:space="preserve">UNIDAD              </t>
        </is>
      </c>
      <c r="I1453" t="n">
        <v>11</v>
      </c>
      <c r="J1453" t="n">
        <v>0</v>
      </c>
      <c r="K1453" t="n">
        <v>0</v>
      </c>
      <c r="L1453" t="n">
        <v>3</v>
      </c>
      <c r="M1453" t="n">
        <v>3</v>
      </c>
      <c r="N1453" t="n">
        <v>0</v>
      </c>
      <c r="O1453" t="n">
        <v>5</v>
      </c>
      <c r="P1453" s="96">
        <f>_xlfn.XLOOKUP(Tabla5[[#This Row],[EAN CORREGIDO]],'Tabla Articulos'!B:B,'Tabla Articulos'!D:D)</f>
        <v/>
      </c>
      <c r="Q1453" s="96">
        <f>_xlfn.XLOOKUP(S1453,'Tabla Articulos'!B:B,'Tabla Articulos'!E:E)</f>
        <v/>
      </c>
      <c r="R1453" s="96">
        <f>O1453*Q1453</f>
        <v/>
      </c>
      <c r="S1453" s="97">
        <f>TRIM(E1453)</f>
        <v/>
      </c>
    </row>
    <row r="1454" hidden="1">
      <c r="A1454" s="22" t="n">
        <v>6</v>
      </c>
      <c r="B1454" t="inlineStr">
        <is>
          <t xml:space="preserve">CDM03 - MORENO 3              </t>
        </is>
      </c>
      <c r="C1454" t="inlineStr">
        <is>
          <t xml:space="preserve">GRUPO L.                      </t>
        </is>
      </c>
      <c r="E1454" t="inlineStr">
        <is>
          <t xml:space="preserve">UNIF000090          </t>
        </is>
      </c>
      <c r="F1454" t="n">
        <v>9003551</v>
      </c>
      <c r="G1454" t="inlineStr">
        <is>
          <t>CAMISA BLANCA LISA 52 BLUE CATERING</t>
        </is>
      </c>
      <c r="H1454" t="inlineStr">
        <is>
          <t xml:space="preserve">UNIDAD              </t>
        </is>
      </c>
      <c r="I1454" t="n">
        <v>10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10</v>
      </c>
      <c r="P1454" s="96">
        <f>_xlfn.XLOOKUP(Tabla5[[#This Row],[EAN CORREGIDO]],'Tabla Articulos'!B:B,'Tabla Articulos'!D:D)</f>
        <v/>
      </c>
      <c r="Q1454" s="96">
        <f>_xlfn.XLOOKUP(S1454,'Tabla Articulos'!B:B,'Tabla Articulos'!E:E)</f>
        <v/>
      </c>
      <c r="R1454" s="96">
        <f>O1454*Q1454</f>
        <v/>
      </c>
      <c r="S1454" s="97">
        <f>TRIM(E1454)</f>
        <v/>
      </c>
    </row>
    <row r="1455" hidden="1">
      <c r="A1455" s="22" t="n">
        <v>5</v>
      </c>
      <c r="B1455" t="inlineStr">
        <is>
          <t xml:space="preserve">CDM02 - MORENO 2              </t>
        </is>
      </c>
      <c r="C1455" t="inlineStr">
        <is>
          <t xml:space="preserve">GRUPO L.                      </t>
        </is>
      </c>
      <c r="D1455" t="inlineStr">
        <is>
          <t>ACEITUNA NEGRA S/C</t>
        </is>
      </c>
      <c r="E1455" t="inlineStr">
        <is>
          <t xml:space="preserve">7793275000341       </t>
        </is>
      </c>
      <c r="F1455" t="n">
        <v>4022445</v>
      </c>
      <c r="G1455" t="inlineStr">
        <is>
          <t xml:space="preserve">ACEITUNAS NEGR DESCA 3KG REYGAL    </t>
        </is>
      </c>
      <c r="H1455" t="inlineStr">
        <is>
          <t xml:space="preserve">UNIDAD              </t>
        </is>
      </c>
      <c r="I1455" t="n">
        <v>20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20</v>
      </c>
      <c r="P1455" s="96">
        <f>_xlfn.XLOOKUP(Tabla5[[#This Row],[EAN CORREGIDO]],'Tabla Articulos'!B:B,'Tabla Articulos'!D:D)</f>
        <v/>
      </c>
      <c r="Q1455" s="96">
        <f>_xlfn.XLOOKUP(S1455,'Tabla Articulos'!B:B,'Tabla Articulos'!E:E)</f>
        <v/>
      </c>
      <c r="R1455" s="96">
        <f>O1455*Q1455</f>
        <v/>
      </c>
      <c r="S1455" s="97">
        <f>TRIM(E1455)</f>
        <v/>
      </c>
    </row>
    <row r="1456" hidden="1">
      <c r="A1456" s="22" t="n">
        <v>6</v>
      </c>
      <c r="B1456" t="inlineStr">
        <is>
          <t xml:space="preserve">CDM03 - MORENO 3              </t>
        </is>
      </c>
      <c r="C1456" t="inlineStr">
        <is>
          <t xml:space="preserve">GRUPO L.                      </t>
        </is>
      </c>
      <c r="D1456" s="11" t="n"/>
      <c r="E1456" t="inlineStr">
        <is>
          <t xml:space="preserve">UNIF000621          </t>
        </is>
      </c>
      <c r="F1456" t="n">
        <v>9003159</v>
      </c>
      <c r="G1456" t="inlineStr">
        <is>
          <t xml:space="preserve">GORRO COCINA BAJO GL SUP           </t>
        </is>
      </c>
      <c r="H1456" t="inlineStr">
        <is>
          <t xml:space="preserve">UNIDAD              </t>
        </is>
      </c>
      <c r="I1456" t="n">
        <v>0</v>
      </c>
      <c r="J1456" t="n">
        <v>300</v>
      </c>
      <c r="K1456" t="n">
        <v>0</v>
      </c>
      <c r="L1456" t="n">
        <v>0</v>
      </c>
      <c r="M1456" t="n">
        <v>0</v>
      </c>
      <c r="N1456" t="n">
        <v>0</v>
      </c>
      <c r="O1456" t="n">
        <v>300</v>
      </c>
      <c r="P1456" s="96">
        <f>_xlfn.XLOOKUP(Tabla5[[#This Row],[EAN CORREGIDO]],'Tabla Articulos'!B:B,'Tabla Articulos'!D:D)</f>
        <v/>
      </c>
      <c r="Q1456" s="96">
        <f>_xlfn.XLOOKUP(S1456,'Tabla Articulos'!B:B,'Tabla Articulos'!E:E)</f>
        <v/>
      </c>
      <c r="R1456" s="96">
        <f>O1456*Q1456</f>
        <v/>
      </c>
      <c r="S1456" s="97">
        <f>TRIM(E1456)</f>
        <v/>
      </c>
    </row>
    <row r="1457" hidden="1">
      <c r="A1457" s="22" t="n">
        <v>1</v>
      </c>
      <c r="B1457" t="inlineStr">
        <is>
          <t xml:space="preserve">CD MORENO                     </t>
        </is>
      </c>
      <c r="C1457" t="inlineStr">
        <is>
          <t xml:space="preserve">GRUPO L.                      </t>
        </is>
      </c>
      <c r="D1457" t="inlineStr">
        <is>
          <t>ALMIDON DE MAIZ</t>
        </is>
      </c>
      <c r="E1457" t="inlineStr">
        <is>
          <t xml:space="preserve">7791476019001       </t>
        </is>
      </c>
      <c r="F1457" t="n">
        <v>4023714</v>
      </c>
      <c r="G1457" t="inlineStr">
        <is>
          <t xml:space="preserve">FECULA DE MAIZ STACC X500GR EGRA   </t>
        </is>
      </c>
      <c r="H1457" t="inlineStr">
        <is>
          <t xml:space="preserve">UNIDAD              </t>
        </is>
      </c>
      <c r="I1457" t="n">
        <v>881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881</v>
      </c>
      <c r="P1457" s="96">
        <f>_xlfn.XLOOKUP(Tabla5[[#This Row],[EAN CORREGIDO]],'Tabla Articulos'!B:B,'Tabla Articulos'!D:D)</f>
        <v/>
      </c>
      <c r="Q1457" s="96">
        <f>_xlfn.XLOOKUP(S1457,'Tabla Articulos'!B:B,'Tabla Articulos'!E:E)</f>
        <v/>
      </c>
      <c r="R1457" s="96">
        <f>O1457*Q1457</f>
        <v/>
      </c>
      <c r="S1457" s="97">
        <f>TRIM(E1457)</f>
        <v/>
      </c>
    </row>
    <row r="1458" hidden="1">
      <c r="A1458" s="22" t="n">
        <v>5</v>
      </c>
      <c r="B1458" t="inlineStr">
        <is>
          <t xml:space="preserve">CDM02 - MORENO 2              </t>
        </is>
      </c>
      <c r="C1458" t="inlineStr">
        <is>
          <t xml:space="preserve">GRUPO L.                      </t>
        </is>
      </c>
      <c r="D1458" t="inlineStr">
        <is>
          <t>BOLSAS ARRANQUE</t>
        </is>
      </c>
      <c r="E1458" t="inlineStr">
        <is>
          <t xml:space="preserve">EMB000035           </t>
        </is>
      </c>
      <c r="F1458" t="n">
        <v>2006272</v>
      </c>
      <c r="G1458" t="inlineStr">
        <is>
          <t xml:space="preserve">ROLLO_BOLSA_ARRANQUE_30_X_45       </t>
        </is>
      </c>
      <c r="H1458" t="inlineStr">
        <is>
          <t xml:space="preserve">UNIDAD              </t>
        </is>
      </c>
      <c r="I1458" t="n">
        <v>25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25</v>
      </c>
      <c r="P1458" s="96">
        <f>_xlfn.XLOOKUP(Tabla5[[#This Row],[EAN CORREGIDO]],'Tabla Articulos'!B:B,'Tabla Articulos'!D:D)</f>
        <v/>
      </c>
      <c r="Q1458" s="96">
        <f>_xlfn.XLOOKUP(S1458,'Tabla Articulos'!B:B,'Tabla Articulos'!E:E)</f>
        <v/>
      </c>
      <c r="R1458" s="96">
        <f>O1458*Q1458</f>
        <v/>
      </c>
      <c r="S1458" s="97">
        <f>TRIM(E1458)</f>
        <v/>
      </c>
    </row>
    <row r="1459" hidden="1">
      <c r="A1459" s="22" t="n">
        <v>5</v>
      </c>
      <c r="B1459" t="inlineStr">
        <is>
          <t xml:space="preserve">CDM02 - MORENO 2              </t>
        </is>
      </c>
      <c r="C1459" t="inlineStr">
        <is>
          <t xml:space="preserve">GRUPO L.                      </t>
        </is>
      </c>
      <c r="D1459" t="inlineStr">
        <is>
          <t>ACEITE GIRASOL</t>
        </is>
      </c>
      <c r="E1459" t="inlineStr">
        <is>
          <t xml:space="preserve">7798440570025       </t>
        </is>
      </c>
      <c r="F1459" t="n">
        <v>4022340</v>
      </c>
      <c r="G1459" t="inlineStr">
        <is>
          <t xml:space="preserve">ACEITE DE GIRASOL BUYATTI 900CC    </t>
        </is>
      </c>
      <c r="H1459" t="inlineStr">
        <is>
          <t xml:space="preserve">UNIDAD              </t>
        </is>
      </c>
      <c r="I1459" t="n">
        <v>3900</v>
      </c>
      <c r="J1459" t="n">
        <v>0</v>
      </c>
      <c r="K1459" t="n">
        <v>0</v>
      </c>
      <c r="L1459" t="n">
        <v>0</v>
      </c>
      <c r="M1459" t="n">
        <v>3900</v>
      </c>
      <c r="N1459" t="n">
        <v>0</v>
      </c>
      <c r="O1459" t="n">
        <v>0</v>
      </c>
      <c r="P1459" s="96">
        <f>_xlfn.XLOOKUP(Tabla5[[#This Row],[EAN CORREGIDO]],'Tabla Articulos'!B:B,'Tabla Articulos'!D:D)</f>
        <v/>
      </c>
      <c r="Q1459" s="96">
        <f>_xlfn.XLOOKUP(S1459,'Tabla Articulos'!B:B,'Tabla Articulos'!E:E)</f>
        <v/>
      </c>
      <c r="R1459" s="96">
        <f>O1459*Q1459</f>
        <v/>
      </c>
      <c r="S1459" s="97">
        <f>TRIM(E1459)</f>
        <v/>
      </c>
    </row>
    <row r="1460" hidden="1">
      <c r="A1460" s="22" t="n">
        <v>1</v>
      </c>
      <c r="B1460" t="inlineStr">
        <is>
          <t xml:space="preserve">CD MORENO                     </t>
        </is>
      </c>
      <c r="C1460" t="inlineStr">
        <is>
          <t xml:space="preserve">GRUPO L.                      </t>
        </is>
      </c>
      <c r="D1460" s="11" t="inlineStr">
        <is>
          <t>CAPELLETIS</t>
        </is>
      </c>
      <c r="E1460" t="inlineStr">
        <is>
          <t xml:space="preserve">7795711000076       </t>
        </is>
      </c>
      <c r="F1460" s="11" t="n">
        <v>4018697</v>
      </c>
      <c r="G1460" t="inlineStr">
        <is>
          <t>CAPELETIS POLLO/ESP X 500G VILLA DA</t>
        </is>
      </c>
      <c r="H1460" t="inlineStr">
        <is>
          <t xml:space="preserve">UNIDAD              </t>
        </is>
      </c>
      <c r="I1460" t="n">
        <v>40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40</v>
      </c>
      <c r="P1460" s="96">
        <f>_xlfn.XLOOKUP(Tabla5[[#This Row],[EAN CORREGIDO]],'Tabla Articulos'!B:B,'Tabla Articulos'!D:D)</f>
        <v/>
      </c>
      <c r="Q1460" s="96">
        <f>_xlfn.XLOOKUP(S1460,'Tabla Articulos'!B:B,'Tabla Articulos'!E:E)</f>
        <v/>
      </c>
      <c r="R1460" s="96">
        <f>O1460*Q1460</f>
        <v/>
      </c>
      <c r="S1460" s="97">
        <f>TRIM(E1460)</f>
        <v/>
      </c>
    </row>
    <row r="1461" hidden="1">
      <c r="A1461" s="22" t="n">
        <v>6</v>
      </c>
      <c r="B1461" t="inlineStr">
        <is>
          <t xml:space="preserve">CDM03 - MORENO 3              </t>
        </is>
      </c>
      <c r="C1461" t="inlineStr">
        <is>
          <t xml:space="preserve">GRUPO L.                      </t>
        </is>
      </c>
      <c r="D1461" s="11" t="n"/>
      <c r="E1461" t="inlineStr">
        <is>
          <t xml:space="preserve">BUSAT000270         </t>
        </is>
      </c>
      <c r="F1461" s="11" t="n"/>
      <c r="G1461" t="inlineStr">
        <is>
          <t xml:space="preserve">ACCESORIOS DE SOMBRILLA            </t>
        </is>
      </c>
      <c r="H1461" t="inlineStr">
        <is>
          <t xml:space="preserve">UNIDAD              </t>
        </is>
      </c>
      <c r="I1461" t="n">
        <v>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4</v>
      </c>
      <c r="P1461" s="96">
        <f>_xlfn.XLOOKUP(Tabla5[[#This Row],[EAN CORREGIDO]],'Tabla Articulos'!B:B,'Tabla Articulos'!D:D)</f>
        <v/>
      </c>
      <c r="Q1461" s="96">
        <f>_xlfn.XLOOKUP(S1461,'Tabla Articulos'!B:B,'Tabla Articulos'!E:E)</f>
        <v/>
      </c>
      <c r="R1461" s="96">
        <f>O1461*Q1461</f>
        <v/>
      </c>
      <c r="S1461" s="97">
        <f>TRIM(E1461)</f>
        <v/>
      </c>
    </row>
    <row r="1462" hidden="1">
      <c r="A1462" s="22" t="n">
        <v>6</v>
      </c>
      <c r="B1462" t="inlineStr">
        <is>
          <t xml:space="preserve">CDM03 - MORENO 3              </t>
        </is>
      </c>
      <c r="C1462" t="inlineStr">
        <is>
          <t xml:space="preserve">GRUPO L.                      </t>
        </is>
      </c>
      <c r="E1462" t="inlineStr">
        <is>
          <t xml:space="preserve">BUSAT000924         </t>
        </is>
      </c>
      <c r="G1462" t="inlineStr">
        <is>
          <t xml:space="preserve">COPON GOURMET                      </t>
        </is>
      </c>
      <c r="H1462" t="inlineStr">
        <is>
          <t xml:space="preserve">UNIDAD              </t>
        </is>
      </c>
      <c r="I1462" t="n">
        <v>10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10</v>
      </c>
      <c r="P1462" s="96">
        <f>_xlfn.XLOOKUP(Tabla5[[#This Row],[EAN CORREGIDO]],'Tabla Articulos'!B:B,'Tabla Articulos'!D:D)</f>
        <v/>
      </c>
      <c r="Q1462" s="96">
        <f>_xlfn.XLOOKUP(S1462,'Tabla Articulos'!B:B,'Tabla Articulos'!E:E)</f>
        <v/>
      </c>
      <c r="R1462" s="96">
        <f>O1462*Q1462</f>
        <v/>
      </c>
      <c r="S1462" s="97">
        <f>TRIM(E1462)</f>
        <v/>
      </c>
    </row>
    <row r="1463" hidden="1">
      <c r="A1463" s="22" t="n">
        <v>6</v>
      </c>
      <c r="B1463" t="inlineStr">
        <is>
          <t xml:space="preserve">CDM03 - MORENO 3              </t>
        </is>
      </c>
      <c r="C1463" t="inlineStr">
        <is>
          <t xml:space="preserve">GRUPO L.                      </t>
        </is>
      </c>
      <c r="E1463" t="inlineStr">
        <is>
          <t xml:space="preserve">BUSAT000045         </t>
        </is>
      </c>
      <c r="G1463" t="inlineStr">
        <is>
          <t xml:space="preserve">CUCHARON MEDIANO                   </t>
        </is>
      </c>
      <c r="H1463" t="inlineStr">
        <is>
          <t xml:space="preserve">UNIDAD              </t>
        </is>
      </c>
      <c r="I1463" t="n">
        <v>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2</v>
      </c>
      <c r="P1463" s="96">
        <f>_xlfn.XLOOKUP(Tabla5[[#This Row],[EAN CORREGIDO]],'Tabla Articulos'!B:B,'Tabla Articulos'!D:D)</f>
        <v/>
      </c>
      <c r="Q1463" s="96">
        <f>_xlfn.XLOOKUP(S1463,'Tabla Articulos'!B:B,'Tabla Articulos'!E:E)</f>
        <v/>
      </c>
      <c r="R1463" s="96">
        <f>O1463*Q1463</f>
        <v/>
      </c>
      <c r="S1463" s="97">
        <f>TRIM(E1463)</f>
        <v/>
      </c>
    </row>
    <row r="1464" hidden="1">
      <c r="A1464" s="22" t="n">
        <v>6</v>
      </c>
      <c r="B1464" t="inlineStr">
        <is>
          <t xml:space="preserve">CDM03 - MORENO 3              </t>
        </is>
      </c>
      <c r="C1464" t="inlineStr">
        <is>
          <t xml:space="preserve">GRUPO L.                      </t>
        </is>
      </c>
      <c r="E1464" t="inlineStr">
        <is>
          <t xml:space="preserve">BUSAT000717         </t>
        </is>
      </c>
      <c r="G1464" t="inlineStr">
        <is>
          <t>CAMPERAS TRUCKER TRICAPA EXTERIOR X</t>
        </is>
      </c>
      <c r="H1464" t="inlineStr">
        <is>
          <t xml:space="preserve">UNIDAD              </t>
        </is>
      </c>
      <c r="I1464" t="n">
        <v>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2</v>
      </c>
      <c r="P1464" s="96">
        <f>_xlfn.XLOOKUP(Tabla5[[#This Row],[EAN CORREGIDO]],'Tabla Articulos'!B:B,'Tabla Articulos'!D:D)</f>
        <v/>
      </c>
      <c r="Q1464" s="96">
        <f>_xlfn.XLOOKUP(S1464,'Tabla Articulos'!B:B,'Tabla Articulos'!E:E)</f>
        <v/>
      </c>
      <c r="R1464" s="96">
        <f>O1464*Q1464</f>
        <v/>
      </c>
      <c r="S1464" s="97">
        <f>TRIM(E1464)</f>
        <v/>
      </c>
    </row>
    <row r="1465" hidden="1">
      <c r="A1465" s="22" t="n">
        <v>6</v>
      </c>
      <c r="B1465" t="inlineStr">
        <is>
          <t xml:space="preserve">CDM03 - MORENO 3              </t>
        </is>
      </c>
      <c r="C1465" t="inlineStr">
        <is>
          <t xml:space="preserve">GRUPO L.                      </t>
        </is>
      </c>
      <c r="E1465" t="inlineStr">
        <is>
          <t xml:space="preserve">BUSAT000604         </t>
        </is>
      </c>
      <c r="G1465" t="inlineStr">
        <is>
          <t xml:space="preserve">CHOMBA GRIS MANGA CORTA S          </t>
        </is>
      </c>
      <c r="H1465" t="inlineStr">
        <is>
          <t xml:space="preserve">UNIDAD              </t>
        </is>
      </c>
      <c r="I1465" t="n">
        <v>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5</v>
      </c>
      <c r="P1465" s="96">
        <f>_xlfn.XLOOKUP(Tabla5[[#This Row],[EAN CORREGIDO]],'Tabla Articulos'!B:B,'Tabla Articulos'!D:D)</f>
        <v/>
      </c>
      <c r="Q1465" s="96">
        <f>_xlfn.XLOOKUP(S1465,'Tabla Articulos'!B:B,'Tabla Articulos'!E:E)</f>
        <v/>
      </c>
      <c r="R1465" s="96">
        <f>O1465*Q1465</f>
        <v/>
      </c>
      <c r="S1465" s="97">
        <f>TRIM(E1465)</f>
        <v/>
      </c>
    </row>
    <row r="1466" hidden="1">
      <c r="A1466" s="22" t="n">
        <v>1</v>
      </c>
      <c r="B1466" t="inlineStr">
        <is>
          <t xml:space="preserve">CD MORENO                     </t>
        </is>
      </c>
      <c r="C1466" t="inlineStr">
        <is>
          <t xml:space="preserve">GRUPO L.                      </t>
        </is>
      </c>
      <c r="D1466" t="inlineStr">
        <is>
          <t>CARNE FETEADA</t>
        </is>
      </c>
      <c r="E1466" t="inlineStr">
        <is>
          <t xml:space="preserve">7790212030032       </t>
        </is>
      </c>
      <c r="F1466" t="n">
        <v>4017776</v>
      </c>
      <c r="G1466" t="inlineStr">
        <is>
          <t xml:space="preserve">BOLA DE LOMO FETEADA X KG.         </t>
        </is>
      </c>
      <c r="H1466" t="inlineStr">
        <is>
          <t xml:space="preserve">Kgs                 </t>
        </is>
      </c>
      <c r="I1466" t="n">
        <v>2438.43</v>
      </c>
      <c r="J1466" t="n">
        <v>-168.05</v>
      </c>
      <c r="K1466" t="n">
        <v>-9</v>
      </c>
      <c r="L1466" t="n">
        <v>15</v>
      </c>
      <c r="M1466" t="n">
        <v>39.9</v>
      </c>
      <c r="N1466" t="n">
        <v>0</v>
      </c>
      <c r="O1466" t="n">
        <v>2224.48</v>
      </c>
      <c r="P1466" s="96">
        <f>_xlfn.XLOOKUP(Tabla5[[#This Row],[EAN CORREGIDO]],'Tabla Articulos'!B:B,'Tabla Articulos'!D:D)</f>
        <v/>
      </c>
      <c r="Q1466" s="96">
        <f>_xlfn.XLOOKUP(S1466,'Tabla Articulos'!B:B,'Tabla Articulos'!E:E)</f>
        <v/>
      </c>
      <c r="R1466" s="96">
        <f>O1466*Q1466</f>
        <v/>
      </c>
      <c r="S1466" s="97">
        <f>TRIM(E1466)</f>
        <v/>
      </c>
    </row>
    <row r="1467" hidden="1">
      <c r="A1467" s="22" t="n">
        <v>6</v>
      </c>
      <c r="B1467" t="inlineStr">
        <is>
          <t xml:space="preserve">CDM03 - MORENO 3              </t>
        </is>
      </c>
      <c r="C1467" t="inlineStr">
        <is>
          <t xml:space="preserve">GRUPO L.                      </t>
        </is>
      </c>
      <c r="E1467" t="inlineStr">
        <is>
          <t xml:space="preserve">BAZ001178           </t>
        </is>
      </c>
      <c r="F1467" t="n">
        <v>9003745</v>
      </c>
      <c r="G1467" t="inlineStr">
        <is>
          <t xml:space="preserve">COMPOTERA ACE INOX PROFX 10.8CM    </t>
        </is>
      </c>
      <c r="H1467" t="inlineStr">
        <is>
          <t xml:space="preserve">UNIDAD              </t>
        </is>
      </c>
      <c r="I1467" t="n">
        <v>588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588</v>
      </c>
      <c r="P1467" s="96">
        <f>_xlfn.XLOOKUP(Tabla5[[#This Row],[EAN CORREGIDO]],'Tabla Articulos'!B:B,'Tabla Articulos'!D:D)</f>
        <v/>
      </c>
      <c r="Q1467" s="96">
        <f>_xlfn.XLOOKUP(S1467,'Tabla Articulos'!B:B,'Tabla Articulos'!E:E)</f>
        <v/>
      </c>
      <c r="R1467" s="96">
        <f>O1467*Q1467</f>
        <v/>
      </c>
      <c r="S1467" s="97">
        <f>TRIM(E1467)</f>
        <v/>
      </c>
    </row>
    <row r="1468" hidden="1">
      <c r="A1468" s="22" t="n">
        <v>1</v>
      </c>
      <c r="B1468" t="inlineStr">
        <is>
          <t xml:space="preserve">CD MORENO                     </t>
        </is>
      </c>
      <c r="C1468" t="inlineStr">
        <is>
          <t xml:space="preserve">GRUPO L.                      </t>
        </is>
      </c>
      <c r="D1468" t="inlineStr">
        <is>
          <t>CHAMPIGNON TROZOS</t>
        </is>
      </c>
      <c r="E1468" t="inlineStr">
        <is>
          <t xml:space="preserve">7790499000850       </t>
        </is>
      </c>
      <c r="F1468" t="n">
        <v>4024242</v>
      </c>
      <c r="G1468" t="inlineStr">
        <is>
          <t xml:space="preserve">CHAMPIGNON TROZO X2.840 KG LA BAND </t>
        </is>
      </c>
      <c r="H1468" t="inlineStr">
        <is>
          <t xml:space="preserve">UNIDAD              </t>
        </is>
      </c>
      <c r="I1468" t="n">
        <v>34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34</v>
      </c>
      <c r="P1468" s="96">
        <f>_xlfn.XLOOKUP(Tabla5[[#This Row],[EAN CORREGIDO]],'Tabla Articulos'!B:B,'Tabla Articulos'!D:D)</f>
        <v/>
      </c>
      <c r="Q1468" s="96">
        <f>_xlfn.XLOOKUP(S1468,'Tabla Articulos'!B:B,'Tabla Articulos'!E:E)</f>
        <v/>
      </c>
      <c r="R1468" s="96">
        <f>O1468*Q1468</f>
        <v/>
      </c>
      <c r="S1468" s="97">
        <f>TRIM(E1468)</f>
        <v/>
      </c>
    </row>
    <row r="1469" hidden="1">
      <c r="A1469" s="22" t="n">
        <v>1</v>
      </c>
      <c r="B1469" t="inlineStr">
        <is>
          <t xml:space="preserve">CD MORENO                     </t>
        </is>
      </c>
      <c r="C1469" t="inlineStr">
        <is>
          <t xml:space="preserve">GRUPO L.                      </t>
        </is>
      </c>
      <c r="D1469" t="inlineStr">
        <is>
          <t>JUGO LIMON</t>
        </is>
      </c>
      <c r="E1469" t="inlineStr">
        <is>
          <t xml:space="preserve">7798142740160       </t>
        </is>
      </c>
      <c r="F1469" t="n">
        <v>4024271</v>
      </c>
      <c r="G1469" t="inlineStr">
        <is>
          <t xml:space="preserve">JUGO LIMON X960CC SILVA            </t>
        </is>
      </c>
      <c r="H1469" t="inlineStr">
        <is>
          <t xml:space="preserve">UNIDAD              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1</v>
      </c>
      <c r="P1469" s="96">
        <f>_xlfn.XLOOKUP(Tabla5[[#This Row],[EAN CORREGIDO]],'Tabla Articulos'!B:B,'Tabla Articulos'!D:D)</f>
        <v/>
      </c>
      <c r="Q1469" s="96">
        <f>_xlfn.XLOOKUP(S1469,'Tabla Articulos'!B:B,'Tabla Articulos'!E:E)</f>
        <v/>
      </c>
      <c r="R1469" s="96">
        <f>O1469*Q1469</f>
        <v/>
      </c>
      <c r="S1469" s="97">
        <f>TRIM(E1469)</f>
        <v/>
      </c>
    </row>
    <row r="1470" hidden="1">
      <c r="A1470" s="22" t="n">
        <v>6</v>
      </c>
      <c r="B1470" t="inlineStr">
        <is>
          <t xml:space="preserve">CDM03 - MORENO 3              </t>
        </is>
      </c>
      <c r="C1470" t="inlineStr">
        <is>
          <t xml:space="preserve">GRUPO L.                      </t>
        </is>
      </c>
      <c r="E1470" t="inlineStr">
        <is>
          <t xml:space="preserve">UNIF000447          </t>
        </is>
      </c>
      <c r="F1470" t="n">
        <v>9003608</v>
      </c>
      <c r="G1470" t="inlineStr">
        <is>
          <t xml:space="preserve">CAMPERA TRUCK A. MAR. 3XL GL       </t>
        </is>
      </c>
      <c r="H1470" t="inlineStr">
        <is>
          <t xml:space="preserve">UNIDAD              </t>
        </is>
      </c>
      <c r="I1470" t="n">
        <v>42</v>
      </c>
      <c r="J1470" t="n">
        <v>80</v>
      </c>
      <c r="K1470" t="n">
        <v>0</v>
      </c>
      <c r="L1470" t="n">
        <v>0</v>
      </c>
      <c r="M1470" t="n">
        <v>0</v>
      </c>
      <c r="N1470" t="n">
        <v>0</v>
      </c>
      <c r="O1470" t="n">
        <v>122</v>
      </c>
      <c r="P1470" s="96">
        <f>_xlfn.XLOOKUP(Tabla5[[#This Row],[EAN CORREGIDO]],'Tabla Articulos'!B:B,'Tabla Articulos'!D:D)</f>
        <v/>
      </c>
      <c r="Q1470" s="96">
        <f>_xlfn.XLOOKUP(S1470,'Tabla Articulos'!B:B,'Tabla Articulos'!E:E)</f>
        <v/>
      </c>
      <c r="R1470" s="96">
        <f>O1470*Q1470</f>
        <v/>
      </c>
      <c r="S1470" s="97">
        <f>TRIM(E1470)</f>
        <v/>
      </c>
    </row>
    <row r="1471" hidden="1">
      <c r="A1471" s="22" t="n">
        <v>1</v>
      </c>
      <c r="B1471" t="inlineStr">
        <is>
          <t xml:space="preserve">CD MORENO                     </t>
        </is>
      </c>
      <c r="C1471" t="inlineStr">
        <is>
          <t xml:space="preserve">GRUPO L.                      </t>
        </is>
      </c>
      <c r="D1471" s="11" t="inlineStr">
        <is>
          <t>LECHUGA</t>
        </is>
      </c>
      <c r="E1471" t="inlineStr">
        <is>
          <t xml:space="preserve">7790216010092       </t>
        </is>
      </c>
      <c r="F1471" t="n">
        <v>4018028</v>
      </c>
      <c r="G1471" t="inlineStr">
        <is>
          <t xml:space="preserve">LECHUGA X KG                       </t>
        </is>
      </c>
      <c r="H1471" t="inlineStr">
        <is>
          <t xml:space="preserve">Kgs                 </t>
        </is>
      </c>
      <c r="I1471" t="n">
        <v>75.29000000000001</v>
      </c>
      <c r="J1471" t="n">
        <v>0</v>
      </c>
      <c r="K1471" t="n">
        <v>0</v>
      </c>
      <c r="L1471" t="n">
        <v>2.58</v>
      </c>
      <c r="M1471" t="n">
        <v>2.58</v>
      </c>
      <c r="N1471" t="n">
        <v>0</v>
      </c>
      <c r="O1471" t="n">
        <v>70.13</v>
      </c>
      <c r="P1471" s="96">
        <f>_xlfn.XLOOKUP(Tabla5[[#This Row],[EAN CORREGIDO]],'Tabla Articulos'!B:B,'Tabla Articulos'!D:D)</f>
        <v/>
      </c>
      <c r="Q1471" s="96">
        <f>_xlfn.XLOOKUP(S1471,'Tabla Articulos'!B:B,'Tabla Articulos'!E:E)</f>
        <v/>
      </c>
      <c r="R1471" s="96">
        <f>O1471*Q1471</f>
        <v/>
      </c>
      <c r="S1471" s="97">
        <f>TRIM(E1471)</f>
        <v/>
      </c>
    </row>
    <row r="1472" hidden="1">
      <c r="A1472" s="22" t="n">
        <v>5</v>
      </c>
      <c r="B1472" t="inlineStr">
        <is>
          <t xml:space="preserve">CDM02 - MORENO 2              </t>
        </is>
      </c>
      <c r="C1472" t="inlineStr">
        <is>
          <t xml:space="preserve">GRUPO L.                      </t>
        </is>
      </c>
      <c r="D1472" t="inlineStr">
        <is>
          <t>SOJA TEXTURIZADA</t>
        </is>
      </c>
      <c r="E1472" t="inlineStr">
        <is>
          <t xml:space="preserve">7793323004789       </t>
        </is>
      </c>
      <c r="F1472" t="n">
        <v>4020182</v>
      </c>
      <c r="G1472" t="inlineStr">
        <is>
          <t xml:space="preserve">SOJA TEXTURIZADA X350G DICOMERE    </t>
        </is>
      </c>
      <c r="H1472" t="inlineStr">
        <is>
          <t xml:space="preserve">UNIDAD              </t>
        </is>
      </c>
      <c r="I1472" t="n">
        <v>30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30</v>
      </c>
      <c r="P1472" s="96">
        <f>_xlfn.XLOOKUP(Tabla5[[#This Row],[EAN CORREGIDO]],'Tabla Articulos'!B:B,'Tabla Articulos'!D:D)</f>
        <v/>
      </c>
      <c r="Q1472" s="96">
        <f>_xlfn.XLOOKUP(S1472,'Tabla Articulos'!B:B,'Tabla Articulos'!E:E)</f>
        <v/>
      </c>
      <c r="R1472" s="96">
        <f>O1472*Q1472</f>
        <v/>
      </c>
      <c r="S1472" s="97">
        <f>TRIM(E1472)</f>
        <v/>
      </c>
    </row>
    <row r="1473" hidden="1">
      <c r="A1473" s="22" t="n">
        <v>6</v>
      </c>
      <c r="B1473" t="inlineStr">
        <is>
          <t xml:space="preserve">CDM03 - MORENO 3              </t>
        </is>
      </c>
      <c r="C1473" t="inlineStr">
        <is>
          <t xml:space="preserve">GRUPO L.                      </t>
        </is>
      </c>
      <c r="E1473" t="inlineStr">
        <is>
          <t xml:space="preserve">UNIF000640          </t>
        </is>
      </c>
      <c r="F1473" t="n">
        <v>9003970</v>
      </c>
      <c r="G1473" t="inlineStr">
        <is>
          <t xml:space="preserve">BUZO A. MAR. FRISA CGOUR S         </t>
        </is>
      </c>
      <c r="H1473" t="inlineStr">
        <is>
          <t xml:space="preserve">UNIDAD              </t>
        </is>
      </c>
      <c r="I1473" t="n">
        <v>10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10</v>
      </c>
      <c r="P1473" s="96">
        <f>_xlfn.XLOOKUP(Tabla5[[#This Row],[EAN CORREGIDO]],'Tabla Articulos'!B:B,'Tabla Articulos'!D:D)</f>
        <v/>
      </c>
      <c r="Q1473" s="96">
        <f>_xlfn.XLOOKUP(S1473,'Tabla Articulos'!B:B,'Tabla Articulos'!E:E)</f>
        <v/>
      </c>
      <c r="R1473" s="96">
        <f>O1473*Q1473</f>
        <v/>
      </c>
      <c r="S1473" s="97">
        <f>TRIM(E1473)</f>
        <v/>
      </c>
    </row>
    <row r="1474" hidden="1">
      <c r="A1474" s="22" t="n">
        <v>6</v>
      </c>
      <c r="B1474" t="inlineStr">
        <is>
          <t xml:space="preserve">CDM03 - MORENO 3              </t>
        </is>
      </c>
      <c r="C1474" t="inlineStr">
        <is>
          <t xml:space="preserve">GRUPO L.                      </t>
        </is>
      </c>
      <c r="E1474" t="inlineStr">
        <is>
          <t xml:space="preserve">UNIF000381          </t>
        </is>
      </c>
      <c r="F1474" t="n">
        <v>9003645</v>
      </c>
      <c r="G1474" t="inlineStr">
        <is>
          <t xml:space="preserve">SWEATER AZUL MAR GRUPO L L         </t>
        </is>
      </c>
      <c r="H1474" t="inlineStr">
        <is>
          <t xml:space="preserve">UNIDAD              </t>
        </is>
      </c>
      <c r="I1474" t="n">
        <v>11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11</v>
      </c>
      <c r="P1474" s="96">
        <f>_xlfn.XLOOKUP(Tabla5[[#This Row],[EAN CORREGIDO]],'Tabla Articulos'!B:B,'Tabla Articulos'!D:D)</f>
        <v/>
      </c>
      <c r="Q1474" s="96">
        <f>_xlfn.XLOOKUP(S1474,'Tabla Articulos'!B:B,'Tabla Articulos'!E:E)</f>
        <v/>
      </c>
      <c r="R1474" s="96">
        <f>O1474*Q1474</f>
        <v/>
      </c>
      <c r="S1474" s="97">
        <f>TRIM(E1474)</f>
        <v/>
      </c>
    </row>
    <row r="1475" hidden="1">
      <c r="A1475" s="22" t="n">
        <v>6</v>
      </c>
      <c r="B1475" t="inlineStr">
        <is>
          <t xml:space="preserve">CDM03 - MORENO 3              </t>
        </is>
      </c>
      <c r="C1475" t="inlineStr">
        <is>
          <t xml:space="preserve">GRUPO L.                      </t>
        </is>
      </c>
      <c r="D1475" t="inlineStr">
        <is>
          <t>TRAPOS DE PISO</t>
        </is>
      </c>
      <c r="E1475" t="inlineStr">
        <is>
          <t xml:space="preserve">7798349550012       </t>
        </is>
      </c>
      <c r="F1475" t="n">
        <v>2016615</v>
      </c>
      <c r="G1475" t="inlineStr">
        <is>
          <t xml:space="preserve">TRAPO DE PISO GRIS X U             </t>
        </is>
      </c>
      <c r="H1475" t="inlineStr">
        <is>
          <t xml:space="preserve">BULTOS              </t>
        </is>
      </c>
      <c r="I1475" t="n">
        <v>629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629</v>
      </c>
      <c r="P1475" s="96">
        <f>_xlfn.XLOOKUP(Tabla5[[#This Row],[EAN CORREGIDO]],'Tabla Articulos'!B:B,'Tabla Articulos'!D:D)</f>
        <v/>
      </c>
      <c r="Q1475" s="96">
        <f>_xlfn.XLOOKUP(S1475,'Tabla Articulos'!B:B,'Tabla Articulos'!E:E)</f>
        <v/>
      </c>
      <c r="R1475" s="96">
        <f>O1475*Q1475</f>
        <v/>
      </c>
      <c r="S1475" s="97">
        <f>TRIM(E1475)</f>
        <v/>
      </c>
    </row>
    <row r="1476" hidden="1">
      <c r="A1476" s="22" t="n">
        <v>1</v>
      </c>
      <c r="B1476" t="inlineStr">
        <is>
          <t xml:space="preserve">CD MORENO                     </t>
        </is>
      </c>
      <c r="C1476" t="inlineStr">
        <is>
          <t xml:space="preserve">GRUPO L.                      </t>
        </is>
      </c>
      <c r="D1476" s="11" t="inlineStr">
        <is>
          <t>PEPAS</t>
        </is>
      </c>
      <c r="E1476" t="inlineStr">
        <is>
          <t xml:space="preserve">7796236000558       </t>
        </is>
      </c>
      <c r="F1476" t="n">
        <v>4018860</v>
      </c>
      <c r="G1476" t="inlineStr">
        <is>
          <t xml:space="preserve">GALLE DULCE PEPA X180 GRS RIEDMAR  </t>
        </is>
      </c>
      <c r="H1476" t="inlineStr">
        <is>
          <t xml:space="preserve">UNIDAD              </t>
        </is>
      </c>
      <c r="I1476" t="n">
        <v>12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12</v>
      </c>
      <c r="P1476" s="96">
        <f>_xlfn.XLOOKUP(Tabla5[[#This Row],[EAN CORREGIDO]],'Tabla Articulos'!B:B,'Tabla Articulos'!D:D)</f>
        <v/>
      </c>
      <c r="Q1476" s="96">
        <f>_xlfn.XLOOKUP(S1476,'Tabla Articulos'!B:B,'Tabla Articulos'!E:E)</f>
        <v/>
      </c>
      <c r="R1476" s="96">
        <f>O1476*Q1476</f>
        <v/>
      </c>
      <c r="S1476" s="97">
        <f>TRIM(E1476)</f>
        <v/>
      </c>
    </row>
    <row r="1477" hidden="1">
      <c r="A1477" s="22" t="n">
        <v>6</v>
      </c>
      <c r="B1477" t="inlineStr">
        <is>
          <t xml:space="preserve">CDM03 - MORENO 3              </t>
        </is>
      </c>
      <c r="C1477" t="inlineStr">
        <is>
          <t xml:space="preserve">GRUPO L.                      </t>
        </is>
      </c>
      <c r="D1477" t="inlineStr">
        <is>
          <t>PULVERIZADOR</t>
        </is>
      </c>
      <c r="E1477" t="inlineStr">
        <is>
          <t xml:space="preserve">7798150311534       </t>
        </is>
      </c>
      <c r="F1477" t="n">
        <v>2016730</v>
      </c>
      <c r="G1477" t="inlineStr">
        <is>
          <t xml:space="preserve">PULVERIZADOR X1LT                  </t>
        </is>
      </c>
      <c r="H1477" t="inlineStr">
        <is>
          <t xml:space="preserve">UNIDAD              </t>
        </is>
      </c>
      <c r="I1477" t="n">
        <v>158</v>
      </c>
      <c r="J1477" t="n">
        <v>126</v>
      </c>
      <c r="K1477" t="n">
        <v>0</v>
      </c>
      <c r="L1477" t="n">
        <v>0</v>
      </c>
      <c r="M1477" t="n">
        <v>0</v>
      </c>
      <c r="N1477" t="n">
        <v>0</v>
      </c>
      <c r="O1477" t="n">
        <v>284</v>
      </c>
      <c r="P1477" s="96">
        <f>_xlfn.XLOOKUP(Tabla5[[#This Row],[EAN CORREGIDO]],'Tabla Articulos'!B:B,'Tabla Articulos'!D:D)</f>
        <v/>
      </c>
      <c r="Q1477" s="96">
        <f>_xlfn.XLOOKUP(S1477,'Tabla Articulos'!B:B,'Tabla Articulos'!E:E)</f>
        <v/>
      </c>
      <c r="R1477" s="96">
        <f>O1477*Q1477</f>
        <v/>
      </c>
      <c r="S1477" s="97">
        <f>TRIM(E1477)</f>
        <v/>
      </c>
    </row>
    <row r="1478" hidden="1">
      <c r="A1478" s="22" t="n">
        <v>6</v>
      </c>
      <c r="B1478" t="inlineStr">
        <is>
          <t xml:space="preserve">CDM03 - MORENO 3              </t>
        </is>
      </c>
      <c r="C1478" t="inlineStr">
        <is>
          <t xml:space="preserve">GRUPO L.                      </t>
        </is>
      </c>
      <c r="D1478" s="11" t="inlineStr">
        <is>
          <t xml:space="preserve">FIBRA ESPONJA  </t>
        </is>
      </c>
      <c r="E1478" t="inlineStr">
        <is>
          <t xml:space="preserve">7790000000665       </t>
        </is>
      </c>
      <c r="F1478" t="n">
        <v>2011420</v>
      </c>
      <c r="G1478" t="inlineStr">
        <is>
          <t xml:space="preserve">ROLLO DE FIBRA VERDE ANCHOXUN      </t>
        </is>
      </c>
      <c r="H1478" t="inlineStr">
        <is>
          <t xml:space="preserve">UNIDAD              </t>
        </is>
      </c>
      <c r="I1478" t="n">
        <v>116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116</v>
      </c>
      <c r="P1478" s="96">
        <f>_xlfn.XLOOKUP(Tabla5[[#This Row],[EAN CORREGIDO]],'Tabla Articulos'!B:B,'Tabla Articulos'!D:D)</f>
        <v/>
      </c>
      <c r="Q1478" s="96">
        <f>_xlfn.XLOOKUP(S1478,'Tabla Articulos'!B:B,'Tabla Articulos'!E:E)</f>
        <v/>
      </c>
      <c r="R1478" s="96">
        <f>O1478*Q1478</f>
        <v/>
      </c>
      <c r="S1478" s="97">
        <f>TRIM(E1478)</f>
        <v/>
      </c>
    </row>
    <row r="1479" hidden="1">
      <c r="A1479" s="22" t="n">
        <v>1</v>
      </c>
      <c r="B1479" t="inlineStr">
        <is>
          <t xml:space="preserve">CD MORENO                     </t>
        </is>
      </c>
      <c r="C1479" t="inlineStr">
        <is>
          <t xml:space="preserve">GRUPO L.                      </t>
        </is>
      </c>
      <c r="D1479" s="11" t="inlineStr">
        <is>
          <t>DURAZNO MITAD LATA</t>
        </is>
      </c>
      <c r="E1479" t="inlineStr">
        <is>
          <t xml:space="preserve">7790500006673       </t>
        </is>
      </c>
      <c r="F1479" t="n">
        <v>4076481</v>
      </c>
      <c r="G1479" t="inlineStr">
        <is>
          <t xml:space="preserve">DURAZNO MITAD X400G GOLDEN PEACH   </t>
        </is>
      </c>
      <c r="H1479" t="inlineStr">
        <is>
          <t xml:space="preserve">UNIDAD              </t>
        </is>
      </c>
      <c r="I1479" t="n">
        <v>141</v>
      </c>
      <c r="J1479" t="n">
        <v>0</v>
      </c>
      <c r="K1479" t="n">
        <v>0</v>
      </c>
      <c r="L1479" t="n">
        <v>48</v>
      </c>
      <c r="M1479" t="n">
        <v>48</v>
      </c>
      <c r="N1479" t="n">
        <v>0</v>
      </c>
      <c r="O1479" t="n">
        <v>45</v>
      </c>
      <c r="P1479" s="96">
        <f>_xlfn.XLOOKUP(Tabla5[[#This Row],[EAN CORREGIDO]],'Tabla Articulos'!B:B,'Tabla Articulos'!D:D)</f>
        <v/>
      </c>
      <c r="Q1479" s="96">
        <f>_xlfn.XLOOKUP(S1479,'Tabla Articulos'!B:B,'Tabla Articulos'!E:E)</f>
        <v/>
      </c>
      <c r="R1479" s="96">
        <f>O1479*Q1479</f>
        <v/>
      </c>
      <c r="S1479" s="97">
        <f>TRIM(E1479)</f>
        <v/>
      </c>
    </row>
    <row r="1480" hidden="1">
      <c r="A1480" s="22" t="n">
        <v>6</v>
      </c>
      <c r="B1480" t="inlineStr">
        <is>
          <t xml:space="preserve">CDM03 - MORENO 3              </t>
        </is>
      </c>
      <c r="C1480" t="inlineStr">
        <is>
          <t xml:space="preserve">GRUPO L.                      </t>
        </is>
      </c>
      <c r="D1480" t="inlineStr">
        <is>
          <t>PAÑO MICROFIBRA</t>
        </is>
      </c>
      <c r="E1480" t="inlineStr">
        <is>
          <t xml:space="preserve">7790000000473       </t>
        </is>
      </c>
      <c r="F1480" t="n">
        <v>2007499</v>
      </c>
      <c r="G1480" t="inlineStr">
        <is>
          <t xml:space="preserve">PANO MICROFIBRA AZUL XUN           </t>
        </is>
      </c>
      <c r="H1480" t="inlineStr">
        <is>
          <t xml:space="preserve">UNIDAD              </t>
        </is>
      </c>
      <c r="I1480" t="n">
        <v>30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30</v>
      </c>
      <c r="P1480" s="96">
        <f>_xlfn.XLOOKUP(Tabla5[[#This Row],[EAN CORREGIDO]],'Tabla Articulos'!B:B,'Tabla Articulos'!D:D)</f>
        <v/>
      </c>
      <c r="Q1480" s="96">
        <f>_xlfn.XLOOKUP(S1480,'Tabla Articulos'!B:B,'Tabla Articulos'!E:E)</f>
        <v/>
      </c>
      <c r="R1480" s="96">
        <f>O1480*Q1480</f>
        <v/>
      </c>
      <c r="S1480" s="97">
        <f>TRIM(E1480)</f>
        <v/>
      </c>
    </row>
    <row r="1481" hidden="1">
      <c r="A1481" s="22" t="n">
        <v>1</v>
      </c>
      <c r="B1481" t="inlineStr">
        <is>
          <t xml:space="preserve">CD MORENO                     </t>
        </is>
      </c>
      <c r="C1481" t="inlineStr">
        <is>
          <t xml:space="preserve">GRUPO L.                      </t>
        </is>
      </c>
      <c r="D1481" t="inlineStr">
        <is>
          <t>ARROZ INTEGRAL</t>
        </is>
      </c>
      <c r="E1481" t="inlineStr">
        <is>
          <t xml:space="preserve">7790503199105       </t>
        </is>
      </c>
      <c r="F1481" t="n">
        <v>4022715</v>
      </c>
      <c r="G1481" t="inlineStr">
        <is>
          <t xml:space="preserve">ARROZ INTEGRAL X1KG DOS HERMA	     </t>
        </is>
      </c>
      <c r="H1481" t="inlineStr">
        <is>
          <t xml:space="preserve">UNIDAD              </t>
        </is>
      </c>
      <c r="I1481" t="n">
        <v>453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453</v>
      </c>
      <c r="P1481" s="96">
        <f>_xlfn.XLOOKUP(Tabla5[[#This Row],[EAN CORREGIDO]],'Tabla Articulos'!B:B,'Tabla Articulos'!D:D)</f>
        <v/>
      </c>
      <c r="Q1481" s="96">
        <f>_xlfn.XLOOKUP(S1481,'Tabla Articulos'!B:B,'Tabla Articulos'!E:E)</f>
        <v/>
      </c>
      <c r="R1481" s="96">
        <f>O1481*Q1481</f>
        <v/>
      </c>
      <c r="S1481" s="97">
        <f>TRIM(E1481)</f>
        <v/>
      </c>
    </row>
    <row r="1482" hidden="1">
      <c r="A1482" s="22" t="n">
        <v>5</v>
      </c>
      <c r="B1482" t="inlineStr">
        <is>
          <t xml:space="preserve">CDM02 - MORENO 2              </t>
        </is>
      </c>
      <c r="C1482" t="inlineStr">
        <is>
          <t xml:space="preserve">GRUPO L.                      </t>
        </is>
      </c>
      <c r="D1482" t="inlineStr">
        <is>
          <t>ARROZ INTEGRAL</t>
        </is>
      </c>
      <c r="E1482" t="inlineStr">
        <is>
          <t xml:space="preserve">7790503199105       </t>
        </is>
      </c>
      <c r="F1482" t="n">
        <v>4022715</v>
      </c>
      <c r="G1482" t="inlineStr">
        <is>
          <t xml:space="preserve">ARROZ INTEGRAL X1KG DOS HERMA	     </t>
        </is>
      </c>
      <c r="H1482" t="inlineStr">
        <is>
          <t xml:space="preserve">UNIDAD              </t>
        </is>
      </c>
      <c r="I1482" t="n">
        <v>8</v>
      </c>
      <c r="J1482" t="n">
        <v>0</v>
      </c>
      <c r="K1482" t="n">
        <v>0</v>
      </c>
      <c r="L1482" t="n">
        <v>4</v>
      </c>
      <c r="M1482" t="n">
        <v>4</v>
      </c>
      <c r="N1482" t="n">
        <v>0</v>
      </c>
      <c r="O1482" t="n">
        <v>0</v>
      </c>
      <c r="P1482" s="96">
        <f>_xlfn.XLOOKUP(Tabla5[[#This Row],[EAN CORREGIDO]],'Tabla Articulos'!B:B,'Tabla Articulos'!D:D)</f>
        <v/>
      </c>
      <c r="Q1482" s="96">
        <f>_xlfn.XLOOKUP(S1482,'Tabla Articulos'!B:B,'Tabla Articulos'!E:E)</f>
        <v/>
      </c>
      <c r="R1482" s="96">
        <f>O1482*Q1482</f>
        <v/>
      </c>
      <c r="S1482" s="97">
        <f>TRIM(E1482)</f>
        <v/>
      </c>
    </row>
    <row r="1483" hidden="1">
      <c r="A1483" s="22" t="n">
        <v>6</v>
      </c>
      <c r="B1483" t="inlineStr">
        <is>
          <t xml:space="preserve">CDM03 - MORENO 3              </t>
        </is>
      </c>
      <c r="C1483" t="inlineStr">
        <is>
          <t xml:space="preserve">GRUPO L.                      </t>
        </is>
      </c>
      <c r="D1483" s="11" t="n"/>
      <c r="E1483" t="inlineStr">
        <is>
          <t xml:space="preserve">UNIF000369          </t>
        </is>
      </c>
      <c r="F1483" t="n">
        <v>9003633</v>
      </c>
      <c r="G1483" t="inlineStr">
        <is>
          <t xml:space="preserve">SWEETER GRIS LANA GL SUP LIMP M    </t>
        </is>
      </c>
      <c r="H1483" t="inlineStr">
        <is>
          <t xml:space="preserve">UNIDAD              </t>
        </is>
      </c>
      <c r="I1483" t="n">
        <v>34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34</v>
      </c>
      <c r="P1483" s="96">
        <f>_xlfn.XLOOKUP(Tabla5[[#This Row],[EAN CORREGIDO]],'Tabla Articulos'!B:B,'Tabla Articulos'!D:D)</f>
        <v/>
      </c>
      <c r="Q1483" s="96">
        <f>_xlfn.XLOOKUP(S1483,'Tabla Articulos'!B:B,'Tabla Articulos'!E:E)</f>
        <v/>
      </c>
      <c r="R1483" s="96">
        <f>O1483*Q1483</f>
        <v/>
      </c>
      <c r="S1483" s="97">
        <f>TRIM(E1483)</f>
        <v/>
      </c>
    </row>
    <row r="1484" hidden="1">
      <c r="A1484" s="22" t="n">
        <v>5</v>
      </c>
      <c r="B1484" t="inlineStr">
        <is>
          <t xml:space="preserve">CDM02 - MORENO 2              </t>
        </is>
      </c>
      <c r="C1484" t="inlineStr">
        <is>
          <t xml:space="preserve">GRUPO L.                      </t>
        </is>
      </c>
      <c r="D1484" t="inlineStr">
        <is>
          <t>KETCHUP INDIV</t>
        </is>
      </c>
      <c r="E1484" t="inlineStr">
        <is>
          <t xml:space="preserve">7798011976614       </t>
        </is>
      </c>
      <c r="F1484" t="n">
        <v>4020279</v>
      </c>
      <c r="G1484" t="inlineStr">
        <is>
          <t xml:space="preserve">KETCHUP IND 8CC X198U ABEDUL       </t>
        </is>
      </c>
      <c r="H1484" t="inlineStr">
        <is>
          <t xml:space="preserve">UNIDAD              </t>
        </is>
      </c>
      <c r="I1484" t="n">
        <v>45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45</v>
      </c>
      <c r="P1484" s="96">
        <f>_xlfn.XLOOKUP(Tabla5[[#This Row],[EAN CORREGIDO]],'Tabla Articulos'!B:B,'Tabla Articulos'!D:D)</f>
        <v/>
      </c>
      <c r="Q1484" s="96">
        <f>_xlfn.XLOOKUP(S1484,'Tabla Articulos'!B:B,'Tabla Articulos'!E:E)</f>
        <v/>
      </c>
      <c r="R1484" s="96">
        <f>O1484*Q1484</f>
        <v/>
      </c>
      <c r="S1484" s="97">
        <f>TRIM(E1484)</f>
        <v/>
      </c>
    </row>
    <row r="1485" hidden="1">
      <c r="A1485" s="22" t="n">
        <v>6</v>
      </c>
      <c r="B1485" t="inlineStr">
        <is>
          <t xml:space="preserve">CDM03 - MORENO 3              </t>
        </is>
      </c>
      <c r="C1485" t="inlineStr">
        <is>
          <t xml:space="preserve">GRUPO L.                      </t>
        </is>
      </c>
      <c r="E1485" t="inlineStr">
        <is>
          <t xml:space="preserve">UNIF000221          </t>
        </is>
      </c>
      <c r="F1485" t="n">
        <v>9003489</v>
      </c>
      <c r="G1485" t="inlineStr">
        <is>
          <t xml:space="preserve">PANTAL CARG NEGRO NAR. 56 GL SUP   </t>
        </is>
      </c>
      <c r="H1485" t="inlineStr">
        <is>
          <t xml:space="preserve">UNIDAD              </t>
        </is>
      </c>
      <c r="I1485" t="n">
        <v>18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18</v>
      </c>
      <c r="P1485" s="96">
        <f>_xlfn.XLOOKUP(Tabla5[[#This Row],[EAN CORREGIDO]],'Tabla Articulos'!B:B,'Tabla Articulos'!D:D)</f>
        <v/>
      </c>
      <c r="Q1485" s="96">
        <f>_xlfn.XLOOKUP(S1485,'Tabla Articulos'!B:B,'Tabla Articulos'!E:E)</f>
        <v/>
      </c>
      <c r="R1485" s="96">
        <f>O1485*Q1485</f>
        <v/>
      </c>
      <c r="S1485" s="97">
        <f>TRIM(E1485)</f>
        <v/>
      </c>
    </row>
    <row r="1486" hidden="1">
      <c r="A1486" s="22" t="n">
        <v>1</v>
      </c>
      <c r="B1486" t="inlineStr">
        <is>
          <t xml:space="preserve">CD MORENO                     </t>
        </is>
      </c>
      <c r="C1486" t="inlineStr">
        <is>
          <t xml:space="preserve">GRUPO L.                      </t>
        </is>
      </c>
      <c r="D1486" t="inlineStr">
        <is>
          <t>FIDEOS LARGO</t>
        </is>
      </c>
      <c r="E1486" t="inlineStr">
        <is>
          <t xml:space="preserve">7797470199343       </t>
        </is>
      </c>
      <c r="F1486" t="n">
        <v>4020342</v>
      </c>
      <c r="G1486" t="inlineStr">
        <is>
          <t xml:space="preserve">FIDEO TALLARIN X500G MAROLIO       </t>
        </is>
      </c>
      <c r="H1486" t="inlineStr">
        <is>
          <t xml:space="preserve">UNIDAD              </t>
        </is>
      </c>
      <c r="I1486" t="n">
        <v>8757</v>
      </c>
      <c r="J1486" t="n">
        <v>0</v>
      </c>
      <c r="K1486" t="n">
        <v>0</v>
      </c>
      <c r="L1486" t="n">
        <v>818</v>
      </c>
      <c r="M1486" t="n">
        <v>818</v>
      </c>
      <c r="N1486" t="n">
        <v>0</v>
      </c>
      <c r="O1486" t="n">
        <v>7121</v>
      </c>
      <c r="P1486" s="96">
        <f>_xlfn.XLOOKUP(Tabla5[[#This Row],[EAN CORREGIDO]],'Tabla Articulos'!B:B,'Tabla Articulos'!D:D)</f>
        <v/>
      </c>
      <c r="Q1486" s="96">
        <f>_xlfn.XLOOKUP(S1486,'Tabla Articulos'!B:B,'Tabla Articulos'!E:E)</f>
        <v/>
      </c>
      <c r="R1486" s="96">
        <f>O1486*Q1486</f>
        <v/>
      </c>
      <c r="S1486" s="97">
        <f>TRIM(E1486)</f>
        <v/>
      </c>
    </row>
    <row r="1487" hidden="1">
      <c r="A1487" s="22" t="n">
        <v>5</v>
      </c>
      <c r="B1487" t="inlineStr">
        <is>
          <t xml:space="preserve">CDM02 - MORENO 2              </t>
        </is>
      </c>
      <c r="C1487" t="inlineStr">
        <is>
          <t xml:space="preserve">GRUPO L.                      </t>
        </is>
      </c>
      <c r="D1487" s="11" t="inlineStr">
        <is>
          <t>CABALLA A/N</t>
        </is>
      </c>
      <c r="E1487" t="inlineStr">
        <is>
          <t xml:space="preserve">7791885005459       </t>
        </is>
      </c>
      <c r="F1487" t="n">
        <v>4019906</v>
      </c>
      <c r="G1487" t="inlineStr">
        <is>
          <t xml:space="preserve">CABALLA NATURAL 380GR CUMANA       </t>
        </is>
      </c>
      <c r="H1487" t="inlineStr">
        <is>
          <t xml:space="preserve">UNIDAD              </t>
        </is>
      </c>
      <c r="I1487" t="n">
        <v>119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119</v>
      </c>
      <c r="P1487" s="96">
        <f>_xlfn.XLOOKUP(Tabla5[[#This Row],[EAN CORREGIDO]],'Tabla Articulos'!B:B,'Tabla Articulos'!D:D)</f>
        <v/>
      </c>
      <c r="Q1487" s="96">
        <f>_xlfn.XLOOKUP(S1487,'Tabla Articulos'!B:B,'Tabla Articulos'!E:E)</f>
        <v/>
      </c>
      <c r="R1487" s="96">
        <f>O1487*Q1487</f>
        <v/>
      </c>
      <c r="S1487" s="97">
        <f>TRIM(E1487)</f>
        <v/>
      </c>
    </row>
    <row r="1488" hidden="1">
      <c r="A1488" s="22" t="n">
        <v>6</v>
      </c>
      <c r="B1488" t="inlineStr">
        <is>
          <t xml:space="preserve">CDM03 - MORENO 3              </t>
        </is>
      </c>
      <c r="C1488" t="inlineStr">
        <is>
          <t xml:space="preserve">GRUPO L.                      </t>
        </is>
      </c>
      <c r="D1488" t="inlineStr">
        <is>
          <t>ESCOBILLA BAÑO</t>
        </is>
      </c>
      <c r="E1488" t="inlineStr">
        <is>
          <t xml:space="preserve">LIM000437           </t>
        </is>
      </c>
      <c r="F1488" t="n">
        <v>2006513</v>
      </c>
      <c r="G1488" t="inlineStr">
        <is>
          <t xml:space="preserve">ESCOBILLA P/BAÑO CON RECIPIENTE	   </t>
        </is>
      </c>
      <c r="H1488" t="inlineStr">
        <is>
          <t xml:space="preserve">UNIDAD              </t>
        </is>
      </c>
      <c r="I1488" t="n">
        <v>139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139</v>
      </c>
      <c r="P1488" s="96">
        <f>_xlfn.XLOOKUP(Tabla5[[#This Row],[EAN CORREGIDO]],'Tabla Articulos'!B:B,'Tabla Articulos'!D:D)</f>
        <v/>
      </c>
      <c r="Q1488" s="96">
        <f>_xlfn.XLOOKUP(S1488,'Tabla Articulos'!B:B,'Tabla Articulos'!E:E)</f>
        <v/>
      </c>
      <c r="R1488" s="96">
        <f>O1488*Q1488</f>
        <v/>
      </c>
      <c r="S1488" s="97">
        <f>TRIM(E1488)</f>
        <v/>
      </c>
    </row>
    <row r="1489" hidden="1">
      <c r="A1489" s="22" t="n">
        <v>1</v>
      </c>
      <c r="B1489" t="inlineStr">
        <is>
          <t xml:space="preserve">CD MORENO                     </t>
        </is>
      </c>
      <c r="C1489" t="inlineStr">
        <is>
          <t xml:space="preserve">GRUPO L.                      </t>
        </is>
      </c>
      <c r="D1489" s="11" t="inlineStr">
        <is>
          <t>ARVEJA</t>
        </is>
      </c>
      <c r="E1489" t="inlineStr">
        <is>
          <t xml:space="preserve">7792350067613       </t>
        </is>
      </c>
      <c r="F1489" t="n">
        <v>4019720</v>
      </c>
      <c r="G1489" t="inlineStr">
        <is>
          <t xml:space="preserve">ARVEJAS REMOJADAS X300G LA GRINGA  </t>
        </is>
      </c>
      <c r="H1489" t="inlineStr">
        <is>
          <t xml:space="preserve">UNIDAD              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1</v>
      </c>
      <c r="P1489" s="96">
        <f>_xlfn.XLOOKUP(Tabla5[[#This Row],[EAN CORREGIDO]],'Tabla Articulos'!B:B,'Tabla Articulos'!D:D)</f>
        <v/>
      </c>
      <c r="Q1489" s="96">
        <f>_xlfn.XLOOKUP(S1489,'Tabla Articulos'!B:B,'Tabla Articulos'!E:E)</f>
        <v/>
      </c>
      <c r="R1489" s="96">
        <f>O1489*Q1489</f>
        <v/>
      </c>
      <c r="S1489" s="97">
        <f>TRIM(E1489)</f>
        <v/>
      </c>
    </row>
    <row r="1490" hidden="1">
      <c r="A1490" s="22" t="n">
        <v>6</v>
      </c>
      <c r="B1490" t="inlineStr">
        <is>
          <t xml:space="preserve">CDM03 - MORENO 3              </t>
        </is>
      </c>
      <c r="C1490" t="inlineStr">
        <is>
          <t xml:space="preserve">GRUPO L.                      </t>
        </is>
      </c>
      <c r="D1490" s="11" t="n"/>
      <c r="E1490" t="inlineStr">
        <is>
          <t xml:space="preserve">UNIF000645          </t>
        </is>
      </c>
      <c r="F1490" t="n">
        <v>9003975</v>
      </c>
      <c r="G1490" t="inlineStr">
        <is>
          <t xml:space="preserve">BUZO CELES -FRISA CGOUR- 3XL       </t>
        </is>
      </c>
      <c r="H1490" t="inlineStr">
        <is>
          <t xml:space="preserve">UNIDAD              </t>
        </is>
      </c>
      <c r="I1490" t="n">
        <v>15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15</v>
      </c>
      <c r="P1490" s="96">
        <f>_xlfn.XLOOKUP(Tabla5[[#This Row],[EAN CORREGIDO]],'Tabla Articulos'!B:B,'Tabla Articulos'!D:D)</f>
        <v/>
      </c>
      <c r="Q1490" s="96">
        <f>_xlfn.XLOOKUP(S1490,'Tabla Articulos'!B:B,'Tabla Articulos'!E:E)</f>
        <v/>
      </c>
      <c r="R1490" s="96">
        <f>O1490*Q1490</f>
        <v/>
      </c>
      <c r="S1490" s="97">
        <f>TRIM(E1490)</f>
        <v/>
      </c>
    </row>
    <row r="1491" hidden="1">
      <c r="A1491" s="22" t="n">
        <v>5</v>
      </c>
      <c r="B1491" t="inlineStr">
        <is>
          <t xml:space="preserve">CDM02 - MORENO 2              </t>
        </is>
      </c>
      <c r="C1491" t="inlineStr">
        <is>
          <t xml:space="preserve">GRUPO L.                      </t>
        </is>
      </c>
      <c r="D1491" s="11" t="inlineStr">
        <is>
          <t>MOSTAZA</t>
        </is>
      </c>
      <c r="E1491" t="inlineStr">
        <is>
          <t xml:space="preserve">7794000006454       </t>
        </is>
      </c>
      <c r="F1491" t="n">
        <v>4020139</v>
      </c>
      <c r="G1491" t="inlineStr">
        <is>
          <t xml:space="preserve">MOSTAZA X 3KG SAVORA	              </t>
        </is>
      </c>
      <c r="H1491" t="inlineStr">
        <is>
          <t xml:space="preserve">UNIDAD              </t>
        </is>
      </c>
      <c r="I1491" t="n">
        <v>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8</v>
      </c>
      <c r="P1491" s="96">
        <f>_xlfn.XLOOKUP(Tabla5[[#This Row],[EAN CORREGIDO]],'Tabla Articulos'!B:B,'Tabla Articulos'!D:D)</f>
        <v/>
      </c>
      <c r="Q1491" s="96">
        <f>_xlfn.XLOOKUP(S1491,'Tabla Articulos'!B:B,'Tabla Articulos'!E:E)</f>
        <v/>
      </c>
      <c r="R1491" s="96">
        <f>O1491*Q1491</f>
        <v/>
      </c>
      <c r="S1491" s="97">
        <f>TRIM(E1491)</f>
        <v/>
      </c>
    </row>
    <row r="1492" hidden="1">
      <c r="A1492" s="22" t="n">
        <v>6</v>
      </c>
      <c r="B1492" t="inlineStr">
        <is>
          <t xml:space="preserve">CDM03 - MORENO 3              </t>
        </is>
      </c>
      <c r="C1492" t="inlineStr">
        <is>
          <t xml:space="preserve">GRUPO L.                      </t>
        </is>
      </c>
      <c r="E1492" t="inlineStr">
        <is>
          <t xml:space="preserve">8693357377622       </t>
        </is>
      </c>
      <c r="F1492" t="n">
        <v>9004090</v>
      </c>
      <c r="G1492" t="inlineStr">
        <is>
          <t xml:space="preserve">POTE DE VIDRIO 100MM PASABAHCE XU  </t>
        </is>
      </c>
      <c r="H1492" t="inlineStr">
        <is>
          <t xml:space="preserve">UNIDAD              </t>
        </is>
      </c>
      <c r="I1492" t="n">
        <v>984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984</v>
      </c>
      <c r="P1492" s="96">
        <f>_xlfn.XLOOKUP(Tabla5[[#This Row],[EAN CORREGIDO]],'Tabla Articulos'!B:B,'Tabla Articulos'!D:D)</f>
        <v/>
      </c>
      <c r="Q1492" s="96">
        <f>_xlfn.XLOOKUP(S1492,'Tabla Articulos'!B:B,'Tabla Articulos'!E:E)</f>
        <v/>
      </c>
      <c r="R1492" s="96">
        <f>O1492*Q1492</f>
        <v/>
      </c>
      <c r="S1492" s="97">
        <f>TRIM(E1492)</f>
        <v/>
      </c>
    </row>
    <row r="1493" hidden="1">
      <c r="A1493" s="22" t="n">
        <v>6</v>
      </c>
      <c r="B1493" t="inlineStr">
        <is>
          <t xml:space="preserve">CDM03 - MORENO 3              </t>
        </is>
      </c>
      <c r="C1493" t="inlineStr">
        <is>
          <t xml:space="preserve">GRUPO L.                      </t>
        </is>
      </c>
      <c r="D1493" s="11" t="n"/>
      <c r="E1493" t="inlineStr">
        <is>
          <t xml:space="preserve">A1607C25T7          </t>
        </is>
      </c>
      <c r="F1493" t="n">
        <v>9003673</v>
      </c>
      <c r="G1493" t="inlineStr">
        <is>
          <t xml:space="preserve">ZAPATO SEG. NEG. 40 ATT CHUBUT     </t>
        </is>
      </c>
      <c r="H1493" t="inlineStr">
        <is>
          <t xml:space="preserve">UNIDAD              </t>
        </is>
      </c>
      <c r="I1493" t="n">
        <v>29</v>
      </c>
      <c r="J1493" t="n">
        <v>140</v>
      </c>
      <c r="K1493" t="n">
        <v>0</v>
      </c>
      <c r="L1493" t="n">
        <v>7</v>
      </c>
      <c r="M1493" t="n">
        <v>7</v>
      </c>
      <c r="N1493" t="n">
        <v>0</v>
      </c>
      <c r="O1493" t="n">
        <v>155</v>
      </c>
      <c r="P1493" s="96">
        <f>_xlfn.XLOOKUP(Tabla5[[#This Row],[EAN CORREGIDO]],'Tabla Articulos'!B:B,'Tabla Articulos'!D:D)</f>
        <v/>
      </c>
      <c r="Q1493" s="96">
        <f>_xlfn.XLOOKUP(S1493,'Tabla Articulos'!B:B,'Tabla Articulos'!E:E)</f>
        <v/>
      </c>
      <c r="R1493" s="96">
        <f>O1493*Q1493</f>
        <v/>
      </c>
      <c r="S1493" s="97">
        <f>TRIM(E1493)</f>
        <v/>
      </c>
    </row>
    <row r="1494" hidden="1">
      <c r="A1494" s="22" t="n">
        <v>5</v>
      </c>
      <c r="B1494" t="inlineStr">
        <is>
          <t xml:space="preserve">CDM02 - MORENO 2              </t>
        </is>
      </c>
      <c r="C1494" t="inlineStr">
        <is>
          <t xml:space="preserve">GRUPO L.                      </t>
        </is>
      </c>
      <c r="D1494" t="inlineStr">
        <is>
          <t>FLAN LIGHT VAINILLA</t>
        </is>
      </c>
      <c r="E1494" t="inlineStr">
        <is>
          <t xml:space="preserve">790757899667        </t>
        </is>
      </c>
      <c r="F1494" t="n">
        <v>4022534</v>
      </c>
      <c r="G1494" t="inlineStr">
        <is>
          <t xml:space="preserve">FLAN LIGHT VAIN 1KG POREC          </t>
        </is>
      </c>
      <c r="H1494" t="inlineStr">
        <is>
          <t xml:space="preserve">UNIDAD              </t>
        </is>
      </c>
      <c r="I1494" t="n">
        <v>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5</v>
      </c>
      <c r="P1494" s="96">
        <f>_xlfn.XLOOKUP(Tabla5[[#This Row],[EAN CORREGIDO]],'Tabla Articulos'!B:B,'Tabla Articulos'!D:D)</f>
        <v/>
      </c>
      <c r="Q1494" s="96">
        <f>_xlfn.XLOOKUP(S1494,'Tabla Articulos'!B:B,'Tabla Articulos'!E:E)</f>
        <v/>
      </c>
      <c r="R1494" s="96">
        <f>O1494*Q1494</f>
        <v/>
      </c>
      <c r="S1494" s="97">
        <f>TRIM(E1494)</f>
        <v/>
      </c>
    </row>
    <row r="1495" hidden="1">
      <c r="A1495" s="22" t="n">
        <v>6</v>
      </c>
      <c r="B1495" t="inlineStr">
        <is>
          <t xml:space="preserve">CDM03 - MORENO 3              </t>
        </is>
      </c>
      <c r="C1495" t="inlineStr">
        <is>
          <t xml:space="preserve">GRUPO L.                      </t>
        </is>
      </c>
      <c r="D1495" t="inlineStr">
        <is>
          <t>CEPILLOS LIMPIEZA</t>
        </is>
      </c>
      <c r="E1495" t="inlineStr">
        <is>
          <t xml:space="preserve">LIM000296           </t>
        </is>
      </c>
      <c r="F1495" t="n">
        <v>2006500</v>
      </c>
      <c r="G1495" t="inlineStr">
        <is>
          <t xml:space="preserve">CEPILLO ERGONOMICO 20 CM X U	      </t>
        </is>
      </c>
      <c r="H1495" t="inlineStr">
        <is>
          <t xml:space="preserve">UNIDAD              </t>
        </is>
      </c>
      <c r="I1495" t="n">
        <v>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4</v>
      </c>
      <c r="P1495" s="96">
        <f>_xlfn.XLOOKUP(Tabla5[[#This Row],[EAN CORREGIDO]],'Tabla Articulos'!B:B,'Tabla Articulos'!D:D)</f>
        <v/>
      </c>
      <c r="Q1495" s="96">
        <f>_xlfn.XLOOKUP(S1495,'Tabla Articulos'!B:B,'Tabla Articulos'!E:E)</f>
        <v/>
      </c>
      <c r="R1495" s="96">
        <f>O1495*Q1495</f>
        <v/>
      </c>
      <c r="S1495" s="97">
        <f>TRIM(E1495)</f>
        <v/>
      </c>
    </row>
    <row r="1496" hidden="1">
      <c r="A1496" s="22" t="n">
        <v>6</v>
      </c>
      <c r="B1496" t="inlineStr">
        <is>
          <t xml:space="preserve">CDM03 - MORENO 3              </t>
        </is>
      </c>
      <c r="C1496" t="inlineStr">
        <is>
          <t xml:space="preserve">GRUPO L.                      </t>
        </is>
      </c>
      <c r="E1496" t="inlineStr">
        <is>
          <t xml:space="preserve">UNIF000467          </t>
        </is>
      </c>
      <c r="F1496" t="n">
        <v>9003239</v>
      </c>
      <c r="G1496" t="inlineStr">
        <is>
          <t xml:space="preserve">PANTALON GRAF S. LOGO VERD 50      </t>
        </is>
      </c>
      <c r="H1496" t="inlineStr">
        <is>
          <t xml:space="preserve">UNIDAD              </t>
        </is>
      </c>
      <c r="I1496" t="n">
        <v>25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25</v>
      </c>
      <c r="P1496" s="96">
        <f>_xlfn.XLOOKUP(Tabla5[[#This Row],[EAN CORREGIDO]],'Tabla Articulos'!B:B,'Tabla Articulos'!D:D)</f>
        <v/>
      </c>
      <c r="Q1496" s="96">
        <f>_xlfn.XLOOKUP(S1496,'Tabla Articulos'!B:B,'Tabla Articulos'!E:E)</f>
        <v/>
      </c>
      <c r="R1496" s="96">
        <f>O1496*Q1496</f>
        <v/>
      </c>
      <c r="S1496" s="97">
        <f>TRIM(E1496)</f>
        <v/>
      </c>
    </row>
    <row r="1497" hidden="1">
      <c r="A1497" s="22" t="n">
        <v>6</v>
      </c>
      <c r="B1497" t="inlineStr">
        <is>
          <t xml:space="preserve">CDM03 - MORENO 3              </t>
        </is>
      </c>
      <c r="C1497" t="inlineStr">
        <is>
          <t xml:space="preserve">GRUPO L.                      </t>
        </is>
      </c>
      <c r="D1497" t="inlineStr">
        <is>
          <t xml:space="preserve">FIBRA ESPONJA  </t>
        </is>
      </c>
      <c r="E1497" t="inlineStr">
        <is>
          <t xml:space="preserve">7798092969161       </t>
        </is>
      </c>
      <c r="F1497" t="n">
        <v>2016791</v>
      </c>
      <c r="G1497" t="inlineStr">
        <is>
          <t xml:space="preserve">FIBRA PARRILLERA FUERTE XUN MAKE   </t>
        </is>
      </c>
      <c r="H1497" t="inlineStr">
        <is>
          <t xml:space="preserve">UNIDAD              </t>
        </is>
      </c>
      <c r="I1497" t="n">
        <v>2998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2998</v>
      </c>
      <c r="P1497" s="96">
        <f>_xlfn.XLOOKUP(Tabla5[[#This Row],[EAN CORREGIDO]],'Tabla Articulos'!B:B,'Tabla Articulos'!D:D)</f>
        <v/>
      </c>
      <c r="Q1497" s="96">
        <f>_xlfn.XLOOKUP(S1497,'Tabla Articulos'!B:B,'Tabla Articulos'!E:E)</f>
        <v/>
      </c>
      <c r="R1497" s="96">
        <f>O1497*Q1497</f>
        <v/>
      </c>
      <c r="S1497" s="97">
        <f>TRIM(E1497)</f>
        <v/>
      </c>
    </row>
    <row r="1498" hidden="1">
      <c r="A1498" s="22" t="n">
        <v>5</v>
      </c>
      <c r="B1498" t="inlineStr">
        <is>
          <t xml:space="preserve">CDM02 - MORENO 2              </t>
        </is>
      </c>
      <c r="C1498" t="inlineStr">
        <is>
          <t xml:space="preserve">GRUPO L.                      </t>
        </is>
      </c>
      <c r="D1498" s="11" t="inlineStr">
        <is>
          <t>ACEITE GIRASOL</t>
        </is>
      </c>
      <c r="E1498" t="inlineStr">
        <is>
          <t xml:space="preserve">7798316700808       </t>
        </is>
      </c>
      <c r="F1498" t="n">
        <v>4024635</v>
      </c>
      <c r="G1498" t="inlineStr">
        <is>
          <t xml:space="preserve">ACEITE GIR STACC X900CC LEGITIMO   </t>
        </is>
      </c>
      <c r="H1498" t="inlineStr">
        <is>
          <t xml:space="preserve">UNIDAD              </t>
        </is>
      </c>
      <c r="I1498" t="n">
        <v>114769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114769</v>
      </c>
      <c r="P1498" s="96">
        <f>_xlfn.XLOOKUP(Tabla5[[#This Row],[EAN CORREGIDO]],'Tabla Articulos'!B:B,'Tabla Articulos'!D:D)</f>
        <v/>
      </c>
      <c r="Q1498" s="96">
        <f>_xlfn.XLOOKUP(S1498,'Tabla Articulos'!B:B,'Tabla Articulos'!E:E)</f>
        <v/>
      </c>
      <c r="R1498" s="96">
        <f>O1498*Q1498</f>
        <v/>
      </c>
      <c r="S1498" s="97">
        <f>TRIM(E1498)</f>
        <v/>
      </c>
    </row>
    <row r="1499" hidden="1">
      <c r="A1499" s="22" t="n">
        <v>6</v>
      </c>
      <c r="B1499" t="inlineStr">
        <is>
          <t xml:space="preserve">CDM03 - MORENO 3              </t>
        </is>
      </c>
      <c r="C1499" t="inlineStr">
        <is>
          <t xml:space="preserve">GRUPO L.                      </t>
        </is>
      </c>
      <c r="D1499" t="inlineStr">
        <is>
          <t>SANITIZANTE</t>
        </is>
      </c>
      <c r="E1499" t="inlineStr">
        <is>
          <t xml:space="preserve">7798332280780       </t>
        </is>
      </c>
      <c r="F1499" t="n">
        <v>2006718</v>
      </c>
      <c r="G1499" t="inlineStr">
        <is>
          <t xml:space="preserve">DESINF LIQ FRU/HORT X5LT SPARCH    </t>
        </is>
      </c>
      <c r="H1499" t="inlineStr">
        <is>
          <t xml:space="preserve">UNIDAD              </t>
        </is>
      </c>
      <c r="I1499" t="n">
        <v>97</v>
      </c>
      <c r="J1499" t="n">
        <v>0</v>
      </c>
      <c r="K1499" t="n">
        <v>0</v>
      </c>
      <c r="L1499" t="n">
        <v>8</v>
      </c>
      <c r="M1499" t="n">
        <v>8</v>
      </c>
      <c r="N1499" t="n">
        <v>0</v>
      </c>
      <c r="O1499" t="n">
        <v>81</v>
      </c>
      <c r="P1499" s="96">
        <f>_xlfn.XLOOKUP(Tabla5[[#This Row],[EAN CORREGIDO]],'Tabla Articulos'!B:B,'Tabla Articulos'!D:D)</f>
        <v/>
      </c>
      <c r="Q1499" s="96">
        <f>_xlfn.XLOOKUP(S1499,'Tabla Articulos'!B:B,'Tabla Articulos'!E:E)</f>
        <v/>
      </c>
      <c r="R1499" s="96">
        <f>O1499*Q1499</f>
        <v/>
      </c>
      <c r="S1499" s="97">
        <f>TRIM(E1499)</f>
        <v/>
      </c>
    </row>
    <row r="1500" hidden="1">
      <c r="A1500" s="22" t="n">
        <v>1</v>
      </c>
      <c r="B1500" t="inlineStr">
        <is>
          <t xml:space="preserve">CD MORENO                     </t>
        </is>
      </c>
      <c r="C1500" t="inlineStr">
        <is>
          <t xml:space="preserve">GRUPO L.                      </t>
        </is>
      </c>
      <c r="D1500" t="inlineStr">
        <is>
          <t>CONDIM P/ARROZ</t>
        </is>
      </c>
      <c r="E1500" t="inlineStr">
        <is>
          <t xml:space="preserve">7790530110357       </t>
        </is>
      </c>
      <c r="F1500" t="n">
        <v>4024188</v>
      </c>
      <c r="G1500" t="inlineStr">
        <is>
          <t xml:space="preserve">CONDIMENTO P/ARROZ X 25 G BEDIAL   </t>
        </is>
      </c>
      <c r="H1500" t="inlineStr">
        <is>
          <t xml:space="preserve">UNIDAD              </t>
        </is>
      </c>
      <c r="I1500" t="n">
        <v>677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677</v>
      </c>
      <c r="P1500" s="96">
        <f>_xlfn.XLOOKUP(Tabla5[[#This Row],[EAN CORREGIDO]],'Tabla Articulos'!B:B,'Tabla Articulos'!D:D)</f>
        <v/>
      </c>
      <c r="Q1500" s="96">
        <f>_xlfn.XLOOKUP(S1500,'Tabla Articulos'!B:B,'Tabla Articulos'!E:E)</f>
        <v/>
      </c>
      <c r="R1500" s="96">
        <f>O1500*Q1500</f>
        <v/>
      </c>
      <c r="S1500" s="97">
        <f>TRIM(E1500)</f>
        <v/>
      </c>
    </row>
    <row r="1501" hidden="1">
      <c r="A1501" s="22" t="n">
        <v>6</v>
      </c>
      <c r="B1501" t="inlineStr">
        <is>
          <t xml:space="preserve">CDM03 - MORENO 3              </t>
        </is>
      </c>
      <c r="C1501" t="inlineStr">
        <is>
          <t xml:space="preserve">GRUPO L.                      </t>
        </is>
      </c>
      <c r="E1501" t="inlineStr">
        <is>
          <t xml:space="preserve">7798287510819       </t>
        </is>
      </c>
      <c r="F1501" t="n">
        <v>2016642</v>
      </c>
      <c r="G1501" t="inlineStr">
        <is>
          <t xml:space="preserve">ARMAZON P/MOPA 60 CM               </t>
        </is>
      </c>
      <c r="H1501" t="inlineStr">
        <is>
          <t xml:space="preserve">UNIDAD              </t>
        </is>
      </c>
      <c r="I1501" t="n">
        <v>46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46</v>
      </c>
      <c r="P1501" s="96">
        <f>_xlfn.XLOOKUP(Tabla5[[#This Row],[EAN CORREGIDO]],'Tabla Articulos'!B:B,'Tabla Articulos'!D:D)</f>
        <v/>
      </c>
      <c r="Q1501" s="96">
        <f>_xlfn.XLOOKUP(S1501,'Tabla Articulos'!B:B,'Tabla Articulos'!E:E)</f>
        <v/>
      </c>
      <c r="R1501" s="96">
        <f>O1501*Q1501</f>
        <v/>
      </c>
      <c r="S1501" s="97">
        <f>TRIM(E1501)</f>
        <v/>
      </c>
    </row>
    <row r="1502" hidden="1">
      <c r="A1502" s="22" t="n">
        <v>1</v>
      </c>
      <c r="B1502" t="inlineStr">
        <is>
          <t xml:space="preserve">CD MORENO                     </t>
        </is>
      </c>
      <c r="C1502" t="inlineStr">
        <is>
          <t xml:space="preserve">GRUPO L.                      </t>
        </is>
      </c>
      <c r="D1502" t="inlineStr">
        <is>
          <t>EMPANADA CONG JYQ</t>
        </is>
      </c>
      <c r="E1502" t="inlineStr">
        <is>
          <t xml:space="preserve">7790211303004       </t>
        </is>
      </c>
      <c r="F1502" t="n">
        <v>4018645</v>
      </c>
      <c r="G1502" t="inlineStr">
        <is>
          <t xml:space="preserve">EMPANADA CONGELADA JYQ X50U	       </t>
        </is>
      </c>
      <c r="H1502" t="inlineStr">
        <is>
          <t xml:space="preserve">UNIDAD              </t>
        </is>
      </c>
      <c r="I1502" t="n">
        <v>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3</v>
      </c>
      <c r="P1502" s="96">
        <f>_xlfn.XLOOKUP(Tabla5[[#This Row],[EAN CORREGIDO]],'Tabla Articulos'!B:B,'Tabla Articulos'!D:D)</f>
        <v/>
      </c>
      <c r="Q1502" s="96">
        <f>_xlfn.XLOOKUP(S1502,'Tabla Articulos'!B:B,'Tabla Articulos'!E:E)</f>
        <v/>
      </c>
      <c r="R1502" s="96">
        <f>O1502*Q1502</f>
        <v/>
      </c>
      <c r="S1502" s="97">
        <f>TRIM(E1502)</f>
        <v/>
      </c>
    </row>
    <row r="1503" hidden="1">
      <c r="A1503" s="22" t="n">
        <v>6</v>
      </c>
      <c r="B1503" t="inlineStr">
        <is>
          <t xml:space="preserve">CDM03 - MORENO 3              </t>
        </is>
      </c>
      <c r="C1503" t="inlineStr">
        <is>
          <t xml:space="preserve">GRUPO L.                      </t>
        </is>
      </c>
      <c r="D1503" t="inlineStr">
        <is>
          <t>DESINFECTANTE VERDURAS</t>
        </is>
      </c>
      <c r="E1503" t="inlineStr">
        <is>
          <t xml:space="preserve">7798188650850       </t>
        </is>
      </c>
      <c r="F1503" t="n">
        <v>2006293</v>
      </c>
      <c r="G1503" t="inlineStr">
        <is>
          <t xml:space="preserve">DESINFECTANTE FYV X5L SANI CHE	    </t>
        </is>
      </c>
      <c r="H1503" t="inlineStr">
        <is>
          <t xml:space="preserve">UNIDAD              </t>
        </is>
      </c>
      <c r="I1503" t="n">
        <v>50</v>
      </c>
      <c r="J1503" t="n">
        <v>0</v>
      </c>
      <c r="K1503" t="n">
        <v>50</v>
      </c>
      <c r="L1503" t="n">
        <v>0</v>
      </c>
      <c r="M1503" t="n">
        <v>0</v>
      </c>
      <c r="N1503" t="n">
        <v>0</v>
      </c>
      <c r="O1503" t="n">
        <v>0</v>
      </c>
      <c r="P1503" s="96">
        <f>_xlfn.XLOOKUP(Tabla5[[#This Row],[EAN CORREGIDO]],'Tabla Articulos'!B:B,'Tabla Articulos'!D:D)</f>
        <v/>
      </c>
      <c r="Q1503" s="96">
        <f>_xlfn.XLOOKUP(S1503,'Tabla Articulos'!B:B,'Tabla Articulos'!E:E)</f>
        <v/>
      </c>
      <c r="R1503" s="96">
        <f>O1503*Q1503</f>
        <v/>
      </c>
      <c r="S1503" s="97">
        <f>TRIM(E1503)</f>
        <v/>
      </c>
    </row>
    <row r="1504" hidden="1">
      <c r="A1504" s="22" t="n">
        <v>6</v>
      </c>
      <c r="B1504" t="inlineStr">
        <is>
          <t xml:space="preserve">CDM03 - MORENO 3              </t>
        </is>
      </c>
      <c r="C1504" t="inlineStr">
        <is>
          <t xml:space="preserve">GRUPO L.                      </t>
        </is>
      </c>
      <c r="E1504" t="inlineStr">
        <is>
          <t xml:space="preserve">BAZ001152           </t>
        </is>
      </c>
      <c r="F1504" t="n">
        <v>9003825</v>
      </c>
      <c r="G1504" t="inlineStr">
        <is>
          <t xml:space="preserve">RECIP+TAPA POLI 665X355X325 60ML   </t>
        </is>
      </c>
      <c r="H1504" t="inlineStr">
        <is>
          <t xml:space="preserve">UNIDAD              </t>
        </is>
      </c>
      <c r="I1504" t="n">
        <v>19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19</v>
      </c>
      <c r="P1504" s="96">
        <f>_xlfn.XLOOKUP(Tabla5[[#This Row],[EAN CORREGIDO]],'Tabla Articulos'!B:B,'Tabla Articulos'!D:D)</f>
        <v/>
      </c>
      <c r="Q1504" s="96">
        <f>_xlfn.XLOOKUP(S1504,'Tabla Articulos'!B:B,'Tabla Articulos'!E:E)</f>
        <v/>
      </c>
      <c r="R1504" s="96">
        <f>O1504*Q1504</f>
        <v/>
      </c>
      <c r="S1504" s="97">
        <f>TRIM(E1504)</f>
        <v/>
      </c>
    </row>
    <row r="1505" hidden="1">
      <c r="A1505" s="22" t="n">
        <v>6</v>
      </c>
      <c r="B1505" t="inlineStr">
        <is>
          <t xml:space="preserve">CDM03 - MORENO 3              </t>
        </is>
      </c>
      <c r="C1505" t="inlineStr">
        <is>
          <t xml:space="preserve">GRUPO L.                      </t>
        </is>
      </c>
      <c r="E1505" t="inlineStr">
        <is>
          <t xml:space="preserve">UNIF000394          </t>
        </is>
      </c>
      <c r="F1505" t="n">
        <v>9003513</v>
      </c>
      <c r="G1505" t="inlineStr">
        <is>
          <t xml:space="preserve">PANTALON DE VESTIR NEGRO 6         </t>
        </is>
      </c>
      <c r="H1505" t="inlineStr">
        <is>
          <t xml:space="preserve">UNIDAD              </t>
        </is>
      </c>
      <c r="I1505" t="n">
        <v>44</v>
      </c>
      <c r="J1505" t="n">
        <v>0</v>
      </c>
      <c r="K1505" t="n">
        <v>0</v>
      </c>
      <c r="L1505" t="n">
        <v>1</v>
      </c>
      <c r="M1505" t="n">
        <v>1</v>
      </c>
      <c r="N1505" t="n">
        <v>0</v>
      </c>
      <c r="O1505" t="n">
        <v>42</v>
      </c>
      <c r="P1505" s="96">
        <f>_xlfn.XLOOKUP(Tabla5[[#This Row],[EAN CORREGIDO]],'Tabla Articulos'!B:B,'Tabla Articulos'!D:D)</f>
        <v/>
      </c>
      <c r="Q1505" s="96">
        <f>_xlfn.XLOOKUP(S1505,'Tabla Articulos'!B:B,'Tabla Articulos'!E:E)</f>
        <v/>
      </c>
      <c r="R1505" s="96">
        <f>O1505*Q1505</f>
        <v/>
      </c>
      <c r="S1505" s="97">
        <f>TRIM(E1505)</f>
        <v/>
      </c>
    </row>
    <row r="1506" hidden="1">
      <c r="A1506" s="22" t="n">
        <v>1</v>
      </c>
      <c r="B1506" t="inlineStr">
        <is>
          <t xml:space="preserve">CD MORENO                     </t>
        </is>
      </c>
      <c r="C1506" t="inlineStr">
        <is>
          <t xml:space="preserve">GRUPO L.                      </t>
        </is>
      </c>
      <c r="D1506" s="11" t="inlineStr">
        <is>
          <t>PIMIENTA BLANCA</t>
        </is>
      </c>
      <c r="E1506" t="inlineStr">
        <is>
          <t xml:space="preserve">7793875360012       </t>
        </is>
      </c>
      <c r="F1506" t="n">
        <v>4020190</v>
      </c>
      <c r="G1506" t="inlineStr">
        <is>
          <t xml:space="preserve">PIMIENTA BLANCA X 25 G AROMAS      </t>
        </is>
      </c>
      <c r="H1506" t="inlineStr">
        <is>
          <t xml:space="preserve">UNIDAD              </t>
        </is>
      </c>
      <c r="I1506" t="n">
        <v>1326</v>
      </c>
      <c r="J1506" t="n">
        <v>0</v>
      </c>
      <c r="K1506" t="n">
        <v>0</v>
      </c>
      <c r="L1506" t="n">
        <v>54</v>
      </c>
      <c r="M1506" t="n">
        <v>54</v>
      </c>
      <c r="N1506" t="n">
        <v>0</v>
      </c>
      <c r="O1506" t="n">
        <v>1218</v>
      </c>
      <c r="P1506" s="96">
        <f>_xlfn.XLOOKUP(Tabla5[[#This Row],[EAN CORREGIDO]],'Tabla Articulos'!B:B,'Tabla Articulos'!D:D)</f>
        <v/>
      </c>
      <c r="Q1506" s="96">
        <f>_xlfn.XLOOKUP(S1506,'Tabla Articulos'!B:B,'Tabla Articulos'!E:E)</f>
        <v/>
      </c>
      <c r="R1506" s="96">
        <f>O1506*Q1506</f>
        <v/>
      </c>
      <c r="S1506" s="97">
        <f>TRIM(E1506)</f>
        <v/>
      </c>
    </row>
    <row r="1507" hidden="1">
      <c r="A1507" s="22" t="n">
        <v>6</v>
      </c>
      <c r="B1507" t="inlineStr">
        <is>
          <t xml:space="preserve">CDM03 - MORENO 3              </t>
        </is>
      </c>
      <c r="C1507" t="inlineStr">
        <is>
          <t xml:space="preserve">GRUPO L.                      </t>
        </is>
      </c>
      <c r="E1507" t="inlineStr">
        <is>
          <t xml:space="preserve">7790520026088       </t>
        </is>
      </c>
      <c r="F1507" t="n">
        <v>2016492</v>
      </c>
      <c r="G1507" t="inlineStr">
        <is>
          <t xml:space="preserve">CANASTA LIQ LAVANDA 45MLXUN        </t>
        </is>
      </c>
      <c r="H1507" t="inlineStr">
        <is>
          <t xml:space="preserve">UNIDAD              </t>
        </is>
      </c>
      <c r="I1507" t="n">
        <v>231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231</v>
      </c>
      <c r="P1507" s="96">
        <f>_xlfn.XLOOKUP(Tabla5[[#This Row],[EAN CORREGIDO]],'Tabla Articulos'!B:B,'Tabla Articulos'!D:D)</f>
        <v/>
      </c>
      <c r="Q1507" s="96">
        <f>_xlfn.XLOOKUP(S1507,'Tabla Articulos'!B:B,'Tabla Articulos'!E:E)</f>
        <v/>
      </c>
      <c r="R1507" s="96">
        <f>O1507*Q1507</f>
        <v/>
      </c>
      <c r="S1507" s="97">
        <f>TRIM(E1507)</f>
        <v/>
      </c>
    </row>
    <row r="1508" hidden="1">
      <c r="A1508" s="22" t="n">
        <v>1</v>
      </c>
      <c r="B1508" t="inlineStr">
        <is>
          <t xml:space="preserve">CD MORENO                     </t>
        </is>
      </c>
      <c r="C1508" t="inlineStr">
        <is>
          <t xml:space="preserve">GRUPO L.                      </t>
        </is>
      </c>
      <c r="D1508" t="inlineStr">
        <is>
          <t>YERBA MATE</t>
        </is>
      </c>
      <c r="E1508" t="inlineStr">
        <is>
          <t xml:space="preserve">7798028020508       </t>
        </is>
      </c>
      <c r="F1508" t="n">
        <v>4020385</v>
      </c>
      <c r="G1508" t="inlineStr">
        <is>
          <t xml:space="preserve">YERBA MATE X1KG LA POSADEÑA        </t>
        </is>
      </c>
      <c r="H1508" t="inlineStr">
        <is>
          <t xml:space="preserve">UNIDAD              </t>
        </is>
      </c>
      <c r="I1508" t="n">
        <v>2080</v>
      </c>
      <c r="J1508" t="n">
        <v>0</v>
      </c>
      <c r="K1508" t="n">
        <v>0</v>
      </c>
      <c r="L1508" t="n">
        <v>32</v>
      </c>
      <c r="M1508" t="n">
        <v>32</v>
      </c>
      <c r="N1508" t="n">
        <v>0</v>
      </c>
      <c r="O1508" t="n">
        <v>2016</v>
      </c>
      <c r="P1508" s="96">
        <f>_xlfn.XLOOKUP(Tabla5[[#This Row],[EAN CORREGIDO]],'Tabla Articulos'!B:B,'Tabla Articulos'!D:D)</f>
        <v/>
      </c>
      <c r="Q1508" s="96">
        <f>_xlfn.XLOOKUP(S1508,'Tabla Articulos'!B:B,'Tabla Articulos'!E:E)</f>
        <v/>
      </c>
      <c r="R1508" s="96">
        <f>O1508*Q1508</f>
        <v/>
      </c>
      <c r="S1508" s="97">
        <f>TRIM(E1508)</f>
        <v/>
      </c>
    </row>
    <row r="1509" hidden="1">
      <c r="A1509" s="22" t="n">
        <v>6</v>
      </c>
      <c r="B1509" t="inlineStr">
        <is>
          <t xml:space="preserve">CDM03 - MORENO 3              </t>
        </is>
      </c>
      <c r="C1509" t="inlineStr">
        <is>
          <t xml:space="preserve">GRUPO L.                      </t>
        </is>
      </c>
      <c r="D1509" s="11" t="n"/>
      <c r="E1509" t="inlineStr">
        <is>
          <t xml:space="preserve">BAZ001260           </t>
        </is>
      </c>
      <c r="F1509" t="n">
        <v>9003756</v>
      </c>
      <c r="G1509" t="inlineStr">
        <is>
          <t xml:space="preserve">TAZA DESAYUNO PORC. RECTO          </t>
        </is>
      </c>
      <c r="H1509" t="inlineStr">
        <is>
          <t xml:space="preserve">UNIDAD              </t>
        </is>
      </c>
      <c r="I1509" t="n">
        <v>1148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1148</v>
      </c>
      <c r="P1509" s="96">
        <f>_xlfn.XLOOKUP(Tabla5[[#This Row],[EAN CORREGIDO]],'Tabla Articulos'!B:B,'Tabla Articulos'!D:D)</f>
        <v/>
      </c>
      <c r="Q1509" s="96">
        <f>_xlfn.XLOOKUP(S1509,'Tabla Articulos'!B:B,'Tabla Articulos'!E:E)</f>
        <v/>
      </c>
      <c r="R1509" s="96">
        <f>O1509*Q1509</f>
        <v/>
      </c>
      <c r="S1509" s="97">
        <f>TRIM(E1509)</f>
        <v/>
      </c>
    </row>
    <row r="1510" hidden="1">
      <c r="A1510" s="22" t="n">
        <v>1</v>
      </c>
      <c r="B1510" t="inlineStr">
        <is>
          <t xml:space="preserve">CD MORENO                     </t>
        </is>
      </c>
      <c r="C1510" t="inlineStr">
        <is>
          <t xml:space="preserve">GRUPO L.                      </t>
        </is>
      </c>
      <c r="D1510" s="11" t="inlineStr">
        <is>
          <t>MANDARINA SAE</t>
        </is>
      </c>
      <c r="E1510" t="inlineStr">
        <is>
          <t xml:space="preserve">7790216020114       </t>
        </is>
      </c>
      <c r="F1510" t="n">
        <v>4018065</v>
      </c>
      <c r="G1510" t="inlineStr">
        <is>
          <t xml:space="preserve">MANDARINA SAE X KG                 </t>
        </is>
      </c>
      <c r="H1510" t="inlineStr">
        <is>
          <t xml:space="preserve">Kgs                 </t>
        </is>
      </c>
      <c r="I1510" t="n">
        <v>5151.23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5151.23</v>
      </c>
      <c r="P1510" s="96">
        <f>_xlfn.XLOOKUP(Tabla5[[#This Row],[EAN CORREGIDO]],'Tabla Articulos'!B:B,'Tabla Articulos'!D:D)</f>
        <v/>
      </c>
      <c r="Q1510" s="96">
        <f>_xlfn.XLOOKUP(S1510,'Tabla Articulos'!B:B,'Tabla Articulos'!E:E)</f>
        <v/>
      </c>
      <c r="R1510" s="96">
        <f>O1510*Q1510</f>
        <v/>
      </c>
      <c r="S1510" s="97">
        <f>TRIM(E1510)</f>
        <v/>
      </c>
    </row>
    <row r="1511" hidden="1">
      <c r="A1511" s="22" t="n">
        <v>6</v>
      </c>
      <c r="B1511" t="inlineStr">
        <is>
          <t xml:space="preserve">CDM03 - MORENO 3              </t>
        </is>
      </c>
      <c r="C1511" t="inlineStr">
        <is>
          <t xml:space="preserve">GRUPO L.                      </t>
        </is>
      </c>
      <c r="E1511" t="inlineStr">
        <is>
          <t xml:space="preserve">UNIF000312          </t>
        </is>
      </c>
      <c r="F1511" t="n">
        <v>9003186</v>
      </c>
      <c r="G1511" t="inlineStr">
        <is>
          <t xml:space="preserve">REMERA-AZUL MARINO C/REDONDO 3XL   </t>
        </is>
      </c>
      <c r="H1511" t="inlineStr">
        <is>
          <t xml:space="preserve">UNIDAD              </t>
        </is>
      </c>
      <c r="I1511" t="n">
        <v>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7</v>
      </c>
      <c r="P1511" s="96">
        <f>_xlfn.XLOOKUP(Tabla5[[#This Row],[EAN CORREGIDO]],'Tabla Articulos'!B:B,'Tabla Articulos'!D:D)</f>
        <v/>
      </c>
      <c r="Q1511" s="96">
        <f>_xlfn.XLOOKUP(S1511,'Tabla Articulos'!B:B,'Tabla Articulos'!E:E)</f>
        <v/>
      </c>
      <c r="R1511" s="96">
        <f>O1511*Q1511</f>
        <v/>
      </c>
      <c r="S1511" s="97">
        <f>TRIM(E1511)</f>
        <v/>
      </c>
    </row>
    <row r="1512" hidden="1">
      <c r="A1512" s="22" t="n">
        <v>1</v>
      </c>
      <c r="B1512" t="inlineStr">
        <is>
          <t xml:space="preserve">CD MORENO                     </t>
        </is>
      </c>
      <c r="C1512" t="inlineStr">
        <is>
          <t xml:space="preserve">GRUPO L.                      </t>
        </is>
      </c>
      <c r="D1512" t="inlineStr">
        <is>
          <t>PANADERIA CONGELADA</t>
        </is>
      </c>
      <c r="E1512" t="inlineStr">
        <is>
          <t xml:space="preserve">17792180006117      </t>
        </is>
      </c>
      <c r="F1512" t="n">
        <v>4024758</v>
      </c>
      <c r="G1512" t="inlineStr">
        <is>
          <t xml:space="preserve">FACT.PANAL BATATA X72 CAÑUELAS     </t>
        </is>
      </c>
      <c r="H1512" t="inlineStr">
        <is>
          <t xml:space="preserve">UNIDAD              </t>
        </is>
      </c>
      <c r="I1512" t="n">
        <v>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4</v>
      </c>
      <c r="P1512" s="96">
        <f>_xlfn.XLOOKUP(Tabla5[[#This Row],[EAN CORREGIDO]],'Tabla Articulos'!B:B,'Tabla Articulos'!D:D)</f>
        <v/>
      </c>
      <c r="Q1512" s="96">
        <f>_xlfn.XLOOKUP(S1512,'Tabla Articulos'!B:B,'Tabla Articulos'!E:E)</f>
        <v/>
      </c>
      <c r="R1512" s="96">
        <f>O1512*Q1512</f>
        <v/>
      </c>
      <c r="S1512" s="97">
        <f>TRIM(E1512)</f>
        <v/>
      </c>
    </row>
    <row r="1513" hidden="1">
      <c r="A1513" s="22" t="n">
        <v>6</v>
      </c>
      <c r="B1513" t="inlineStr">
        <is>
          <t xml:space="preserve">CDM03 - MORENO 3              </t>
        </is>
      </c>
      <c r="C1513" t="inlineStr">
        <is>
          <t xml:space="preserve">GRUPO L.                      </t>
        </is>
      </c>
      <c r="E1513" t="inlineStr">
        <is>
          <t xml:space="preserve">7790000000205       </t>
        </is>
      </c>
      <c r="F1513" t="n">
        <v>2007165</v>
      </c>
      <c r="G1513" t="inlineStr">
        <is>
          <t xml:space="preserve">BOLSA PARA CESTO 50X70CM X50UN     </t>
        </is>
      </c>
      <c r="H1513" t="inlineStr">
        <is>
          <t xml:space="preserve">UNIDAD              </t>
        </is>
      </c>
      <c r="I1513" t="n">
        <v>1220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1220</v>
      </c>
      <c r="P1513" s="96">
        <f>_xlfn.XLOOKUP(Tabla5[[#This Row],[EAN CORREGIDO]],'Tabla Articulos'!B:B,'Tabla Articulos'!D:D)</f>
        <v/>
      </c>
      <c r="Q1513" s="96">
        <f>_xlfn.XLOOKUP(S1513,'Tabla Articulos'!B:B,'Tabla Articulos'!E:E)</f>
        <v/>
      </c>
      <c r="R1513" s="96">
        <f>O1513*Q1513</f>
        <v/>
      </c>
      <c r="S1513" s="97">
        <f>TRIM(E1513)</f>
        <v/>
      </c>
    </row>
    <row r="1514" hidden="1">
      <c r="A1514" s="22" t="n">
        <v>6</v>
      </c>
      <c r="B1514" t="inlineStr">
        <is>
          <t xml:space="preserve">CDM03 - MORENO 3              </t>
        </is>
      </c>
      <c r="C1514" t="inlineStr">
        <is>
          <t xml:space="preserve">GRUPO L.                      </t>
        </is>
      </c>
      <c r="D1514" s="11" t="n"/>
      <c r="E1514" t="inlineStr">
        <is>
          <t xml:space="preserve">100ND44             </t>
        </is>
      </c>
      <c r="F1514" t="n">
        <v>9004411</v>
      </c>
      <c r="G1514" t="inlineStr">
        <is>
          <t xml:space="preserve">GL ZAPATO SEG. NEG. 44 GAMAX       </t>
        </is>
      </c>
      <c r="H1514" t="inlineStr">
        <is>
          <t xml:space="preserve">UNIDAD              </t>
        </is>
      </c>
      <c r="I1514" t="n">
        <v>0</v>
      </c>
      <c r="J1514" t="n">
        <v>40</v>
      </c>
      <c r="K1514" t="n">
        <v>0</v>
      </c>
      <c r="L1514" t="n">
        <v>17</v>
      </c>
      <c r="M1514" t="n">
        <v>17</v>
      </c>
      <c r="N1514" t="n">
        <v>0</v>
      </c>
      <c r="O1514" t="n">
        <v>6</v>
      </c>
      <c r="P1514" s="96">
        <f>_xlfn.XLOOKUP(Tabla5[[#This Row],[EAN CORREGIDO]],'Tabla Articulos'!B:B,'Tabla Articulos'!D:D)</f>
        <v/>
      </c>
      <c r="Q1514" s="96">
        <f>_xlfn.XLOOKUP(S1514,'Tabla Articulos'!B:B,'Tabla Articulos'!E:E)</f>
        <v/>
      </c>
      <c r="R1514" s="96">
        <f>O1514*Q1514</f>
        <v/>
      </c>
      <c r="S1514" s="97">
        <f>TRIM(E1514)</f>
        <v/>
      </c>
    </row>
    <row r="1515" hidden="1">
      <c r="A1515" s="22" t="n">
        <v>6</v>
      </c>
      <c r="B1515" t="inlineStr">
        <is>
          <t xml:space="preserve">CDM03 - MORENO 3              </t>
        </is>
      </c>
      <c r="C1515" t="inlineStr">
        <is>
          <t xml:space="preserve">GRUPO L.                      </t>
        </is>
      </c>
      <c r="D1515" t="inlineStr">
        <is>
          <t>BAND 101</t>
        </is>
      </c>
      <c r="E1515" t="inlineStr">
        <is>
          <t xml:space="preserve">7790321020283       </t>
        </is>
      </c>
      <c r="F1515" t="n">
        <v>2006646</v>
      </c>
      <c r="G1515" t="inlineStr">
        <is>
          <t xml:space="preserve">BANDEJA PLAS 101 X100U RECT COTNYL </t>
        </is>
      </c>
      <c r="H1515" t="inlineStr">
        <is>
          <t xml:space="preserve">UNIDAD              </t>
        </is>
      </c>
      <c r="I1515" t="n">
        <v>1496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1496</v>
      </c>
      <c r="P1515" s="96">
        <f>_xlfn.XLOOKUP(Tabla5[[#This Row],[EAN CORREGIDO]],'Tabla Articulos'!B:B,'Tabla Articulos'!D:D)</f>
        <v/>
      </c>
      <c r="Q1515" s="96">
        <f>_xlfn.XLOOKUP(S1515,'Tabla Articulos'!B:B,'Tabla Articulos'!E:E)</f>
        <v/>
      </c>
      <c r="R1515" s="96">
        <f>O1515*Q1515</f>
        <v/>
      </c>
      <c r="S1515" s="97">
        <f>TRIM(E1515)</f>
        <v/>
      </c>
    </row>
    <row r="1516" hidden="1">
      <c r="A1516" s="22" t="n">
        <v>6</v>
      </c>
      <c r="B1516" t="inlineStr">
        <is>
          <t xml:space="preserve">CDM03 - MORENO 3              </t>
        </is>
      </c>
      <c r="C1516" t="inlineStr">
        <is>
          <t xml:space="preserve">GRUPO L.                      </t>
        </is>
      </c>
      <c r="E1516" t="inlineStr">
        <is>
          <t xml:space="preserve">7791199003028       </t>
        </is>
      </c>
      <c r="F1516" t="n">
        <v>2006819</v>
      </c>
      <c r="G1516" t="inlineStr">
        <is>
          <t xml:space="preserve">REPELENTE X200CC FLUSH             </t>
        </is>
      </c>
      <c r="H1516" t="inlineStr">
        <is>
          <t xml:space="preserve">UNIDAD              </t>
        </is>
      </c>
      <c r="I1516" t="n">
        <v>900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900</v>
      </c>
      <c r="P1516" s="96">
        <f>_xlfn.XLOOKUP(Tabla5[[#This Row],[EAN CORREGIDO]],'Tabla Articulos'!B:B,'Tabla Articulos'!D:D)</f>
        <v/>
      </c>
      <c r="Q1516" s="96">
        <f>_xlfn.XLOOKUP(S1516,'Tabla Articulos'!B:B,'Tabla Articulos'!E:E)</f>
        <v/>
      </c>
      <c r="R1516" s="96">
        <f>O1516*Q1516</f>
        <v/>
      </c>
      <c r="S1516" s="97">
        <f>TRIM(E1516)</f>
        <v/>
      </c>
    </row>
    <row r="1517" hidden="1">
      <c r="A1517" s="22" t="n">
        <v>1</v>
      </c>
      <c r="B1517" t="inlineStr">
        <is>
          <t xml:space="preserve">CD MORENO                     </t>
        </is>
      </c>
      <c r="C1517" t="inlineStr">
        <is>
          <t xml:space="preserve">GRUPO L.                      </t>
        </is>
      </c>
      <c r="D1517" t="inlineStr">
        <is>
          <t>OBLEAS</t>
        </is>
      </c>
      <c r="E1517" t="inlineStr">
        <is>
          <t xml:space="preserve">7793123160012       </t>
        </is>
      </c>
      <c r="F1517" t="n">
        <v>4012062</v>
      </c>
      <c r="G1517" t="inlineStr">
        <is>
          <t xml:space="preserve">OBLEA SAB VAIN 50GR OBLITA         </t>
        </is>
      </c>
      <c r="H1517" t="inlineStr">
        <is>
          <t xml:space="preserve">UNIDAD              </t>
        </is>
      </c>
      <c r="I1517" t="n">
        <v>645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645</v>
      </c>
      <c r="P1517" s="96">
        <f>_xlfn.XLOOKUP(Tabla5[[#This Row],[EAN CORREGIDO]],'Tabla Articulos'!B:B,'Tabla Articulos'!D:D)</f>
        <v/>
      </c>
      <c r="Q1517" s="96">
        <f>_xlfn.XLOOKUP(S1517,'Tabla Articulos'!B:B,'Tabla Articulos'!E:E)</f>
        <v/>
      </c>
      <c r="R1517" s="96">
        <f>O1517*Q1517</f>
        <v/>
      </c>
      <c r="S1517" s="97">
        <f>TRIM(E1517)</f>
        <v/>
      </c>
    </row>
    <row r="1518" hidden="1">
      <c r="A1518" s="22" t="n">
        <v>5</v>
      </c>
      <c r="B1518" t="inlineStr">
        <is>
          <t xml:space="preserve">CDM02 - MORENO 2              </t>
        </is>
      </c>
      <c r="C1518" t="inlineStr">
        <is>
          <t xml:space="preserve">GRUPO L.                      </t>
        </is>
      </c>
      <c r="D1518" s="11" t="inlineStr">
        <is>
          <t>CHOCOLATE REPOST</t>
        </is>
      </c>
      <c r="E1518" t="inlineStr">
        <is>
          <t xml:space="preserve">7790580131487       </t>
        </is>
      </c>
      <c r="F1518" t="n">
        <v>4019585</v>
      </c>
      <c r="G1518" t="inlineStr">
        <is>
          <t xml:space="preserve">BAÑO REPOSTERIA SEMI X150G AGUILA  </t>
        </is>
      </c>
      <c r="H1518" t="inlineStr">
        <is>
          <t xml:space="preserve">UNIDAD              </t>
        </is>
      </c>
      <c r="I1518" t="n">
        <v>70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70</v>
      </c>
      <c r="P1518" s="96">
        <f>_xlfn.XLOOKUP(Tabla5[[#This Row],[EAN CORREGIDO]],'Tabla Articulos'!B:B,'Tabla Articulos'!D:D)</f>
        <v/>
      </c>
      <c r="Q1518" s="96">
        <f>_xlfn.XLOOKUP(S1518,'Tabla Articulos'!B:B,'Tabla Articulos'!E:E)</f>
        <v/>
      </c>
      <c r="R1518" s="96">
        <f>O1518*Q1518</f>
        <v/>
      </c>
      <c r="S1518" s="97">
        <f>TRIM(E1518)</f>
        <v/>
      </c>
    </row>
    <row r="1519" hidden="1">
      <c r="A1519" s="22" t="n">
        <v>1</v>
      </c>
      <c r="B1519" t="inlineStr">
        <is>
          <t xml:space="preserve">CD MORENO                     </t>
        </is>
      </c>
      <c r="C1519" t="inlineStr">
        <is>
          <t xml:space="preserve">GRUPO L.                      </t>
        </is>
      </c>
      <c r="D1519" t="inlineStr">
        <is>
          <t>CHOCOLATE REPOST</t>
        </is>
      </c>
      <c r="E1519" t="inlineStr">
        <is>
          <t xml:space="preserve">7790580131487       </t>
        </is>
      </c>
      <c r="F1519" t="n">
        <v>4019585</v>
      </c>
      <c r="G1519" t="inlineStr">
        <is>
          <t xml:space="preserve">BAÑO REPOSTERIA SEMI X150G AGUILA  </t>
        </is>
      </c>
      <c r="H1519" t="inlineStr">
        <is>
          <t xml:space="preserve">UNIDAD              </t>
        </is>
      </c>
      <c r="I1519" t="n">
        <v>114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114</v>
      </c>
      <c r="P1519" s="96">
        <f>_xlfn.XLOOKUP(Tabla5[[#This Row],[EAN CORREGIDO]],'Tabla Articulos'!B:B,'Tabla Articulos'!D:D)</f>
        <v/>
      </c>
      <c r="Q1519" s="96">
        <f>_xlfn.XLOOKUP(S1519,'Tabla Articulos'!B:B,'Tabla Articulos'!E:E)</f>
        <v/>
      </c>
      <c r="R1519" s="96">
        <f>O1519*Q1519</f>
        <v/>
      </c>
      <c r="S1519" s="97">
        <f>TRIM(E1519)</f>
        <v/>
      </c>
    </row>
    <row r="1520" hidden="1">
      <c r="A1520" s="22" t="n">
        <v>1</v>
      </c>
      <c r="B1520" t="inlineStr">
        <is>
          <t xml:space="preserve">CD MORENO                     </t>
        </is>
      </c>
      <c r="C1520" t="inlineStr">
        <is>
          <t xml:space="preserve">GRUPO L.                      </t>
        </is>
      </c>
      <c r="D1520" t="inlineStr">
        <is>
          <t>UVA</t>
        </is>
      </c>
      <c r="E1520" t="inlineStr">
        <is>
          <t xml:space="preserve">7790216020101       </t>
        </is>
      </c>
      <c r="F1520" t="n">
        <v>4018005</v>
      </c>
      <c r="G1520" t="inlineStr">
        <is>
          <t xml:space="preserve">UVA X KG                           </t>
        </is>
      </c>
      <c r="H1520" t="inlineStr">
        <is>
          <t xml:space="preserve">Kgs                 </t>
        </is>
      </c>
      <c r="I1520" t="n">
        <v>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9</v>
      </c>
      <c r="P1520" s="96">
        <f>_xlfn.XLOOKUP(Tabla5[[#This Row],[EAN CORREGIDO]],'Tabla Articulos'!B:B,'Tabla Articulos'!D:D)</f>
        <v/>
      </c>
      <c r="Q1520" s="96">
        <f>_xlfn.XLOOKUP(S1520,'Tabla Articulos'!B:B,'Tabla Articulos'!E:E)</f>
        <v/>
      </c>
      <c r="R1520" s="96">
        <f>O1520*Q1520</f>
        <v/>
      </c>
      <c r="S1520" s="97">
        <f>TRIM(E1520)</f>
        <v/>
      </c>
    </row>
    <row r="1521" hidden="1">
      <c r="A1521" s="22" t="n">
        <v>6</v>
      </c>
      <c r="B1521" t="inlineStr">
        <is>
          <t xml:space="preserve">CDM03 - MORENO 3              </t>
        </is>
      </c>
      <c r="C1521" t="inlineStr">
        <is>
          <t xml:space="preserve">GRUPO L.                      </t>
        </is>
      </c>
      <c r="E1521" t="inlineStr">
        <is>
          <t xml:space="preserve">UNIF000136          </t>
        </is>
      </c>
      <c r="F1521" t="n">
        <v>9003328</v>
      </c>
      <c r="G1521" t="inlineStr">
        <is>
          <t xml:space="preserve">BUZO FRIZA GRIS TALLE 2XL          </t>
        </is>
      </c>
      <c r="H1521" t="inlineStr">
        <is>
          <t xml:space="preserve">UNIDAD              </t>
        </is>
      </c>
      <c r="I1521" t="n">
        <v>84</v>
      </c>
      <c r="J1521" t="n">
        <v>60</v>
      </c>
      <c r="K1521" t="n">
        <v>0</v>
      </c>
      <c r="L1521" t="n">
        <v>0</v>
      </c>
      <c r="M1521" t="n">
        <v>0</v>
      </c>
      <c r="N1521" t="n">
        <v>0</v>
      </c>
      <c r="O1521" t="n">
        <v>144</v>
      </c>
      <c r="P1521" s="96">
        <f>_xlfn.XLOOKUP(Tabla5[[#This Row],[EAN CORREGIDO]],'Tabla Articulos'!B:B,'Tabla Articulos'!D:D)</f>
        <v/>
      </c>
      <c r="Q1521" s="96">
        <f>_xlfn.XLOOKUP(S1521,'Tabla Articulos'!B:B,'Tabla Articulos'!E:E)</f>
        <v/>
      </c>
      <c r="R1521" s="96">
        <f>O1521*Q1521</f>
        <v/>
      </c>
      <c r="S1521" s="97">
        <f>TRIM(E1521)</f>
        <v/>
      </c>
    </row>
    <row r="1522" hidden="1">
      <c r="A1522" s="22" t="n">
        <v>5</v>
      </c>
      <c r="B1522" t="inlineStr">
        <is>
          <t xml:space="preserve">CDM02 - MORENO 2              </t>
        </is>
      </c>
      <c r="C1522" t="inlineStr">
        <is>
          <t xml:space="preserve">GRUPO L.                      </t>
        </is>
      </c>
      <c r="D1522" t="inlineStr">
        <is>
          <t>LECHE LV ENTERA</t>
        </is>
      </c>
      <c r="E1522" t="inlineStr">
        <is>
          <t xml:space="preserve">7798338290479       </t>
        </is>
      </c>
      <c r="F1522" t="n">
        <v>4077099</v>
      </c>
      <c r="G1522" t="inlineStr">
        <is>
          <t xml:space="preserve">LECHE ENT LV 1LT APOSTOLES         </t>
        </is>
      </c>
      <c r="H1522" t="inlineStr">
        <is>
          <t xml:space="preserve">UNIDAD              </t>
        </is>
      </c>
      <c r="I1522" t="n">
        <v>3835</v>
      </c>
      <c r="J1522" t="n">
        <v>0</v>
      </c>
      <c r="K1522" t="n">
        <v>2413</v>
      </c>
      <c r="L1522" t="n">
        <v>0</v>
      </c>
      <c r="M1522" t="n">
        <v>0</v>
      </c>
      <c r="N1522" t="n">
        <v>0</v>
      </c>
      <c r="O1522" t="n">
        <v>1422</v>
      </c>
      <c r="P1522" s="96">
        <f>_xlfn.XLOOKUP(Tabla5[[#This Row],[EAN CORREGIDO]],'Tabla Articulos'!B:B,'Tabla Articulos'!D:D)</f>
        <v/>
      </c>
      <c r="Q1522" s="96">
        <f>_xlfn.XLOOKUP(S1522,'Tabla Articulos'!B:B,'Tabla Articulos'!E:E)</f>
        <v/>
      </c>
      <c r="R1522" s="96">
        <f>O1522*Q1522</f>
        <v/>
      </c>
      <c r="S1522" s="97">
        <f>TRIM(E1522)</f>
        <v/>
      </c>
    </row>
    <row r="1523" hidden="1">
      <c r="A1523" s="22" t="n">
        <v>1</v>
      </c>
      <c r="B1523" t="inlineStr">
        <is>
          <t xml:space="preserve">CD MORENO                     </t>
        </is>
      </c>
      <c r="C1523" t="inlineStr">
        <is>
          <t xml:space="preserve">GRUPO L.                      </t>
        </is>
      </c>
      <c r="D1523" t="inlineStr">
        <is>
          <t>LECHE LV ENTERA</t>
        </is>
      </c>
      <c r="E1523" t="inlineStr">
        <is>
          <t xml:space="preserve">7798338290479       </t>
        </is>
      </c>
      <c r="F1523" t="n">
        <v>4077099</v>
      </c>
      <c r="G1523" t="inlineStr">
        <is>
          <t xml:space="preserve">LECHE ENT LV 1LT APOSTOLES         </t>
        </is>
      </c>
      <c r="H1523" t="inlineStr">
        <is>
          <t xml:space="preserve">UNIDAD              </t>
        </is>
      </c>
      <c r="I1523" t="n">
        <v>116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116</v>
      </c>
      <c r="P1523" s="96">
        <f>_xlfn.XLOOKUP(Tabla5[[#This Row],[EAN CORREGIDO]],'Tabla Articulos'!B:B,'Tabla Articulos'!D:D)</f>
        <v/>
      </c>
      <c r="Q1523" s="96">
        <f>_xlfn.XLOOKUP(S1523,'Tabla Articulos'!B:B,'Tabla Articulos'!E:E)</f>
        <v/>
      </c>
      <c r="R1523" s="96">
        <f>O1523*Q1523</f>
        <v/>
      </c>
      <c r="S1523" s="97">
        <f>TRIM(E1523)</f>
        <v/>
      </c>
    </row>
    <row r="1524" hidden="1">
      <c r="A1524" s="22" t="n">
        <v>1</v>
      </c>
      <c r="B1524" t="inlineStr">
        <is>
          <t xml:space="preserve">CD MORENO                     </t>
        </is>
      </c>
      <c r="C1524" t="inlineStr">
        <is>
          <t xml:space="preserve">GRUPO L.                      </t>
        </is>
      </c>
      <c r="D1524" t="inlineStr">
        <is>
          <t>CARNE ENTERA</t>
        </is>
      </c>
      <c r="E1524" t="inlineStr">
        <is>
          <t xml:space="preserve">7790212030122       </t>
        </is>
      </c>
      <c r="F1524" t="n">
        <v>4017731</v>
      </c>
      <c r="G1524" t="inlineStr">
        <is>
          <t xml:space="preserve">TAPA DE NALGA X KG                 </t>
        </is>
      </c>
      <c r="H1524" t="inlineStr">
        <is>
          <t xml:space="preserve">Kgs                 </t>
        </is>
      </c>
      <c r="I1524" t="n">
        <v>1263.705</v>
      </c>
      <c r="J1524" t="n">
        <v>0</v>
      </c>
      <c r="K1524" t="n">
        <v>0</v>
      </c>
      <c r="L1524" t="n">
        <v>3.6</v>
      </c>
      <c r="M1524" t="n">
        <v>3.6</v>
      </c>
      <c r="N1524" t="n">
        <v>0</v>
      </c>
      <c r="O1524" t="n">
        <v>1256.505</v>
      </c>
      <c r="P1524" s="96">
        <f>_xlfn.XLOOKUP(Tabla5[[#This Row],[EAN CORREGIDO]],'Tabla Articulos'!B:B,'Tabla Articulos'!D:D)</f>
        <v/>
      </c>
      <c r="Q1524" s="96">
        <f>_xlfn.XLOOKUP(S1524,'Tabla Articulos'!B:B,'Tabla Articulos'!E:E)</f>
        <v/>
      </c>
      <c r="R1524" s="96">
        <f>O1524*Q1524</f>
        <v/>
      </c>
      <c r="S1524" s="97">
        <f>TRIM(E1524)</f>
        <v/>
      </c>
    </row>
    <row r="1525" hidden="1">
      <c r="A1525" s="22" t="n">
        <v>5</v>
      </c>
      <c r="B1525" t="inlineStr">
        <is>
          <t xml:space="preserve">CDM02 - MORENO 2              </t>
        </is>
      </c>
      <c r="C1525" t="inlineStr">
        <is>
          <t xml:space="preserve">GRUPO L.                      </t>
        </is>
      </c>
      <c r="D1525" s="11" t="inlineStr">
        <is>
          <t>ACEITE OLIVA</t>
        </is>
      </c>
      <c r="E1525" t="inlineStr">
        <is>
          <t xml:space="preserve">7798261761404       </t>
        </is>
      </c>
      <c r="F1525" t="n">
        <v>4022384</v>
      </c>
      <c r="G1525" t="inlineStr">
        <is>
          <t xml:space="preserve">ACEITE MEZCLA OLIVA X5L REINO      </t>
        </is>
      </c>
      <c r="H1525" t="inlineStr">
        <is>
          <t xml:space="preserve">UNIDAD              </t>
        </is>
      </c>
      <c r="I1525" t="n">
        <v>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6</v>
      </c>
      <c r="P1525" s="96">
        <f>_xlfn.XLOOKUP(Tabla5[[#This Row],[EAN CORREGIDO]],'Tabla Articulos'!B:B,'Tabla Articulos'!D:D)</f>
        <v/>
      </c>
      <c r="Q1525" s="96">
        <f>_xlfn.XLOOKUP(S1525,'Tabla Articulos'!B:B,'Tabla Articulos'!E:E)</f>
        <v/>
      </c>
      <c r="R1525" s="96">
        <f>O1525*Q1525</f>
        <v/>
      </c>
      <c r="S1525" s="97">
        <f>TRIM(E1525)</f>
        <v/>
      </c>
    </row>
    <row r="1526" hidden="1">
      <c r="A1526" s="22" t="n">
        <v>1</v>
      </c>
      <c r="B1526" t="inlineStr">
        <is>
          <t xml:space="preserve">CD MORENO                     </t>
        </is>
      </c>
      <c r="C1526" t="inlineStr">
        <is>
          <t xml:space="preserve">GRUPO L.                      </t>
        </is>
      </c>
      <c r="D1526" s="11" t="inlineStr">
        <is>
          <t>ACEITE OLIVA</t>
        </is>
      </c>
      <c r="E1526" t="inlineStr">
        <is>
          <t xml:space="preserve">7798261761404       </t>
        </is>
      </c>
      <c r="F1526" t="n">
        <v>4022384</v>
      </c>
      <c r="G1526" t="inlineStr">
        <is>
          <t xml:space="preserve">ACEITE MEZCLA OLIVA X5L REINO      </t>
        </is>
      </c>
      <c r="H1526" t="inlineStr">
        <is>
          <t xml:space="preserve">UNIDAD              </t>
        </is>
      </c>
      <c r="I1526" t="n">
        <v>24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24</v>
      </c>
      <c r="P1526" s="96">
        <f>_xlfn.XLOOKUP(Tabla5[[#This Row],[EAN CORREGIDO]],'Tabla Articulos'!B:B,'Tabla Articulos'!D:D)</f>
        <v/>
      </c>
      <c r="Q1526" s="96">
        <f>_xlfn.XLOOKUP(S1526,'Tabla Articulos'!B:B,'Tabla Articulos'!E:E)</f>
        <v/>
      </c>
      <c r="R1526" s="96">
        <f>O1526*Q1526</f>
        <v/>
      </c>
      <c r="S1526" s="97">
        <f>TRIM(E1526)</f>
        <v/>
      </c>
    </row>
    <row r="1527" hidden="1">
      <c r="A1527" s="22" t="n">
        <v>5</v>
      </c>
      <c r="B1527" t="inlineStr">
        <is>
          <t xml:space="preserve">CDM02 - MORENO 2              </t>
        </is>
      </c>
      <c r="C1527" t="inlineStr">
        <is>
          <t xml:space="preserve">GRUPO L.                      </t>
        </is>
      </c>
      <c r="D1527" s="11" t="inlineStr">
        <is>
          <t>SEMILLA CHIA</t>
        </is>
      </c>
      <c r="E1527" t="inlineStr">
        <is>
          <t xml:space="preserve">7793323024442       </t>
        </is>
      </c>
      <c r="F1527" t="n">
        <v>4020051</v>
      </c>
      <c r="G1527" t="inlineStr">
        <is>
          <t xml:space="preserve">SEMILLA DE CHIA X1KG DICOMERE      </t>
        </is>
      </c>
      <c r="H1527" t="inlineStr">
        <is>
          <t xml:space="preserve">UNIDAD              </t>
        </is>
      </c>
      <c r="I1527" t="n">
        <v>55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55</v>
      </c>
      <c r="P1527" s="96">
        <f>_xlfn.XLOOKUP(Tabla5[[#This Row],[EAN CORREGIDO]],'Tabla Articulos'!B:B,'Tabla Articulos'!D:D)</f>
        <v/>
      </c>
      <c r="Q1527" s="96">
        <f>_xlfn.XLOOKUP(S1527,'Tabla Articulos'!B:B,'Tabla Articulos'!E:E)</f>
        <v/>
      </c>
      <c r="R1527" s="96">
        <f>O1527*Q1527</f>
        <v/>
      </c>
      <c r="S1527" s="97">
        <f>TRIM(E1527)</f>
        <v/>
      </c>
    </row>
    <row r="1528" hidden="1">
      <c r="A1528" s="22" t="n">
        <v>6</v>
      </c>
      <c r="B1528" t="inlineStr">
        <is>
          <t xml:space="preserve">CDM03 - MORENO 3              </t>
        </is>
      </c>
      <c r="C1528" t="inlineStr">
        <is>
          <t xml:space="preserve">GRUPO L.                      </t>
        </is>
      </c>
      <c r="E1528" t="inlineStr">
        <is>
          <t xml:space="preserve">UNIF000143          </t>
        </is>
      </c>
      <c r="F1528" t="n">
        <v>9003560</v>
      </c>
      <c r="G1528" t="inlineStr">
        <is>
          <t xml:space="preserve">CAMISA 3/4 BCA. SALUD MUJER - 6    </t>
        </is>
      </c>
      <c r="H1528" t="inlineStr">
        <is>
          <t xml:space="preserve">UNIDAD              </t>
        </is>
      </c>
      <c r="I1528" t="n">
        <v>6</v>
      </c>
      <c r="J1528" t="n">
        <v>20</v>
      </c>
      <c r="K1528" t="n">
        <v>0</v>
      </c>
      <c r="L1528" t="n">
        <v>0</v>
      </c>
      <c r="M1528" t="n">
        <v>0</v>
      </c>
      <c r="N1528" t="n">
        <v>0</v>
      </c>
      <c r="O1528" t="n">
        <v>26</v>
      </c>
      <c r="P1528" s="96">
        <f>_xlfn.XLOOKUP(Tabla5[[#This Row],[EAN CORREGIDO]],'Tabla Articulos'!B:B,'Tabla Articulos'!D:D)</f>
        <v/>
      </c>
      <c r="Q1528" s="96">
        <f>_xlfn.XLOOKUP(S1528,'Tabla Articulos'!B:B,'Tabla Articulos'!E:E)</f>
        <v/>
      </c>
      <c r="R1528" s="96">
        <f>O1528*Q1528</f>
        <v/>
      </c>
      <c r="S1528" s="97">
        <f>TRIM(E1528)</f>
        <v/>
      </c>
    </row>
    <row r="1529" hidden="1">
      <c r="A1529" s="22" t="n">
        <v>1</v>
      </c>
      <c r="B1529" t="inlineStr">
        <is>
          <t xml:space="preserve">CD MORENO                     </t>
        </is>
      </c>
      <c r="C1529" t="inlineStr">
        <is>
          <t xml:space="preserve">GRUPO L.                      </t>
        </is>
      </c>
      <c r="D1529" t="inlineStr">
        <is>
          <t>MORRON VERDE</t>
        </is>
      </c>
      <c r="E1529" t="inlineStr">
        <is>
          <t xml:space="preserve">7790216012603       </t>
        </is>
      </c>
      <c r="F1529" t="n">
        <v>4017988</v>
      </c>
      <c r="G1529" t="inlineStr">
        <is>
          <t xml:space="preserve">MORRON VERDE X KG                  </t>
        </is>
      </c>
      <c r="H1529" t="inlineStr">
        <is>
          <t xml:space="preserve">Kgs                 </t>
        </is>
      </c>
      <c r="I1529" t="n">
        <v>956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956</v>
      </c>
      <c r="P1529" s="96">
        <f>_xlfn.XLOOKUP(Tabla5[[#This Row],[EAN CORREGIDO]],'Tabla Articulos'!B:B,'Tabla Articulos'!D:D)</f>
        <v/>
      </c>
      <c r="Q1529" s="96">
        <f>_xlfn.XLOOKUP(S1529,'Tabla Articulos'!B:B,'Tabla Articulos'!E:E)</f>
        <v/>
      </c>
      <c r="R1529" s="96">
        <f>O1529*Q1529</f>
        <v/>
      </c>
      <c r="S1529" s="97">
        <f>TRIM(E1529)</f>
        <v/>
      </c>
    </row>
    <row r="1530" hidden="1">
      <c r="A1530" s="22" t="n">
        <v>6</v>
      </c>
      <c r="B1530" t="inlineStr">
        <is>
          <t xml:space="preserve">CDM03 - MORENO 3              </t>
        </is>
      </c>
      <c r="C1530" t="inlineStr">
        <is>
          <t xml:space="preserve">GRUPO L.                      </t>
        </is>
      </c>
      <c r="E1530" t="inlineStr">
        <is>
          <t xml:space="preserve">5000721             </t>
        </is>
      </c>
      <c r="F1530" t="n">
        <v>5000721</v>
      </c>
      <c r="G1530" t="inlineStr">
        <is>
          <t>ANTEOJOS SEG LIBUS MOD MIG TRANS HC</t>
        </is>
      </c>
      <c r="H1530" t="inlineStr">
        <is>
          <t xml:space="preserve">UNIDAD              </t>
        </is>
      </c>
      <c r="I1530" t="n">
        <v>230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230</v>
      </c>
      <c r="P1530" s="96">
        <f>_xlfn.XLOOKUP(Tabla5[[#This Row],[EAN CORREGIDO]],'Tabla Articulos'!B:B,'Tabla Articulos'!D:D)</f>
        <v/>
      </c>
      <c r="Q1530" s="96">
        <f>_xlfn.XLOOKUP(S1530,'Tabla Articulos'!B:B,'Tabla Articulos'!E:E)</f>
        <v/>
      </c>
      <c r="R1530" s="96">
        <f>O1530*Q1530</f>
        <v/>
      </c>
      <c r="S1530" s="97">
        <f>TRIM(E1530)</f>
        <v/>
      </c>
    </row>
    <row r="1531" hidden="1">
      <c r="A1531" s="22" t="n">
        <v>5</v>
      </c>
      <c r="B1531" t="inlineStr">
        <is>
          <t xml:space="preserve">CDM02 - MORENO 2              </t>
        </is>
      </c>
      <c r="C1531" t="inlineStr">
        <is>
          <t xml:space="preserve">GRUPO L.                      </t>
        </is>
      </c>
      <c r="D1531" t="inlineStr">
        <is>
          <t>BASE DE TOMATE</t>
        </is>
      </c>
      <c r="E1531" t="inlineStr">
        <is>
          <t xml:space="preserve">7891150049574       </t>
        </is>
      </c>
      <c r="F1531" t="n">
        <v>4020580</v>
      </c>
      <c r="G1531" t="inlineStr">
        <is>
          <t xml:space="preserve">BASE TOM DESHID X750G KNORR        </t>
        </is>
      </c>
      <c r="H1531" t="inlineStr">
        <is>
          <t xml:space="preserve">UNIDAD              </t>
        </is>
      </c>
      <c r="I1531" t="n">
        <v>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8</v>
      </c>
      <c r="P1531" s="96">
        <f>_xlfn.XLOOKUP(Tabla5[[#This Row],[EAN CORREGIDO]],'Tabla Articulos'!B:B,'Tabla Articulos'!D:D)</f>
        <v/>
      </c>
      <c r="Q1531" s="96">
        <f>_xlfn.XLOOKUP(S1531,'Tabla Articulos'!B:B,'Tabla Articulos'!E:E)</f>
        <v/>
      </c>
      <c r="R1531" s="96">
        <f>O1531*Q1531</f>
        <v/>
      </c>
      <c r="S1531" s="97">
        <f>TRIM(E1531)</f>
        <v/>
      </c>
    </row>
    <row r="1532" hidden="1">
      <c r="A1532" s="22" t="n">
        <v>5</v>
      </c>
      <c r="B1532" t="inlineStr">
        <is>
          <t xml:space="preserve">CDM02 - MORENO 2              </t>
        </is>
      </c>
      <c r="C1532" t="inlineStr">
        <is>
          <t xml:space="preserve">GRUPO L.                      </t>
        </is>
      </c>
      <c r="D1532" t="inlineStr">
        <is>
          <t>POROTOS REMOJADOS</t>
        </is>
      </c>
      <c r="E1532" t="inlineStr">
        <is>
          <t xml:space="preserve">7792290000404       </t>
        </is>
      </c>
      <c r="F1532" t="n">
        <v>4020117</v>
      </c>
      <c r="G1532" t="inlineStr">
        <is>
          <t xml:space="preserve">POROTOS TETRA X340G MONTE NEVI     </t>
        </is>
      </c>
      <c r="H1532" t="inlineStr">
        <is>
          <t xml:space="preserve">UNIDAD              </t>
        </is>
      </c>
      <c r="I1532" t="n">
        <v>15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15</v>
      </c>
      <c r="P1532" s="96">
        <f>_xlfn.XLOOKUP(Tabla5[[#This Row],[EAN CORREGIDO]],'Tabla Articulos'!B:B,'Tabla Articulos'!D:D)</f>
        <v/>
      </c>
      <c r="Q1532" s="96">
        <f>_xlfn.XLOOKUP(S1532,'Tabla Articulos'!B:B,'Tabla Articulos'!E:E)</f>
        <v/>
      </c>
      <c r="R1532" s="96">
        <f>O1532*Q1532</f>
        <v/>
      </c>
      <c r="S1532" s="97">
        <f>TRIM(E1532)</f>
        <v/>
      </c>
    </row>
    <row r="1533" hidden="1">
      <c r="A1533" s="22" t="n">
        <v>6</v>
      </c>
      <c r="B1533" t="inlineStr">
        <is>
          <t xml:space="preserve">CDM03 - MORENO 3              </t>
        </is>
      </c>
      <c r="C1533" t="inlineStr">
        <is>
          <t xml:space="preserve">GRUPO L.                      </t>
        </is>
      </c>
      <c r="D1533" s="11" t="n"/>
      <c r="E1533" t="inlineStr">
        <is>
          <t xml:space="preserve">2001751             </t>
        </is>
      </c>
      <c r="F1533" t="n">
        <v>2001751</v>
      </c>
      <c r="G1533" t="inlineStr">
        <is>
          <t xml:space="preserve">BOLSA PARA CESTO NEGRA 60X90 X 50U </t>
        </is>
      </c>
      <c r="H1533" t="inlineStr">
        <is>
          <t xml:space="preserve">BULTOS              </t>
        </is>
      </c>
      <c r="I1533" t="n">
        <v>13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13</v>
      </c>
      <c r="P1533" s="96">
        <f>_xlfn.XLOOKUP(Tabla5[[#This Row],[EAN CORREGIDO]],'Tabla Articulos'!B:B,'Tabla Articulos'!D:D)</f>
        <v/>
      </c>
      <c r="Q1533" s="96">
        <f>_xlfn.XLOOKUP(S1533,'Tabla Articulos'!B:B,'Tabla Articulos'!E:E)</f>
        <v/>
      </c>
      <c r="R1533" s="96">
        <f>O1533*Q1533</f>
        <v/>
      </c>
      <c r="S1533" s="97">
        <f>TRIM(E1533)</f>
        <v/>
      </c>
    </row>
    <row r="1534" hidden="1">
      <c r="A1534" s="22" t="n">
        <v>1</v>
      </c>
      <c r="B1534" t="inlineStr">
        <is>
          <t xml:space="preserve">CD MORENO                     </t>
        </is>
      </c>
      <c r="C1534" t="inlineStr">
        <is>
          <t xml:space="preserve">GRUPO L.                      </t>
        </is>
      </c>
      <c r="D1534" t="inlineStr">
        <is>
          <t xml:space="preserve">ESPINACA  </t>
        </is>
      </c>
      <c r="E1534" t="inlineStr">
        <is>
          <t xml:space="preserve">7790216012651       </t>
        </is>
      </c>
      <c r="F1534" s="11" t="n">
        <v>4018045</v>
      </c>
      <c r="G1534" t="inlineStr">
        <is>
          <t xml:space="preserve">ESPINACA X KG                      </t>
        </is>
      </c>
      <c r="H1534" t="inlineStr">
        <is>
          <t xml:space="preserve">Kgs                 </t>
        </is>
      </c>
      <c r="I1534" t="n">
        <v>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5</v>
      </c>
      <c r="P1534" s="96">
        <f>_xlfn.XLOOKUP(Tabla5[[#This Row],[EAN CORREGIDO]],'Tabla Articulos'!B:B,'Tabla Articulos'!D:D)</f>
        <v/>
      </c>
      <c r="Q1534" s="96">
        <f>_xlfn.XLOOKUP(S1534,'Tabla Articulos'!B:B,'Tabla Articulos'!E:E)</f>
        <v/>
      </c>
      <c r="R1534" s="96">
        <f>O1534*Q1534</f>
        <v/>
      </c>
      <c r="S1534" s="97">
        <f>TRIM(E1534)</f>
        <v/>
      </c>
    </row>
    <row r="1535" hidden="1">
      <c r="A1535" s="22" t="n">
        <v>6</v>
      </c>
      <c r="B1535" t="inlineStr">
        <is>
          <t xml:space="preserve">CDM03 - MORENO 3              </t>
        </is>
      </c>
      <c r="C1535" t="inlineStr">
        <is>
          <t xml:space="preserve">GRUPO L.                      </t>
        </is>
      </c>
      <c r="D1535" s="11" t="n"/>
      <c r="E1535" t="inlineStr">
        <is>
          <t xml:space="preserve">UNIF000711          </t>
        </is>
      </c>
      <c r="F1535" s="11" t="n">
        <v>9004070</v>
      </c>
      <c r="G1535" t="inlineStr">
        <is>
          <t xml:space="preserve">CAMP. NARAN TRUCKER ELEVARE M      </t>
        </is>
      </c>
      <c r="H1535" t="inlineStr">
        <is>
          <t xml:space="preserve">UNIDAD              </t>
        </is>
      </c>
      <c r="I1535" t="n">
        <v>14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14</v>
      </c>
      <c r="P1535" s="96">
        <f>_xlfn.XLOOKUP(Tabla5[[#This Row],[EAN CORREGIDO]],'Tabla Articulos'!B:B,'Tabla Articulos'!D:D)</f>
        <v/>
      </c>
      <c r="Q1535" s="96">
        <f>_xlfn.XLOOKUP(S1535,'Tabla Articulos'!B:B,'Tabla Articulos'!E:E)</f>
        <v/>
      </c>
      <c r="R1535" s="96">
        <f>O1535*Q1535</f>
        <v/>
      </c>
      <c r="S1535" s="97">
        <f>TRIM(E1535)</f>
        <v/>
      </c>
    </row>
    <row r="1536" hidden="1">
      <c r="A1536" s="22" t="n">
        <v>6</v>
      </c>
      <c r="B1536" t="inlineStr">
        <is>
          <t xml:space="preserve">CDM03 - MORENO 3              </t>
        </is>
      </c>
      <c r="C1536" t="inlineStr">
        <is>
          <t xml:space="preserve">GRUPO L.                      </t>
        </is>
      </c>
      <c r="D1536" s="11" t="inlineStr">
        <is>
          <t>RESINITE PVC</t>
        </is>
      </c>
      <c r="E1536" t="inlineStr">
        <is>
          <t xml:space="preserve">7790000000228       </t>
        </is>
      </c>
      <c r="F1536" s="11" t="n">
        <v>2007184</v>
      </c>
      <c r="G1536" t="inlineStr">
        <is>
          <t xml:space="preserve">FILM PVC 38 CM 3.390KG X1UN        </t>
        </is>
      </c>
      <c r="H1536" t="inlineStr">
        <is>
          <t xml:space="preserve">UNIDAD              </t>
        </is>
      </c>
      <c r="I1536" t="n">
        <v>1252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1252</v>
      </c>
      <c r="P1536" s="96">
        <f>_xlfn.XLOOKUP(Tabla5[[#This Row],[EAN CORREGIDO]],'Tabla Articulos'!B:B,'Tabla Articulos'!D:D)</f>
        <v/>
      </c>
      <c r="Q1536" s="96">
        <f>_xlfn.XLOOKUP(S1536,'Tabla Articulos'!B:B,'Tabla Articulos'!E:E)</f>
        <v/>
      </c>
      <c r="R1536" s="96">
        <f>O1536*Q1536</f>
        <v/>
      </c>
      <c r="S1536" s="97">
        <f>TRIM(E1536)</f>
        <v/>
      </c>
    </row>
    <row r="1537" hidden="1">
      <c r="A1537" s="22" t="n">
        <v>1</v>
      </c>
      <c r="B1537" t="inlineStr">
        <is>
          <t xml:space="preserve">CD MORENO                     </t>
        </is>
      </c>
      <c r="C1537" t="inlineStr">
        <is>
          <t xml:space="preserve">GRUPO L.                      </t>
        </is>
      </c>
      <c r="D1537" s="11" t="inlineStr">
        <is>
          <t>LECHE POLVO NUTRI 2</t>
        </is>
      </c>
      <c r="E1537" t="inlineStr">
        <is>
          <t xml:space="preserve">7795323002437       </t>
        </is>
      </c>
      <c r="F1537" s="11" t="n">
        <v>4018395</v>
      </c>
      <c r="G1537" t="inlineStr">
        <is>
          <t xml:space="preserve">LECHE EN POLVO x 800 NUTRILON2     </t>
        </is>
      </c>
      <c r="H1537" t="inlineStr">
        <is>
          <t xml:space="preserve">UNIDAD              </t>
        </is>
      </c>
      <c r="I1537" t="n">
        <v>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4</v>
      </c>
      <c r="P1537" s="96">
        <f>_xlfn.XLOOKUP(Tabla5[[#This Row],[EAN CORREGIDO]],'Tabla Articulos'!B:B,'Tabla Articulos'!D:D)</f>
        <v/>
      </c>
      <c r="Q1537" s="96">
        <f>_xlfn.XLOOKUP(S1537,'Tabla Articulos'!B:B,'Tabla Articulos'!E:E)</f>
        <v/>
      </c>
      <c r="R1537" s="96">
        <f>O1537*Q1537</f>
        <v/>
      </c>
      <c r="S1537" s="97">
        <f>TRIM(E1537)</f>
        <v/>
      </c>
    </row>
    <row r="1538" hidden="1">
      <c r="A1538" s="22" t="n">
        <v>5</v>
      </c>
      <c r="B1538" t="inlineStr">
        <is>
          <t xml:space="preserve">CDM02 - MORENO 2              </t>
        </is>
      </c>
      <c r="C1538" t="inlineStr">
        <is>
          <t xml:space="preserve">GRUPO L.                      </t>
        </is>
      </c>
      <c r="D1538" s="11" t="inlineStr">
        <is>
          <t>POROTOS SECOS</t>
        </is>
      </c>
      <c r="E1538" t="inlineStr">
        <is>
          <t xml:space="preserve">7791476057058       </t>
        </is>
      </c>
      <c r="F1538" s="11" t="n">
        <v>4024851</v>
      </c>
      <c r="G1538" t="inlineStr">
        <is>
          <t xml:space="preserve">POROTOS ALUBIA X5KG EGRAN          </t>
        </is>
      </c>
      <c r="H1538" t="inlineStr">
        <is>
          <t xml:space="preserve">UNIDAD              </t>
        </is>
      </c>
      <c r="I1538" t="n">
        <v>77</v>
      </c>
      <c r="J1538" t="n">
        <v>0</v>
      </c>
      <c r="K1538" t="n">
        <v>0</v>
      </c>
      <c r="L1538" t="n">
        <v>2</v>
      </c>
      <c r="M1538" t="n">
        <v>2</v>
      </c>
      <c r="N1538" t="n">
        <v>0</v>
      </c>
      <c r="O1538" t="n">
        <v>73</v>
      </c>
      <c r="P1538" s="96">
        <f>_xlfn.XLOOKUP(Tabla5[[#This Row],[EAN CORREGIDO]],'Tabla Articulos'!B:B,'Tabla Articulos'!D:D)</f>
        <v/>
      </c>
      <c r="Q1538" s="96">
        <f>_xlfn.XLOOKUP(S1538,'Tabla Articulos'!B:B,'Tabla Articulos'!E:E)</f>
        <v/>
      </c>
      <c r="R1538" s="96">
        <f>O1538*Q1538</f>
        <v/>
      </c>
      <c r="S1538" s="97">
        <f>TRIM(E1538)</f>
        <v/>
      </c>
    </row>
    <row r="1539" hidden="1">
      <c r="A1539" s="22" t="n">
        <v>6</v>
      </c>
      <c r="B1539" t="inlineStr">
        <is>
          <t xml:space="preserve">CDM03 - MORENO 3              </t>
        </is>
      </c>
      <c r="C1539" t="inlineStr">
        <is>
          <t xml:space="preserve">GRUPO L.                      </t>
        </is>
      </c>
      <c r="E1539" t="inlineStr">
        <is>
          <t xml:space="preserve">BUSAT0011017        </t>
        </is>
      </c>
      <c r="G1539" t="inlineStr">
        <is>
          <t>FREIDORA CUADRADA GRANDE DE ALAMBRE</t>
        </is>
      </c>
      <c r="H1539" t="inlineStr">
        <is>
          <t xml:space="preserve">UNIDAD              </t>
        </is>
      </c>
      <c r="I1539" t="n">
        <v>10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10</v>
      </c>
      <c r="P1539" s="96">
        <f>_xlfn.XLOOKUP(Tabla5[[#This Row],[EAN CORREGIDO]],'Tabla Articulos'!B:B,'Tabla Articulos'!D:D)</f>
        <v/>
      </c>
      <c r="Q1539" s="96">
        <f>_xlfn.XLOOKUP(S1539,'Tabla Articulos'!B:B,'Tabla Articulos'!E:E)</f>
        <v/>
      </c>
      <c r="R1539" s="96">
        <f>O1539*Q1539</f>
        <v/>
      </c>
      <c r="S1539" s="97">
        <f>TRIM(E1539)</f>
        <v/>
      </c>
    </row>
    <row r="1540" hidden="1">
      <c r="A1540" s="22" t="n">
        <v>6</v>
      </c>
      <c r="B1540" t="inlineStr">
        <is>
          <t xml:space="preserve">CDM03 - MORENO 3              </t>
        </is>
      </c>
      <c r="C1540" t="inlineStr">
        <is>
          <t xml:space="preserve">GRUPO L.                      </t>
        </is>
      </c>
      <c r="D1540" s="11" t="n"/>
      <c r="E1540" t="inlineStr">
        <is>
          <t xml:space="preserve">BUSAT000947         </t>
        </is>
      </c>
      <c r="G1540" t="inlineStr">
        <is>
          <t xml:space="preserve">GUANTES NITRILO VERDE T11          </t>
        </is>
      </c>
      <c r="H1540" t="inlineStr">
        <is>
          <t xml:space="preserve">UNIDAD              </t>
        </is>
      </c>
      <c r="I1540" t="n">
        <v>10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10</v>
      </c>
      <c r="P1540" s="96">
        <f>_xlfn.XLOOKUP(Tabla5[[#This Row],[EAN CORREGIDO]],'Tabla Articulos'!B:B,'Tabla Articulos'!D:D)</f>
        <v/>
      </c>
      <c r="Q1540" s="96">
        <f>_xlfn.XLOOKUP(S1540,'Tabla Articulos'!B:B,'Tabla Articulos'!E:E)</f>
        <v/>
      </c>
      <c r="R1540" s="96">
        <f>O1540*Q1540</f>
        <v/>
      </c>
      <c r="S1540" s="97">
        <f>TRIM(E1540)</f>
        <v/>
      </c>
    </row>
    <row r="1541" hidden="1">
      <c r="A1541" s="22" t="n">
        <v>6</v>
      </c>
      <c r="B1541" t="inlineStr">
        <is>
          <t xml:space="preserve">CDM03 - MORENO 3              </t>
        </is>
      </c>
      <c r="C1541" t="inlineStr">
        <is>
          <t xml:space="preserve">GRUPO L.                      </t>
        </is>
      </c>
      <c r="D1541" s="11" t="n"/>
      <c r="E1541" t="inlineStr">
        <is>
          <t xml:space="preserve">BUSAT000367         </t>
        </is>
      </c>
      <c r="G1541" t="inlineStr">
        <is>
          <t xml:space="preserve">REMITO DE DEVOLUCION/SANWICHES     </t>
        </is>
      </c>
      <c r="H1541" t="inlineStr">
        <is>
          <t xml:space="preserve">UNIDAD              </t>
        </is>
      </c>
      <c r="I1541" t="n">
        <v>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4</v>
      </c>
      <c r="P1541" s="96">
        <f>_xlfn.XLOOKUP(Tabla5[[#This Row],[EAN CORREGIDO]],'Tabla Articulos'!B:B,'Tabla Articulos'!D:D)</f>
        <v/>
      </c>
      <c r="Q1541" s="96">
        <f>_xlfn.XLOOKUP(S1541,'Tabla Articulos'!B:B,'Tabla Articulos'!E:E)</f>
        <v/>
      </c>
      <c r="R1541" s="96">
        <f>O1541*Q1541</f>
        <v/>
      </c>
      <c r="S1541" s="97">
        <f>TRIM(E1541)</f>
        <v/>
      </c>
    </row>
    <row r="1542" hidden="1">
      <c r="A1542" s="22" t="n">
        <v>6</v>
      </c>
      <c r="B1542" t="inlineStr">
        <is>
          <t xml:space="preserve">CDM03 - MORENO 3              </t>
        </is>
      </c>
      <c r="C1542" t="inlineStr">
        <is>
          <t xml:space="preserve">GRUPO L.                      </t>
        </is>
      </c>
      <c r="E1542" t="inlineStr">
        <is>
          <t xml:space="preserve">BUSAT000246         </t>
        </is>
      </c>
      <c r="G1542" t="inlineStr">
        <is>
          <t>MAQUINA DE GASEOSAS DIXIE NARCO 134</t>
        </is>
      </c>
      <c r="H1542" t="inlineStr">
        <is>
          <t xml:space="preserve">UNIDAD              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2</v>
      </c>
      <c r="P1542" s="96">
        <f>_xlfn.XLOOKUP(Tabla5[[#This Row],[EAN CORREGIDO]],'Tabla Articulos'!B:B,'Tabla Articulos'!D:D)</f>
        <v/>
      </c>
      <c r="Q1542" s="96">
        <f>_xlfn.XLOOKUP(S1542,'Tabla Articulos'!B:B,'Tabla Articulos'!E:E)</f>
        <v/>
      </c>
      <c r="R1542" s="96">
        <f>O1542*Q1542</f>
        <v/>
      </c>
      <c r="S1542" s="97">
        <f>TRIM(E1542)</f>
        <v/>
      </c>
    </row>
    <row r="1543" hidden="1">
      <c r="A1543" s="22" t="n">
        <v>6</v>
      </c>
      <c r="B1543" t="inlineStr">
        <is>
          <t xml:space="preserve">CDM03 - MORENO 3              </t>
        </is>
      </c>
      <c r="C1543" t="inlineStr">
        <is>
          <t xml:space="preserve">GRUPO L.                      </t>
        </is>
      </c>
      <c r="D1543" s="11" t="n"/>
      <c r="E1543" t="inlineStr">
        <is>
          <t xml:space="preserve">BUSAT000714         </t>
        </is>
      </c>
      <c r="G1543" t="inlineStr">
        <is>
          <t xml:space="preserve">CAMPERAS TRUCKER TRICAPA EX T/M    </t>
        </is>
      </c>
      <c r="H1543" t="inlineStr">
        <is>
          <t xml:space="preserve">UNIDAD              </t>
        </is>
      </c>
      <c r="I1543" t="n">
        <v>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5</v>
      </c>
      <c r="P1543" s="96">
        <f>_xlfn.XLOOKUP(Tabla5[[#This Row],[EAN CORREGIDO]],'Tabla Articulos'!B:B,'Tabla Articulos'!D:D)</f>
        <v/>
      </c>
      <c r="Q1543" s="96">
        <f>_xlfn.XLOOKUP(S1543,'Tabla Articulos'!B:B,'Tabla Articulos'!E:E)</f>
        <v/>
      </c>
      <c r="R1543" s="96">
        <f>O1543*Q1543</f>
        <v/>
      </c>
      <c r="S1543" s="97">
        <f>TRIM(E1543)</f>
        <v/>
      </c>
    </row>
    <row r="1544" hidden="1">
      <c r="A1544" s="22" t="n">
        <v>6</v>
      </c>
      <c r="B1544" t="inlineStr">
        <is>
          <t xml:space="preserve">CDM03 - MORENO 3              </t>
        </is>
      </c>
      <c r="C1544" t="inlineStr">
        <is>
          <t xml:space="preserve">GRUPO L.                      </t>
        </is>
      </c>
      <c r="E1544" t="inlineStr">
        <is>
          <t xml:space="preserve">BUSAT000118         </t>
        </is>
      </c>
      <c r="G1544" t="inlineStr">
        <is>
          <t xml:space="preserve">BANDEJA DE MOZO                    </t>
        </is>
      </c>
      <c r="H1544" t="inlineStr">
        <is>
          <t xml:space="preserve">UNIDAD              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1</v>
      </c>
      <c r="P1544" s="96">
        <f>_xlfn.XLOOKUP(Tabla5[[#This Row],[EAN CORREGIDO]],'Tabla Articulos'!B:B,'Tabla Articulos'!D:D)</f>
        <v/>
      </c>
      <c r="Q1544" s="96">
        <f>_xlfn.XLOOKUP(S1544,'Tabla Articulos'!B:B,'Tabla Articulos'!E:E)</f>
        <v/>
      </c>
      <c r="R1544" s="96">
        <f>O1544*Q1544</f>
        <v/>
      </c>
      <c r="S1544" s="97">
        <f>TRIM(E1544)</f>
        <v/>
      </c>
    </row>
    <row r="1545" hidden="1">
      <c r="A1545" s="22" t="n">
        <v>6</v>
      </c>
      <c r="B1545" t="inlineStr">
        <is>
          <t xml:space="preserve">CDM03 - MORENO 3              </t>
        </is>
      </c>
      <c r="C1545" t="inlineStr">
        <is>
          <t xml:space="preserve">GRUPO L.                      </t>
        </is>
      </c>
      <c r="E1545" t="inlineStr">
        <is>
          <t xml:space="preserve">BUSAT000050         </t>
        </is>
      </c>
      <c r="G1545" t="inlineStr">
        <is>
          <t xml:space="preserve">JARRA DE VIDRIO                    </t>
        </is>
      </c>
      <c r="H1545" t="inlineStr">
        <is>
          <t xml:space="preserve">UNIDAD              </t>
        </is>
      </c>
      <c r="I1545" t="n">
        <v>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5</v>
      </c>
      <c r="P1545" s="96">
        <f>_xlfn.XLOOKUP(Tabla5[[#This Row],[EAN CORREGIDO]],'Tabla Articulos'!B:B,'Tabla Articulos'!D:D)</f>
        <v/>
      </c>
      <c r="Q1545" s="96">
        <f>_xlfn.XLOOKUP(S1545,'Tabla Articulos'!B:B,'Tabla Articulos'!E:E)</f>
        <v/>
      </c>
      <c r="R1545" s="96">
        <f>O1545*Q1545</f>
        <v/>
      </c>
      <c r="S1545" s="97">
        <f>TRIM(E1545)</f>
        <v/>
      </c>
    </row>
    <row r="1546" hidden="1">
      <c r="A1546" s="22" t="n">
        <v>6</v>
      </c>
      <c r="B1546" t="inlineStr">
        <is>
          <t xml:space="preserve">CDM03 - MORENO 3              </t>
        </is>
      </c>
      <c r="C1546" t="inlineStr">
        <is>
          <t xml:space="preserve">GRUPO L.                      </t>
        </is>
      </c>
      <c r="E1546" t="inlineStr">
        <is>
          <t xml:space="preserve">BUSAT000581         </t>
        </is>
      </c>
      <c r="G1546" t="inlineStr">
        <is>
          <t xml:space="preserve">CHALECO SUPERVISOR                 </t>
        </is>
      </c>
      <c r="H1546" t="inlineStr">
        <is>
          <t xml:space="preserve">UNIDAD              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1</v>
      </c>
      <c r="P1546" s="96">
        <f>_xlfn.XLOOKUP(Tabla5[[#This Row],[EAN CORREGIDO]],'Tabla Articulos'!B:B,'Tabla Articulos'!D:D)</f>
        <v/>
      </c>
      <c r="Q1546" s="96">
        <f>_xlfn.XLOOKUP(S1546,'Tabla Articulos'!B:B,'Tabla Articulos'!E:E)</f>
        <v/>
      </c>
      <c r="R1546" s="96">
        <f>O1546*Q1546</f>
        <v/>
      </c>
      <c r="S1546" s="97">
        <f>TRIM(E1546)</f>
        <v/>
      </c>
    </row>
    <row r="1547" hidden="1">
      <c r="A1547" s="22" t="n">
        <v>6</v>
      </c>
      <c r="B1547" t="inlineStr">
        <is>
          <t xml:space="preserve">CDM03 - MORENO 3              </t>
        </is>
      </c>
      <c r="C1547" t="inlineStr">
        <is>
          <t xml:space="preserve">GRUPO L.                      </t>
        </is>
      </c>
      <c r="E1547" t="inlineStr">
        <is>
          <t xml:space="preserve">BUSAT000272         </t>
        </is>
      </c>
      <c r="G1547" t="inlineStr">
        <is>
          <t xml:space="preserve">GN 1/6 100MM                       </t>
        </is>
      </c>
      <c r="H1547" t="inlineStr">
        <is>
          <t xml:space="preserve">UNIDAD              </t>
        </is>
      </c>
      <c r="I1547" t="n">
        <v>64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64</v>
      </c>
      <c r="P1547" s="96">
        <f>_xlfn.XLOOKUP(Tabla5[[#This Row],[EAN CORREGIDO]],'Tabla Articulos'!B:B,'Tabla Articulos'!D:D)</f>
        <v/>
      </c>
      <c r="Q1547" s="96">
        <f>_xlfn.XLOOKUP(S1547,'Tabla Articulos'!B:B,'Tabla Articulos'!E:E)</f>
        <v/>
      </c>
      <c r="R1547" s="96">
        <f>O1547*Q1547</f>
        <v/>
      </c>
      <c r="S1547" s="97">
        <f>TRIM(E1547)</f>
        <v/>
      </c>
    </row>
    <row r="1548" hidden="1">
      <c r="A1548" s="22" t="n">
        <v>6</v>
      </c>
      <c r="B1548" t="inlineStr">
        <is>
          <t xml:space="preserve">CDM03 - MORENO 3              </t>
        </is>
      </c>
      <c r="C1548" t="inlineStr">
        <is>
          <t xml:space="preserve">GRUPO L.                      </t>
        </is>
      </c>
      <c r="D1548" s="11" t="n"/>
      <c r="E1548" t="inlineStr">
        <is>
          <t xml:space="preserve">BUSAT000306         </t>
        </is>
      </c>
      <c r="G1548" t="inlineStr">
        <is>
          <t xml:space="preserve">COCINA 4H C/PLANCHA                </t>
        </is>
      </c>
      <c r="H1548" t="inlineStr">
        <is>
          <t xml:space="preserve">UNIDAD              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1</v>
      </c>
      <c r="P1548" s="96">
        <f>_xlfn.XLOOKUP(Tabla5[[#This Row],[EAN CORREGIDO]],'Tabla Articulos'!B:B,'Tabla Articulos'!D:D)</f>
        <v/>
      </c>
      <c r="Q1548" s="96">
        <f>_xlfn.XLOOKUP(S1548,'Tabla Articulos'!B:B,'Tabla Articulos'!E:E)</f>
        <v/>
      </c>
      <c r="R1548" s="96">
        <f>O1548*Q1548</f>
        <v/>
      </c>
      <c r="S1548" s="97">
        <f>TRIM(E1548)</f>
        <v/>
      </c>
    </row>
    <row r="1549" hidden="1">
      <c r="A1549" s="22" t="n">
        <v>6</v>
      </c>
      <c r="B1549" t="inlineStr">
        <is>
          <t xml:space="preserve">CDM03 - MORENO 3              </t>
        </is>
      </c>
      <c r="C1549" t="inlineStr">
        <is>
          <t xml:space="preserve">GRUPO L.                      </t>
        </is>
      </c>
      <c r="E1549" t="inlineStr">
        <is>
          <t xml:space="preserve">BUSAT000347         </t>
        </is>
      </c>
      <c r="G1549" t="inlineStr">
        <is>
          <t xml:space="preserve">MAMADERAS                          </t>
        </is>
      </c>
      <c r="H1549" t="inlineStr">
        <is>
          <t xml:space="preserve">UNIDAD              </t>
        </is>
      </c>
      <c r="I1549" t="n">
        <v>20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20</v>
      </c>
      <c r="P1549" s="96">
        <f>_xlfn.XLOOKUP(Tabla5[[#This Row],[EAN CORREGIDO]],'Tabla Articulos'!B:B,'Tabla Articulos'!D:D)</f>
        <v/>
      </c>
      <c r="Q1549" s="96">
        <f>_xlfn.XLOOKUP(S1549,'Tabla Articulos'!B:B,'Tabla Articulos'!E:E)</f>
        <v/>
      </c>
      <c r="R1549" s="96">
        <f>O1549*Q1549</f>
        <v/>
      </c>
      <c r="S1549" s="97">
        <f>TRIM(E1549)</f>
        <v/>
      </c>
    </row>
    <row r="1550" hidden="1">
      <c r="A1550" s="22" t="n">
        <v>6</v>
      </c>
      <c r="B1550" t="inlineStr">
        <is>
          <t xml:space="preserve">CDM03 - MORENO 3              </t>
        </is>
      </c>
      <c r="C1550" t="inlineStr">
        <is>
          <t xml:space="preserve">GRUPO L.                      </t>
        </is>
      </c>
      <c r="D1550" s="11" t="n"/>
      <c r="E1550" t="inlineStr">
        <is>
          <t xml:space="preserve">BUSAT000883         </t>
        </is>
      </c>
      <c r="G1550" t="inlineStr">
        <is>
          <t xml:space="preserve">ESTANTE BLANCO DE MELAMINA         </t>
        </is>
      </c>
      <c r="H1550" t="inlineStr">
        <is>
          <t xml:space="preserve">UNIDAD              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1</v>
      </c>
      <c r="P1550" s="96">
        <f>_xlfn.XLOOKUP(Tabla5[[#This Row],[EAN CORREGIDO]],'Tabla Articulos'!B:B,'Tabla Articulos'!D:D)</f>
        <v/>
      </c>
      <c r="Q1550" s="96">
        <f>_xlfn.XLOOKUP(S1550,'Tabla Articulos'!B:B,'Tabla Articulos'!E:E)</f>
        <v/>
      </c>
      <c r="R1550" s="96">
        <f>O1550*Q1550</f>
        <v/>
      </c>
      <c r="S1550" s="97">
        <f>TRIM(E1550)</f>
        <v/>
      </c>
    </row>
    <row r="1551" hidden="1">
      <c r="A1551" s="22" t="n">
        <v>6</v>
      </c>
      <c r="B1551" t="inlineStr">
        <is>
          <t xml:space="preserve">CDM03 - MORENO 3              </t>
        </is>
      </c>
      <c r="C1551" t="inlineStr">
        <is>
          <t xml:space="preserve">GRUPO L.                      </t>
        </is>
      </c>
      <c r="E1551" t="inlineStr">
        <is>
          <t xml:space="preserve">BUSAT000342         </t>
        </is>
      </c>
      <c r="G1551" t="inlineStr">
        <is>
          <t xml:space="preserve">BAUL LARGO MIMBRE/ SANDWICHES 04   </t>
        </is>
      </c>
      <c r="H1551" t="inlineStr">
        <is>
          <t xml:space="preserve">UNIDAD              </t>
        </is>
      </c>
      <c r="I1551" t="n">
        <v>0</v>
      </c>
      <c r="J1551" t="n">
        <v>1</v>
      </c>
      <c r="K1551" t="n">
        <v>0</v>
      </c>
      <c r="L1551" t="n">
        <v>0</v>
      </c>
      <c r="M1551" t="n">
        <v>0</v>
      </c>
      <c r="N1551" t="n">
        <v>0</v>
      </c>
      <c r="O1551" t="n">
        <v>1</v>
      </c>
      <c r="P1551" s="96">
        <f>_xlfn.XLOOKUP(Tabla5[[#This Row],[EAN CORREGIDO]],'Tabla Articulos'!B:B,'Tabla Articulos'!D:D)</f>
        <v/>
      </c>
      <c r="Q1551" s="96">
        <f>_xlfn.XLOOKUP(S1551,'Tabla Articulos'!B:B,'Tabla Articulos'!E:E)</f>
        <v/>
      </c>
      <c r="R1551" s="96">
        <f>O1551*Q1551</f>
        <v/>
      </c>
      <c r="S1551" s="97">
        <f>TRIM(E1551)</f>
        <v/>
      </c>
    </row>
    <row r="1552" hidden="1">
      <c r="A1552" s="22" t="n">
        <v>6</v>
      </c>
      <c r="B1552" t="inlineStr">
        <is>
          <t xml:space="preserve">CDM03 - MORENO 3              </t>
        </is>
      </c>
      <c r="C1552" t="inlineStr">
        <is>
          <t xml:space="preserve">GRUPO L.                      </t>
        </is>
      </c>
      <c r="D1552" s="11" t="n"/>
      <c r="E1552" t="inlineStr">
        <is>
          <t xml:space="preserve">BUSAT000897         </t>
        </is>
      </c>
      <c r="G1552" t="inlineStr">
        <is>
          <t xml:space="preserve">ASADERA MEADIANA CUADRADA          </t>
        </is>
      </c>
      <c r="H1552" t="inlineStr">
        <is>
          <t xml:space="preserve">UNIDAD              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2</v>
      </c>
      <c r="P1552" s="96">
        <f>_xlfn.XLOOKUP(Tabla5[[#This Row],[EAN CORREGIDO]],'Tabla Articulos'!B:B,'Tabla Articulos'!D:D)</f>
        <v/>
      </c>
      <c r="Q1552" s="96">
        <f>_xlfn.XLOOKUP(S1552,'Tabla Articulos'!B:B,'Tabla Articulos'!E:E)</f>
        <v/>
      </c>
      <c r="R1552" s="96">
        <f>O1552*Q1552</f>
        <v/>
      </c>
      <c r="S1552" s="97">
        <f>TRIM(E1552)</f>
        <v/>
      </c>
    </row>
    <row r="1553" hidden="1">
      <c r="A1553" s="22" t="n">
        <v>1</v>
      </c>
      <c r="B1553" t="inlineStr">
        <is>
          <t xml:space="preserve">CD MORENO                     </t>
        </is>
      </c>
      <c r="C1553" t="inlineStr">
        <is>
          <t xml:space="preserve">GRUPO L.                      </t>
        </is>
      </c>
      <c r="D1553" t="inlineStr">
        <is>
          <t>PANADERIA CONGELADA</t>
        </is>
      </c>
      <c r="E1553" t="inlineStr">
        <is>
          <t xml:space="preserve">7798088625422       </t>
        </is>
      </c>
      <c r="F1553" t="n">
        <v>4018599</v>
      </c>
      <c r="G1553" t="inlineStr">
        <is>
          <t>BUDIN ENTERO LIMON/ARAND XU SELYGEL</t>
        </is>
      </c>
      <c r="H1553" t="inlineStr">
        <is>
          <t xml:space="preserve">UNIDAD              </t>
        </is>
      </c>
      <c r="I1553" t="n">
        <v>8</v>
      </c>
      <c r="J1553" t="n">
        <v>0</v>
      </c>
      <c r="K1553" t="n">
        <v>0</v>
      </c>
      <c r="L1553" t="n">
        <v>1</v>
      </c>
      <c r="M1553" t="n">
        <v>1</v>
      </c>
      <c r="N1553" t="n">
        <v>0</v>
      </c>
      <c r="O1553" t="n">
        <v>6</v>
      </c>
      <c r="P1553" s="96">
        <f>_xlfn.XLOOKUP(Tabla5[[#This Row],[EAN CORREGIDO]],'Tabla Articulos'!B:B,'Tabla Articulos'!D:D)</f>
        <v/>
      </c>
      <c r="Q1553" s="96">
        <f>_xlfn.XLOOKUP(S1553,'Tabla Articulos'!B:B,'Tabla Articulos'!E:E)</f>
        <v/>
      </c>
      <c r="R1553" s="96">
        <f>O1553*Q1553</f>
        <v/>
      </c>
      <c r="S1553" s="97">
        <f>TRIM(E1553)</f>
        <v/>
      </c>
    </row>
    <row r="1554" hidden="1">
      <c r="A1554" s="22" t="n">
        <v>1</v>
      </c>
      <c r="B1554" t="inlineStr">
        <is>
          <t xml:space="preserve">CD MORENO                     </t>
        </is>
      </c>
      <c r="C1554" t="inlineStr">
        <is>
          <t xml:space="preserve">GRUPO L.                      </t>
        </is>
      </c>
      <c r="D1554" t="inlineStr">
        <is>
          <t>TOMATE CHERRY</t>
        </is>
      </c>
      <c r="E1554" t="inlineStr">
        <is>
          <t xml:space="preserve">7790216012626       </t>
        </is>
      </c>
      <c r="F1554" t="n">
        <v>4018053</v>
      </c>
      <c r="G1554" t="inlineStr">
        <is>
          <t xml:space="preserve">TOMATE CHERRY X KG                 </t>
        </is>
      </c>
      <c r="H1554" t="inlineStr">
        <is>
          <t xml:space="preserve">Kgs                 </t>
        </is>
      </c>
      <c r="I1554" t="n">
        <v>10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10</v>
      </c>
      <c r="P1554" s="96">
        <f>_xlfn.XLOOKUP(Tabla5[[#This Row],[EAN CORREGIDO]],'Tabla Articulos'!B:B,'Tabla Articulos'!D:D)</f>
        <v/>
      </c>
      <c r="Q1554" s="96">
        <f>_xlfn.XLOOKUP(S1554,'Tabla Articulos'!B:B,'Tabla Articulos'!E:E)</f>
        <v/>
      </c>
      <c r="R1554" s="96">
        <f>O1554*Q1554</f>
        <v/>
      </c>
      <c r="S1554" s="97">
        <f>TRIM(E1554)</f>
        <v/>
      </c>
    </row>
    <row r="1555" hidden="1">
      <c r="A1555" s="22" t="n">
        <v>6</v>
      </c>
      <c r="B1555" t="inlineStr">
        <is>
          <t xml:space="preserve">CDM03 - MORENO 3              </t>
        </is>
      </c>
      <c r="C1555" t="inlineStr">
        <is>
          <t xml:space="preserve">GRUPO L.                      </t>
        </is>
      </c>
      <c r="E1555" t="inlineStr">
        <is>
          <t xml:space="preserve">BAZ001161           </t>
        </is>
      </c>
      <c r="F1555" t="n">
        <v>9003691</v>
      </c>
      <c r="G1555" t="inlineStr">
        <is>
          <t xml:space="preserve">TENEDOR MANGO PLASTICO NEGRO       </t>
        </is>
      </c>
      <c r="H1555" t="inlineStr">
        <is>
          <t xml:space="preserve">UNIDAD              </t>
        </is>
      </c>
      <c r="I1555" t="n">
        <v>6435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6435</v>
      </c>
      <c r="P1555" s="96">
        <f>_xlfn.XLOOKUP(Tabla5[[#This Row],[EAN CORREGIDO]],'Tabla Articulos'!B:B,'Tabla Articulos'!D:D)</f>
        <v/>
      </c>
      <c r="Q1555" s="96">
        <f>_xlfn.XLOOKUP(S1555,'Tabla Articulos'!B:B,'Tabla Articulos'!E:E)</f>
        <v/>
      </c>
      <c r="R1555" s="96">
        <f>O1555*Q1555</f>
        <v/>
      </c>
      <c r="S1555" s="97">
        <f>TRIM(E1555)</f>
        <v/>
      </c>
    </row>
    <row r="1556" hidden="1">
      <c r="A1556" s="22" t="n">
        <v>1</v>
      </c>
      <c r="B1556" t="inlineStr">
        <is>
          <t xml:space="preserve">CD MORENO                     </t>
        </is>
      </c>
      <c r="C1556" t="inlineStr">
        <is>
          <t xml:space="preserve">GRUPO L.                      </t>
        </is>
      </c>
      <c r="D1556" t="inlineStr">
        <is>
          <t>MANTECA GRANEL</t>
        </is>
      </c>
      <c r="E1556" t="inlineStr">
        <is>
          <t xml:space="preserve">7791435000248       </t>
        </is>
      </c>
      <c r="F1556" t="n">
        <v>4018117</v>
      </c>
      <c r="G1556" t="inlineStr">
        <is>
          <t xml:space="preserve">MANTECA X5K INTY                   </t>
        </is>
      </c>
      <c r="H1556" t="inlineStr">
        <is>
          <t xml:space="preserve">UNIDAD              </t>
        </is>
      </c>
      <c r="I1556" t="n">
        <v>127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127</v>
      </c>
      <c r="P1556" s="96">
        <f>_xlfn.XLOOKUP(Tabla5[[#This Row],[EAN CORREGIDO]],'Tabla Articulos'!B:B,'Tabla Articulos'!D:D)</f>
        <v/>
      </c>
      <c r="Q1556" s="96">
        <f>_xlfn.XLOOKUP(S1556,'Tabla Articulos'!B:B,'Tabla Articulos'!E:E)</f>
        <v/>
      </c>
      <c r="R1556" s="96">
        <f>O1556*Q1556</f>
        <v/>
      </c>
      <c r="S1556" s="97">
        <f>TRIM(E1556)</f>
        <v/>
      </c>
    </row>
    <row r="1557" hidden="1">
      <c r="A1557" s="22" t="n">
        <v>6</v>
      </c>
      <c r="B1557" t="inlineStr">
        <is>
          <t xml:space="preserve">CDM03 - MORENO 3              </t>
        </is>
      </c>
      <c r="C1557" t="inlineStr">
        <is>
          <t xml:space="preserve">GRUPO L.                      </t>
        </is>
      </c>
      <c r="E1557" t="inlineStr">
        <is>
          <t xml:space="preserve">UNIF000084          </t>
        </is>
      </c>
      <c r="F1557" t="n">
        <v>9003545</v>
      </c>
      <c r="G1557" t="inlineStr">
        <is>
          <t>CAMISA BLANCA LISA 40 BLUE CATERING</t>
        </is>
      </c>
      <c r="H1557" t="inlineStr">
        <is>
          <t xml:space="preserve">UNIDAD              </t>
        </is>
      </c>
      <c r="I1557" t="n">
        <v>18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18</v>
      </c>
      <c r="P1557" s="96">
        <f>_xlfn.XLOOKUP(Tabla5[[#This Row],[EAN CORREGIDO]],'Tabla Articulos'!B:B,'Tabla Articulos'!D:D)</f>
        <v/>
      </c>
      <c r="Q1557" s="96">
        <f>_xlfn.XLOOKUP(S1557,'Tabla Articulos'!B:B,'Tabla Articulos'!E:E)</f>
        <v/>
      </c>
      <c r="R1557" s="96">
        <f>O1557*Q1557</f>
        <v/>
      </c>
      <c r="S1557" s="97">
        <f>TRIM(E1557)</f>
        <v/>
      </c>
    </row>
    <row r="1558" hidden="1">
      <c r="A1558" s="22" t="n">
        <v>6</v>
      </c>
      <c r="B1558" t="inlineStr">
        <is>
          <t xml:space="preserve">CDM03 - MORENO 3              </t>
        </is>
      </c>
      <c r="C1558" t="inlineStr">
        <is>
          <t xml:space="preserve">GRUPO L.                      </t>
        </is>
      </c>
      <c r="D1558" s="11" t="n"/>
      <c r="E1558" t="inlineStr">
        <is>
          <t xml:space="preserve">UNIF000535          </t>
        </is>
      </c>
      <c r="F1558" s="11" t="n">
        <v>9003072</v>
      </c>
      <c r="G1558" t="inlineStr">
        <is>
          <t xml:space="preserve">ROMPEVIENTOS-AZUL MARINO XL        </t>
        </is>
      </c>
      <c r="H1558" t="inlineStr">
        <is>
          <t xml:space="preserve">UNIDAD              </t>
        </is>
      </c>
      <c r="I1558" t="n">
        <v>230</v>
      </c>
      <c r="J1558" t="n">
        <v>0</v>
      </c>
      <c r="K1558" t="n">
        <v>0</v>
      </c>
      <c r="L1558" t="n">
        <v>16</v>
      </c>
      <c r="M1558" t="n">
        <v>16</v>
      </c>
      <c r="N1558" t="n">
        <v>0</v>
      </c>
      <c r="O1558" t="n">
        <v>198</v>
      </c>
      <c r="P1558" s="96">
        <f>_xlfn.XLOOKUP(Tabla5[[#This Row],[EAN CORREGIDO]],'Tabla Articulos'!B:B,'Tabla Articulos'!D:D)</f>
        <v/>
      </c>
      <c r="Q1558" s="96">
        <f>_xlfn.XLOOKUP(S1558,'Tabla Articulos'!B:B,'Tabla Articulos'!E:E)</f>
        <v/>
      </c>
      <c r="R1558" s="96">
        <f>O1558*Q1558</f>
        <v/>
      </c>
      <c r="S1558" s="97">
        <f>TRIM(E1558)</f>
        <v/>
      </c>
    </row>
    <row r="1559" hidden="1">
      <c r="A1559" s="22" t="n">
        <v>1</v>
      </c>
      <c r="B1559" t="inlineStr">
        <is>
          <t xml:space="preserve">CD MORENO                     </t>
        </is>
      </c>
      <c r="C1559" t="inlineStr">
        <is>
          <t xml:space="preserve">GRUPO L.                      </t>
        </is>
      </c>
      <c r="D1559" s="11" t="inlineStr">
        <is>
          <t>CAFE MOLIDO</t>
        </is>
      </c>
      <c r="E1559" t="inlineStr">
        <is>
          <t xml:space="preserve">7798092900102       </t>
        </is>
      </c>
      <c r="F1559" s="11" t="n">
        <v>4021153</v>
      </c>
      <c r="G1559" t="inlineStr">
        <is>
          <t xml:space="preserve">CAFE TORRADO MOLIDO X1KG NOBLEZA   </t>
        </is>
      </c>
      <c r="H1559" t="inlineStr">
        <is>
          <t xml:space="preserve">UNIDAD              </t>
        </is>
      </c>
      <c r="I1559" t="n">
        <v>20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20</v>
      </c>
      <c r="P1559" s="96">
        <f>_xlfn.XLOOKUP(Tabla5[[#This Row],[EAN CORREGIDO]],'Tabla Articulos'!B:B,'Tabla Articulos'!D:D)</f>
        <v/>
      </c>
      <c r="Q1559" s="96">
        <f>_xlfn.XLOOKUP(S1559,'Tabla Articulos'!B:B,'Tabla Articulos'!E:E)</f>
        <v/>
      </c>
      <c r="R1559" s="96">
        <f>O1559*Q1559</f>
        <v/>
      </c>
      <c r="S1559" s="97">
        <f>TRIM(E1559)</f>
        <v/>
      </c>
    </row>
    <row r="1560" hidden="1">
      <c r="A1560" s="22" t="n">
        <v>5</v>
      </c>
      <c r="B1560" t="inlineStr">
        <is>
          <t xml:space="preserve">CDM02 - MORENO 2              </t>
        </is>
      </c>
      <c r="C1560" t="inlineStr">
        <is>
          <t xml:space="preserve">GRUPO L.                      </t>
        </is>
      </c>
      <c r="D1560" s="11" t="inlineStr">
        <is>
          <t>CAFE MOLIDO</t>
        </is>
      </c>
      <c r="E1560" t="inlineStr">
        <is>
          <t xml:space="preserve">7798092900102       </t>
        </is>
      </c>
      <c r="F1560" s="11" t="n">
        <v>4021153</v>
      </c>
      <c r="G1560" t="inlineStr">
        <is>
          <t xml:space="preserve">CAFE TORRADO MOLIDO X1KG NOBLEZA   </t>
        </is>
      </c>
      <c r="H1560" t="inlineStr">
        <is>
          <t xml:space="preserve">UNIDAD              </t>
        </is>
      </c>
      <c r="I1560" t="n">
        <v>0</v>
      </c>
      <c r="J1560" t="n">
        <v>28</v>
      </c>
      <c r="K1560" t="n">
        <v>0</v>
      </c>
      <c r="L1560" t="n">
        <v>0</v>
      </c>
      <c r="M1560" t="n">
        <v>0</v>
      </c>
      <c r="N1560" t="n">
        <v>0</v>
      </c>
      <c r="O1560" t="n">
        <v>28</v>
      </c>
      <c r="P1560" s="96">
        <f>_xlfn.XLOOKUP(Tabla5[[#This Row],[EAN CORREGIDO]],'Tabla Articulos'!B:B,'Tabla Articulos'!D:D)</f>
        <v/>
      </c>
      <c r="Q1560" s="96">
        <f>_xlfn.XLOOKUP(S1560,'Tabla Articulos'!B:B,'Tabla Articulos'!E:E)</f>
        <v/>
      </c>
      <c r="R1560" s="96">
        <f>O1560*Q1560</f>
        <v/>
      </c>
      <c r="S1560" s="97">
        <f>TRIM(E1560)</f>
        <v/>
      </c>
    </row>
    <row r="1561" hidden="1">
      <c r="A1561" s="22" t="n">
        <v>6</v>
      </c>
      <c r="B1561" t="inlineStr">
        <is>
          <t xml:space="preserve">CDM03 - MORENO 3              </t>
        </is>
      </c>
      <c r="C1561" t="inlineStr">
        <is>
          <t xml:space="preserve">GRUPO L.                      </t>
        </is>
      </c>
      <c r="D1561" t="inlineStr">
        <is>
          <t>GUANTE GOMA</t>
        </is>
      </c>
      <c r="E1561" t="inlineStr">
        <is>
          <t xml:space="preserve">7798092969796       </t>
        </is>
      </c>
      <c r="F1561" s="11" t="n">
        <v>2016671</v>
      </c>
      <c r="G1561" t="inlineStr">
        <is>
          <t xml:space="preserve">GUANTES FLEX M                     </t>
        </is>
      </c>
      <c r="H1561" t="inlineStr">
        <is>
          <t xml:space="preserve">UNIDAD              </t>
        </is>
      </c>
      <c r="I1561" t="n">
        <v>4598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4598</v>
      </c>
      <c r="P1561" s="96">
        <f>_xlfn.XLOOKUP(Tabla5[[#This Row],[EAN CORREGIDO]],'Tabla Articulos'!B:B,'Tabla Articulos'!D:D)</f>
        <v/>
      </c>
      <c r="Q1561" s="96">
        <f>_xlfn.XLOOKUP(S1561,'Tabla Articulos'!B:B,'Tabla Articulos'!E:E)</f>
        <v/>
      </c>
      <c r="R1561" s="96">
        <f>O1561*Q1561</f>
        <v/>
      </c>
      <c r="S1561" s="97">
        <f>TRIM(E1561)</f>
        <v/>
      </c>
    </row>
    <row r="1562" hidden="1">
      <c r="A1562" s="22" t="n">
        <v>5</v>
      </c>
      <c r="B1562" t="inlineStr">
        <is>
          <t xml:space="preserve">CDM02 - MORENO 2              </t>
        </is>
      </c>
      <c r="C1562" t="inlineStr">
        <is>
          <t xml:space="preserve">GRUPO L.                      </t>
        </is>
      </c>
      <c r="D1562" s="11" t="inlineStr">
        <is>
          <t>MAYONESA</t>
        </is>
      </c>
      <c r="E1562" t="inlineStr">
        <is>
          <t xml:space="preserve">7798011976966       </t>
        </is>
      </c>
      <c r="F1562" s="11" t="n">
        <v>4024613</v>
      </c>
      <c r="G1562" t="inlineStr">
        <is>
          <t xml:space="preserve">MAYONESA X3KG ABEDUL               </t>
        </is>
      </c>
      <c r="H1562" t="inlineStr">
        <is>
          <t xml:space="preserve">UNIDAD              </t>
        </is>
      </c>
      <c r="I1562" t="n">
        <v>60</v>
      </c>
      <c r="J1562" t="n">
        <v>20</v>
      </c>
      <c r="K1562" t="n">
        <v>20</v>
      </c>
      <c r="L1562" t="n">
        <v>0</v>
      </c>
      <c r="M1562" t="n">
        <v>0</v>
      </c>
      <c r="N1562" t="n">
        <v>0</v>
      </c>
      <c r="O1562" t="n">
        <v>60</v>
      </c>
      <c r="P1562" s="96">
        <f>_xlfn.XLOOKUP(Tabla5[[#This Row],[EAN CORREGIDO]],'Tabla Articulos'!B:B,'Tabla Articulos'!D:D)</f>
        <v/>
      </c>
      <c r="Q1562" s="96">
        <f>_xlfn.XLOOKUP(S1562,'Tabla Articulos'!B:B,'Tabla Articulos'!E:E)</f>
        <v/>
      </c>
      <c r="R1562" s="96">
        <f>O1562*Q1562</f>
        <v/>
      </c>
      <c r="S1562" s="97">
        <f>TRIM(E1562)</f>
        <v/>
      </c>
    </row>
    <row r="1563" hidden="1">
      <c r="A1563" s="22" t="n">
        <v>6</v>
      </c>
      <c r="B1563" t="inlineStr">
        <is>
          <t xml:space="preserve">CDM03 - MORENO 3              </t>
        </is>
      </c>
      <c r="C1563" t="inlineStr">
        <is>
          <t xml:space="preserve">GRUPO L.                      </t>
        </is>
      </c>
      <c r="D1563" s="11" t="n"/>
      <c r="E1563" t="inlineStr">
        <is>
          <t xml:space="preserve">UNIF000154          </t>
        </is>
      </c>
      <c r="F1563" s="11" t="n">
        <v>9003571</v>
      </c>
      <c r="G1563" t="inlineStr">
        <is>
          <t xml:space="preserve">CAMI. BLAN.M. LARG 48 C. GOURMET   </t>
        </is>
      </c>
      <c r="H1563" t="inlineStr">
        <is>
          <t xml:space="preserve">UNIDAD              </t>
        </is>
      </c>
      <c r="I1563" t="n">
        <v>33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33</v>
      </c>
      <c r="P1563" s="96">
        <f>_xlfn.XLOOKUP(Tabla5[[#This Row],[EAN CORREGIDO]],'Tabla Articulos'!B:B,'Tabla Articulos'!D:D)</f>
        <v/>
      </c>
      <c r="Q1563" s="96">
        <f>_xlfn.XLOOKUP(S1563,'Tabla Articulos'!B:B,'Tabla Articulos'!E:E)</f>
        <v/>
      </c>
      <c r="R1563" s="96">
        <f>O1563*Q1563</f>
        <v/>
      </c>
      <c r="S1563" s="97">
        <f>TRIM(E1563)</f>
        <v/>
      </c>
    </row>
    <row r="1564" hidden="1">
      <c r="A1564" s="22" t="n">
        <v>5</v>
      </c>
      <c r="B1564" t="inlineStr">
        <is>
          <t xml:space="preserve">CDM02 - MORENO 2              </t>
        </is>
      </c>
      <c r="C1564" t="inlineStr">
        <is>
          <t xml:space="preserve">GRUPO L.                      </t>
        </is>
      </c>
      <c r="D1564" s="11" t="inlineStr">
        <is>
          <t>BANANA SAE</t>
        </is>
      </c>
      <c r="E1564" t="inlineStr">
        <is>
          <t xml:space="preserve">7790216020081       </t>
        </is>
      </c>
      <c r="F1564" s="11" t="n">
        <v>4018049</v>
      </c>
      <c r="G1564" t="inlineStr">
        <is>
          <t xml:space="preserve">FRUTA BANANA SAE X U               </t>
        </is>
      </c>
      <c r="H1564" t="inlineStr">
        <is>
          <t xml:space="preserve">UNIDAD              </t>
        </is>
      </c>
      <c r="I1564" t="n">
        <v>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1</v>
      </c>
      <c r="P1564" s="96">
        <f>_xlfn.XLOOKUP(Tabla5[[#This Row],[EAN CORREGIDO]],'Tabla Articulos'!B:B,'Tabla Articulos'!D:D)</f>
        <v/>
      </c>
      <c r="Q1564" s="96">
        <f>_xlfn.XLOOKUP(S1564,'Tabla Articulos'!B:B,'Tabla Articulos'!E:E)</f>
        <v/>
      </c>
      <c r="R1564" s="96">
        <f>O1564*Q1564</f>
        <v/>
      </c>
      <c r="S1564" s="97">
        <f>TRIM(E1564)</f>
        <v/>
      </c>
    </row>
    <row r="1565" hidden="1">
      <c r="A1565" s="22" t="n">
        <v>5</v>
      </c>
      <c r="B1565" t="inlineStr">
        <is>
          <t xml:space="preserve">CDM02 - MORENO 2              </t>
        </is>
      </c>
      <c r="C1565" t="inlineStr">
        <is>
          <t xml:space="preserve">GRUPO L.                      </t>
        </is>
      </c>
      <c r="D1565" t="inlineStr">
        <is>
          <t>ARROZ 0000</t>
        </is>
      </c>
      <c r="E1565" t="inlineStr">
        <is>
          <t xml:space="preserve">7793650000041       </t>
        </is>
      </c>
      <c r="F1565" s="11" t="n">
        <v>4049075</v>
      </c>
      <c r="G1565" t="inlineStr">
        <is>
          <t xml:space="preserve">ARROZ 0000 X500GRS CAROGRAN        </t>
        </is>
      </c>
      <c r="H1565" t="inlineStr">
        <is>
          <t xml:space="preserve">UNIDAD              </t>
        </is>
      </c>
      <c r="I1565" t="n">
        <v>34225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34225</v>
      </c>
      <c r="P1565" s="96">
        <f>_xlfn.XLOOKUP(Tabla5[[#This Row],[EAN CORREGIDO]],'Tabla Articulos'!B:B,'Tabla Articulos'!D:D)</f>
        <v/>
      </c>
      <c r="Q1565" s="96">
        <f>_xlfn.XLOOKUP(S1565,'Tabla Articulos'!B:B,'Tabla Articulos'!E:E)</f>
        <v/>
      </c>
      <c r="R1565" s="96">
        <f>O1565*Q1565</f>
        <v/>
      </c>
      <c r="S1565" s="97">
        <f>TRIM(E1565)</f>
        <v/>
      </c>
    </row>
    <row r="1566" hidden="1">
      <c r="A1566" s="22" t="n">
        <v>1</v>
      </c>
      <c r="B1566" t="inlineStr">
        <is>
          <t xml:space="preserve">CD MORENO                     </t>
        </is>
      </c>
      <c r="C1566" t="inlineStr">
        <is>
          <t xml:space="preserve">GRUPO L.                      </t>
        </is>
      </c>
      <c r="D1566" t="inlineStr">
        <is>
          <t>ARROZ 0000</t>
        </is>
      </c>
      <c r="E1566" t="inlineStr">
        <is>
          <t xml:space="preserve">7793650000041       </t>
        </is>
      </c>
      <c r="F1566" s="11" t="n">
        <v>4049075</v>
      </c>
      <c r="G1566" t="inlineStr">
        <is>
          <t xml:space="preserve">ARROZ 0000 X500GRS CAROGRAN        </t>
        </is>
      </c>
      <c r="H1566" t="inlineStr">
        <is>
          <t xml:space="preserve">UNIDAD              </t>
        </is>
      </c>
      <c r="I1566" t="n">
        <v>2283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2283</v>
      </c>
      <c r="P1566" s="96">
        <f>_xlfn.XLOOKUP(Tabla5[[#This Row],[EAN CORREGIDO]],'Tabla Articulos'!B:B,'Tabla Articulos'!D:D)</f>
        <v/>
      </c>
      <c r="Q1566" s="96">
        <f>_xlfn.XLOOKUP(S1566,'Tabla Articulos'!B:B,'Tabla Articulos'!E:E)</f>
        <v/>
      </c>
      <c r="R1566" s="96">
        <f>O1566*Q1566</f>
        <v/>
      </c>
      <c r="S1566" s="97">
        <f>TRIM(E1566)</f>
        <v/>
      </c>
    </row>
    <row r="1567" hidden="1">
      <c r="A1567" s="22" t="n">
        <v>6</v>
      </c>
      <c r="B1567" t="inlineStr">
        <is>
          <t xml:space="preserve">CDM03 - MORENO 3              </t>
        </is>
      </c>
      <c r="C1567" t="inlineStr">
        <is>
          <t xml:space="preserve">GRUPO L.                      </t>
        </is>
      </c>
      <c r="E1567" t="inlineStr">
        <is>
          <t xml:space="preserve">UNIF000561          </t>
        </is>
      </c>
      <c r="F1567" s="11" t="n">
        <v>9003099</v>
      </c>
      <c r="G1567" t="inlineStr">
        <is>
          <t xml:space="preserve">PANTALON JEAN 58                   </t>
        </is>
      </c>
      <c r="H1567" t="inlineStr">
        <is>
          <t xml:space="preserve">UNIDAD              </t>
        </is>
      </c>
      <c r="I1567" t="n">
        <v>15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15</v>
      </c>
      <c r="P1567" s="96">
        <f>_xlfn.XLOOKUP(Tabla5[[#This Row],[EAN CORREGIDO]],'Tabla Articulos'!B:B,'Tabla Articulos'!D:D)</f>
        <v/>
      </c>
      <c r="Q1567" s="96">
        <f>_xlfn.XLOOKUP(S1567,'Tabla Articulos'!B:B,'Tabla Articulos'!E:E)</f>
        <v/>
      </c>
      <c r="R1567" s="96">
        <f>O1567*Q1567</f>
        <v/>
      </c>
      <c r="S1567" s="97">
        <f>TRIM(E1567)</f>
        <v/>
      </c>
    </row>
    <row r="1568" hidden="1">
      <c r="A1568" s="22" t="n">
        <v>6</v>
      </c>
      <c r="B1568" t="inlineStr">
        <is>
          <t xml:space="preserve">CDM03 - MORENO 3              </t>
        </is>
      </c>
      <c r="C1568" t="inlineStr">
        <is>
          <t xml:space="preserve">GRUPO L.                      </t>
        </is>
      </c>
      <c r="D1568" s="11" t="inlineStr">
        <is>
          <t>TAPA 105</t>
        </is>
      </c>
      <c r="E1568" t="inlineStr">
        <is>
          <t xml:space="preserve">7790321020302       </t>
        </is>
      </c>
      <c r="F1568" s="11" t="n">
        <v>2006392</v>
      </c>
      <c r="G1568" t="inlineStr">
        <is>
          <t xml:space="preserve">TAPA 105 X100U CELPAK              </t>
        </is>
      </c>
      <c r="H1568" t="inlineStr">
        <is>
          <t xml:space="preserve">UNIDAD              </t>
        </is>
      </c>
      <c r="I1568" t="n">
        <v>72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72</v>
      </c>
      <c r="P1568" s="96">
        <f>_xlfn.XLOOKUP(Tabla5[[#This Row],[EAN CORREGIDO]],'Tabla Articulos'!B:B,'Tabla Articulos'!D:D)</f>
        <v/>
      </c>
      <c r="Q1568" s="96">
        <f>_xlfn.XLOOKUP(S1568,'Tabla Articulos'!B:B,'Tabla Articulos'!E:E)</f>
        <v/>
      </c>
      <c r="R1568" s="96">
        <f>O1568*Q1568</f>
        <v/>
      </c>
      <c r="S1568" s="97">
        <f>TRIM(E1568)</f>
        <v/>
      </c>
    </row>
    <row r="1569" hidden="1">
      <c r="A1569" s="22" t="n">
        <v>6</v>
      </c>
      <c r="B1569" t="inlineStr">
        <is>
          <t xml:space="preserve">CDM03 - MORENO 3              </t>
        </is>
      </c>
      <c r="C1569" t="inlineStr">
        <is>
          <t xml:space="preserve">GRUPO L.                      </t>
        </is>
      </c>
      <c r="D1569" s="11" t="n"/>
      <c r="E1569" t="inlineStr">
        <is>
          <t xml:space="preserve">UNIF000481          </t>
        </is>
      </c>
      <c r="F1569" s="11" t="n">
        <v>9003253</v>
      </c>
      <c r="G1569" t="inlineStr">
        <is>
          <t xml:space="preserve">PANTAL. GRAFA S. LOGO BLANCO 42    </t>
        </is>
      </c>
      <c r="H1569" t="inlineStr">
        <is>
          <t xml:space="preserve">UNIDAD              </t>
        </is>
      </c>
      <c r="I1569" t="n">
        <v>31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31</v>
      </c>
      <c r="P1569" s="96">
        <f>_xlfn.XLOOKUP(Tabla5[[#This Row],[EAN CORREGIDO]],'Tabla Articulos'!B:B,'Tabla Articulos'!D:D)</f>
        <v/>
      </c>
      <c r="Q1569" s="96">
        <f>_xlfn.XLOOKUP(S1569,'Tabla Articulos'!B:B,'Tabla Articulos'!E:E)</f>
        <v/>
      </c>
      <c r="R1569" s="96">
        <f>O1569*Q1569</f>
        <v/>
      </c>
      <c r="S1569" s="97">
        <f>TRIM(E1569)</f>
        <v/>
      </c>
    </row>
    <row r="1570" hidden="1">
      <c r="A1570" s="22" t="n">
        <v>6</v>
      </c>
      <c r="B1570" t="inlineStr">
        <is>
          <t xml:space="preserve">CDM03 - MORENO 3              </t>
        </is>
      </c>
      <c r="C1570" t="inlineStr">
        <is>
          <t xml:space="preserve">GRUPO L.                      </t>
        </is>
      </c>
      <c r="E1570" t="inlineStr">
        <is>
          <t xml:space="preserve">17798038127102      </t>
        </is>
      </c>
      <c r="F1570" s="11" t="n">
        <v>2007137</v>
      </c>
      <c r="G1570" t="inlineStr">
        <is>
          <t xml:space="preserve">VASO TERM ESTISOL 0.240LT X1000UN  </t>
        </is>
      </c>
      <c r="H1570" t="inlineStr">
        <is>
          <t xml:space="preserve">UNIDAD              </t>
        </is>
      </c>
      <c r="I1570" t="n">
        <v>50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50</v>
      </c>
      <c r="P1570" s="96">
        <f>_xlfn.XLOOKUP(Tabla5[[#This Row],[EAN CORREGIDO]],'Tabla Articulos'!B:B,'Tabla Articulos'!D:D)</f>
        <v/>
      </c>
      <c r="Q1570" s="96">
        <f>_xlfn.XLOOKUP(S1570,'Tabla Articulos'!B:B,'Tabla Articulos'!E:E)</f>
        <v/>
      </c>
      <c r="R1570" s="96">
        <f>O1570*Q1570</f>
        <v/>
      </c>
      <c r="S1570" s="97">
        <f>TRIM(E1570)</f>
        <v/>
      </c>
    </row>
    <row r="1571" hidden="1">
      <c r="A1571" s="22" t="n">
        <v>6</v>
      </c>
      <c r="B1571" t="inlineStr">
        <is>
          <t xml:space="preserve">CDM03 - MORENO 3              </t>
        </is>
      </c>
      <c r="C1571" t="inlineStr">
        <is>
          <t xml:space="preserve">GRUPO L.                      </t>
        </is>
      </c>
      <c r="E1571" t="inlineStr">
        <is>
          <t xml:space="preserve">UNIF000357          </t>
        </is>
      </c>
      <c r="F1571" s="11" t="n">
        <v>9003530</v>
      </c>
      <c r="G1571" t="inlineStr">
        <is>
          <t xml:space="preserve">CHAQ C. MAO AY/CAM/PEON 7 C.GOUR   </t>
        </is>
      </c>
      <c r="H1571" t="inlineStr">
        <is>
          <t xml:space="preserve">UNIDAD              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1</v>
      </c>
      <c r="P1571" s="96">
        <f>_xlfn.XLOOKUP(Tabla5[[#This Row],[EAN CORREGIDO]],'Tabla Articulos'!B:B,'Tabla Articulos'!D:D)</f>
        <v/>
      </c>
      <c r="Q1571" s="96">
        <f>_xlfn.XLOOKUP(S1571,'Tabla Articulos'!B:B,'Tabla Articulos'!E:E)</f>
        <v/>
      </c>
      <c r="R1571" s="96">
        <f>O1571*Q1571</f>
        <v/>
      </c>
      <c r="S1571" s="97">
        <f>TRIM(E1571)</f>
        <v/>
      </c>
    </row>
    <row r="1572" hidden="1">
      <c r="A1572" s="22" t="n">
        <v>6</v>
      </c>
      <c r="B1572" t="inlineStr">
        <is>
          <t xml:space="preserve">CDM03 - MORENO 3              </t>
        </is>
      </c>
      <c r="C1572" t="inlineStr">
        <is>
          <t xml:space="preserve">GRUPO L.                      </t>
        </is>
      </c>
      <c r="E1572" t="inlineStr">
        <is>
          <t xml:space="preserve">UNIF000142          </t>
        </is>
      </c>
      <c r="F1572" s="11" t="n">
        <v>9003559</v>
      </c>
      <c r="G1572" t="inlineStr">
        <is>
          <t xml:space="preserve">CAMISA 3/4 BCA. SALUD MUJER - 5    </t>
        </is>
      </c>
      <c r="H1572" t="inlineStr">
        <is>
          <t xml:space="preserve">UNIDAD              </t>
        </is>
      </c>
      <c r="I1572" t="n">
        <v>2</v>
      </c>
      <c r="J1572" t="n">
        <v>50</v>
      </c>
      <c r="K1572" t="n">
        <v>0</v>
      </c>
      <c r="L1572" t="n">
        <v>0</v>
      </c>
      <c r="M1572" t="n">
        <v>0</v>
      </c>
      <c r="N1572" t="n">
        <v>0</v>
      </c>
      <c r="O1572" t="n">
        <v>52</v>
      </c>
      <c r="P1572" s="96">
        <f>_xlfn.XLOOKUP(Tabla5[[#This Row],[EAN CORREGIDO]],'Tabla Articulos'!B:B,'Tabla Articulos'!D:D)</f>
        <v/>
      </c>
      <c r="Q1572" s="96">
        <f>_xlfn.XLOOKUP(S1572,'Tabla Articulos'!B:B,'Tabla Articulos'!E:E)</f>
        <v/>
      </c>
      <c r="R1572" s="96">
        <f>O1572*Q1572</f>
        <v/>
      </c>
      <c r="S1572" s="97">
        <f>TRIM(E1572)</f>
        <v/>
      </c>
    </row>
    <row r="1573" hidden="1">
      <c r="A1573" s="22" t="n">
        <v>6</v>
      </c>
      <c r="B1573" t="inlineStr">
        <is>
          <t xml:space="preserve">CDM03 - MORENO 3              </t>
        </is>
      </c>
      <c r="C1573" t="inlineStr">
        <is>
          <t xml:space="preserve">GRUPO L.                      </t>
        </is>
      </c>
      <c r="D1573" s="11" t="n"/>
      <c r="E1573" t="inlineStr">
        <is>
          <t xml:space="preserve">UNIF000003          </t>
        </is>
      </c>
      <c r="F1573" s="11" t="n">
        <v>9003012</v>
      </c>
      <c r="G1573" t="inlineStr">
        <is>
          <t xml:space="preserve">AMBO A. MAR. PULCRUS ESC V L       </t>
        </is>
      </c>
      <c r="H1573" t="inlineStr">
        <is>
          <t xml:space="preserve">UNIDAD              </t>
        </is>
      </c>
      <c r="I1573" t="n">
        <v>304</v>
      </c>
      <c r="J1573" t="n">
        <v>575</v>
      </c>
      <c r="K1573" t="n">
        <v>0</v>
      </c>
      <c r="L1573" t="n">
        <v>31</v>
      </c>
      <c r="M1573" t="n">
        <v>31</v>
      </c>
      <c r="N1573" t="n">
        <v>0</v>
      </c>
      <c r="O1573" t="n">
        <v>817</v>
      </c>
      <c r="P1573" s="96">
        <f>_xlfn.XLOOKUP(Tabla5[[#This Row],[EAN CORREGIDO]],'Tabla Articulos'!B:B,'Tabla Articulos'!D:D)</f>
        <v/>
      </c>
      <c r="Q1573" s="96">
        <f>_xlfn.XLOOKUP(S1573,'Tabla Articulos'!B:B,'Tabla Articulos'!E:E)</f>
        <v/>
      </c>
      <c r="R1573" s="96">
        <f>O1573*Q1573</f>
        <v/>
      </c>
      <c r="S1573" s="97">
        <f>TRIM(E1573)</f>
        <v/>
      </c>
    </row>
    <row r="1574" hidden="1">
      <c r="A1574" s="22" t="n">
        <v>1</v>
      </c>
      <c r="B1574" t="inlineStr">
        <is>
          <t xml:space="preserve">CD MORENO                     </t>
        </is>
      </c>
      <c r="C1574" t="inlineStr">
        <is>
          <t xml:space="preserve">GRUPO L.                      </t>
        </is>
      </c>
      <c r="D1574" t="inlineStr">
        <is>
          <t>OREGANO</t>
        </is>
      </c>
      <c r="E1574" t="inlineStr">
        <is>
          <t xml:space="preserve">7793875315135       </t>
        </is>
      </c>
      <c r="F1574" t="n">
        <v>4020412</v>
      </c>
      <c r="G1574" t="inlineStr">
        <is>
          <t xml:space="preserve">OREGANO X250G AROMAS               </t>
        </is>
      </c>
      <c r="H1574" t="inlineStr">
        <is>
          <t xml:space="preserve">UNIDAD              </t>
        </is>
      </c>
      <c r="I1574" t="n">
        <v>358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358</v>
      </c>
      <c r="P1574" s="96">
        <f>_xlfn.XLOOKUP(Tabla5[[#This Row],[EAN CORREGIDO]],'Tabla Articulos'!B:B,'Tabla Articulos'!D:D)</f>
        <v/>
      </c>
      <c r="Q1574" s="96">
        <f>_xlfn.XLOOKUP(S1574,'Tabla Articulos'!B:B,'Tabla Articulos'!E:E)</f>
        <v/>
      </c>
      <c r="R1574" s="96">
        <f>O1574*Q1574</f>
        <v/>
      </c>
      <c r="S1574" s="97">
        <f>TRIM(E1574)</f>
        <v/>
      </c>
    </row>
    <row r="1575" hidden="1">
      <c r="A1575" s="22" t="n">
        <v>6</v>
      </c>
      <c r="B1575" t="inlineStr">
        <is>
          <t xml:space="preserve">CDM03 - MORENO 3              </t>
        </is>
      </c>
      <c r="C1575" t="inlineStr">
        <is>
          <t xml:space="preserve">GRUPO L.                      </t>
        </is>
      </c>
      <c r="D1575" s="11" t="n"/>
      <c r="E1575" t="inlineStr">
        <is>
          <t xml:space="preserve">UNIF000199          </t>
        </is>
      </c>
      <c r="F1575" s="11" t="n">
        <v>9003439</v>
      </c>
      <c r="G1575" t="inlineStr">
        <is>
          <t xml:space="preserve">PANTA. CARGO NEGRO 52 GL SUPPORT   </t>
        </is>
      </c>
      <c r="H1575" t="inlineStr">
        <is>
          <t xml:space="preserve">UNIDAD              </t>
        </is>
      </c>
      <c r="I1575" t="n">
        <v>53</v>
      </c>
      <c r="J1575" t="n">
        <v>0</v>
      </c>
      <c r="K1575" t="n">
        <v>0</v>
      </c>
      <c r="L1575" t="n">
        <v>1</v>
      </c>
      <c r="M1575" t="n">
        <v>1</v>
      </c>
      <c r="N1575" t="n">
        <v>0</v>
      </c>
      <c r="O1575" t="n">
        <v>51</v>
      </c>
      <c r="P1575" s="96">
        <f>_xlfn.XLOOKUP(Tabla5[[#This Row],[EAN CORREGIDO]],'Tabla Articulos'!B:B,'Tabla Articulos'!D:D)</f>
        <v/>
      </c>
      <c r="Q1575" s="96">
        <f>_xlfn.XLOOKUP(S1575,'Tabla Articulos'!B:B,'Tabla Articulos'!E:E)</f>
        <v/>
      </c>
      <c r="R1575" s="96">
        <f>O1575*Q1575</f>
        <v/>
      </c>
      <c r="S1575" s="97">
        <f>TRIM(E1575)</f>
        <v/>
      </c>
    </row>
    <row r="1576" hidden="1">
      <c r="A1576" s="22" t="n">
        <v>1</v>
      </c>
      <c r="B1576" t="inlineStr">
        <is>
          <t xml:space="preserve">CD MORENO                     </t>
        </is>
      </c>
      <c r="C1576" t="inlineStr">
        <is>
          <t xml:space="preserve">GRUPO L.                      </t>
        </is>
      </c>
      <c r="D1576" s="11" t="inlineStr">
        <is>
          <t>PANADERIA CONGELADA</t>
        </is>
      </c>
      <c r="E1576" t="inlineStr">
        <is>
          <t xml:space="preserve">7799132966568       </t>
        </is>
      </c>
      <c r="F1576" s="11" t="n">
        <v>4018526</v>
      </c>
      <c r="G1576" t="inlineStr">
        <is>
          <t xml:space="preserve">CHEESECAKE C/FRUTOS X9U SELYGEL    </t>
        </is>
      </c>
      <c r="H1576" t="inlineStr">
        <is>
          <t xml:space="preserve">UNIDAD              </t>
        </is>
      </c>
      <c r="I1576" t="n">
        <v>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3</v>
      </c>
      <c r="P1576" s="96">
        <f>_xlfn.XLOOKUP(Tabla5[[#This Row],[EAN CORREGIDO]],'Tabla Articulos'!B:B,'Tabla Articulos'!D:D)</f>
        <v/>
      </c>
      <c r="Q1576" s="96">
        <f>_xlfn.XLOOKUP(S1576,'Tabla Articulos'!B:B,'Tabla Articulos'!E:E)</f>
        <v/>
      </c>
      <c r="R1576" s="96">
        <f>O1576*Q1576</f>
        <v/>
      </c>
      <c r="S1576" s="97">
        <f>TRIM(E1576)</f>
        <v/>
      </c>
    </row>
    <row r="1577" hidden="1">
      <c r="A1577" s="22" t="n">
        <v>1</v>
      </c>
      <c r="B1577" t="inlineStr">
        <is>
          <t xml:space="preserve">CD MORENO                     </t>
        </is>
      </c>
      <c r="C1577" t="inlineStr">
        <is>
          <t xml:space="preserve">GRUPO L.                      </t>
        </is>
      </c>
      <c r="D1577" s="11" t="inlineStr">
        <is>
          <t>LECHE LV DESCREMADA</t>
        </is>
      </c>
      <c r="E1577" t="inlineStr">
        <is>
          <t xml:space="preserve">7794820903117       </t>
        </is>
      </c>
      <c r="F1577" s="11" t="n">
        <v>4018161</v>
      </c>
      <c r="G1577" t="inlineStr">
        <is>
          <t xml:space="preserve">LECHE DESC LV X1L MILKAUT          </t>
        </is>
      </c>
      <c r="H1577" t="inlineStr">
        <is>
          <t xml:space="preserve">UNIDAD              </t>
        </is>
      </c>
      <c r="I1577" t="n">
        <v>1802</v>
      </c>
      <c r="J1577" t="n">
        <v>0</v>
      </c>
      <c r="K1577" t="n">
        <v>0</v>
      </c>
      <c r="L1577" t="n">
        <v>130</v>
      </c>
      <c r="M1577" t="n">
        <v>130</v>
      </c>
      <c r="N1577" t="n">
        <v>0</v>
      </c>
      <c r="O1577" t="n">
        <v>1542</v>
      </c>
      <c r="P1577" s="96">
        <f>_xlfn.XLOOKUP(Tabla5[[#This Row],[EAN CORREGIDO]],'Tabla Articulos'!B:B,'Tabla Articulos'!D:D)</f>
        <v/>
      </c>
      <c r="Q1577" s="96">
        <f>_xlfn.XLOOKUP(S1577,'Tabla Articulos'!B:B,'Tabla Articulos'!E:E)</f>
        <v/>
      </c>
      <c r="R1577" s="96">
        <f>O1577*Q1577</f>
        <v/>
      </c>
      <c r="S1577" s="97">
        <f>TRIM(E1577)</f>
        <v/>
      </c>
    </row>
    <row r="1578" hidden="1">
      <c r="A1578" s="22" t="n">
        <v>5</v>
      </c>
      <c r="B1578" t="inlineStr">
        <is>
          <t xml:space="preserve">CDM02 - MORENO 2              </t>
        </is>
      </c>
      <c r="C1578" t="inlineStr">
        <is>
          <t xml:space="preserve">GRUPO L.                      </t>
        </is>
      </c>
      <c r="D1578" s="11" t="inlineStr">
        <is>
          <t>FIDEOS SOPEROS</t>
        </is>
      </c>
      <c r="E1578" t="inlineStr">
        <is>
          <t xml:space="preserve">7790070320155       </t>
        </is>
      </c>
      <c r="F1578" s="11" t="n">
        <v>4019452</v>
      </c>
      <c r="G1578" t="inlineStr">
        <is>
          <t xml:space="preserve">FIDEO SOP CAB ANG X 500 G LUCH     </t>
        </is>
      </c>
      <c r="H1578" t="inlineStr">
        <is>
          <t xml:space="preserve">UNIDAD              </t>
        </is>
      </c>
      <c r="I1578" t="n">
        <v>130</v>
      </c>
      <c r="J1578" t="n">
        <v>100</v>
      </c>
      <c r="K1578" t="n">
        <v>0</v>
      </c>
      <c r="L1578" t="n">
        <v>0</v>
      </c>
      <c r="M1578" t="n">
        <v>0</v>
      </c>
      <c r="N1578" t="n">
        <v>0</v>
      </c>
      <c r="O1578" t="n">
        <v>230</v>
      </c>
      <c r="P1578" s="96">
        <f>_xlfn.XLOOKUP(Tabla5[[#This Row],[EAN CORREGIDO]],'Tabla Articulos'!B:B,'Tabla Articulos'!D:D)</f>
        <v/>
      </c>
      <c r="Q1578" s="96">
        <f>_xlfn.XLOOKUP(S1578,'Tabla Articulos'!B:B,'Tabla Articulos'!E:E)</f>
        <v/>
      </c>
      <c r="R1578" s="96">
        <f>O1578*Q1578</f>
        <v/>
      </c>
      <c r="S1578" s="97">
        <f>TRIM(E1578)</f>
        <v/>
      </c>
    </row>
    <row r="1579" hidden="1">
      <c r="A1579" s="22" t="n">
        <v>6</v>
      </c>
      <c r="B1579" t="inlineStr">
        <is>
          <t xml:space="preserve">CDM03 - MORENO 3              </t>
        </is>
      </c>
      <c r="C1579" t="inlineStr">
        <is>
          <t xml:space="preserve">GRUPO L.                      </t>
        </is>
      </c>
      <c r="D1579" s="11" t="inlineStr">
        <is>
          <t xml:space="preserve">FIBRA ESPONJA  </t>
        </is>
      </c>
      <c r="E1579" t="inlineStr">
        <is>
          <t xml:space="preserve">7798092964968       </t>
        </is>
      </c>
      <c r="F1579" s="11" t="n">
        <v>2006298</v>
      </c>
      <c r="G1579" t="inlineStr">
        <is>
          <t xml:space="preserve">FIBRA VERDE 10X15XUN MAKE          </t>
        </is>
      </c>
      <c r="H1579" t="inlineStr">
        <is>
          <t xml:space="preserve">UNIDAD              </t>
        </is>
      </c>
      <c r="I1579" t="n">
        <v>3120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3120</v>
      </c>
      <c r="P1579" s="96">
        <f>_xlfn.XLOOKUP(Tabla5[[#This Row],[EAN CORREGIDO]],'Tabla Articulos'!B:B,'Tabla Articulos'!D:D)</f>
        <v/>
      </c>
      <c r="Q1579" s="96">
        <f>_xlfn.XLOOKUP(S1579,'Tabla Articulos'!B:B,'Tabla Articulos'!E:E)</f>
        <v/>
      </c>
      <c r="R1579" s="96">
        <f>O1579*Q1579</f>
        <v/>
      </c>
      <c r="S1579" s="97">
        <f>TRIM(E1579)</f>
        <v/>
      </c>
    </row>
    <row r="1580" hidden="1">
      <c r="A1580" s="22" t="n">
        <v>5</v>
      </c>
      <c r="B1580" t="inlineStr">
        <is>
          <t xml:space="preserve">CDM02 - MORENO 2              </t>
        </is>
      </c>
      <c r="C1580" t="inlineStr">
        <is>
          <t xml:space="preserve">GRUPO L.                      </t>
        </is>
      </c>
      <c r="D1580" s="11" t="inlineStr">
        <is>
          <t>ATUN A/N DESMEN</t>
        </is>
      </c>
      <c r="E1580" t="inlineStr">
        <is>
          <t xml:space="preserve">7795933000281       </t>
        </is>
      </c>
      <c r="F1580" s="11" t="n">
        <v>4020258</v>
      </c>
      <c r="G1580" t="inlineStr">
        <is>
          <t xml:space="preserve">ATUN DESM A/A X170G BAHIA          </t>
        </is>
      </c>
      <c r="H1580" t="inlineStr">
        <is>
          <t xml:space="preserve">UNIDAD              </t>
        </is>
      </c>
      <c r="I1580" t="n">
        <v>633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633</v>
      </c>
      <c r="P1580" s="96">
        <f>_xlfn.XLOOKUP(Tabla5[[#This Row],[EAN CORREGIDO]],'Tabla Articulos'!B:B,'Tabla Articulos'!D:D)</f>
        <v/>
      </c>
      <c r="Q1580" s="96">
        <f>_xlfn.XLOOKUP(S1580,'Tabla Articulos'!B:B,'Tabla Articulos'!E:E)</f>
        <v/>
      </c>
      <c r="R1580" s="96">
        <f>O1580*Q1580</f>
        <v/>
      </c>
      <c r="S1580" s="97">
        <f>TRIM(E1580)</f>
        <v/>
      </c>
    </row>
    <row r="1581" hidden="1">
      <c r="A1581" s="22" t="n">
        <v>1</v>
      </c>
      <c r="B1581" t="inlineStr">
        <is>
          <t xml:space="preserve">CD MORENO                     </t>
        </is>
      </c>
      <c r="C1581" t="inlineStr">
        <is>
          <t xml:space="preserve">GRUPO L.                      </t>
        </is>
      </c>
      <c r="D1581" s="11" t="inlineStr">
        <is>
          <t>FIDEOS CINTAS VERDES</t>
        </is>
      </c>
      <c r="E1581" t="inlineStr">
        <is>
          <t xml:space="preserve">7790169000173       </t>
        </is>
      </c>
      <c r="F1581" s="11" t="n">
        <v>4019560</v>
      </c>
      <c r="G1581" t="inlineStr">
        <is>
          <t>FIDEOS NIDO ESPINACA X500G GRIMALDI</t>
        </is>
      </c>
      <c r="H1581" t="inlineStr">
        <is>
          <t xml:space="preserve">UNIDAD              </t>
        </is>
      </c>
      <c r="I1581" t="n">
        <v>358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358</v>
      </c>
      <c r="P1581" s="96">
        <f>_xlfn.XLOOKUP(Tabla5[[#This Row],[EAN CORREGIDO]],'Tabla Articulos'!B:B,'Tabla Articulos'!D:D)</f>
        <v/>
      </c>
      <c r="Q1581" s="96">
        <f>_xlfn.XLOOKUP(S1581,'Tabla Articulos'!B:B,'Tabla Articulos'!E:E)</f>
        <v/>
      </c>
      <c r="R1581" s="96">
        <f>O1581*Q1581</f>
        <v/>
      </c>
      <c r="S1581" s="97">
        <f>TRIM(E1581)</f>
        <v/>
      </c>
    </row>
    <row r="1582" hidden="1">
      <c r="A1582" s="22" t="n">
        <v>1</v>
      </c>
      <c r="B1582" t="inlineStr">
        <is>
          <t xml:space="preserve">CD MORENO                     </t>
        </is>
      </c>
      <c r="C1582" t="inlineStr">
        <is>
          <t xml:space="preserve">GRUPO L.                      </t>
        </is>
      </c>
      <c r="D1582" s="11" t="inlineStr">
        <is>
          <t>SALAMIN</t>
        </is>
      </c>
      <c r="E1582" t="inlineStr">
        <is>
          <t xml:space="preserve">7796804002021       </t>
        </is>
      </c>
      <c r="F1582" s="11" t="n">
        <v>4017677</v>
      </c>
      <c r="G1582" t="inlineStr">
        <is>
          <t xml:space="preserve">SALAMIN PICADO GRUESO XKG          </t>
        </is>
      </c>
      <c r="H1582" t="inlineStr">
        <is>
          <t xml:space="preserve">Kgs                 </t>
        </is>
      </c>
      <c r="I1582" t="n">
        <v>2.1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2.1</v>
      </c>
      <c r="P1582" s="96">
        <f>_xlfn.XLOOKUP(Tabla5[[#This Row],[EAN CORREGIDO]],'Tabla Articulos'!B:B,'Tabla Articulos'!D:D)</f>
        <v/>
      </c>
      <c r="Q1582" s="96">
        <f>_xlfn.XLOOKUP(S1582,'Tabla Articulos'!B:B,'Tabla Articulos'!E:E)</f>
        <v/>
      </c>
      <c r="R1582" s="96">
        <f>O1582*Q1582</f>
        <v/>
      </c>
      <c r="S1582" s="97">
        <f>TRIM(E1582)</f>
        <v/>
      </c>
    </row>
    <row r="1583" hidden="1">
      <c r="A1583" s="22" t="n">
        <v>6</v>
      </c>
      <c r="B1583" t="inlineStr">
        <is>
          <t xml:space="preserve">CDM03 - MORENO 3              </t>
        </is>
      </c>
      <c r="C1583" t="inlineStr">
        <is>
          <t xml:space="preserve">GRUPO L.                      </t>
        </is>
      </c>
      <c r="D1583" s="11" t="n"/>
      <c r="E1583" t="inlineStr">
        <is>
          <t xml:space="preserve">BAZ001257           </t>
        </is>
      </c>
      <c r="F1583" s="11" t="n">
        <v>9003860</v>
      </c>
      <c r="G1583" t="inlineStr">
        <is>
          <t xml:space="preserve">PLATO HONDO VER RECTO 21 L. CG     </t>
        </is>
      </c>
      <c r="H1583" t="inlineStr">
        <is>
          <t xml:space="preserve">UNIDAD              </t>
        </is>
      </c>
      <c r="I1583" t="n">
        <v>1286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1286</v>
      </c>
      <c r="P1583" s="96">
        <f>_xlfn.XLOOKUP(Tabla5[[#This Row],[EAN CORREGIDO]],'Tabla Articulos'!B:B,'Tabla Articulos'!D:D)</f>
        <v/>
      </c>
      <c r="Q1583" s="96">
        <f>_xlfn.XLOOKUP(S1583,'Tabla Articulos'!B:B,'Tabla Articulos'!E:E)</f>
        <v/>
      </c>
      <c r="R1583" s="96">
        <f>O1583*Q1583</f>
        <v/>
      </c>
      <c r="S1583" s="97">
        <f>TRIM(E1583)</f>
        <v/>
      </c>
    </row>
    <row r="1584" hidden="1">
      <c r="A1584" s="22" t="n">
        <v>1</v>
      </c>
      <c r="B1584" t="inlineStr">
        <is>
          <t xml:space="preserve">CD MORENO                     </t>
        </is>
      </c>
      <c r="C1584" t="inlineStr">
        <is>
          <t xml:space="preserve">GRUPO L.                      </t>
        </is>
      </c>
      <c r="D1584" s="11" t="inlineStr">
        <is>
          <t>GELATINA FRUTILLA</t>
        </is>
      </c>
      <c r="E1584" t="inlineStr">
        <is>
          <t xml:space="preserve">790757899506        </t>
        </is>
      </c>
      <c r="F1584" s="11" t="n">
        <v>4022492</v>
      </c>
      <c r="G1584" t="inlineStr">
        <is>
          <t xml:space="preserve">GELATINA FRUTILLA 1KG POREC        </t>
        </is>
      </c>
      <c r="H1584" t="inlineStr">
        <is>
          <t xml:space="preserve">UNIDAD              </t>
        </is>
      </c>
      <c r="I1584" t="n">
        <v>4227</v>
      </c>
      <c r="J1584" t="n">
        <v>0</v>
      </c>
      <c r="K1584" t="n">
        <v>0</v>
      </c>
      <c r="L1584" t="n">
        <v>156</v>
      </c>
      <c r="M1584" t="n">
        <v>156</v>
      </c>
      <c r="N1584" t="n">
        <v>0</v>
      </c>
      <c r="O1584" t="n">
        <v>3915</v>
      </c>
      <c r="P1584" s="96">
        <f>_xlfn.XLOOKUP(Tabla5[[#This Row],[EAN CORREGIDO]],'Tabla Articulos'!B:B,'Tabla Articulos'!D:D)</f>
        <v/>
      </c>
      <c r="Q1584" s="96">
        <f>_xlfn.XLOOKUP(S1584,'Tabla Articulos'!B:B,'Tabla Articulos'!E:E)</f>
        <v/>
      </c>
      <c r="R1584" s="96">
        <f>O1584*Q1584</f>
        <v/>
      </c>
      <c r="S1584" s="97">
        <f>TRIM(E1584)</f>
        <v/>
      </c>
    </row>
    <row r="1585" hidden="1">
      <c r="A1585" s="22" t="n">
        <v>5</v>
      </c>
      <c r="B1585" t="inlineStr">
        <is>
          <t xml:space="preserve">CDM02 - MORENO 2              </t>
        </is>
      </c>
      <c r="C1585" t="inlineStr">
        <is>
          <t xml:space="preserve">GRUPO L.                      </t>
        </is>
      </c>
      <c r="D1585" s="11" t="inlineStr">
        <is>
          <t>GELATINA FRUTILLA</t>
        </is>
      </c>
      <c r="E1585" t="inlineStr">
        <is>
          <t xml:space="preserve">790757899506        </t>
        </is>
      </c>
      <c r="F1585" s="11" t="n">
        <v>4022492</v>
      </c>
      <c r="G1585" t="inlineStr">
        <is>
          <t xml:space="preserve">GELATINA FRUTILLA 1KG POREC        </t>
        </is>
      </c>
      <c r="H1585" t="inlineStr">
        <is>
          <t xml:space="preserve">UNIDAD              </t>
        </is>
      </c>
      <c r="I1585" t="n">
        <v>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7</v>
      </c>
      <c r="P1585" s="96">
        <f>_xlfn.XLOOKUP(Tabla5[[#This Row],[EAN CORREGIDO]],'Tabla Articulos'!B:B,'Tabla Articulos'!D:D)</f>
        <v/>
      </c>
      <c r="Q1585" s="96">
        <f>_xlfn.XLOOKUP(S1585,'Tabla Articulos'!B:B,'Tabla Articulos'!E:E)</f>
        <v/>
      </c>
      <c r="R1585" s="96">
        <f>O1585*Q1585</f>
        <v/>
      </c>
      <c r="S1585" s="97">
        <f>TRIM(E1585)</f>
        <v/>
      </c>
    </row>
    <row r="1586" hidden="1">
      <c r="A1586" s="22" t="n">
        <v>1</v>
      </c>
      <c r="B1586" t="inlineStr">
        <is>
          <t xml:space="preserve">CD MORENO                     </t>
        </is>
      </c>
      <c r="C1586" t="inlineStr">
        <is>
          <t xml:space="preserve">GRUPO L.                      </t>
        </is>
      </c>
      <c r="D1586" t="inlineStr">
        <is>
          <t>GELATINA FRUTILLA LIGHT</t>
        </is>
      </c>
      <c r="E1586" t="inlineStr">
        <is>
          <t xml:space="preserve">7791113002151       </t>
        </is>
      </c>
      <c r="F1586" s="11" t="n">
        <v>4019998</v>
      </c>
      <c r="G1586" t="inlineStr">
        <is>
          <t xml:space="preserve">GELATINA FRUTI LIGHT X25G EMET     </t>
        </is>
      </c>
      <c r="H1586" t="inlineStr">
        <is>
          <t xml:space="preserve">UNIDAD              </t>
        </is>
      </c>
      <c r="I1586" t="n">
        <v>856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856</v>
      </c>
      <c r="P1586" s="96">
        <f>_xlfn.XLOOKUP(Tabla5[[#This Row],[EAN CORREGIDO]],'Tabla Articulos'!B:B,'Tabla Articulos'!D:D)</f>
        <v/>
      </c>
      <c r="Q1586" s="96">
        <f>_xlfn.XLOOKUP(S1586,'Tabla Articulos'!B:B,'Tabla Articulos'!E:E)</f>
        <v/>
      </c>
      <c r="R1586" s="96">
        <f>O1586*Q1586</f>
        <v/>
      </c>
      <c r="S1586" s="97">
        <f>TRIM(E1586)</f>
        <v/>
      </c>
    </row>
    <row r="1587" hidden="1">
      <c r="A1587" s="22" t="n">
        <v>6</v>
      </c>
      <c r="B1587" t="inlineStr">
        <is>
          <t xml:space="preserve">CDM03 - MORENO 3              </t>
        </is>
      </c>
      <c r="C1587" t="inlineStr">
        <is>
          <t xml:space="preserve">GRUPO L.                      </t>
        </is>
      </c>
      <c r="E1587" t="inlineStr">
        <is>
          <t xml:space="preserve">UNIF000514          </t>
        </is>
      </c>
      <c r="F1587" t="n">
        <v>9003397</v>
      </c>
      <c r="G1587" t="inlineStr">
        <is>
          <t xml:space="preserve">CAMPERA POLAR NEGRA XXL GL. SUP    </t>
        </is>
      </c>
      <c r="H1587" t="inlineStr">
        <is>
          <t xml:space="preserve">UNIDAD              </t>
        </is>
      </c>
      <c r="I1587" t="n">
        <v>0</v>
      </c>
      <c r="J1587" t="n">
        <v>100</v>
      </c>
      <c r="K1587" t="n">
        <v>0</v>
      </c>
      <c r="L1587" t="n">
        <v>2</v>
      </c>
      <c r="M1587" t="n">
        <v>2</v>
      </c>
      <c r="N1587" t="n">
        <v>0</v>
      </c>
      <c r="O1587" t="n">
        <v>96</v>
      </c>
      <c r="P1587" s="96">
        <f>_xlfn.XLOOKUP(Tabla5[[#This Row],[EAN CORREGIDO]],'Tabla Articulos'!B:B,'Tabla Articulos'!D:D)</f>
        <v/>
      </c>
      <c r="Q1587" s="96">
        <f>_xlfn.XLOOKUP(S1587,'Tabla Articulos'!B:B,'Tabla Articulos'!E:E)</f>
        <v/>
      </c>
      <c r="R1587" s="96">
        <f>O1587*Q1587</f>
        <v/>
      </c>
      <c r="S1587" s="97">
        <f>TRIM(E1587)</f>
        <v/>
      </c>
    </row>
    <row r="1588" hidden="1">
      <c r="A1588" s="22" t="n">
        <v>6</v>
      </c>
      <c r="B1588" t="inlineStr">
        <is>
          <t xml:space="preserve">CDM03 - MORENO 3              </t>
        </is>
      </c>
      <c r="C1588" t="inlineStr">
        <is>
          <t xml:space="preserve">GRUPO L.                      </t>
        </is>
      </c>
      <c r="D1588" s="11" t="n"/>
      <c r="E1588" t="inlineStr">
        <is>
          <t xml:space="preserve">7798188650188       </t>
        </is>
      </c>
      <c r="F1588" t="n">
        <v>2011394</v>
      </c>
      <c r="G1588" t="inlineStr">
        <is>
          <t xml:space="preserve">LIMPIADOR NEUTRAL KLEEN X5LT THA   </t>
        </is>
      </c>
      <c r="H1588" t="inlineStr">
        <is>
          <t xml:space="preserve">UNIDAD              </t>
        </is>
      </c>
      <c r="I1588" t="n">
        <v>820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820</v>
      </c>
      <c r="P1588" s="96">
        <f>_xlfn.XLOOKUP(Tabla5[[#This Row],[EAN CORREGIDO]],'Tabla Articulos'!B:B,'Tabla Articulos'!D:D)</f>
        <v/>
      </c>
      <c r="Q1588" s="96">
        <f>_xlfn.XLOOKUP(S1588,'Tabla Articulos'!B:B,'Tabla Articulos'!E:E)</f>
        <v/>
      </c>
      <c r="R1588" s="96">
        <f>O1588*Q1588</f>
        <v/>
      </c>
      <c r="S1588" s="97">
        <f>TRIM(E1588)</f>
        <v/>
      </c>
    </row>
    <row r="1589" hidden="1">
      <c r="A1589" s="22" t="n">
        <v>6</v>
      </c>
      <c r="B1589" t="inlineStr">
        <is>
          <t xml:space="preserve">CDM03 - MORENO 3              </t>
        </is>
      </c>
      <c r="C1589" t="inlineStr">
        <is>
          <t xml:space="preserve">GRUPO L.                      </t>
        </is>
      </c>
      <c r="E1589" t="inlineStr">
        <is>
          <t xml:space="preserve">BUSAT000014         </t>
        </is>
      </c>
      <c r="G1589" t="inlineStr">
        <is>
          <t xml:space="preserve">RAYADOR ELECTRICA                  </t>
        </is>
      </c>
      <c r="H1589" t="inlineStr">
        <is>
          <t xml:space="preserve">UNIDAD              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1</v>
      </c>
      <c r="P1589" s="96">
        <f>_xlfn.XLOOKUP(Tabla5[[#This Row],[EAN CORREGIDO]],'Tabla Articulos'!B:B,'Tabla Articulos'!D:D)</f>
        <v/>
      </c>
      <c r="Q1589" s="96">
        <f>_xlfn.XLOOKUP(S1589,'Tabla Articulos'!B:B,'Tabla Articulos'!E:E)</f>
        <v/>
      </c>
      <c r="R1589" s="96">
        <f>O1589*Q1589</f>
        <v/>
      </c>
      <c r="S1589" s="97">
        <f>TRIM(E1589)</f>
        <v/>
      </c>
    </row>
    <row r="1590" hidden="1">
      <c r="A1590" s="22" t="n">
        <v>6</v>
      </c>
      <c r="B1590" t="inlineStr">
        <is>
          <t xml:space="preserve">CDM03 - MORENO 3              </t>
        </is>
      </c>
      <c r="C1590" t="inlineStr">
        <is>
          <t xml:space="preserve">GRUPO L.                      </t>
        </is>
      </c>
      <c r="D1590" s="11" t="n"/>
      <c r="E1590" t="inlineStr">
        <is>
          <t xml:space="preserve">BUSAT000351         </t>
        </is>
      </c>
      <c r="G1590" t="inlineStr">
        <is>
          <t xml:space="preserve">POZO FRIO - ART.VARIOS/ SAND 02 B  </t>
        </is>
      </c>
      <c r="H1590" t="inlineStr">
        <is>
          <t xml:space="preserve">UNIDAD              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1</v>
      </c>
      <c r="P1590" s="96">
        <f>_xlfn.XLOOKUP(Tabla5[[#This Row],[EAN CORREGIDO]],'Tabla Articulos'!B:B,'Tabla Articulos'!D:D)</f>
        <v/>
      </c>
      <c r="Q1590" s="96">
        <f>_xlfn.XLOOKUP(S1590,'Tabla Articulos'!B:B,'Tabla Articulos'!E:E)</f>
        <v/>
      </c>
      <c r="R1590" s="96">
        <f>O1590*Q1590</f>
        <v/>
      </c>
      <c r="S1590" s="97">
        <f>TRIM(E1590)</f>
        <v/>
      </c>
    </row>
    <row r="1591" hidden="1">
      <c r="A1591" s="22" t="n">
        <v>6</v>
      </c>
      <c r="B1591" t="inlineStr">
        <is>
          <t xml:space="preserve">CDM03 - MORENO 3              </t>
        </is>
      </c>
      <c r="C1591" t="inlineStr">
        <is>
          <t xml:space="preserve">GRUPO L.                      </t>
        </is>
      </c>
      <c r="E1591" t="inlineStr">
        <is>
          <t xml:space="preserve">BUSAT000855         </t>
        </is>
      </c>
      <c r="G1591" t="inlineStr">
        <is>
          <t xml:space="preserve">BANDEJAS PLASTICAS BLANCA          </t>
        </is>
      </c>
      <c r="H1591" t="inlineStr">
        <is>
          <t xml:space="preserve">BULTOS              </t>
        </is>
      </c>
      <c r="I1591" t="n">
        <v>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6</v>
      </c>
      <c r="P1591" s="96">
        <f>_xlfn.XLOOKUP(Tabla5[[#This Row],[EAN CORREGIDO]],'Tabla Articulos'!B:B,'Tabla Articulos'!D:D)</f>
        <v/>
      </c>
      <c r="Q1591" s="96">
        <f>_xlfn.XLOOKUP(S1591,'Tabla Articulos'!B:B,'Tabla Articulos'!E:E)</f>
        <v/>
      </c>
      <c r="R1591" s="96">
        <f>O1591*Q1591</f>
        <v/>
      </c>
      <c r="S1591" s="97">
        <f>TRIM(E1591)</f>
        <v/>
      </c>
    </row>
    <row r="1592" hidden="1">
      <c r="A1592" s="22" t="n">
        <v>6</v>
      </c>
      <c r="B1592" t="inlineStr">
        <is>
          <t xml:space="preserve">CDM03 - MORENO 3              </t>
        </is>
      </c>
      <c r="C1592" t="inlineStr">
        <is>
          <t xml:space="preserve">GRUPO L.                      </t>
        </is>
      </c>
      <c r="E1592" t="inlineStr">
        <is>
          <t xml:space="preserve">BUM314              </t>
        </is>
      </c>
      <c r="G1592" t="inlineStr">
        <is>
          <t xml:space="preserve">AEREADOR PARA MANOS                </t>
        </is>
      </c>
      <c r="H1592" t="inlineStr">
        <is>
          <t xml:space="preserve">UNIDAD              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2</v>
      </c>
      <c r="P1592" s="96">
        <f>_xlfn.XLOOKUP(Tabla5[[#This Row],[EAN CORREGIDO]],'Tabla Articulos'!B:B,'Tabla Articulos'!D:D)</f>
        <v/>
      </c>
      <c r="Q1592" s="96">
        <f>_xlfn.XLOOKUP(S1592,'Tabla Articulos'!B:B,'Tabla Articulos'!E:E)</f>
        <v/>
      </c>
      <c r="R1592" s="96">
        <f>O1592*Q1592</f>
        <v/>
      </c>
      <c r="S1592" s="97">
        <f>TRIM(E1592)</f>
        <v/>
      </c>
    </row>
    <row r="1593" hidden="1">
      <c r="A1593" s="22" t="n">
        <v>6</v>
      </c>
      <c r="B1593" t="inlineStr">
        <is>
          <t xml:space="preserve">CDM03 - MORENO 3              </t>
        </is>
      </c>
      <c r="C1593" t="inlineStr">
        <is>
          <t xml:space="preserve">GRUPO L.                      </t>
        </is>
      </c>
      <c r="E1593" t="inlineStr">
        <is>
          <t xml:space="preserve">BUSAT001117         </t>
        </is>
      </c>
      <c r="G1593" t="inlineStr">
        <is>
          <t xml:space="preserve">HORNO ELECTRICO                    </t>
        </is>
      </c>
      <c r="H1593" t="inlineStr">
        <is>
          <t xml:space="preserve">UNIDAD              </t>
        </is>
      </c>
      <c r="I1593" t="n">
        <v>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3</v>
      </c>
      <c r="P1593" s="96">
        <f>_xlfn.XLOOKUP(Tabla5[[#This Row],[EAN CORREGIDO]],'Tabla Articulos'!B:B,'Tabla Articulos'!D:D)</f>
        <v/>
      </c>
      <c r="Q1593" s="96">
        <f>_xlfn.XLOOKUP(S1593,'Tabla Articulos'!B:B,'Tabla Articulos'!E:E)</f>
        <v/>
      </c>
      <c r="R1593" s="96">
        <f>O1593*Q1593</f>
        <v/>
      </c>
      <c r="S1593" s="97">
        <f>TRIM(E1593)</f>
        <v/>
      </c>
    </row>
    <row r="1594" hidden="1">
      <c r="A1594" s="22" t="n">
        <v>6</v>
      </c>
      <c r="B1594" t="inlineStr">
        <is>
          <t xml:space="preserve">CDM03 - MORENO 3              </t>
        </is>
      </c>
      <c r="C1594" t="inlineStr">
        <is>
          <t xml:space="preserve">GRUPO L.                      </t>
        </is>
      </c>
      <c r="E1594" t="inlineStr">
        <is>
          <t xml:space="preserve">BUSAT000173         </t>
        </is>
      </c>
      <c r="G1594" t="inlineStr">
        <is>
          <t xml:space="preserve">BAUL CON ART VARIOS P/ CAZUELA 04  </t>
        </is>
      </c>
      <c r="H1594" t="inlineStr">
        <is>
          <t xml:space="preserve">UNIDAD              </t>
        </is>
      </c>
      <c r="I1594" t="n">
        <v>0</v>
      </c>
      <c r="J1594" t="n">
        <v>1</v>
      </c>
      <c r="K1594" t="n">
        <v>0</v>
      </c>
      <c r="L1594" t="n">
        <v>0</v>
      </c>
      <c r="M1594" t="n">
        <v>0</v>
      </c>
      <c r="N1594" t="n">
        <v>0</v>
      </c>
      <c r="O1594" t="n">
        <v>1</v>
      </c>
      <c r="P1594" s="96">
        <f>_xlfn.XLOOKUP(Tabla5[[#This Row],[EAN CORREGIDO]],'Tabla Articulos'!B:B,'Tabla Articulos'!D:D)</f>
        <v/>
      </c>
      <c r="Q1594" s="96">
        <f>_xlfn.XLOOKUP(S1594,'Tabla Articulos'!B:B,'Tabla Articulos'!E:E)</f>
        <v/>
      </c>
      <c r="R1594" s="96">
        <f>O1594*Q1594</f>
        <v/>
      </c>
      <c r="S1594" s="97">
        <f>TRIM(E1594)</f>
        <v/>
      </c>
    </row>
    <row r="1595" hidden="1">
      <c r="A1595" s="22" t="n">
        <v>6</v>
      </c>
      <c r="B1595" t="inlineStr">
        <is>
          <t xml:space="preserve">CDM03 - MORENO 3              </t>
        </is>
      </c>
      <c r="C1595" t="inlineStr">
        <is>
          <t xml:space="preserve">GRUPO L.                      </t>
        </is>
      </c>
      <c r="E1595" t="inlineStr">
        <is>
          <t xml:space="preserve">BUSAT000198         </t>
        </is>
      </c>
      <c r="G1595" t="inlineStr">
        <is>
          <t xml:space="preserve">CARRO POCHOCLERO 05 (EXPERENCIAS Y </t>
        </is>
      </c>
      <c r="H1595" t="inlineStr">
        <is>
          <t xml:space="preserve">UNIDAD              </t>
        </is>
      </c>
      <c r="I1595" t="n">
        <v>0</v>
      </c>
      <c r="J1595" t="n">
        <v>1</v>
      </c>
      <c r="K1595" t="n">
        <v>0</v>
      </c>
      <c r="L1595" t="n">
        <v>0</v>
      </c>
      <c r="M1595" t="n">
        <v>0</v>
      </c>
      <c r="N1595" t="n">
        <v>0</v>
      </c>
      <c r="O1595" t="n">
        <v>1</v>
      </c>
      <c r="P1595" s="96">
        <f>_xlfn.XLOOKUP(Tabla5[[#This Row],[EAN CORREGIDO]],'Tabla Articulos'!B:B,'Tabla Articulos'!D:D)</f>
        <v/>
      </c>
      <c r="Q1595" s="96">
        <f>_xlfn.XLOOKUP(S1595,'Tabla Articulos'!B:B,'Tabla Articulos'!E:E)</f>
        <v/>
      </c>
      <c r="R1595" s="96">
        <f>O1595*Q1595</f>
        <v/>
      </c>
      <c r="S1595" s="97">
        <f>TRIM(E1595)</f>
        <v/>
      </c>
    </row>
    <row r="1596" hidden="1">
      <c r="A1596" s="22" t="n">
        <v>6</v>
      </c>
      <c r="B1596" t="inlineStr">
        <is>
          <t xml:space="preserve">CDM03 - MORENO 3              </t>
        </is>
      </c>
      <c r="C1596" t="inlineStr">
        <is>
          <t xml:space="preserve">GRUPO L.                      </t>
        </is>
      </c>
      <c r="E1596" t="inlineStr">
        <is>
          <t xml:space="preserve">BUSAT000183         </t>
        </is>
      </c>
      <c r="G1596" t="inlineStr">
        <is>
          <t>MUEBLE VALLIJERO C/ ART P/ CARRO DE</t>
        </is>
      </c>
      <c r="H1596" t="inlineStr">
        <is>
          <t xml:space="preserve">UNIDAD              </t>
        </is>
      </c>
      <c r="I1596" t="n">
        <v>0</v>
      </c>
      <c r="J1596" t="n">
        <v>1</v>
      </c>
      <c r="K1596" t="n">
        <v>0</v>
      </c>
      <c r="L1596" t="n">
        <v>0</v>
      </c>
      <c r="M1596" t="n">
        <v>0</v>
      </c>
      <c r="N1596" t="n">
        <v>0</v>
      </c>
      <c r="O1596" t="n">
        <v>1</v>
      </c>
      <c r="P1596" s="96">
        <f>_xlfn.XLOOKUP(Tabla5[[#This Row],[EAN CORREGIDO]],'Tabla Articulos'!B:B,'Tabla Articulos'!D:D)</f>
        <v/>
      </c>
      <c r="Q1596" s="96">
        <f>_xlfn.XLOOKUP(S1596,'Tabla Articulos'!B:B,'Tabla Articulos'!E:E)</f>
        <v/>
      </c>
      <c r="R1596" s="96">
        <f>O1596*Q1596</f>
        <v/>
      </c>
      <c r="S1596" s="97">
        <f>TRIM(E1596)</f>
        <v/>
      </c>
    </row>
    <row r="1597" hidden="1">
      <c r="A1597" s="22" t="n">
        <v>6</v>
      </c>
      <c r="B1597" t="inlineStr">
        <is>
          <t xml:space="preserve">CDM03 - MORENO 3              </t>
        </is>
      </c>
      <c r="C1597" t="inlineStr">
        <is>
          <t xml:space="preserve">GRUPO L.                      </t>
        </is>
      </c>
      <c r="E1597" t="inlineStr">
        <is>
          <t xml:space="preserve">2006255             </t>
        </is>
      </c>
      <c r="G1597" t="inlineStr">
        <is>
          <t xml:space="preserve">MOPA DE LAVADO                     </t>
        </is>
      </c>
      <c r="H1597" t="inlineStr">
        <is>
          <t xml:space="preserve">UNIDAD              </t>
        </is>
      </c>
      <c r="I1597" t="n">
        <v>208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208</v>
      </c>
      <c r="P1597" s="96">
        <f>_xlfn.XLOOKUP(Tabla5[[#This Row],[EAN CORREGIDO]],'Tabla Articulos'!B:B,'Tabla Articulos'!D:D)</f>
        <v/>
      </c>
      <c r="Q1597" s="96">
        <f>_xlfn.XLOOKUP(S1597,'Tabla Articulos'!B:B,'Tabla Articulos'!E:E)</f>
        <v/>
      </c>
      <c r="R1597" s="96">
        <f>O1597*Q1597</f>
        <v/>
      </c>
      <c r="S1597" s="97">
        <f>TRIM(E1597)</f>
        <v/>
      </c>
    </row>
    <row r="1598" hidden="1">
      <c r="A1598" s="22" t="n">
        <v>6</v>
      </c>
      <c r="B1598" t="inlineStr">
        <is>
          <t xml:space="preserve">CDM03 - MORENO 3              </t>
        </is>
      </c>
      <c r="C1598" t="inlineStr">
        <is>
          <t xml:space="preserve">GRUPO L.                      </t>
        </is>
      </c>
      <c r="E1598" t="inlineStr">
        <is>
          <t xml:space="preserve">BUSAT000296         </t>
        </is>
      </c>
      <c r="G1598" t="inlineStr">
        <is>
          <t xml:space="preserve">FENTE DE ESTACION CHEF             </t>
        </is>
      </c>
      <c r="H1598" t="inlineStr">
        <is>
          <t xml:space="preserve">BULTOS              </t>
        </is>
      </c>
      <c r="I1598" t="n">
        <v>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3</v>
      </c>
      <c r="P1598" s="96">
        <f>_xlfn.XLOOKUP(Tabla5[[#This Row],[EAN CORREGIDO]],'Tabla Articulos'!B:B,'Tabla Articulos'!D:D)</f>
        <v/>
      </c>
      <c r="Q1598" s="96">
        <f>_xlfn.XLOOKUP(S1598,'Tabla Articulos'!B:B,'Tabla Articulos'!E:E)</f>
        <v/>
      </c>
      <c r="R1598" s="96">
        <f>O1598*Q1598</f>
        <v/>
      </c>
      <c r="S1598" s="97">
        <f>TRIM(E1598)</f>
        <v/>
      </c>
    </row>
    <row r="1599" hidden="1">
      <c r="A1599" s="22" t="n">
        <v>6</v>
      </c>
      <c r="B1599" t="inlineStr">
        <is>
          <t xml:space="preserve">CDM03 - MORENO 3              </t>
        </is>
      </c>
      <c r="C1599" t="inlineStr">
        <is>
          <t xml:space="preserve">GRUPO L.                      </t>
        </is>
      </c>
      <c r="E1599" t="inlineStr">
        <is>
          <t xml:space="preserve">BUSAT000710         </t>
        </is>
      </c>
      <c r="G1599" t="inlineStr">
        <is>
          <t xml:space="preserve">CAMPERAS TASLAN MANGA COMUN XXXL   </t>
        </is>
      </c>
      <c r="H1599" t="inlineStr">
        <is>
          <t xml:space="preserve">UNIDAD              </t>
        </is>
      </c>
      <c r="I1599" t="n">
        <v>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5</v>
      </c>
      <c r="P1599" s="96">
        <f>_xlfn.XLOOKUP(Tabla5[[#This Row],[EAN CORREGIDO]],'Tabla Articulos'!B:B,'Tabla Articulos'!D:D)</f>
        <v/>
      </c>
      <c r="Q1599" s="96">
        <f>_xlfn.XLOOKUP(S1599,'Tabla Articulos'!B:B,'Tabla Articulos'!E:E)</f>
        <v/>
      </c>
      <c r="R1599" s="96">
        <f>O1599*Q1599</f>
        <v/>
      </c>
      <c r="S1599" s="97">
        <f>TRIM(E1599)</f>
        <v/>
      </c>
    </row>
    <row r="1600" hidden="1">
      <c r="A1600" s="22" t="n">
        <v>6</v>
      </c>
      <c r="B1600" t="inlineStr">
        <is>
          <t xml:space="preserve">CDM03 - MORENO 3              </t>
        </is>
      </c>
      <c r="C1600" t="inlineStr">
        <is>
          <t xml:space="preserve">GRUPO L.                      </t>
        </is>
      </c>
      <c r="E1600" t="inlineStr">
        <is>
          <t xml:space="preserve">BUSAT000450         </t>
        </is>
      </c>
      <c r="G1600" t="inlineStr">
        <is>
          <t>PANTALON CARGO GRIS FRANJA VERDE	58</t>
        </is>
      </c>
      <c r="H1600" t="inlineStr">
        <is>
          <t xml:space="preserve">UNIDAD              </t>
        </is>
      </c>
      <c r="I1600" t="n">
        <v>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3</v>
      </c>
      <c r="P1600" s="96">
        <f>_xlfn.XLOOKUP(Tabla5[[#This Row],[EAN CORREGIDO]],'Tabla Articulos'!B:B,'Tabla Articulos'!D:D)</f>
        <v/>
      </c>
      <c r="Q1600" s="96">
        <f>_xlfn.XLOOKUP(S1600,'Tabla Articulos'!B:B,'Tabla Articulos'!E:E)</f>
        <v/>
      </c>
      <c r="R1600" s="96">
        <f>O1600*Q1600</f>
        <v/>
      </c>
      <c r="S1600" s="97">
        <f>TRIM(E1600)</f>
        <v/>
      </c>
    </row>
    <row r="1601" hidden="1">
      <c r="A1601" s="22" t="n">
        <v>6</v>
      </c>
      <c r="B1601" t="inlineStr">
        <is>
          <t xml:space="preserve">CDM03 - MORENO 3              </t>
        </is>
      </c>
      <c r="C1601" t="inlineStr">
        <is>
          <t xml:space="preserve">GRUPO L.                      </t>
        </is>
      </c>
      <c r="E1601" t="inlineStr">
        <is>
          <t xml:space="preserve">BUSAT001104         </t>
        </is>
      </c>
      <c r="G1601" t="inlineStr">
        <is>
          <t xml:space="preserve">MINI PIMER                         </t>
        </is>
      </c>
      <c r="H1601" t="inlineStr">
        <is>
          <t xml:space="preserve">UNIDAD              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1</v>
      </c>
      <c r="P1601" s="96">
        <f>_xlfn.XLOOKUP(Tabla5[[#This Row],[EAN CORREGIDO]],'Tabla Articulos'!B:B,'Tabla Articulos'!D:D)</f>
        <v/>
      </c>
      <c r="Q1601" s="96">
        <f>_xlfn.XLOOKUP(S1601,'Tabla Articulos'!B:B,'Tabla Articulos'!E:E)</f>
        <v/>
      </c>
      <c r="R1601" s="96">
        <f>O1601*Q1601</f>
        <v/>
      </c>
      <c r="S1601" s="97">
        <f>TRIM(E1601)</f>
        <v/>
      </c>
    </row>
    <row r="1602" hidden="1">
      <c r="A1602" s="22" t="n">
        <v>6</v>
      </c>
      <c r="B1602" t="inlineStr">
        <is>
          <t xml:space="preserve">CDM03 - MORENO 3              </t>
        </is>
      </c>
      <c r="C1602" t="inlineStr">
        <is>
          <t xml:space="preserve">GRUPO L.                      </t>
        </is>
      </c>
      <c r="E1602" t="inlineStr">
        <is>
          <t xml:space="preserve">BUSAT001103         </t>
        </is>
      </c>
      <c r="G1602" t="inlineStr">
        <is>
          <t xml:space="preserve">TAZA POZILLO CAFE LOGO GRUPO L     </t>
        </is>
      </c>
      <c r="H1602" t="inlineStr">
        <is>
          <t xml:space="preserve">UNIDAD              </t>
        </is>
      </c>
      <c r="I1602" t="n">
        <v>64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64</v>
      </c>
      <c r="P1602" s="96">
        <f>_xlfn.XLOOKUP(Tabla5[[#This Row],[EAN CORREGIDO]],'Tabla Articulos'!B:B,'Tabla Articulos'!D:D)</f>
        <v/>
      </c>
      <c r="Q1602" s="96">
        <f>_xlfn.XLOOKUP(S1602,'Tabla Articulos'!B:B,'Tabla Articulos'!E:E)</f>
        <v/>
      </c>
      <c r="R1602" s="96">
        <f>O1602*Q1602</f>
        <v/>
      </c>
      <c r="S1602" s="97">
        <f>TRIM(E1602)</f>
        <v/>
      </c>
    </row>
    <row r="1603" hidden="1">
      <c r="A1603" s="22" t="n">
        <v>6</v>
      </c>
      <c r="B1603" t="inlineStr">
        <is>
          <t xml:space="preserve">CDM03 - MORENO 3              </t>
        </is>
      </c>
      <c r="C1603" t="inlineStr">
        <is>
          <t xml:space="preserve">GRUPO L.                      </t>
        </is>
      </c>
      <c r="E1603" t="inlineStr">
        <is>
          <t xml:space="preserve">BUSAT000275         </t>
        </is>
      </c>
      <c r="G1603" t="inlineStr">
        <is>
          <t xml:space="preserve">BANDEJERO 12                       </t>
        </is>
      </c>
      <c r="H1603" t="inlineStr">
        <is>
          <t xml:space="preserve">UNIDAD              </t>
        </is>
      </c>
      <c r="I1603" t="n">
        <v>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1</v>
      </c>
      <c r="P1603" s="96">
        <f>_xlfn.XLOOKUP(Tabla5[[#This Row],[EAN CORREGIDO]],'Tabla Articulos'!B:B,'Tabla Articulos'!D:D)</f>
        <v/>
      </c>
      <c r="Q1603" s="96">
        <f>_xlfn.XLOOKUP(S1603,'Tabla Articulos'!B:B,'Tabla Articulos'!E:E)</f>
        <v/>
      </c>
      <c r="R1603" s="96">
        <f>O1603*Q1603</f>
        <v/>
      </c>
      <c r="S1603" s="97">
        <f>TRIM(E1603)</f>
        <v/>
      </c>
    </row>
    <row r="1604" hidden="1">
      <c r="A1604" s="22" t="n">
        <v>6</v>
      </c>
      <c r="B1604" t="inlineStr">
        <is>
          <t xml:space="preserve">CDM03 - MORENO 3              </t>
        </is>
      </c>
      <c r="C1604" t="inlineStr">
        <is>
          <t xml:space="preserve">GRUPO L.                      </t>
        </is>
      </c>
      <c r="E1604" t="inlineStr">
        <is>
          <t xml:space="preserve">BUSAT001002         </t>
        </is>
      </c>
      <c r="G1604" t="inlineStr">
        <is>
          <t xml:space="preserve">CHOMBA AZUL MANGA LARGA XXXL       </t>
        </is>
      </c>
      <c r="H1604" t="inlineStr">
        <is>
          <t xml:space="preserve">UNIDAD              </t>
        </is>
      </c>
      <c r="I1604" t="n">
        <v>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2</v>
      </c>
      <c r="P1604" s="96">
        <f>_xlfn.XLOOKUP(Tabla5[[#This Row],[EAN CORREGIDO]],'Tabla Articulos'!B:B,'Tabla Articulos'!D:D)</f>
        <v/>
      </c>
      <c r="Q1604" s="96">
        <f>_xlfn.XLOOKUP(S1604,'Tabla Articulos'!B:B,'Tabla Articulos'!E:E)</f>
        <v/>
      </c>
      <c r="R1604" s="96">
        <f>O1604*Q1604</f>
        <v/>
      </c>
      <c r="S1604" s="97">
        <f>TRIM(E1604)</f>
        <v/>
      </c>
    </row>
    <row r="1605" hidden="1">
      <c r="A1605" s="22" t="n">
        <v>6</v>
      </c>
      <c r="B1605" t="inlineStr">
        <is>
          <t xml:space="preserve">CDM03 - MORENO 3              </t>
        </is>
      </c>
      <c r="C1605" t="inlineStr">
        <is>
          <t xml:space="preserve">GRUPO L.                      </t>
        </is>
      </c>
      <c r="E1605" t="inlineStr">
        <is>
          <t xml:space="preserve">BUSAT000549         </t>
        </is>
      </c>
      <c r="G1605" t="inlineStr">
        <is>
          <t xml:space="preserve">JEANS RAIZEN	50                    </t>
        </is>
      </c>
      <c r="H1605" t="inlineStr">
        <is>
          <t xml:space="preserve">UNIDAD              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1</v>
      </c>
      <c r="P1605" s="96">
        <f>_xlfn.XLOOKUP(Tabla5[[#This Row],[EAN CORREGIDO]],'Tabla Articulos'!B:B,'Tabla Articulos'!D:D)</f>
        <v/>
      </c>
      <c r="Q1605" s="96">
        <f>_xlfn.XLOOKUP(S1605,'Tabla Articulos'!B:B,'Tabla Articulos'!E:E)</f>
        <v/>
      </c>
      <c r="R1605" s="96">
        <f>O1605*Q1605</f>
        <v/>
      </c>
      <c r="S1605" s="97">
        <f>TRIM(E1605)</f>
        <v/>
      </c>
    </row>
    <row r="1606" hidden="1">
      <c r="A1606" s="22" t="n">
        <v>6</v>
      </c>
      <c r="B1606" t="inlineStr">
        <is>
          <t xml:space="preserve">CDM03 - MORENO 3              </t>
        </is>
      </c>
      <c r="C1606" t="inlineStr">
        <is>
          <t xml:space="preserve">GRUPO L.                      </t>
        </is>
      </c>
      <c r="E1606" t="inlineStr">
        <is>
          <t xml:space="preserve">BUSAT000616         </t>
        </is>
      </c>
      <c r="G1606" t="inlineStr">
        <is>
          <t xml:space="preserve">PANTALON CARGO NEGRO CAFETERIA     </t>
        </is>
      </c>
      <c r="H1606" t="inlineStr">
        <is>
          <t xml:space="preserve">UNIDAD              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2</v>
      </c>
      <c r="P1606" s="96">
        <f>_xlfn.XLOOKUP(Tabla5[[#This Row],[EAN CORREGIDO]],'Tabla Articulos'!B:B,'Tabla Articulos'!D:D)</f>
        <v/>
      </c>
      <c r="Q1606" s="96">
        <f>_xlfn.XLOOKUP(S1606,'Tabla Articulos'!B:B,'Tabla Articulos'!E:E)</f>
        <v/>
      </c>
      <c r="R1606" s="96">
        <f>O1606*Q1606</f>
        <v/>
      </c>
      <c r="S1606" s="97">
        <f>TRIM(E1606)</f>
        <v/>
      </c>
    </row>
    <row r="1607" hidden="1">
      <c r="A1607" s="22" t="n">
        <v>6</v>
      </c>
      <c r="B1607" t="inlineStr">
        <is>
          <t xml:space="preserve">CDM03 - MORENO 3              </t>
        </is>
      </c>
      <c r="C1607" t="inlineStr">
        <is>
          <t xml:space="preserve">GRUPO L.                      </t>
        </is>
      </c>
      <c r="E1607" t="inlineStr">
        <is>
          <t xml:space="preserve">BUSAT000896         </t>
        </is>
      </c>
      <c r="G1607" t="inlineStr">
        <is>
          <t xml:space="preserve">ASADERA CHICA CUADRADA             </t>
        </is>
      </c>
      <c r="H1607" t="inlineStr">
        <is>
          <t xml:space="preserve">UNIDAD              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1</v>
      </c>
      <c r="P1607" s="96">
        <f>_xlfn.XLOOKUP(Tabla5[[#This Row],[EAN CORREGIDO]],'Tabla Articulos'!B:B,'Tabla Articulos'!D:D)</f>
        <v/>
      </c>
      <c r="Q1607" s="96">
        <f>_xlfn.XLOOKUP(S1607,'Tabla Articulos'!B:B,'Tabla Articulos'!E:E)</f>
        <v/>
      </c>
      <c r="R1607" s="96">
        <f>O1607*Q1607</f>
        <v/>
      </c>
      <c r="S1607" s="97">
        <f>TRIM(E1607)</f>
        <v/>
      </c>
    </row>
    <row r="1608" hidden="1">
      <c r="A1608" s="22" t="n">
        <v>6</v>
      </c>
      <c r="B1608" t="inlineStr">
        <is>
          <t xml:space="preserve">CDM03 - MORENO 3              </t>
        </is>
      </c>
      <c r="C1608" t="inlineStr">
        <is>
          <t xml:space="preserve">GRUPO L.                      </t>
        </is>
      </c>
      <c r="E1608" t="inlineStr">
        <is>
          <t xml:space="preserve">BUSAT001118         </t>
        </is>
      </c>
      <c r="G1608" t="inlineStr">
        <is>
          <t xml:space="preserve">MOSTRADOR BAÑO MARIA CHICO         </t>
        </is>
      </c>
      <c r="H1608" t="inlineStr">
        <is>
          <t xml:space="preserve">UNIDAD              </t>
        </is>
      </c>
      <c r="I1608" t="n">
        <v>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1</v>
      </c>
      <c r="P1608" s="96">
        <f>_xlfn.XLOOKUP(Tabla5[[#This Row],[EAN CORREGIDO]],'Tabla Articulos'!B:B,'Tabla Articulos'!D:D)</f>
        <v/>
      </c>
      <c r="Q1608" s="96">
        <f>_xlfn.XLOOKUP(S1608,'Tabla Articulos'!B:B,'Tabla Articulos'!E:E)</f>
        <v/>
      </c>
      <c r="R1608" s="96">
        <f>O1608*Q1608</f>
        <v/>
      </c>
      <c r="S1608" s="97">
        <f>TRIM(E1608)</f>
        <v/>
      </c>
    </row>
    <row r="1609" hidden="1">
      <c r="A1609" s="22" t="n">
        <v>6</v>
      </c>
      <c r="B1609" t="inlineStr">
        <is>
          <t xml:space="preserve">CDM03 - MORENO 3              </t>
        </is>
      </c>
      <c r="C1609" t="inlineStr">
        <is>
          <t xml:space="preserve">GRUPO L.                      </t>
        </is>
      </c>
      <c r="E1609" t="inlineStr">
        <is>
          <t xml:space="preserve">BUSAT000890         </t>
        </is>
      </c>
      <c r="G1609" t="inlineStr">
        <is>
          <t xml:space="preserve">POSILLO CAFE                       </t>
        </is>
      </c>
      <c r="H1609" t="inlineStr">
        <is>
          <t xml:space="preserve">UNIDAD              </t>
        </is>
      </c>
      <c r="I1609" t="n">
        <v>28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28</v>
      </c>
      <c r="P1609" s="96">
        <f>_xlfn.XLOOKUP(Tabla5[[#This Row],[EAN CORREGIDO]],'Tabla Articulos'!B:B,'Tabla Articulos'!D:D)</f>
        <v/>
      </c>
      <c r="Q1609" s="96">
        <f>_xlfn.XLOOKUP(S1609,'Tabla Articulos'!B:B,'Tabla Articulos'!E:E)</f>
        <v/>
      </c>
      <c r="R1609" s="96">
        <f>O1609*Q1609</f>
        <v/>
      </c>
      <c r="S1609" s="97">
        <f>TRIM(E1609)</f>
        <v/>
      </c>
    </row>
    <row r="1610" hidden="1">
      <c r="A1610" s="22" t="n">
        <v>6</v>
      </c>
      <c r="B1610" t="inlineStr">
        <is>
          <t xml:space="preserve">CDM03 - MORENO 3              </t>
        </is>
      </c>
      <c r="C1610" t="inlineStr">
        <is>
          <t xml:space="preserve">GRUPO L.                      </t>
        </is>
      </c>
      <c r="E1610" t="inlineStr">
        <is>
          <t xml:space="preserve">BUSAT0011014        </t>
        </is>
      </c>
      <c r="G1610" t="inlineStr">
        <is>
          <t xml:space="preserve">ESPUMADERA GRANDE DE ALAMBRE       </t>
        </is>
      </c>
      <c r="H1610" t="inlineStr">
        <is>
          <t xml:space="preserve">UNIDAD              </t>
        </is>
      </c>
      <c r="I1610" t="n">
        <v>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1</v>
      </c>
      <c r="P1610" s="96">
        <f>_xlfn.XLOOKUP(Tabla5[[#This Row],[EAN CORREGIDO]],'Tabla Articulos'!B:B,'Tabla Articulos'!D:D)</f>
        <v/>
      </c>
      <c r="Q1610" s="96">
        <f>_xlfn.XLOOKUP(S1610,'Tabla Articulos'!B:B,'Tabla Articulos'!E:E)</f>
        <v/>
      </c>
      <c r="R1610" s="96">
        <f>O1610*Q1610</f>
        <v/>
      </c>
      <c r="S1610" s="97">
        <f>TRIM(E1610)</f>
        <v/>
      </c>
    </row>
    <row r="1611" hidden="1">
      <c r="A1611" s="22" t="n">
        <v>1</v>
      </c>
      <c r="B1611" t="inlineStr">
        <is>
          <t xml:space="preserve">CD MORENO                     </t>
        </is>
      </c>
      <c r="C1611" t="inlineStr">
        <is>
          <t xml:space="preserve">GRUPO L.                      </t>
        </is>
      </c>
      <c r="D1611" t="inlineStr">
        <is>
          <t>SIDRA</t>
        </is>
      </c>
      <c r="E1611" t="inlineStr">
        <is>
          <t xml:space="preserve">7790154008078       </t>
        </is>
      </c>
      <c r="F1611" t="n">
        <v>4017307</v>
      </c>
      <c r="G1611" t="inlineStr">
        <is>
          <t xml:space="preserve">SIDRA X750ML 1930                  </t>
        </is>
      </c>
      <c r="H1611" t="inlineStr">
        <is>
          <t xml:space="preserve">UNIDAD              </t>
        </is>
      </c>
      <c r="I1611" t="n">
        <v>12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12</v>
      </c>
      <c r="P1611" s="96">
        <f>_xlfn.XLOOKUP(Tabla5[[#This Row],[EAN CORREGIDO]],'Tabla Articulos'!B:B,'Tabla Articulos'!D:D)</f>
        <v/>
      </c>
      <c r="Q1611" s="96">
        <f>_xlfn.XLOOKUP(S1611,'Tabla Articulos'!B:B,'Tabla Articulos'!E:E)</f>
        <v/>
      </c>
      <c r="R1611" s="96">
        <f>O1611*Q1611</f>
        <v/>
      </c>
      <c r="S1611" s="97">
        <f>TRIM(E1611)</f>
        <v/>
      </c>
    </row>
    <row r="1612" hidden="1">
      <c r="A1612" s="22" t="n">
        <v>5</v>
      </c>
      <c r="B1612" t="inlineStr">
        <is>
          <t xml:space="preserve">CDM02 - MORENO 2              </t>
        </is>
      </c>
      <c r="C1612" t="inlineStr">
        <is>
          <t xml:space="preserve">GRUPO L.                      </t>
        </is>
      </c>
      <c r="D1612" t="inlineStr">
        <is>
          <t>ARROZ 0000</t>
        </is>
      </c>
      <c r="E1612" t="inlineStr">
        <is>
          <t xml:space="preserve">7790503198498       </t>
        </is>
      </c>
      <c r="F1612" t="n">
        <v>4019872</v>
      </c>
      <c r="G1612" t="inlineStr">
        <is>
          <t xml:space="preserve">ARROZ 0000 X 1 KG FEDERAL          </t>
        </is>
      </c>
      <c r="H1612" t="inlineStr">
        <is>
          <t xml:space="preserve">UNIDAD              </t>
        </is>
      </c>
      <c r="I1612" t="n">
        <v>835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835</v>
      </c>
      <c r="P1612" s="96">
        <f>_xlfn.XLOOKUP(Tabla5[[#This Row],[EAN CORREGIDO]],'Tabla Articulos'!B:B,'Tabla Articulos'!D:D)</f>
        <v/>
      </c>
      <c r="Q1612" s="96">
        <f>_xlfn.XLOOKUP(S1612,'Tabla Articulos'!B:B,'Tabla Articulos'!E:E)</f>
        <v/>
      </c>
      <c r="R1612" s="96">
        <f>O1612*Q1612</f>
        <v/>
      </c>
      <c r="S1612" s="97">
        <f>TRIM(E1612)</f>
        <v/>
      </c>
    </row>
    <row r="1613" hidden="1">
      <c r="A1613" s="22" t="n">
        <v>5</v>
      </c>
      <c r="B1613" t="inlineStr">
        <is>
          <t xml:space="preserve">CDM02 - MORENO 2              </t>
        </is>
      </c>
      <c r="C1613" t="inlineStr">
        <is>
          <t xml:space="preserve">GRUPO L.                      </t>
        </is>
      </c>
      <c r="D1613" t="inlineStr">
        <is>
          <t>CHOCLO GRANO AMARILLO</t>
        </is>
      </c>
      <c r="E1613" t="inlineStr">
        <is>
          <t xml:space="preserve">7790499001055       </t>
        </is>
      </c>
      <c r="F1613" t="n">
        <v>4024289</v>
      </c>
      <c r="G1613" t="inlineStr">
        <is>
          <t xml:space="preserve">CHOCLO GRANO AMAR X 300 LA BANDA   </t>
        </is>
      </c>
      <c r="H1613" t="inlineStr">
        <is>
          <t xml:space="preserve">UNIDAD              </t>
        </is>
      </c>
      <c r="I1613" t="n">
        <v>7778</v>
      </c>
      <c r="J1613" t="n">
        <v>0</v>
      </c>
      <c r="K1613" t="n">
        <v>0</v>
      </c>
      <c r="L1613" t="n">
        <v>48</v>
      </c>
      <c r="M1613" t="n">
        <v>48</v>
      </c>
      <c r="N1613" t="n">
        <v>0</v>
      </c>
      <c r="O1613" t="n">
        <v>7682</v>
      </c>
      <c r="P1613" s="96">
        <f>_xlfn.XLOOKUP(Tabla5[[#This Row],[EAN CORREGIDO]],'Tabla Articulos'!B:B,'Tabla Articulos'!D:D)</f>
        <v/>
      </c>
      <c r="Q1613" s="96">
        <f>_xlfn.XLOOKUP(S1613,'Tabla Articulos'!B:B,'Tabla Articulos'!E:E)</f>
        <v/>
      </c>
      <c r="R1613" s="96">
        <f>O1613*Q1613</f>
        <v/>
      </c>
      <c r="S1613" s="97">
        <f>TRIM(E1613)</f>
        <v/>
      </c>
    </row>
    <row r="1614" hidden="1">
      <c r="A1614" s="22" t="n">
        <v>1</v>
      </c>
      <c r="B1614" t="inlineStr">
        <is>
          <t xml:space="preserve">CD MORENO                     </t>
        </is>
      </c>
      <c r="C1614" t="inlineStr">
        <is>
          <t xml:space="preserve">GRUPO L.                      </t>
        </is>
      </c>
      <c r="D1614" s="11" t="inlineStr">
        <is>
          <t>GALLE AGUA INDIV S/SAL</t>
        </is>
      </c>
      <c r="E1614" t="inlineStr">
        <is>
          <t xml:space="preserve">7796624012026       </t>
        </is>
      </c>
      <c r="F1614" t="n">
        <v>4018870</v>
      </c>
      <c r="G1614" t="inlineStr">
        <is>
          <t xml:space="preserve">GALLE AGUA IND S/SAL X25G NEOSOL   </t>
        </is>
      </c>
      <c r="H1614" t="inlineStr">
        <is>
          <t xml:space="preserve">UNIDAD              </t>
        </is>
      </c>
      <c r="I1614" t="n">
        <v>170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170</v>
      </c>
      <c r="P1614" s="96">
        <f>_xlfn.XLOOKUP(Tabla5[[#This Row],[EAN CORREGIDO]],'Tabla Articulos'!B:B,'Tabla Articulos'!D:D)</f>
        <v/>
      </c>
      <c r="Q1614" s="96">
        <f>_xlfn.XLOOKUP(S1614,'Tabla Articulos'!B:B,'Tabla Articulos'!E:E)</f>
        <v/>
      </c>
      <c r="R1614" s="96">
        <f>O1614*Q1614</f>
        <v/>
      </c>
      <c r="S1614" s="97">
        <f>TRIM(E1614)</f>
        <v/>
      </c>
    </row>
    <row r="1615" hidden="1">
      <c r="A1615" s="22" t="n">
        <v>5</v>
      </c>
      <c r="B1615" t="inlineStr">
        <is>
          <t xml:space="preserve">CDM02 - MORENO 2              </t>
        </is>
      </c>
      <c r="C1615" t="inlineStr">
        <is>
          <t xml:space="preserve">GRUPO L.                      </t>
        </is>
      </c>
      <c r="D1615" t="inlineStr">
        <is>
          <t>GALLE AGUA INDIV S/SAL</t>
        </is>
      </c>
      <c r="E1615" t="inlineStr">
        <is>
          <t xml:space="preserve">7796624012026       </t>
        </is>
      </c>
      <c r="F1615" t="n">
        <v>4018870</v>
      </c>
      <c r="G1615" t="inlineStr">
        <is>
          <t xml:space="preserve">GALLE AGUA IND S/SAL X25G NEOSOL   </t>
        </is>
      </c>
      <c r="H1615" t="inlineStr">
        <is>
          <t xml:space="preserve">UNIDAD              </t>
        </is>
      </c>
      <c r="I1615" t="n">
        <v>599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599</v>
      </c>
      <c r="P1615" s="96">
        <f>_xlfn.XLOOKUP(Tabla5[[#This Row],[EAN CORREGIDO]],'Tabla Articulos'!B:B,'Tabla Articulos'!D:D)</f>
        <v/>
      </c>
      <c r="Q1615" s="96">
        <f>_xlfn.XLOOKUP(S1615,'Tabla Articulos'!B:B,'Tabla Articulos'!E:E)</f>
        <v/>
      </c>
      <c r="R1615" s="96">
        <f>O1615*Q1615</f>
        <v/>
      </c>
      <c r="S1615" s="97">
        <f>TRIM(E1615)</f>
        <v/>
      </c>
    </row>
    <row r="1616" hidden="1">
      <c r="A1616" s="22" t="n">
        <v>6</v>
      </c>
      <c r="B1616" t="inlineStr">
        <is>
          <t xml:space="preserve">CDM03 - MORENO 3              </t>
        </is>
      </c>
      <c r="C1616" t="inlineStr">
        <is>
          <t xml:space="preserve">GRUPO L.                      </t>
        </is>
      </c>
      <c r="D1616" s="11" t="n"/>
      <c r="E1616" t="inlineStr">
        <is>
          <t xml:space="preserve">UNIF000126          </t>
        </is>
      </c>
      <c r="F1616" t="n">
        <v>9003226</v>
      </c>
      <c r="G1616" t="inlineStr">
        <is>
          <t xml:space="preserve">PANTALON NAUTICO BLANCO 8          </t>
        </is>
      </c>
      <c r="H1616" t="inlineStr">
        <is>
          <t xml:space="preserve">UNIDAD              </t>
        </is>
      </c>
      <c r="I1616" t="n">
        <v>48</v>
      </c>
      <c r="J1616" t="n">
        <v>23</v>
      </c>
      <c r="K1616" t="n">
        <v>0</v>
      </c>
      <c r="L1616" t="n">
        <v>0</v>
      </c>
      <c r="M1616" t="n">
        <v>0</v>
      </c>
      <c r="N1616" t="n">
        <v>0</v>
      </c>
      <c r="O1616" t="n">
        <v>71</v>
      </c>
      <c r="P1616" s="96">
        <f>_xlfn.XLOOKUP(Tabla5[[#This Row],[EAN CORREGIDO]],'Tabla Articulos'!B:B,'Tabla Articulos'!D:D)</f>
        <v/>
      </c>
      <c r="Q1616" s="96">
        <f>_xlfn.XLOOKUP(S1616,'Tabla Articulos'!B:B,'Tabla Articulos'!E:E)</f>
        <v/>
      </c>
      <c r="R1616" s="96">
        <f>O1616*Q1616</f>
        <v/>
      </c>
      <c r="S1616" s="97">
        <f>TRIM(E1616)</f>
        <v/>
      </c>
    </row>
    <row r="1617" hidden="1">
      <c r="A1617" s="22" t="n">
        <v>1</v>
      </c>
      <c r="B1617" t="inlineStr">
        <is>
          <t xml:space="preserve">CD MORENO                     </t>
        </is>
      </c>
      <c r="C1617" t="inlineStr">
        <is>
          <t xml:space="preserve">GRUPO L.                      </t>
        </is>
      </c>
      <c r="D1617" t="inlineStr">
        <is>
          <t>CASTAÑA DE CAJU</t>
        </is>
      </c>
      <c r="E1617" t="inlineStr">
        <is>
          <t xml:space="preserve">7793323003553       </t>
        </is>
      </c>
      <c r="F1617" t="n">
        <v>4020408</v>
      </c>
      <c r="G1617" t="inlineStr">
        <is>
          <t xml:space="preserve">CASTAÑA CAJU X1KG DICOMERE         </t>
        </is>
      </c>
      <c r="H1617" t="inlineStr">
        <is>
          <t xml:space="preserve">UNIDAD              </t>
        </is>
      </c>
      <c r="I1617" t="n">
        <v>15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15</v>
      </c>
      <c r="P1617" s="96">
        <f>_xlfn.XLOOKUP(Tabla5[[#This Row],[EAN CORREGIDO]],'Tabla Articulos'!B:B,'Tabla Articulos'!D:D)</f>
        <v/>
      </c>
      <c r="Q1617" s="96">
        <f>_xlfn.XLOOKUP(S1617,'Tabla Articulos'!B:B,'Tabla Articulos'!E:E)</f>
        <v/>
      </c>
      <c r="R1617" s="96">
        <f>O1617*Q1617</f>
        <v/>
      </c>
      <c r="S1617" s="97">
        <f>TRIM(E1617)</f>
        <v/>
      </c>
    </row>
    <row r="1618" hidden="1">
      <c r="A1618" s="22" t="n">
        <v>5</v>
      </c>
      <c r="B1618" t="inlineStr">
        <is>
          <t xml:space="preserve">CDM02 - MORENO 2              </t>
        </is>
      </c>
      <c r="C1618" t="inlineStr">
        <is>
          <t xml:space="preserve">GRUPO L.                      </t>
        </is>
      </c>
      <c r="D1618" t="inlineStr">
        <is>
          <t>HARINA PARA AREPAS</t>
        </is>
      </c>
      <c r="E1618" t="inlineStr">
        <is>
          <t xml:space="preserve">7790199603368       </t>
        </is>
      </c>
      <c r="F1618" t="n">
        <v>4019607</v>
      </c>
      <c r="G1618" t="inlineStr">
        <is>
          <t xml:space="preserve">HARINA PARA AREPA XKG MORIXE       </t>
        </is>
      </c>
      <c r="H1618" t="inlineStr">
        <is>
          <t xml:space="preserve">UNIDAD              </t>
        </is>
      </c>
      <c r="I1618" t="n">
        <v>255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255</v>
      </c>
      <c r="P1618" s="96">
        <f>_xlfn.XLOOKUP(Tabla5[[#This Row],[EAN CORREGIDO]],'Tabla Articulos'!B:B,'Tabla Articulos'!D:D)</f>
        <v/>
      </c>
      <c r="Q1618" s="96">
        <f>_xlfn.XLOOKUP(S1618,'Tabla Articulos'!B:B,'Tabla Articulos'!E:E)</f>
        <v/>
      </c>
      <c r="R1618" s="96">
        <f>O1618*Q1618</f>
        <v/>
      </c>
      <c r="S1618" s="97">
        <f>TRIM(E1618)</f>
        <v/>
      </c>
    </row>
    <row r="1619" hidden="1">
      <c r="A1619" s="22" t="n">
        <v>6</v>
      </c>
      <c r="B1619" t="inlineStr">
        <is>
          <t xml:space="preserve">CDM03 - MORENO 3              </t>
        </is>
      </c>
      <c r="C1619" t="inlineStr">
        <is>
          <t xml:space="preserve">GRUPO L.                      </t>
        </is>
      </c>
      <c r="E1619" t="inlineStr">
        <is>
          <t xml:space="preserve">UNIF000575          </t>
        </is>
      </c>
      <c r="F1619" t="n">
        <v>9003113</v>
      </c>
      <c r="G1619" t="inlineStr">
        <is>
          <t xml:space="preserve">CAMISA GRIS T48                    </t>
        </is>
      </c>
      <c r="H1619" t="inlineStr">
        <is>
          <t xml:space="preserve">UNIDAD              </t>
        </is>
      </c>
      <c r="I1619" t="n">
        <v>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9</v>
      </c>
      <c r="P1619" s="96">
        <f>_xlfn.XLOOKUP(Tabla5[[#This Row],[EAN CORREGIDO]],'Tabla Articulos'!B:B,'Tabla Articulos'!D:D)</f>
        <v/>
      </c>
      <c r="Q1619" s="96">
        <f>_xlfn.XLOOKUP(S1619,'Tabla Articulos'!B:B,'Tabla Articulos'!E:E)</f>
        <v/>
      </c>
      <c r="R1619" s="96">
        <f>O1619*Q1619</f>
        <v/>
      </c>
      <c r="S1619" s="97">
        <f>TRIM(E1619)</f>
        <v/>
      </c>
    </row>
    <row r="1620" hidden="1">
      <c r="A1620" s="22" t="n">
        <v>1</v>
      </c>
      <c r="B1620" t="inlineStr">
        <is>
          <t xml:space="preserve">CD MORENO                     </t>
        </is>
      </c>
      <c r="C1620" t="inlineStr">
        <is>
          <t xml:space="preserve">GRUPO L.                      </t>
        </is>
      </c>
      <c r="D1620" s="11" t="inlineStr">
        <is>
          <t>FRUTOS ROJOS CONGE</t>
        </is>
      </c>
      <c r="E1620" t="inlineStr">
        <is>
          <t xml:space="preserve">7798184271530       </t>
        </is>
      </c>
      <c r="F1620" t="n">
        <v>4022392</v>
      </c>
      <c r="G1620" t="inlineStr">
        <is>
          <t xml:space="preserve">MIX FRUT.ROJ.CONG.BIOMAC 500GXUN   </t>
        </is>
      </c>
      <c r="H1620" t="inlineStr">
        <is>
          <t xml:space="preserve">UNIDAD              </t>
        </is>
      </c>
      <c r="I1620" t="n">
        <v>18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18</v>
      </c>
      <c r="P1620" s="96">
        <f>_xlfn.XLOOKUP(Tabla5[[#This Row],[EAN CORREGIDO]],'Tabla Articulos'!B:B,'Tabla Articulos'!D:D)</f>
        <v/>
      </c>
      <c r="Q1620" s="96">
        <f>_xlfn.XLOOKUP(S1620,'Tabla Articulos'!B:B,'Tabla Articulos'!E:E)</f>
        <v/>
      </c>
      <c r="R1620" s="96">
        <f>O1620*Q1620</f>
        <v/>
      </c>
      <c r="S1620" s="97">
        <f>TRIM(E1620)</f>
        <v/>
      </c>
    </row>
    <row r="1621" hidden="1">
      <c r="A1621" s="22" t="n">
        <v>6</v>
      </c>
      <c r="B1621" t="inlineStr">
        <is>
          <t xml:space="preserve">CDM03 - MORENO 3              </t>
        </is>
      </c>
      <c r="C1621" t="inlineStr">
        <is>
          <t xml:space="preserve">GRUPO L.                      </t>
        </is>
      </c>
      <c r="E1621" t="inlineStr">
        <is>
          <t xml:space="preserve">UNIF000745          </t>
        </is>
      </c>
      <c r="F1621" t="n">
        <v>9004199</v>
      </c>
      <c r="G1621" t="inlineStr">
        <is>
          <t xml:space="preserve">CAMISA POPLIN ML BLUE CAFÉ S       </t>
        </is>
      </c>
      <c r="H1621" t="inlineStr">
        <is>
          <t xml:space="preserve">UNIDAD              </t>
        </is>
      </c>
      <c r="I1621" t="n">
        <v>30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30</v>
      </c>
      <c r="P1621" s="96">
        <f>_xlfn.XLOOKUP(Tabla5[[#This Row],[EAN CORREGIDO]],'Tabla Articulos'!B:B,'Tabla Articulos'!D:D)</f>
        <v/>
      </c>
      <c r="Q1621" s="96">
        <f>_xlfn.XLOOKUP(S1621,'Tabla Articulos'!B:B,'Tabla Articulos'!E:E)</f>
        <v/>
      </c>
      <c r="R1621" s="96">
        <f>O1621*Q1621</f>
        <v/>
      </c>
      <c r="S1621" s="97">
        <f>TRIM(E1621)</f>
        <v/>
      </c>
    </row>
    <row r="1622" hidden="1">
      <c r="A1622" s="22" t="n">
        <v>1</v>
      </c>
      <c r="B1622" t="inlineStr">
        <is>
          <t xml:space="preserve">CD MORENO                     </t>
        </is>
      </c>
      <c r="C1622" t="inlineStr">
        <is>
          <t xml:space="preserve">GRUPO L.                      </t>
        </is>
      </c>
      <c r="D1622" t="inlineStr">
        <is>
          <t>CACAO</t>
        </is>
      </c>
      <c r="E1622" t="inlineStr">
        <is>
          <t xml:space="preserve">7790530850048       </t>
        </is>
      </c>
      <c r="F1622" t="n">
        <v>4019576</v>
      </c>
      <c r="G1622" t="inlineStr">
        <is>
          <t xml:space="preserve">CACAO X 1KG BEDIAL                 </t>
        </is>
      </c>
      <c r="H1622" t="inlineStr">
        <is>
          <t xml:space="preserve">UNIDAD              </t>
        </is>
      </c>
      <c r="I1622" t="n">
        <v>1613</v>
      </c>
      <c r="J1622" t="n">
        <v>0</v>
      </c>
      <c r="K1622" t="n">
        <v>0</v>
      </c>
      <c r="L1622" t="n">
        <v>25</v>
      </c>
      <c r="M1622" t="n">
        <v>25</v>
      </c>
      <c r="N1622" t="n">
        <v>0</v>
      </c>
      <c r="O1622" t="n">
        <v>1563</v>
      </c>
      <c r="P1622" s="96">
        <f>_xlfn.XLOOKUP(Tabla5[[#This Row],[EAN CORREGIDO]],'Tabla Articulos'!B:B,'Tabla Articulos'!D:D)</f>
        <v/>
      </c>
      <c r="Q1622" s="96">
        <f>_xlfn.XLOOKUP(S1622,'Tabla Articulos'!B:B,'Tabla Articulos'!E:E)</f>
        <v/>
      </c>
      <c r="R1622" s="96">
        <f>O1622*Q1622</f>
        <v/>
      </c>
      <c r="S1622" s="97">
        <f>TRIM(E1622)</f>
        <v/>
      </c>
    </row>
    <row r="1623" hidden="1">
      <c r="A1623" s="22" t="n">
        <v>5</v>
      </c>
      <c r="B1623" t="inlineStr">
        <is>
          <t xml:space="preserve">CDM02 - MORENO 2              </t>
        </is>
      </c>
      <c r="C1623" t="inlineStr">
        <is>
          <t xml:space="preserve">GRUPO L.                      </t>
        </is>
      </c>
      <c r="D1623" t="inlineStr">
        <is>
          <t>CACAO</t>
        </is>
      </c>
      <c r="E1623" t="inlineStr">
        <is>
          <t xml:space="preserve">7790530850048       </t>
        </is>
      </c>
      <c r="F1623" t="n">
        <v>4019576</v>
      </c>
      <c r="G1623" t="inlineStr">
        <is>
          <t xml:space="preserve">CACAO X 1KG BEDIAL                 </t>
        </is>
      </c>
      <c r="H1623" t="inlineStr">
        <is>
          <t xml:space="preserve">UNIDAD              </t>
        </is>
      </c>
      <c r="I1623" t="n">
        <v>0</v>
      </c>
      <c r="J1623" t="n">
        <v>12</v>
      </c>
      <c r="K1623" t="n">
        <v>12</v>
      </c>
      <c r="L1623" t="n">
        <v>0</v>
      </c>
      <c r="M1623" t="n">
        <v>0</v>
      </c>
      <c r="N1623" t="n">
        <v>0</v>
      </c>
      <c r="O1623" t="n">
        <v>0</v>
      </c>
      <c r="P1623" s="96">
        <f>_xlfn.XLOOKUP(Tabla5[[#This Row],[EAN CORREGIDO]],'Tabla Articulos'!B:B,'Tabla Articulos'!D:D)</f>
        <v/>
      </c>
      <c r="Q1623" s="96">
        <f>_xlfn.XLOOKUP(S1623,'Tabla Articulos'!B:B,'Tabla Articulos'!E:E)</f>
        <v/>
      </c>
      <c r="R1623" s="96">
        <f>O1623*Q1623</f>
        <v/>
      </c>
      <c r="S1623" s="97">
        <f>TRIM(E1623)</f>
        <v/>
      </c>
    </row>
    <row r="1624" hidden="1">
      <c r="A1624" s="22" t="n">
        <v>5</v>
      </c>
      <c r="B1624" t="inlineStr">
        <is>
          <t xml:space="preserve">CDM02 - MORENO 2              </t>
        </is>
      </c>
      <c r="C1624" t="inlineStr">
        <is>
          <t xml:space="preserve">GRUPO L.                      </t>
        </is>
      </c>
      <c r="D1624" s="11" t="inlineStr">
        <is>
          <t>POLENTA</t>
        </is>
      </c>
      <c r="E1624" t="inlineStr">
        <is>
          <t xml:space="preserve">7798049540504       </t>
        </is>
      </c>
      <c r="F1624" t="n">
        <v>4023281</v>
      </c>
      <c r="G1624" t="inlineStr">
        <is>
          <t xml:space="preserve">POLENTA X 500 G LA ABADIA          </t>
        </is>
      </c>
      <c r="H1624" t="inlineStr">
        <is>
          <t xml:space="preserve">UNIDAD              </t>
        </is>
      </c>
      <c r="I1624" t="n">
        <v>44417</v>
      </c>
      <c r="J1624" t="n">
        <v>0</v>
      </c>
      <c r="K1624" t="n">
        <v>7410</v>
      </c>
      <c r="L1624" t="n">
        <v>5</v>
      </c>
      <c r="M1624" t="n">
        <v>5</v>
      </c>
      <c r="N1624" t="n">
        <v>0</v>
      </c>
      <c r="O1624" t="n">
        <v>36997</v>
      </c>
      <c r="P1624" s="96">
        <f>_xlfn.XLOOKUP(Tabla5[[#This Row],[EAN CORREGIDO]],'Tabla Articulos'!B:B,'Tabla Articulos'!D:D)</f>
        <v/>
      </c>
      <c r="Q1624" s="96">
        <f>_xlfn.XLOOKUP(S1624,'Tabla Articulos'!B:B,'Tabla Articulos'!E:E)</f>
        <v/>
      </c>
      <c r="R1624" s="96">
        <f>O1624*Q1624</f>
        <v/>
      </c>
      <c r="S1624" s="97">
        <f>TRIM(E1624)</f>
        <v/>
      </c>
    </row>
    <row r="1625" hidden="1">
      <c r="A1625" s="22" t="n">
        <v>1</v>
      </c>
      <c r="B1625" t="inlineStr">
        <is>
          <t xml:space="preserve">CD MORENO                     </t>
        </is>
      </c>
      <c r="C1625" t="inlineStr">
        <is>
          <t xml:space="preserve">GRUPO L.                      </t>
        </is>
      </c>
      <c r="D1625" t="inlineStr">
        <is>
          <t>POLENTA</t>
        </is>
      </c>
      <c r="E1625" t="inlineStr">
        <is>
          <t xml:space="preserve">7798049540504       </t>
        </is>
      </c>
      <c r="F1625" t="n">
        <v>4023281</v>
      </c>
      <c r="G1625" t="inlineStr">
        <is>
          <t xml:space="preserve">POLENTA X 500 G LA ABADIA          </t>
        </is>
      </c>
      <c r="H1625" t="inlineStr">
        <is>
          <t xml:space="preserve">UNIDAD              </t>
        </is>
      </c>
      <c r="I1625" t="n">
        <v>1515</v>
      </c>
      <c r="J1625" t="n">
        <v>0</v>
      </c>
      <c r="K1625" t="n">
        <v>0</v>
      </c>
      <c r="L1625" t="n">
        <v>83</v>
      </c>
      <c r="M1625" t="n">
        <v>83</v>
      </c>
      <c r="N1625" t="n">
        <v>0</v>
      </c>
      <c r="O1625" t="n">
        <v>1349</v>
      </c>
      <c r="P1625" s="96">
        <f>_xlfn.XLOOKUP(Tabla5[[#This Row],[EAN CORREGIDO]],'Tabla Articulos'!B:B,'Tabla Articulos'!D:D)</f>
        <v/>
      </c>
      <c r="Q1625" s="96">
        <f>_xlfn.XLOOKUP(S1625,'Tabla Articulos'!B:B,'Tabla Articulos'!E:E)</f>
        <v/>
      </c>
      <c r="R1625" s="96">
        <f>O1625*Q1625</f>
        <v/>
      </c>
      <c r="S1625" s="97">
        <f>TRIM(E1625)</f>
        <v/>
      </c>
    </row>
    <row r="1626" hidden="1">
      <c r="A1626" s="22" t="n">
        <v>6</v>
      </c>
      <c r="B1626" t="inlineStr">
        <is>
          <t xml:space="preserve">CDM03 - MORENO 3              </t>
        </is>
      </c>
      <c r="C1626" t="inlineStr">
        <is>
          <t xml:space="preserve">GRUPO L.                      </t>
        </is>
      </c>
      <c r="D1626" t="inlineStr">
        <is>
          <t>CHOMBA MUJER PIQUE</t>
        </is>
      </c>
      <c r="E1626" t="inlineStr">
        <is>
          <t xml:space="preserve">7790000000800       </t>
        </is>
      </c>
      <c r="F1626" t="n">
        <v>9004296</v>
      </c>
      <c r="G1626" t="inlineStr">
        <is>
          <t xml:space="preserve">CHOMBA MJ PIQ GRIS XL GL SUP.      </t>
        </is>
      </c>
      <c r="H1626" t="inlineStr">
        <is>
          <t xml:space="preserve">UNIDAD              </t>
        </is>
      </c>
      <c r="I1626" t="n">
        <v>0</v>
      </c>
      <c r="J1626" t="n">
        <v>20</v>
      </c>
      <c r="K1626" t="n">
        <v>0</v>
      </c>
      <c r="L1626" t="n">
        <v>2</v>
      </c>
      <c r="M1626" t="n">
        <v>2</v>
      </c>
      <c r="N1626" t="n">
        <v>0</v>
      </c>
      <c r="O1626" t="n">
        <v>16</v>
      </c>
      <c r="P1626" s="96">
        <f>_xlfn.XLOOKUP(Tabla5[[#This Row],[EAN CORREGIDO]],'Tabla Articulos'!B:B,'Tabla Articulos'!D:D)</f>
        <v/>
      </c>
      <c r="Q1626" s="96">
        <f>_xlfn.XLOOKUP(S1626,'Tabla Articulos'!B:B,'Tabla Articulos'!E:E)</f>
        <v/>
      </c>
      <c r="R1626" s="96">
        <f>O1626*Q1626</f>
        <v/>
      </c>
      <c r="S1626" s="97">
        <f>TRIM(E1626)</f>
        <v/>
      </c>
    </row>
    <row r="1627" hidden="1">
      <c r="A1627" s="22" t="n">
        <v>6</v>
      </c>
      <c r="B1627" t="inlineStr">
        <is>
          <t xml:space="preserve">CDM03 - MORENO 3              </t>
        </is>
      </c>
      <c r="C1627" t="inlineStr">
        <is>
          <t xml:space="preserve">GRUPO L.                      </t>
        </is>
      </c>
      <c r="D1627" t="inlineStr">
        <is>
          <t>TRAPOS DE PISO</t>
        </is>
      </c>
      <c r="E1627" t="inlineStr">
        <is>
          <t xml:space="preserve">7798011944129       </t>
        </is>
      </c>
      <c r="F1627" t="n">
        <v>2006769</v>
      </c>
      <c r="G1627" t="inlineStr">
        <is>
          <t xml:space="preserve">PAÑO BLANCO P/PISO 17¨XU           </t>
        </is>
      </c>
      <c r="H1627" t="inlineStr">
        <is>
          <t xml:space="preserve">UNIDAD              </t>
        </is>
      </c>
      <c r="I1627" t="n">
        <v>166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166</v>
      </c>
      <c r="P1627" s="96">
        <f>_xlfn.XLOOKUP(Tabla5[[#This Row],[EAN CORREGIDO]],'Tabla Articulos'!B:B,'Tabla Articulos'!D:D)</f>
        <v/>
      </c>
      <c r="Q1627" s="96">
        <f>_xlfn.XLOOKUP(S1627,'Tabla Articulos'!B:B,'Tabla Articulos'!E:E)</f>
        <v/>
      </c>
      <c r="R1627" s="96">
        <f>O1627*Q1627</f>
        <v/>
      </c>
      <c r="S1627" s="97">
        <f>TRIM(E1627)</f>
        <v/>
      </c>
    </row>
    <row r="1628" hidden="1">
      <c r="A1628" s="22" t="n">
        <v>6</v>
      </c>
      <c r="B1628" t="inlineStr">
        <is>
          <t xml:space="preserve">CDM03 - MORENO 3              </t>
        </is>
      </c>
      <c r="C1628" t="inlineStr">
        <is>
          <t xml:space="preserve">GRUPO L.                      </t>
        </is>
      </c>
      <c r="D1628" s="11" t="inlineStr">
        <is>
          <t>CUCHILLOS</t>
        </is>
      </c>
      <c r="E1628" t="inlineStr">
        <is>
          <t xml:space="preserve">714604111788        </t>
        </is>
      </c>
      <c r="F1628" t="n">
        <v>2016596</v>
      </c>
      <c r="G1628" t="inlineStr">
        <is>
          <t xml:space="preserve">CUCHILLOS DESCARTABLES X1000U      </t>
        </is>
      </c>
      <c r="H1628" t="inlineStr">
        <is>
          <t xml:space="preserve">UNIDAD              </t>
        </is>
      </c>
      <c r="I1628" t="n">
        <v>51</v>
      </c>
      <c r="J1628" t="n">
        <v>0</v>
      </c>
      <c r="K1628" t="n">
        <v>0</v>
      </c>
      <c r="L1628" t="n">
        <v>3</v>
      </c>
      <c r="M1628" t="n">
        <v>3</v>
      </c>
      <c r="N1628" t="n">
        <v>0</v>
      </c>
      <c r="O1628" t="n">
        <v>45</v>
      </c>
      <c r="P1628" s="96">
        <f>_xlfn.XLOOKUP(Tabla5[[#This Row],[EAN CORREGIDO]],'Tabla Articulos'!B:B,'Tabla Articulos'!D:D)</f>
        <v/>
      </c>
      <c r="Q1628" s="96">
        <f>_xlfn.XLOOKUP(S1628,'Tabla Articulos'!B:B,'Tabla Articulos'!E:E)</f>
        <v/>
      </c>
      <c r="R1628" s="96">
        <f>O1628*Q1628</f>
        <v/>
      </c>
      <c r="S1628" s="97">
        <f>TRIM(E1628)</f>
        <v/>
      </c>
    </row>
    <row r="1629" hidden="1">
      <c r="A1629" s="22" t="n">
        <v>6</v>
      </c>
      <c r="B1629" t="inlineStr">
        <is>
          <t xml:space="preserve">CDM03 - MORENO 3              </t>
        </is>
      </c>
      <c r="C1629" t="inlineStr">
        <is>
          <t xml:space="preserve">GRUPO L.                      </t>
        </is>
      </c>
      <c r="E1629" t="inlineStr">
        <is>
          <t xml:space="preserve">UNIF000028          </t>
        </is>
      </c>
      <c r="F1629" t="n">
        <v>9003059</v>
      </c>
      <c r="G1629" t="inlineStr">
        <is>
          <t xml:space="preserve">AMBO GRIS ESCO.V RIVER L           </t>
        </is>
      </c>
      <c r="H1629" t="inlineStr">
        <is>
          <t xml:space="preserve">UNIDAD              </t>
        </is>
      </c>
      <c r="I1629" t="n">
        <v>15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15</v>
      </c>
      <c r="P1629" s="96">
        <f>_xlfn.XLOOKUP(Tabla5[[#This Row],[EAN CORREGIDO]],'Tabla Articulos'!B:B,'Tabla Articulos'!D:D)</f>
        <v/>
      </c>
      <c r="Q1629" s="96">
        <f>_xlfn.XLOOKUP(S1629,'Tabla Articulos'!B:B,'Tabla Articulos'!E:E)</f>
        <v/>
      </c>
      <c r="R1629" s="96">
        <f>O1629*Q1629</f>
        <v/>
      </c>
      <c r="S1629" s="97">
        <f>TRIM(E1629)</f>
        <v/>
      </c>
    </row>
    <row r="1630" hidden="1">
      <c r="A1630" s="22" t="n">
        <v>1</v>
      </c>
      <c r="B1630" t="inlineStr">
        <is>
          <t xml:space="preserve">CD MORENO                     </t>
        </is>
      </c>
      <c r="C1630" t="inlineStr">
        <is>
          <t xml:space="preserve">GRUPO L.                      </t>
        </is>
      </c>
      <c r="D1630" s="11" t="inlineStr">
        <is>
          <t>CHUPETIN</t>
        </is>
      </c>
      <c r="E1630" t="inlineStr">
        <is>
          <t xml:space="preserve">7790580739003       </t>
        </is>
      </c>
      <c r="F1630" t="n">
        <v>4019015</v>
      </c>
      <c r="G1630" t="inlineStr">
        <is>
          <t xml:space="preserve">CHUPETIN MISTER POP X50U ARCOR     </t>
        </is>
      </c>
      <c r="H1630" t="inlineStr">
        <is>
          <t xml:space="preserve">UNIDAD              </t>
        </is>
      </c>
      <c r="I1630" t="n">
        <v>65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65</v>
      </c>
      <c r="P1630" s="96">
        <f>_xlfn.XLOOKUP(Tabla5[[#This Row],[EAN CORREGIDO]],'Tabla Articulos'!B:B,'Tabla Articulos'!D:D)</f>
        <v/>
      </c>
      <c r="Q1630" s="96">
        <f>_xlfn.XLOOKUP(S1630,'Tabla Articulos'!B:B,'Tabla Articulos'!E:E)</f>
        <v/>
      </c>
      <c r="R1630" s="96">
        <f>O1630*Q1630</f>
        <v/>
      </c>
      <c r="S1630" s="97">
        <f>TRIM(E1630)</f>
        <v/>
      </c>
    </row>
    <row r="1631" hidden="1">
      <c r="A1631" s="22" t="n">
        <v>6</v>
      </c>
      <c r="B1631" t="inlineStr">
        <is>
          <t xml:space="preserve">CDM03 - MORENO 3              </t>
        </is>
      </c>
      <c r="C1631" t="inlineStr">
        <is>
          <t xml:space="preserve">GRUPO L.                      </t>
        </is>
      </c>
      <c r="E1631" t="inlineStr">
        <is>
          <t xml:space="preserve">UNIF000117          </t>
        </is>
      </c>
      <c r="F1631" t="n">
        <v>9003217</v>
      </c>
      <c r="G1631" t="inlineStr">
        <is>
          <t xml:space="preserve">PANTALON NAUTICO GRIS 7            </t>
        </is>
      </c>
      <c r="H1631" t="inlineStr">
        <is>
          <t xml:space="preserve">UNIDAD              </t>
        </is>
      </c>
      <c r="I1631" t="n">
        <v>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8</v>
      </c>
      <c r="P1631" s="96">
        <f>_xlfn.XLOOKUP(Tabla5[[#This Row],[EAN CORREGIDO]],'Tabla Articulos'!B:B,'Tabla Articulos'!D:D)</f>
        <v/>
      </c>
      <c r="Q1631" s="96">
        <f>_xlfn.XLOOKUP(S1631,'Tabla Articulos'!B:B,'Tabla Articulos'!E:E)</f>
        <v/>
      </c>
      <c r="R1631" s="96">
        <f>O1631*Q1631</f>
        <v/>
      </c>
      <c r="S1631" s="97">
        <f>TRIM(E1631)</f>
        <v/>
      </c>
    </row>
    <row r="1632" hidden="1">
      <c r="A1632" s="22" t="n">
        <v>6</v>
      </c>
      <c r="B1632" t="inlineStr">
        <is>
          <t xml:space="preserve">CDM03 - MORENO 3              </t>
        </is>
      </c>
      <c r="C1632" t="inlineStr">
        <is>
          <t xml:space="preserve">GRUPO L.                      </t>
        </is>
      </c>
      <c r="E1632" t="inlineStr">
        <is>
          <t xml:space="preserve">UNIF000170          </t>
        </is>
      </c>
      <c r="F1632" t="n">
        <v>9003662</v>
      </c>
      <c r="G1632" t="inlineStr">
        <is>
          <t xml:space="preserve">CHAQUETA CHEF 4 GL SUPPORT         </t>
        </is>
      </c>
      <c r="H1632" t="inlineStr">
        <is>
          <t xml:space="preserve">UNIDAD              </t>
        </is>
      </c>
      <c r="I1632" t="n">
        <v>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4</v>
      </c>
      <c r="P1632" s="96">
        <f>_xlfn.XLOOKUP(Tabla5[[#This Row],[EAN CORREGIDO]],'Tabla Articulos'!B:B,'Tabla Articulos'!D:D)</f>
        <v/>
      </c>
      <c r="Q1632" s="96">
        <f>_xlfn.XLOOKUP(S1632,'Tabla Articulos'!B:B,'Tabla Articulos'!E:E)</f>
        <v/>
      </c>
      <c r="R1632" s="96">
        <f>O1632*Q1632</f>
        <v/>
      </c>
      <c r="S1632" s="97">
        <f>TRIM(E1632)</f>
        <v/>
      </c>
    </row>
    <row r="1633" hidden="1">
      <c r="A1633" s="22" t="n">
        <v>6</v>
      </c>
      <c r="B1633" t="inlineStr">
        <is>
          <t xml:space="preserve">CDM03 - MORENO 3              </t>
        </is>
      </c>
      <c r="C1633" t="inlineStr">
        <is>
          <t xml:space="preserve">GRUPO L.                      </t>
        </is>
      </c>
      <c r="E1633" t="inlineStr">
        <is>
          <t xml:space="preserve">UNIF000589          </t>
        </is>
      </c>
      <c r="F1633" t="n">
        <v>9003127</v>
      </c>
      <c r="G1633" t="inlineStr">
        <is>
          <t xml:space="preserve">CHAQUETA CUELLO MAO T4 GL SUP.     </t>
        </is>
      </c>
      <c r="H1633" t="inlineStr">
        <is>
          <t xml:space="preserve">UNIDAD              </t>
        </is>
      </c>
      <c r="I1633" t="n">
        <v>69</v>
      </c>
      <c r="J1633" t="n">
        <v>330</v>
      </c>
      <c r="K1633" t="n">
        <v>0</v>
      </c>
      <c r="L1633" t="n">
        <v>0</v>
      </c>
      <c r="M1633" t="n">
        <v>0</v>
      </c>
      <c r="N1633" t="n">
        <v>0</v>
      </c>
      <c r="O1633" t="n">
        <v>399</v>
      </c>
      <c r="P1633" s="96">
        <f>_xlfn.XLOOKUP(Tabla5[[#This Row],[EAN CORREGIDO]],'Tabla Articulos'!B:B,'Tabla Articulos'!D:D)</f>
        <v/>
      </c>
      <c r="Q1633" s="96">
        <f>_xlfn.XLOOKUP(S1633,'Tabla Articulos'!B:B,'Tabla Articulos'!E:E)</f>
        <v/>
      </c>
      <c r="R1633" s="96">
        <f>O1633*Q1633</f>
        <v/>
      </c>
      <c r="S1633" s="97">
        <f>TRIM(E1633)</f>
        <v/>
      </c>
    </row>
    <row r="1634" hidden="1">
      <c r="A1634" s="22" t="n">
        <v>6</v>
      </c>
      <c r="B1634" t="inlineStr">
        <is>
          <t xml:space="preserve">CDM03 - MORENO 3              </t>
        </is>
      </c>
      <c r="C1634" t="inlineStr">
        <is>
          <t xml:space="preserve">GRUPO L.                      </t>
        </is>
      </c>
      <c r="D1634" s="11" t="n"/>
      <c r="E1634" t="inlineStr">
        <is>
          <t xml:space="preserve">UNIF000122          </t>
        </is>
      </c>
      <c r="F1634" t="n">
        <v>9003222</v>
      </c>
      <c r="G1634" t="inlineStr">
        <is>
          <t xml:space="preserve">PANTALON NAUTICO BLANCO 4          </t>
        </is>
      </c>
      <c r="H1634" t="inlineStr">
        <is>
          <t xml:space="preserve">UNIDAD              </t>
        </is>
      </c>
      <c r="I1634" t="n">
        <v>0</v>
      </c>
      <c r="J1634" t="n">
        <v>710</v>
      </c>
      <c r="K1634" t="n">
        <v>0</v>
      </c>
      <c r="L1634" t="n">
        <v>0</v>
      </c>
      <c r="M1634" t="n">
        <v>0</v>
      </c>
      <c r="N1634" t="n">
        <v>0</v>
      </c>
      <c r="O1634" t="n">
        <v>710</v>
      </c>
      <c r="P1634" s="96">
        <f>_xlfn.XLOOKUP(Tabla5[[#This Row],[EAN CORREGIDO]],'Tabla Articulos'!B:B,'Tabla Articulos'!D:D)</f>
        <v/>
      </c>
      <c r="Q1634" s="96">
        <f>_xlfn.XLOOKUP(S1634,'Tabla Articulos'!B:B,'Tabla Articulos'!E:E)</f>
        <v/>
      </c>
      <c r="R1634" s="96">
        <f>O1634*Q1634</f>
        <v/>
      </c>
      <c r="S1634" s="97">
        <f>TRIM(E1634)</f>
        <v/>
      </c>
    </row>
    <row r="1635" hidden="1">
      <c r="A1635" s="22" t="n">
        <v>1</v>
      </c>
      <c r="B1635" t="inlineStr">
        <is>
          <t xml:space="preserve">CD MORENO                     </t>
        </is>
      </c>
      <c r="C1635" t="inlineStr">
        <is>
          <t xml:space="preserve">GRUPO L.                      </t>
        </is>
      </c>
      <c r="D1635" t="inlineStr">
        <is>
          <t>AZUCAR S/TACC</t>
        </is>
      </c>
      <c r="E1635" t="inlineStr">
        <is>
          <t xml:space="preserve">7798174970016       </t>
        </is>
      </c>
      <c r="F1635" s="11" t="n">
        <v>4020574</v>
      </c>
      <c r="G1635" t="inlineStr">
        <is>
          <t xml:space="preserve">AZUCAR S/TACC X1KG AZUCEL          </t>
        </is>
      </c>
      <c r="H1635" t="inlineStr">
        <is>
          <t xml:space="preserve">UNIDAD              </t>
        </is>
      </c>
      <c r="I1635" t="n">
        <v>9296</v>
      </c>
      <c r="J1635" t="n">
        <v>0</v>
      </c>
      <c r="K1635" t="n">
        <v>0</v>
      </c>
      <c r="L1635" t="n">
        <v>865</v>
      </c>
      <c r="M1635" t="n">
        <v>865</v>
      </c>
      <c r="N1635" t="n">
        <v>0</v>
      </c>
      <c r="O1635" t="n">
        <v>7566</v>
      </c>
      <c r="P1635" s="96">
        <f>_xlfn.XLOOKUP(Tabla5[[#This Row],[EAN CORREGIDO]],'Tabla Articulos'!B:B,'Tabla Articulos'!D:D)</f>
        <v/>
      </c>
      <c r="Q1635" s="96">
        <f>_xlfn.XLOOKUP(S1635,'Tabla Articulos'!B:B,'Tabla Articulos'!E:E)</f>
        <v/>
      </c>
      <c r="R1635" s="96">
        <f>O1635*Q1635</f>
        <v/>
      </c>
      <c r="S1635" s="97">
        <f>TRIM(E1635)</f>
        <v/>
      </c>
    </row>
    <row r="1636" hidden="1">
      <c r="A1636" s="22" t="n">
        <v>5</v>
      </c>
      <c r="B1636" t="inlineStr">
        <is>
          <t xml:space="preserve">CDM02 - MORENO 2              </t>
        </is>
      </c>
      <c r="C1636" t="inlineStr">
        <is>
          <t xml:space="preserve">GRUPO L.                      </t>
        </is>
      </c>
      <c r="D1636" t="inlineStr">
        <is>
          <t>AZUCAR S/TACC</t>
        </is>
      </c>
      <c r="E1636" t="inlineStr">
        <is>
          <t xml:space="preserve">7798174970016       </t>
        </is>
      </c>
      <c r="F1636" s="11" t="n">
        <v>4020574</v>
      </c>
      <c r="G1636" t="inlineStr">
        <is>
          <t xml:space="preserve">AZUCAR S/TACC X1KG AZUCEL          </t>
        </is>
      </c>
      <c r="H1636" t="inlineStr">
        <is>
          <t xml:space="preserve">UNIDAD              </t>
        </is>
      </c>
      <c r="I1636" t="n">
        <v>892</v>
      </c>
      <c r="J1636" t="n">
        <v>0</v>
      </c>
      <c r="K1636" t="n">
        <v>0</v>
      </c>
      <c r="L1636" t="n">
        <v>44</v>
      </c>
      <c r="M1636" t="n">
        <v>44</v>
      </c>
      <c r="N1636" t="n">
        <v>0</v>
      </c>
      <c r="O1636" t="n">
        <v>804</v>
      </c>
      <c r="P1636" s="96">
        <f>_xlfn.XLOOKUP(Tabla5[[#This Row],[EAN CORREGIDO]],'Tabla Articulos'!B:B,'Tabla Articulos'!D:D)</f>
        <v/>
      </c>
      <c r="Q1636" s="96">
        <f>_xlfn.XLOOKUP(S1636,'Tabla Articulos'!B:B,'Tabla Articulos'!E:E)</f>
        <v/>
      </c>
      <c r="R1636" s="96">
        <f>O1636*Q1636</f>
        <v/>
      </c>
      <c r="S1636" s="97">
        <f>TRIM(E1636)</f>
        <v/>
      </c>
    </row>
    <row r="1637" hidden="1">
      <c r="A1637" s="22" t="n">
        <v>6</v>
      </c>
      <c r="B1637" t="inlineStr">
        <is>
          <t xml:space="preserve">CDM03 - MORENO 3              </t>
        </is>
      </c>
      <c r="C1637" t="inlineStr">
        <is>
          <t xml:space="preserve">GRUPO L.                      </t>
        </is>
      </c>
      <c r="D1637" t="inlineStr">
        <is>
          <t>BOLSA RESIDUOS CRISTAL</t>
        </is>
      </c>
      <c r="E1637" t="inlineStr">
        <is>
          <t xml:space="preserve">BUSAT001050         </t>
        </is>
      </c>
      <c r="F1637" s="11" t="n">
        <v>2016540</v>
      </c>
      <c r="G1637" t="inlineStr">
        <is>
          <t>BOLSA CONSORCIO CRISTAL 80 X 1.10 X</t>
        </is>
      </c>
      <c r="H1637" t="inlineStr">
        <is>
          <t xml:space="preserve">UNIDAD              </t>
        </is>
      </c>
      <c r="I1637" t="n">
        <v>270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270</v>
      </c>
      <c r="P1637" s="96">
        <f>_xlfn.XLOOKUP(Tabla5[[#This Row],[EAN CORREGIDO]],'Tabla Articulos'!B:B,'Tabla Articulos'!D:D)</f>
        <v/>
      </c>
      <c r="Q1637" s="96">
        <f>_xlfn.XLOOKUP(S1637,'Tabla Articulos'!B:B,'Tabla Articulos'!E:E)</f>
        <v/>
      </c>
      <c r="R1637" s="96">
        <f>O1637*Q1637</f>
        <v/>
      </c>
      <c r="S1637" s="97">
        <f>TRIM(E1637)</f>
        <v/>
      </c>
    </row>
    <row r="1638" hidden="1">
      <c r="A1638" s="22" t="n">
        <v>6</v>
      </c>
      <c r="B1638" t="inlineStr">
        <is>
          <t xml:space="preserve">CDM03 - MORENO 3              </t>
        </is>
      </c>
      <c r="C1638" t="inlineStr">
        <is>
          <t xml:space="preserve">GRUPO L.                      </t>
        </is>
      </c>
      <c r="D1638" s="11" t="inlineStr">
        <is>
          <t>BOLSAS RESIDUO 120 MICRO ROJAS</t>
        </is>
      </c>
      <c r="E1638" t="inlineStr">
        <is>
          <t xml:space="preserve">7790321000038       </t>
        </is>
      </c>
      <c r="F1638" s="11" t="n">
        <v>2006862</v>
      </c>
      <c r="G1638" t="inlineStr">
        <is>
          <t xml:space="preserve">BOLSA RESID 60X90X50 ROJA 120MIC   </t>
        </is>
      </c>
      <c r="H1638" t="inlineStr">
        <is>
          <t xml:space="preserve">UNIDAD              </t>
        </is>
      </c>
      <c r="I1638" t="n">
        <v>53213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53213</v>
      </c>
      <c r="P1638" s="96">
        <f>_xlfn.XLOOKUP(Tabla5[[#This Row],[EAN CORREGIDO]],'Tabla Articulos'!B:B,'Tabla Articulos'!D:D)</f>
        <v/>
      </c>
      <c r="Q1638" s="96">
        <f>_xlfn.XLOOKUP(S1638,'Tabla Articulos'!B:B,'Tabla Articulos'!E:E)</f>
        <v/>
      </c>
      <c r="R1638" s="96">
        <f>O1638*Q1638</f>
        <v/>
      </c>
      <c r="S1638" s="97">
        <f>TRIM(E1638)</f>
        <v/>
      </c>
    </row>
    <row r="1639" hidden="1">
      <c r="A1639" s="22" t="n">
        <v>6</v>
      </c>
      <c r="B1639" t="inlineStr">
        <is>
          <t xml:space="preserve">CDM03 - MORENO 3              </t>
        </is>
      </c>
      <c r="C1639" t="inlineStr">
        <is>
          <t xml:space="preserve">GRUPO L.                      </t>
        </is>
      </c>
      <c r="D1639" s="11" t="n"/>
      <c r="E1639" t="inlineStr">
        <is>
          <t xml:space="preserve">UNIF000408          </t>
        </is>
      </c>
      <c r="F1639" s="11" t="n">
        <v>9003469</v>
      </c>
      <c r="G1639" t="inlineStr">
        <is>
          <t xml:space="preserve">PANTAL NEG GU/MOZO/CAJERO/ADM 6    </t>
        </is>
      </c>
      <c r="H1639" t="inlineStr">
        <is>
          <t xml:space="preserve">UNIDAD              </t>
        </is>
      </c>
      <c r="I1639" t="n">
        <v>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5</v>
      </c>
      <c r="P1639" s="96">
        <f>_xlfn.XLOOKUP(Tabla5[[#This Row],[EAN CORREGIDO]],'Tabla Articulos'!B:B,'Tabla Articulos'!D:D)</f>
        <v/>
      </c>
      <c r="Q1639" s="96">
        <f>_xlfn.XLOOKUP(S1639,'Tabla Articulos'!B:B,'Tabla Articulos'!E:E)</f>
        <v/>
      </c>
      <c r="R1639" s="96">
        <f>O1639*Q1639</f>
        <v/>
      </c>
      <c r="S1639" s="97">
        <f>TRIM(E1639)</f>
        <v/>
      </c>
    </row>
    <row r="1640" hidden="1">
      <c r="A1640" s="22" t="n">
        <v>6</v>
      </c>
      <c r="B1640" t="inlineStr">
        <is>
          <t xml:space="preserve">CDM03 - MORENO 3              </t>
        </is>
      </c>
      <c r="C1640" t="inlineStr">
        <is>
          <t xml:space="preserve">GRUPO L.                      </t>
        </is>
      </c>
      <c r="D1640" s="11" t="n"/>
      <c r="E1640" t="inlineStr">
        <is>
          <t xml:space="preserve">UNIF000135          </t>
        </is>
      </c>
      <c r="F1640" s="11" t="n">
        <v>9003327</v>
      </c>
      <c r="G1640" t="inlineStr">
        <is>
          <t xml:space="preserve">BUZO GRIS FRISA GL SUPPORT XL      </t>
        </is>
      </c>
      <c r="H1640" t="inlineStr">
        <is>
          <t xml:space="preserve">UNIDAD              </t>
        </is>
      </c>
      <c r="I1640" t="n">
        <v>198</v>
      </c>
      <c r="J1640" t="n">
        <v>30</v>
      </c>
      <c r="K1640" t="n">
        <v>0</v>
      </c>
      <c r="L1640" t="n">
        <v>0</v>
      </c>
      <c r="M1640" t="n">
        <v>0</v>
      </c>
      <c r="N1640" t="n">
        <v>0</v>
      </c>
      <c r="O1640" t="n">
        <v>228</v>
      </c>
      <c r="P1640" s="96">
        <f>_xlfn.XLOOKUP(Tabla5[[#This Row],[EAN CORREGIDO]],'Tabla Articulos'!B:B,'Tabla Articulos'!D:D)</f>
        <v/>
      </c>
      <c r="Q1640" s="96">
        <f>_xlfn.XLOOKUP(S1640,'Tabla Articulos'!B:B,'Tabla Articulos'!E:E)</f>
        <v/>
      </c>
      <c r="R1640" s="96">
        <f>O1640*Q1640</f>
        <v/>
      </c>
      <c r="S1640" s="97">
        <f>TRIM(E1640)</f>
        <v/>
      </c>
    </row>
    <row r="1641" hidden="1">
      <c r="A1641" s="22" t="n">
        <v>6</v>
      </c>
      <c r="B1641" t="inlineStr">
        <is>
          <t xml:space="preserve">CDM03 - MORENO 3              </t>
        </is>
      </c>
      <c r="C1641" t="inlineStr">
        <is>
          <t xml:space="preserve">GRUPO L.                      </t>
        </is>
      </c>
      <c r="E1641" t="inlineStr">
        <is>
          <t xml:space="preserve">UNIF000008          </t>
        </is>
      </c>
      <c r="F1641" s="11" t="n">
        <v>9003039</v>
      </c>
      <c r="G1641" t="inlineStr">
        <is>
          <t xml:space="preserve">AMBO A. MAR. GL SUP ESC V S        </t>
        </is>
      </c>
      <c r="H1641" t="inlineStr">
        <is>
          <t xml:space="preserve">UNIDAD              </t>
        </is>
      </c>
      <c r="I1641" t="n">
        <v>3</v>
      </c>
      <c r="J1641" t="n">
        <v>80</v>
      </c>
      <c r="K1641" t="n">
        <v>0</v>
      </c>
      <c r="L1641" t="n">
        <v>0</v>
      </c>
      <c r="M1641" t="n">
        <v>0</v>
      </c>
      <c r="N1641" t="n">
        <v>0</v>
      </c>
      <c r="O1641" t="n">
        <v>83</v>
      </c>
      <c r="P1641" s="96">
        <f>_xlfn.XLOOKUP(Tabla5[[#This Row],[EAN CORREGIDO]],'Tabla Articulos'!B:B,'Tabla Articulos'!D:D)</f>
        <v/>
      </c>
      <c r="Q1641" s="96">
        <f>_xlfn.XLOOKUP(S1641,'Tabla Articulos'!B:B,'Tabla Articulos'!E:E)</f>
        <v/>
      </c>
      <c r="R1641" s="96">
        <f>O1641*Q1641</f>
        <v/>
      </c>
      <c r="S1641" s="97">
        <f>TRIM(E1641)</f>
        <v/>
      </c>
    </row>
    <row r="1642" hidden="1">
      <c r="A1642" s="22" t="n">
        <v>6</v>
      </c>
      <c r="B1642" t="inlineStr">
        <is>
          <t xml:space="preserve">CDM03 - MORENO 3              </t>
        </is>
      </c>
      <c r="C1642" t="inlineStr">
        <is>
          <t xml:space="preserve">GRUPO L.                      </t>
        </is>
      </c>
      <c r="D1642" s="11" t="inlineStr">
        <is>
          <t>MOPA</t>
        </is>
      </c>
      <c r="E1642" t="inlineStr">
        <is>
          <t xml:space="preserve">7798349550128       </t>
        </is>
      </c>
      <c r="F1642" s="11" t="n">
        <v>2016614</v>
      </c>
      <c r="G1642" t="inlineStr">
        <is>
          <t xml:space="preserve">MOPIN X U                          </t>
        </is>
      </c>
      <c r="H1642" t="inlineStr">
        <is>
          <t xml:space="preserve">UNIDAD              </t>
        </is>
      </c>
      <c r="I1642" t="n">
        <v>3690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3690</v>
      </c>
      <c r="P1642" s="96">
        <f>_xlfn.XLOOKUP(Tabla5[[#This Row],[EAN CORREGIDO]],'Tabla Articulos'!B:B,'Tabla Articulos'!D:D)</f>
        <v/>
      </c>
      <c r="Q1642" s="96">
        <f>_xlfn.XLOOKUP(S1642,'Tabla Articulos'!B:B,'Tabla Articulos'!E:E)</f>
        <v/>
      </c>
      <c r="R1642" s="96">
        <f>O1642*Q1642</f>
        <v/>
      </c>
      <c r="S1642" s="97">
        <f>TRIM(E1642)</f>
        <v/>
      </c>
    </row>
    <row r="1643" hidden="1">
      <c r="A1643" s="22" t="n">
        <v>1</v>
      </c>
      <c r="B1643" t="inlineStr">
        <is>
          <t xml:space="preserve">CD MORENO                     </t>
        </is>
      </c>
      <c r="C1643" t="inlineStr">
        <is>
          <t xml:space="preserve">GRUPO L.                      </t>
        </is>
      </c>
      <c r="D1643" s="11" t="inlineStr">
        <is>
          <t>LECHE POLVO ENTERA</t>
        </is>
      </c>
      <c r="E1643" t="inlineStr">
        <is>
          <t xml:space="preserve">7798001562292       </t>
        </is>
      </c>
      <c r="F1643" s="11" t="n">
        <v>4018267</v>
      </c>
      <c r="G1643" t="inlineStr">
        <is>
          <t xml:space="preserve">LECHE POLVO ENT X800G CREMIGAL     </t>
        </is>
      </c>
      <c r="H1643" t="inlineStr">
        <is>
          <t xml:space="preserve">UNIDAD              </t>
        </is>
      </c>
      <c r="I1643" t="n">
        <v>14283</v>
      </c>
      <c r="J1643" t="n">
        <v>0</v>
      </c>
      <c r="K1643" t="n">
        <v>0</v>
      </c>
      <c r="L1643" t="n">
        <v>80</v>
      </c>
      <c r="M1643" t="n">
        <v>80</v>
      </c>
      <c r="N1643" t="n">
        <v>0</v>
      </c>
      <c r="O1643" t="n">
        <v>14123</v>
      </c>
      <c r="P1643" s="96">
        <f>_xlfn.XLOOKUP(Tabla5[[#This Row],[EAN CORREGIDO]],'Tabla Articulos'!B:B,'Tabla Articulos'!D:D)</f>
        <v/>
      </c>
      <c r="Q1643" s="96">
        <f>_xlfn.XLOOKUP(S1643,'Tabla Articulos'!B:B,'Tabla Articulos'!E:E)</f>
        <v/>
      </c>
      <c r="R1643" s="96">
        <f>O1643*Q1643</f>
        <v/>
      </c>
      <c r="S1643" s="97">
        <f>TRIM(E1643)</f>
        <v/>
      </c>
    </row>
    <row r="1644" hidden="1">
      <c r="A1644" s="22" t="n">
        <v>5</v>
      </c>
      <c r="B1644" t="inlineStr">
        <is>
          <t xml:space="preserve">CDM02 - MORENO 2              </t>
        </is>
      </c>
      <c r="C1644" t="inlineStr">
        <is>
          <t xml:space="preserve">GRUPO L.                      </t>
        </is>
      </c>
      <c r="D1644" s="11" t="inlineStr">
        <is>
          <t>LECHE POLVO ENTERA</t>
        </is>
      </c>
      <c r="E1644" t="inlineStr">
        <is>
          <t xml:space="preserve">7798001562292       </t>
        </is>
      </c>
      <c r="F1644" s="11" t="n">
        <v>4018267</v>
      </c>
      <c r="G1644" t="inlineStr">
        <is>
          <t xml:space="preserve">LECHE POLVO ENT X800G CREMIGAL     </t>
        </is>
      </c>
      <c r="H1644" t="inlineStr">
        <is>
          <t xml:space="preserve">UNIDAD              </t>
        </is>
      </c>
      <c r="I1644" t="n">
        <v>410</v>
      </c>
      <c r="J1644" t="n">
        <v>0</v>
      </c>
      <c r="K1644" t="n">
        <v>0</v>
      </c>
      <c r="L1644" t="n">
        <v>20</v>
      </c>
      <c r="M1644" t="n">
        <v>20</v>
      </c>
      <c r="N1644" t="n">
        <v>0</v>
      </c>
      <c r="O1644" t="n">
        <v>370</v>
      </c>
      <c r="P1644" s="96">
        <f>_xlfn.XLOOKUP(Tabla5[[#This Row],[EAN CORREGIDO]],'Tabla Articulos'!B:B,'Tabla Articulos'!D:D)</f>
        <v/>
      </c>
      <c r="Q1644" s="96">
        <f>_xlfn.XLOOKUP(S1644,'Tabla Articulos'!B:B,'Tabla Articulos'!E:E)</f>
        <v/>
      </c>
      <c r="R1644" s="96">
        <f>O1644*Q1644</f>
        <v/>
      </c>
      <c r="S1644" s="97">
        <f>TRIM(E1644)</f>
        <v/>
      </c>
    </row>
    <row r="1645" hidden="1">
      <c r="A1645" s="22" t="n">
        <v>5</v>
      </c>
      <c r="B1645" t="inlineStr">
        <is>
          <t xml:space="preserve">CDM02 - MORENO 2              </t>
        </is>
      </c>
      <c r="C1645" t="inlineStr">
        <is>
          <t xml:space="preserve">GRUPO L.                      </t>
        </is>
      </c>
      <c r="D1645" t="inlineStr">
        <is>
          <t>EDULCORANTE LIQUIDO</t>
        </is>
      </c>
      <c r="E1645" t="inlineStr">
        <is>
          <t xml:space="preserve">7790490998231       </t>
        </is>
      </c>
      <c r="F1645" s="11" t="n">
        <v>4019639</v>
      </c>
      <c r="G1645" t="inlineStr">
        <is>
          <t xml:space="preserve">EDULCORANTE LIQ X250ML HILERET     </t>
        </is>
      </c>
      <c r="H1645" t="inlineStr">
        <is>
          <t xml:space="preserve">UNIDAD              </t>
        </is>
      </c>
      <c r="I1645" t="n">
        <v>39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39</v>
      </c>
      <c r="P1645" s="96">
        <f>_xlfn.XLOOKUP(Tabla5[[#This Row],[EAN CORREGIDO]],'Tabla Articulos'!B:B,'Tabla Articulos'!D:D)</f>
        <v/>
      </c>
      <c r="Q1645" s="96">
        <f>_xlfn.XLOOKUP(S1645,'Tabla Articulos'!B:B,'Tabla Articulos'!E:E)</f>
        <v/>
      </c>
      <c r="R1645" s="96">
        <f>O1645*Q1645</f>
        <v/>
      </c>
      <c r="S1645" s="97">
        <f>TRIM(E1645)</f>
        <v/>
      </c>
    </row>
    <row r="1646" hidden="1">
      <c r="A1646" s="22" t="n">
        <v>6</v>
      </c>
      <c r="B1646" t="inlineStr">
        <is>
          <t xml:space="preserve">CDM03 - MORENO 3              </t>
        </is>
      </c>
      <c r="C1646" t="inlineStr">
        <is>
          <t xml:space="preserve">GRUPO L.                      </t>
        </is>
      </c>
      <c r="E1646" t="inlineStr">
        <is>
          <t xml:space="preserve">UNIF000427          </t>
        </is>
      </c>
      <c r="F1646" s="11" t="n">
        <v>9003270</v>
      </c>
      <c r="G1646" t="inlineStr">
        <is>
          <t xml:space="preserve">CAMISA GRAFA-AZUL MARINO 60 ELEV   </t>
        </is>
      </c>
      <c r="H1646" t="inlineStr">
        <is>
          <t xml:space="preserve">UNIDAD              </t>
        </is>
      </c>
      <c r="I1646" t="n">
        <v>60</v>
      </c>
      <c r="J1646" t="n">
        <v>0</v>
      </c>
      <c r="K1646" t="n">
        <v>0</v>
      </c>
      <c r="L1646" t="n">
        <v>1</v>
      </c>
      <c r="M1646" t="n">
        <v>1</v>
      </c>
      <c r="N1646" t="n">
        <v>0</v>
      </c>
      <c r="O1646" t="n">
        <v>58</v>
      </c>
      <c r="P1646" s="96">
        <f>_xlfn.XLOOKUP(Tabla5[[#This Row],[EAN CORREGIDO]],'Tabla Articulos'!B:B,'Tabla Articulos'!D:D)</f>
        <v/>
      </c>
      <c r="Q1646" s="96">
        <f>_xlfn.XLOOKUP(S1646,'Tabla Articulos'!B:B,'Tabla Articulos'!E:E)</f>
        <v/>
      </c>
      <c r="R1646" s="96">
        <f>O1646*Q1646</f>
        <v/>
      </c>
      <c r="S1646" s="97">
        <f>TRIM(E1646)</f>
        <v/>
      </c>
    </row>
    <row r="1647" hidden="1">
      <c r="A1647" s="22" t="n">
        <v>6</v>
      </c>
      <c r="B1647" t="inlineStr">
        <is>
          <t xml:space="preserve">CDM03 - MORENO 3              </t>
        </is>
      </c>
      <c r="C1647" t="inlineStr">
        <is>
          <t xml:space="preserve">GRUPO L.                      </t>
        </is>
      </c>
      <c r="D1647" s="11" t="n"/>
      <c r="E1647" t="inlineStr">
        <is>
          <t xml:space="preserve">BUSAT000939         </t>
        </is>
      </c>
      <c r="F1647" s="11" t="n"/>
      <c r="G1647" t="inlineStr">
        <is>
          <t xml:space="preserve">CILINDRO PLAS BLANCO CHICO S/AS    </t>
        </is>
      </c>
      <c r="H1647" t="inlineStr">
        <is>
          <t xml:space="preserve">UNIDAD              </t>
        </is>
      </c>
      <c r="I1647" t="n">
        <v>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1</v>
      </c>
      <c r="P1647" s="96">
        <f>_xlfn.XLOOKUP(Tabla5[[#This Row],[EAN CORREGIDO]],'Tabla Articulos'!B:B,'Tabla Articulos'!D:D)</f>
        <v/>
      </c>
      <c r="Q1647" s="96">
        <f>_xlfn.XLOOKUP(S1647,'Tabla Articulos'!B:B,'Tabla Articulos'!E:E)</f>
        <v/>
      </c>
      <c r="R1647" s="96">
        <f>O1647*Q1647</f>
        <v/>
      </c>
      <c r="S1647" s="97">
        <f>TRIM(E1647)</f>
        <v/>
      </c>
    </row>
    <row r="1648" hidden="1">
      <c r="A1648" s="22" t="n">
        <v>6</v>
      </c>
      <c r="B1648" t="inlineStr">
        <is>
          <t xml:space="preserve">CDM03 - MORENO 3              </t>
        </is>
      </c>
      <c r="C1648" t="inlineStr">
        <is>
          <t xml:space="preserve">GRUPO L.                      </t>
        </is>
      </c>
      <c r="D1648" s="11" t="n"/>
      <c r="E1648" t="inlineStr">
        <is>
          <t xml:space="preserve">BUSAT001111         </t>
        </is>
      </c>
      <c r="F1648" s="11" t="n"/>
      <c r="G1648" t="inlineStr">
        <is>
          <t xml:space="preserve">TV SAMSUNG                         </t>
        </is>
      </c>
      <c r="H1648" t="inlineStr">
        <is>
          <t xml:space="preserve">UNIDAD              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1</v>
      </c>
      <c r="P1648" s="96">
        <f>_xlfn.XLOOKUP(Tabla5[[#This Row],[EAN CORREGIDO]],'Tabla Articulos'!B:B,'Tabla Articulos'!D:D)</f>
        <v/>
      </c>
      <c r="Q1648" s="96">
        <f>_xlfn.XLOOKUP(S1648,'Tabla Articulos'!B:B,'Tabla Articulos'!E:E)</f>
        <v/>
      </c>
      <c r="R1648" s="96">
        <f>O1648*Q1648</f>
        <v/>
      </c>
      <c r="S1648" s="97">
        <f>TRIM(E1648)</f>
        <v/>
      </c>
    </row>
    <row r="1649" hidden="1">
      <c r="A1649" s="22" t="n">
        <v>6</v>
      </c>
      <c r="B1649" t="inlineStr">
        <is>
          <t xml:space="preserve">CDM03 - MORENO 3              </t>
        </is>
      </c>
      <c r="C1649" t="inlineStr">
        <is>
          <t xml:space="preserve">GRUPO L.                      </t>
        </is>
      </c>
      <c r="D1649" s="11" t="n"/>
      <c r="E1649" t="inlineStr">
        <is>
          <t xml:space="preserve">BUSAT000872         </t>
        </is>
      </c>
      <c r="F1649" s="11" t="n"/>
      <c r="G1649" t="inlineStr">
        <is>
          <t xml:space="preserve">TACHOS BLANCOS C/ASA GRANDE        </t>
        </is>
      </c>
      <c r="H1649" t="inlineStr">
        <is>
          <t xml:space="preserve">UNIDAD              </t>
        </is>
      </c>
      <c r="I1649" t="n">
        <v>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5</v>
      </c>
      <c r="P1649" s="96">
        <f>_xlfn.XLOOKUP(Tabla5[[#This Row],[EAN CORREGIDO]],'Tabla Articulos'!B:B,'Tabla Articulos'!D:D)</f>
        <v/>
      </c>
      <c r="Q1649" s="96">
        <f>_xlfn.XLOOKUP(S1649,'Tabla Articulos'!B:B,'Tabla Articulos'!E:E)</f>
        <v/>
      </c>
      <c r="R1649" s="96">
        <f>O1649*Q1649</f>
        <v/>
      </c>
      <c r="S1649" s="97">
        <f>TRIM(E1649)</f>
        <v/>
      </c>
    </row>
    <row r="1650" hidden="1">
      <c r="A1650" s="22" t="n">
        <v>6</v>
      </c>
      <c r="B1650" t="inlineStr">
        <is>
          <t xml:space="preserve">CDM03 - MORENO 3              </t>
        </is>
      </c>
      <c r="C1650" t="inlineStr">
        <is>
          <t xml:space="preserve">GRUPO L.                      </t>
        </is>
      </c>
      <c r="D1650" s="11" t="n"/>
      <c r="E1650" t="inlineStr">
        <is>
          <t xml:space="preserve">BUSAT000101         </t>
        </is>
      </c>
      <c r="F1650" s="11" t="n"/>
      <c r="G1650" t="inlineStr">
        <is>
          <t xml:space="preserve">TETERA GRANDE LOZA                 </t>
        </is>
      </c>
      <c r="H1650" t="inlineStr">
        <is>
          <t xml:space="preserve">UNIDAD              </t>
        </is>
      </c>
      <c r="I1650" t="n">
        <v>157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157</v>
      </c>
      <c r="P1650" s="96">
        <f>_xlfn.XLOOKUP(Tabla5[[#This Row],[EAN CORREGIDO]],'Tabla Articulos'!B:B,'Tabla Articulos'!D:D)</f>
        <v/>
      </c>
      <c r="Q1650" s="96">
        <f>_xlfn.XLOOKUP(S1650,'Tabla Articulos'!B:B,'Tabla Articulos'!E:E)</f>
        <v/>
      </c>
      <c r="R1650" s="96">
        <f>O1650*Q1650</f>
        <v/>
      </c>
      <c r="S1650" s="97">
        <f>TRIM(E1650)</f>
        <v/>
      </c>
    </row>
    <row r="1651" hidden="1">
      <c r="A1651" s="22" t="n">
        <v>6</v>
      </c>
      <c r="B1651" t="inlineStr">
        <is>
          <t xml:space="preserve">CDM03 - MORENO 3              </t>
        </is>
      </c>
      <c r="C1651" t="inlineStr">
        <is>
          <t xml:space="preserve">GRUPO L.                      </t>
        </is>
      </c>
      <c r="D1651" s="11" t="n"/>
      <c r="E1651" t="inlineStr">
        <is>
          <t xml:space="preserve">BUSAT0011003        </t>
        </is>
      </c>
      <c r="F1651" s="11" t="n"/>
      <c r="G1651" t="inlineStr">
        <is>
          <t xml:space="preserve">BOWL MEDIANO METAL                 </t>
        </is>
      </c>
      <c r="H1651" t="inlineStr">
        <is>
          <t xml:space="preserve">UNIDAD              </t>
        </is>
      </c>
      <c r="I1651" t="n">
        <v>17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17</v>
      </c>
      <c r="P1651" s="96">
        <f>_xlfn.XLOOKUP(Tabla5[[#This Row],[EAN CORREGIDO]],'Tabla Articulos'!B:B,'Tabla Articulos'!D:D)</f>
        <v/>
      </c>
      <c r="Q1651" s="96">
        <f>_xlfn.XLOOKUP(S1651,'Tabla Articulos'!B:B,'Tabla Articulos'!E:E)</f>
        <v/>
      </c>
      <c r="R1651" s="96">
        <f>O1651*Q1651</f>
        <v/>
      </c>
      <c r="S1651" s="97">
        <f>TRIM(E1651)</f>
        <v/>
      </c>
    </row>
    <row r="1652" hidden="1">
      <c r="A1652" s="22" t="n">
        <v>1</v>
      </c>
      <c r="B1652" t="inlineStr">
        <is>
          <t xml:space="preserve">CD MORENO                     </t>
        </is>
      </c>
      <c r="C1652" t="inlineStr">
        <is>
          <t xml:space="preserve">GRUPO L.                      </t>
        </is>
      </c>
      <c r="D1652" t="inlineStr">
        <is>
          <t>BASE DE TOMATE</t>
        </is>
      </c>
      <c r="E1652" t="inlineStr">
        <is>
          <t xml:space="preserve">7891150049574       </t>
        </is>
      </c>
      <c r="F1652" s="11" t="n">
        <v>4020580</v>
      </c>
      <c r="G1652" t="inlineStr">
        <is>
          <t xml:space="preserve">BASE TOM DESHID X750G KNORR        </t>
        </is>
      </c>
      <c r="H1652" t="inlineStr">
        <is>
          <t xml:space="preserve">UNIDAD              </t>
        </is>
      </c>
      <c r="I1652" t="n">
        <v>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9</v>
      </c>
      <c r="P1652" s="96">
        <f>_xlfn.XLOOKUP(Tabla5[[#This Row],[EAN CORREGIDO]],'Tabla Articulos'!B:B,'Tabla Articulos'!D:D)</f>
        <v/>
      </c>
      <c r="Q1652" s="96">
        <f>_xlfn.XLOOKUP(S1652,'Tabla Articulos'!B:B,'Tabla Articulos'!E:E)</f>
        <v/>
      </c>
      <c r="R1652" s="96">
        <f>O1652*Q1652</f>
        <v/>
      </c>
      <c r="S1652" s="97">
        <f>TRIM(E1652)</f>
        <v/>
      </c>
    </row>
    <row r="1653" hidden="1">
      <c r="A1653" s="22" t="n">
        <v>1</v>
      </c>
      <c r="B1653" t="inlineStr">
        <is>
          <t xml:space="preserve">CD MORENO                     </t>
        </is>
      </c>
      <c r="C1653" t="inlineStr">
        <is>
          <t xml:space="preserve">GRUPO L.                      </t>
        </is>
      </c>
      <c r="D1653" s="11" t="inlineStr">
        <is>
          <t>TOSTADA ARROZ IND C/S</t>
        </is>
      </c>
      <c r="E1653" t="inlineStr">
        <is>
          <t xml:space="preserve">7790412000400       </t>
        </is>
      </c>
      <c r="F1653" s="11" t="n">
        <v>4018830</v>
      </c>
      <c r="G1653" t="inlineStr">
        <is>
          <t xml:space="preserve">TOSTADA ARROZ S/TACC X17G LEIVA    </t>
        </is>
      </c>
      <c r="H1653" t="inlineStr">
        <is>
          <t xml:space="preserve">UNIDAD              </t>
        </is>
      </c>
      <c r="I1653" t="n">
        <v>180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180</v>
      </c>
      <c r="P1653" s="96">
        <f>_xlfn.XLOOKUP(Tabla5[[#This Row],[EAN CORREGIDO]],'Tabla Articulos'!B:B,'Tabla Articulos'!D:D)</f>
        <v/>
      </c>
      <c r="Q1653" s="96">
        <f>_xlfn.XLOOKUP(S1653,'Tabla Articulos'!B:B,'Tabla Articulos'!E:E)</f>
        <v/>
      </c>
      <c r="R1653" s="96">
        <f>O1653*Q1653</f>
        <v/>
      </c>
      <c r="S1653" s="97">
        <f>TRIM(E1653)</f>
        <v/>
      </c>
    </row>
    <row r="1654" hidden="1">
      <c r="A1654" s="22" t="n">
        <v>5</v>
      </c>
      <c r="B1654" t="inlineStr">
        <is>
          <t xml:space="preserve">CDM02 - MORENO 2              </t>
        </is>
      </c>
      <c r="C1654" t="inlineStr">
        <is>
          <t xml:space="preserve">GRUPO L.                      </t>
        </is>
      </c>
      <c r="D1654" s="11" t="inlineStr">
        <is>
          <t>TOSTADA ARROZ IND C/S</t>
        </is>
      </c>
      <c r="E1654" t="inlineStr">
        <is>
          <t xml:space="preserve">7790412000400       </t>
        </is>
      </c>
      <c r="F1654" s="11" t="n">
        <v>4018830</v>
      </c>
      <c r="G1654" t="inlineStr">
        <is>
          <t xml:space="preserve">TOSTADA ARROZ S/TACC X17G LEIVA    </t>
        </is>
      </c>
      <c r="H1654" t="inlineStr">
        <is>
          <t xml:space="preserve">UNIDAD              </t>
        </is>
      </c>
      <c r="I1654" t="n">
        <v>64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64</v>
      </c>
      <c r="P1654" s="96">
        <f>_xlfn.XLOOKUP(Tabla5[[#This Row],[EAN CORREGIDO]],'Tabla Articulos'!B:B,'Tabla Articulos'!D:D)</f>
        <v/>
      </c>
      <c r="Q1654" s="96">
        <f>_xlfn.XLOOKUP(S1654,'Tabla Articulos'!B:B,'Tabla Articulos'!E:E)</f>
        <v/>
      </c>
      <c r="R1654" s="96">
        <f>O1654*Q1654</f>
        <v/>
      </c>
      <c r="S1654" s="97">
        <f>TRIM(E1654)</f>
        <v/>
      </c>
    </row>
    <row r="1655" hidden="1">
      <c r="A1655" s="22" t="n">
        <v>5</v>
      </c>
      <c r="B1655" t="inlineStr">
        <is>
          <t xml:space="preserve">CDM02 - MORENO 2              </t>
        </is>
      </c>
      <c r="C1655" t="inlineStr">
        <is>
          <t xml:space="preserve">GRUPO L.                      </t>
        </is>
      </c>
      <c r="D1655" t="inlineStr">
        <is>
          <t>GELATINA S/SABOR</t>
        </is>
      </c>
      <c r="E1655" t="inlineStr">
        <is>
          <t xml:space="preserve">763571701973        </t>
        </is>
      </c>
      <c r="F1655" t="n">
        <v>4022527</v>
      </c>
      <c r="G1655" t="inlineStr">
        <is>
          <t xml:space="preserve">GELATINA S/SABOR 1KG POREC         </t>
        </is>
      </c>
      <c r="H1655" t="inlineStr">
        <is>
          <t xml:space="preserve">UNIDAD              </t>
        </is>
      </c>
      <c r="I1655" t="n">
        <v>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5</v>
      </c>
      <c r="P1655" s="96">
        <f>_xlfn.XLOOKUP(Tabla5[[#This Row],[EAN CORREGIDO]],'Tabla Articulos'!B:B,'Tabla Articulos'!D:D)</f>
        <v/>
      </c>
      <c r="Q1655" s="96">
        <f>_xlfn.XLOOKUP(S1655,'Tabla Articulos'!B:B,'Tabla Articulos'!E:E)</f>
        <v/>
      </c>
      <c r="R1655" s="96">
        <f>O1655*Q1655</f>
        <v/>
      </c>
      <c r="S1655" s="97">
        <f>TRIM(E1655)</f>
        <v/>
      </c>
    </row>
    <row r="1656" hidden="1">
      <c r="A1656" s="22" t="n">
        <v>6</v>
      </c>
      <c r="B1656" t="inlineStr">
        <is>
          <t xml:space="preserve">CDM03 - MORENO 3              </t>
        </is>
      </c>
      <c r="C1656" t="inlineStr">
        <is>
          <t xml:space="preserve">GRUPO L.                      </t>
        </is>
      </c>
      <c r="E1656" t="inlineStr">
        <is>
          <t xml:space="preserve">BUSAT000051         </t>
        </is>
      </c>
      <c r="G1656" t="inlineStr">
        <is>
          <t xml:space="preserve">LECHERA DE ACERO INOX. CHICA       </t>
        </is>
      </c>
      <c r="H1656" t="inlineStr">
        <is>
          <t xml:space="preserve">UNIDAD              </t>
        </is>
      </c>
      <c r="I1656" t="n">
        <v>195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195</v>
      </c>
      <c r="P1656" s="96">
        <f>_xlfn.XLOOKUP(Tabla5[[#This Row],[EAN CORREGIDO]],'Tabla Articulos'!B:B,'Tabla Articulos'!D:D)</f>
        <v/>
      </c>
      <c r="Q1656" s="96">
        <f>_xlfn.XLOOKUP(S1656,'Tabla Articulos'!B:B,'Tabla Articulos'!E:E)</f>
        <v/>
      </c>
      <c r="R1656" s="96">
        <f>O1656*Q1656</f>
        <v/>
      </c>
      <c r="S1656" s="97">
        <f>TRIM(E1656)</f>
        <v/>
      </c>
    </row>
    <row r="1657" hidden="1">
      <c r="A1657" s="22" t="n">
        <v>6</v>
      </c>
      <c r="B1657" t="inlineStr">
        <is>
          <t xml:space="preserve">CDM03 - MORENO 3              </t>
        </is>
      </c>
      <c r="C1657" t="inlineStr">
        <is>
          <t xml:space="preserve">GRUPO L.                      </t>
        </is>
      </c>
      <c r="E1657" t="inlineStr">
        <is>
          <t xml:space="preserve">BUSAT000061         </t>
        </is>
      </c>
      <c r="G1657" t="inlineStr">
        <is>
          <t xml:space="preserve">VASO WISKHY                        </t>
        </is>
      </c>
      <c r="H1657" t="inlineStr">
        <is>
          <t xml:space="preserve">UNIDAD              </t>
        </is>
      </c>
      <c r="I1657" t="n">
        <v>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3</v>
      </c>
      <c r="P1657" s="96">
        <f>_xlfn.XLOOKUP(Tabla5[[#This Row],[EAN CORREGIDO]],'Tabla Articulos'!B:B,'Tabla Articulos'!D:D)</f>
        <v/>
      </c>
      <c r="Q1657" s="96">
        <f>_xlfn.XLOOKUP(S1657,'Tabla Articulos'!B:B,'Tabla Articulos'!E:E)</f>
        <v/>
      </c>
      <c r="R1657" s="96">
        <f>O1657*Q1657</f>
        <v/>
      </c>
      <c r="S1657" s="97">
        <f>TRIM(E1657)</f>
        <v/>
      </c>
    </row>
    <row r="1658" hidden="1">
      <c r="A1658" s="22" t="n">
        <v>6</v>
      </c>
      <c r="B1658" t="inlineStr">
        <is>
          <t xml:space="preserve">CDM03 - MORENO 3              </t>
        </is>
      </c>
      <c r="C1658" t="inlineStr">
        <is>
          <t xml:space="preserve">GRUPO L.                      </t>
        </is>
      </c>
      <c r="E1658" t="inlineStr">
        <is>
          <t xml:space="preserve">OBR000101           </t>
        </is>
      </c>
      <c r="G1658" t="inlineStr">
        <is>
          <t xml:space="preserve">DIS AGU                            </t>
        </is>
      </c>
      <c r="H1658" t="inlineStr">
        <is>
          <t xml:space="preserve">UNIDAD              </t>
        </is>
      </c>
      <c r="I1658" t="n">
        <v>22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22</v>
      </c>
      <c r="P1658" s="96">
        <f>_xlfn.XLOOKUP(Tabla5[[#This Row],[EAN CORREGIDO]],'Tabla Articulos'!B:B,'Tabla Articulos'!D:D)</f>
        <v/>
      </c>
      <c r="Q1658" s="96">
        <f>_xlfn.XLOOKUP(S1658,'Tabla Articulos'!B:B,'Tabla Articulos'!E:E)</f>
        <v/>
      </c>
      <c r="R1658" s="96">
        <f>O1658*Q1658</f>
        <v/>
      </c>
      <c r="S1658" s="97">
        <f>TRIM(E1658)</f>
        <v/>
      </c>
    </row>
    <row r="1659" hidden="1">
      <c r="A1659" s="22" t="n">
        <v>6</v>
      </c>
      <c r="B1659" t="inlineStr">
        <is>
          <t xml:space="preserve">CDM03 - MORENO 3              </t>
        </is>
      </c>
      <c r="C1659" t="inlineStr">
        <is>
          <t xml:space="preserve">GRUPO L.                      </t>
        </is>
      </c>
      <c r="E1659" t="inlineStr">
        <is>
          <t xml:space="preserve">BUSAT000934         </t>
        </is>
      </c>
      <c r="G1659" t="inlineStr">
        <is>
          <t xml:space="preserve">ESTANTERIA AEREA TAPA LISA         </t>
        </is>
      </c>
      <c r="H1659" t="inlineStr">
        <is>
          <t xml:space="preserve">UNIDAD              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2</v>
      </c>
      <c r="P1659" s="96">
        <f>_xlfn.XLOOKUP(Tabla5[[#This Row],[EAN CORREGIDO]],'Tabla Articulos'!B:B,'Tabla Articulos'!D:D)</f>
        <v/>
      </c>
      <c r="Q1659" s="96">
        <f>_xlfn.XLOOKUP(S1659,'Tabla Articulos'!B:B,'Tabla Articulos'!E:E)</f>
        <v/>
      </c>
      <c r="R1659" s="96">
        <f>O1659*Q1659</f>
        <v/>
      </c>
      <c r="S1659" s="97">
        <f>TRIM(E1659)</f>
        <v/>
      </c>
    </row>
    <row r="1660" hidden="1">
      <c r="A1660" s="22" t="n">
        <v>6</v>
      </c>
      <c r="B1660" t="inlineStr">
        <is>
          <t xml:space="preserve">CDM03 - MORENO 3              </t>
        </is>
      </c>
      <c r="C1660" t="inlineStr">
        <is>
          <t xml:space="preserve">GRUPO L.                      </t>
        </is>
      </c>
      <c r="E1660" t="inlineStr">
        <is>
          <t xml:space="preserve">BUSAT0011012        </t>
        </is>
      </c>
      <c r="G1660" t="inlineStr">
        <is>
          <t xml:space="preserve">COLADOR GRANDE DE ALUMINIO         </t>
        </is>
      </c>
      <c r="H1660" t="inlineStr">
        <is>
          <t xml:space="preserve">UNIDAD              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1</v>
      </c>
      <c r="P1660" s="96">
        <f>_xlfn.XLOOKUP(Tabla5[[#This Row],[EAN CORREGIDO]],'Tabla Articulos'!B:B,'Tabla Articulos'!D:D)</f>
        <v/>
      </c>
      <c r="Q1660" s="96">
        <f>_xlfn.XLOOKUP(S1660,'Tabla Articulos'!B:B,'Tabla Articulos'!E:E)</f>
        <v/>
      </c>
      <c r="R1660" s="96">
        <f>O1660*Q1660</f>
        <v/>
      </c>
      <c r="S1660" s="97">
        <f>TRIM(E1660)</f>
        <v/>
      </c>
    </row>
    <row r="1661" hidden="1">
      <c r="A1661" s="22" t="n">
        <v>6</v>
      </c>
      <c r="B1661" t="inlineStr">
        <is>
          <t xml:space="preserve">CDM03 - MORENO 3              </t>
        </is>
      </c>
      <c r="C1661" t="inlineStr">
        <is>
          <t xml:space="preserve">GRUPO L.                      </t>
        </is>
      </c>
      <c r="D1661" s="11" t="n"/>
      <c r="E1661" t="inlineStr">
        <is>
          <t xml:space="preserve">BUSAT000319         </t>
        </is>
      </c>
      <c r="G1661" t="inlineStr">
        <is>
          <t xml:space="preserve">BATIDORA PLANETARIA                </t>
        </is>
      </c>
      <c r="H1661" t="inlineStr">
        <is>
          <t xml:space="preserve">UNIDAD              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1</v>
      </c>
      <c r="P1661" s="96">
        <f>_xlfn.XLOOKUP(Tabla5[[#This Row],[EAN CORREGIDO]],'Tabla Articulos'!B:B,'Tabla Articulos'!D:D)</f>
        <v/>
      </c>
      <c r="Q1661" s="96">
        <f>_xlfn.XLOOKUP(S1661,'Tabla Articulos'!B:B,'Tabla Articulos'!E:E)</f>
        <v/>
      </c>
      <c r="R1661" s="96">
        <f>O1661*Q1661</f>
        <v/>
      </c>
      <c r="S1661" s="97">
        <f>TRIM(E1661)</f>
        <v/>
      </c>
    </row>
    <row r="1662" hidden="1">
      <c r="A1662" s="22" t="n">
        <v>6</v>
      </c>
      <c r="B1662" t="inlineStr">
        <is>
          <t xml:space="preserve">CDM03 - MORENO 3              </t>
        </is>
      </c>
      <c r="C1662" t="inlineStr">
        <is>
          <t xml:space="preserve">GRUPO L.                      </t>
        </is>
      </c>
      <c r="E1662" t="inlineStr">
        <is>
          <t xml:space="preserve">BUSAT000128         </t>
        </is>
      </c>
      <c r="G1662" t="inlineStr">
        <is>
          <t xml:space="preserve">BANDEJA ACRILICO ROJO GRANDE       </t>
        </is>
      </c>
      <c r="H1662" t="inlineStr">
        <is>
          <t xml:space="preserve">BULTOS              </t>
        </is>
      </c>
      <c r="I1662" t="n">
        <v>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1</v>
      </c>
      <c r="P1662" s="96">
        <f>_xlfn.XLOOKUP(Tabla5[[#This Row],[EAN CORREGIDO]],'Tabla Articulos'!B:B,'Tabla Articulos'!D:D)</f>
        <v/>
      </c>
      <c r="Q1662" s="96">
        <f>_xlfn.XLOOKUP(S1662,'Tabla Articulos'!B:B,'Tabla Articulos'!E:E)</f>
        <v/>
      </c>
      <c r="R1662" s="96">
        <f>O1662*Q1662</f>
        <v/>
      </c>
      <c r="S1662" s="97">
        <f>TRIM(E1662)</f>
        <v/>
      </c>
    </row>
    <row r="1663" hidden="1">
      <c r="A1663" s="22" t="n">
        <v>6</v>
      </c>
      <c r="B1663" t="inlineStr">
        <is>
          <t xml:space="preserve">CDM03 - MORENO 3              </t>
        </is>
      </c>
      <c r="C1663" t="inlineStr">
        <is>
          <t xml:space="preserve">GRUPO L.                      </t>
        </is>
      </c>
      <c r="D1663" s="11" t="n"/>
      <c r="E1663" t="inlineStr">
        <is>
          <t xml:space="preserve">BUSAT000946         </t>
        </is>
      </c>
      <c r="G1663" t="inlineStr">
        <is>
          <t xml:space="preserve">ZAPATO OMBU TALLE 35               </t>
        </is>
      </c>
      <c r="H1663" t="inlineStr">
        <is>
          <t xml:space="preserve">UNIDAD              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2</v>
      </c>
      <c r="P1663" s="96">
        <f>_xlfn.XLOOKUP(Tabla5[[#This Row],[EAN CORREGIDO]],'Tabla Articulos'!B:B,'Tabla Articulos'!D:D)</f>
        <v/>
      </c>
      <c r="Q1663" s="96">
        <f>_xlfn.XLOOKUP(S1663,'Tabla Articulos'!B:B,'Tabla Articulos'!E:E)</f>
        <v/>
      </c>
      <c r="R1663" s="96">
        <f>O1663*Q1663</f>
        <v/>
      </c>
      <c r="S1663" s="97">
        <f>TRIM(E1663)</f>
        <v/>
      </c>
    </row>
    <row r="1664" hidden="1">
      <c r="A1664" s="22" t="n">
        <v>6</v>
      </c>
      <c r="B1664" t="inlineStr">
        <is>
          <t xml:space="preserve">CDM03 - MORENO 3              </t>
        </is>
      </c>
      <c r="C1664" t="inlineStr">
        <is>
          <t xml:space="preserve">GRUPO L.                      </t>
        </is>
      </c>
      <c r="E1664" t="inlineStr">
        <is>
          <t xml:space="preserve">BUSAT000905         </t>
        </is>
      </c>
      <c r="G1664" t="inlineStr">
        <is>
          <t xml:space="preserve">ASADERA INDUSTRIAL                 </t>
        </is>
      </c>
      <c r="H1664" t="inlineStr">
        <is>
          <t xml:space="preserve">UNIDAD              </t>
        </is>
      </c>
      <c r="I1664" t="n">
        <v>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8</v>
      </c>
      <c r="P1664" s="96">
        <f>_xlfn.XLOOKUP(Tabla5[[#This Row],[EAN CORREGIDO]],'Tabla Articulos'!B:B,'Tabla Articulos'!D:D)</f>
        <v/>
      </c>
      <c r="Q1664" s="96">
        <f>_xlfn.XLOOKUP(S1664,'Tabla Articulos'!B:B,'Tabla Articulos'!E:E)</f>
        <v/>
      </c>
      <c r="R1664" s="96">
        <f>O1664*Q1664</f>
        <v/>
      </c>
      <c r="S1664" s="97">
        <f>TRIM(E1664)</f>
        <v/>
      </c>
    </row>
    <row r="1665" hidden="1">
      <c r="A1665" s="22" t="n">
        <v>6</v>
      </c>
      <c r="B1665" t="inlineStr">
        <is>
          <t xml:space="preserve">CDM03 - MORENO 3              </t>
        </is>
      </c>
      <c r="C1665" t="inlineStr">
        <is>
          <t xml:space="preserve">GRUPO L.                      </t>
        </is>
      </c>
      <c r="E1665" t="inlineStr">
        <is>
          <t xml:space="preserve">BUM313              </t>
        </is>
      </c>
      <c r="G1665" t="inlineStr">
        <is>
          <t xml:space="preserve">TAPA PLASTICA CUADRADA             </t>
        </is>
      </c>
      <c r="H1665" t="inlineStr">
        <is>
          <t xml:space="preserve">BULTOS              </t>
        </is>
      </c>
      <c r="I1665" t="n">
        <v>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5</v>
      </c>
      <c r="P1665" s="96">
        <f>_xlfn.XLOOKUP(Tabla5[[#This Row],[EAN CORREGIDO]],'Tabla Articulos'!B:B,'Tabla Articulos'!D:D)</f>
        <v/>
      </c>
      <c r="Q1665" s="96">
        <f>_xlfn.XLOOKUP(S1665,'Tabla Articulos'!B:B,'Tabla Articulos'!E:E)</f>
        <v/>
      </c>
      <c r="R1665" s="96">
        <f>O1665*Q1665</f>
        <v/>
      </c>
      <c r="S1665" s="97">
        <f>TRIM(E1665)</f>
        <v/>
      </c>
    </row>
    <row r="1666" hidden="1">
      <c r="A1666" s="22" t="n">
        <v>6</v>
      </c>
      <c r="B1666" t="inlineStr">
        <is>
          <t xml:space="preserve">CDM03 - MORENO 3              </t>
        </is>
      </c>
      <c r="C1666" t="inlineStr">
        <is>
          <t xml:space="preserve">GRUPO L.                      </t>
        </is>
      </c>
      <c r="E1666" t="inlineStr">
        <is>
          <t xml:space="preserve">BUSAT000856         </t>
        </is>
      </c>
      <c r="G1666" t="inlineStr">
        <is>
          <t xml:space="preserve">EXHIBIDOR CLIMATIZADO P/TAZAS      </t>
        </is>
      </c>
      <c r="H1666" t="inlineStr">
        <is>
          <t xml:space="preserve">UNIDAD              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1</v>
      </c>
      <c r="P1666" s="96">
        <f>_xlfn.XLOOKUP(Tabla5[[#This Row],[EAN CORREGIDO]],'Tabla Articulos'!B:B,'Tabla Articulos'!D:D)</f>
        <v/>
      </c>
      <c r="Q1666" s="96">
        <f>_xlfn.XLOOKUP(S1666,'Tabla Articulos'!B:B,'Tabla Articulos'!E:E)</f>
        <v/>
      </c>
      <c r="R1666" s="96">
        <f>O1666*Q1666</f>
        <v/>
      </c>
      <c r="S1666" s="97">
        <f>TRIM(E1666)</f>
        <v/>
      </c>
    </row>
    <row r="1667" hidden="1">
      <c r="A1667" s="22" t="n">
        <v>6</v>
      </c>
      <c r="B1667" t="inlineStr">
        <is>
          <t xml:space="preserve">CDM03 - MORENO 3              </t>
        </is>
      </c>
      <c r="C1667" t="inlineStr">
        <is>
          <t xml:space="preserve">GRUPO L.                      </t>
        </is>
      </c>
      <c r="E1667" t="inlineStr">
        <is>
          <t xml:space="preserve">BUSAT000372         </t>
        </is>
      </c>
      <c r="G1667" t="inlineStr">
        <is>
          <t xml:space="preserve">ALMOHADON CIRCULAR / SAND (BL)     </t>
        </is>
      </c>
      <c r="H1667" t="inlineStr">
        <is>
          <t xml:space="preserve">UNIDAD              </t>
        </is>
      </c>
      <c r="I1667" t="n">
        <v>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2</v>
      </c>
      <c r="P1667" s="96">
        <f>_xlfn.XLOOKUP(Tabla5[[#This Row],[EAN CORREGIDO]],'Tabla Articulos'!B:B,'Tabla Articulos'!D:D)</f>
        <v/>
      </c>
      <c r="Q1667" s="96">
        <f>_xlfn.XLOOKUP(S1667,'Tabla Articulos'!B:B,'Tabla Articulos'!E:E)</f>
        <v/>
      </c>
      <c r="R1667" s="96">
        <f>O1667*Q1667</f>
        <v/>
      </c>
      <c r="S1667" s="97">
        <f>TRIM(E1667)</f>
        <v/>
      </c>
    </row>
    <row r="1668" hidden="1">
      <c r="A1668" s="22" t="n">
        <v>6</v>
      </c>
      <c r="B1668" t="inlineStr">
        <is>
          <t xml:space="preserve">CDM03 - MORENO 3              </t>
        </is>
      </c>
      <c r="C1668" t="inlineStr">
        <is>
          <t xml:space="preserve">GRUPO L.                      </t>
        </is>
      </c>
      <c r="E1668" t="inlineStr">
        <is>
          <t xml:space="preserve">BUSAT000337         </t>
        </is>
      </c>
      <c r="G1668" t="inlineStr">
        <is>
          <t xml:space="preserve">HELADERA ART.VAR/SANDWICHES 03 BIS </t>
        </is>
      </c>
      <c r="H1668" t="inlineStr">
        <is>
          <t xml:space="preserve">UNIDAD              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1</v>
      </c>
      <c r="P1668" s="96">
        <f>_xlfn.XLOOKUP(Tabla5[[#This Row],[EAN CORREGIDO]],'Tabla Articulos'!B:B,'Tabla Articulos'!D:D)</f>
        <v/>
      </c>
      <c r="Q1668" s="96">
        <f>_xlfn.XLOOKUP(S1668,'Tabla Articulos'!B:B,'Tabla Articulos'!E:E)</f>
        <v/>
      </c>
      <c r="R1668" s="96">
        <f>O1668*Q1668</f>
        <v/>
      </c>
      <c r="S1668" s="97">
        <f>TRIM(E1668)</f>
        <v/>
      </c>
    </row>
    <row r="1669" hidden="1">
      <c r="A1669" s="22" t="n">
        <v>6</v>
      </c>
      <c r="B1669" t="inlineStr">
        <is>
          <t xml:space="preserve">CDM03 - MORENO 3              </t>
        </is>
      </c>
      <c r="C1669" t="inlineStr">
        <is>
          <t xml:space="preserve">GRUPO L.                      </t>
        </is>
      </c>
      <c r="E1669" t="inlineStr">
        <is>
          <t xml:space="preserve">BUSAT001009         </t>
        </is>
      </c>
      <c r="G1669" t="inlineStr">
        <is>
          <t xml:space="preserve">CHOMBA GRIS C AZUL MANGA LARGA XL  </t>
        </is>
      </c>
      <c r="H1669" t="inlineStr">
        <is>
          <t xml:space="preserve">UNIDAD              </t>
        </is>
      </c>
      <c r="I1669" t="n">
        <v>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5</v>
      </c>
      <c r="P1669" s="96">
        <f>_xlfn.XLOOKUP(Tabla5[[#This Row],[EAN CORREGIDO]],'Tabla Articulos'!B:B,'Tabla Articulos'!D:D)</f>
        <v/>
      </c>
      <c r="Q1669" s="96">
        <f>_xlfn.XLOOKUP(S1669,'Tabla Articulos'!B:B,'Tabla Articulos'!E:E)</f>
        <v/>
      </c>
      <c r="R1669" s="96">
        <f>O1669*Q1669</f>
        <v/>
      </c>
      <c r="S1669" s="97">
        <f>TRIM(E1669)</f>
        <v/>
      </c>
    </row>
    <row r="1670" hidden="1">
      <c r="A1670" s="22" t="n">
        <v>6</v>
      </c>
      <c r="B1670" t="inlineStr">
        <is>
          <t xml:space="preserve">CDM03 - MORENO 3              </t>
        </is>
      </c>
      <c r="C1670" t="inlineStr">
        <is>
          <t xml:space="preserve">GRUPO L.                      </t>
        </is>
      </c>
      <c r="D1670" s="11" t="n"/>
      <c r="E1670" t="inlineStr">
        <is>
          <t xml:space="preserve">BUSAT000989         </t>
        </is>
      </c>
      <c r="G1670" t="inlineStr">
        <is>
          <t xml:space="preserve">CAMPERA TASLAN C/MANGA DESMONTABLE </t>
        </is>
      </c>
      <c r="H1670" t="inlineStr">
        <is>
          <t xml:space="preserve">UNIDAD              </t>
        </is>
      </c>
      <c r="I1670" t="n">
        <v>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3</v>
      </c>
      <c r="P1670" s="96">
        <f>_xlfn.XLOOKUP(Tabla5[[#This Row],[EAN CORREGIDO]],'Tabla Articulos'!B:B,'Tabla Articulos'!D:D)</f>
        <v/>
      </c>
      <c r="Q1670" s="96">
        <f>_xlfn.XLOOKUP(S1670,'Tabla Articulos'!B:B,'Tabla Articulos'!E:E)</f>
        <v/>
      </c>
      <c r="R1670" s="96">
        <f>O1670*Q1670</f>
        <v/>
      </c>
      <c r="S1670" s="97">
        <f>TRIM(E1670)</f>
        <v/>
      </c>
    </row>
    <row r="1671" hidden="1">
      <c r="A1671" s="22" t="n">
        <v>1</v>
      </c>
      <c r="B1671" t="inlineStr">
        <is>
          <t xml:space="preserve">CD MORENO                     </t>
        </is>
      </c>
      <c r="C1671" t="inlineStr">
        <is>
          <t xml:space="preserve">GRUPO L.                      </t>
        </is>
      </c>
      <c r="D1671" s="11" t="inlineStr">
        <is>
          <t>COPOS CEREAL AZUCARADOS</t>
        </is>
      </c>
      <c r="E1671" t="inlineStr">
        <is>
          <t xml:space="preserve">7790045001584       </t>
        </is>
      </c>
      <c r="G1671" t="inlineStr">
        <is>
          <t xml:space="preserve">COPOS DE MAIZ x 160 G GRANIX       </t>
        </is>
      </c>
      <c r="H1671" t="inlineStr">
        <is>
          <t xml:space="preserve">UNIDAD              </t>
        </is>
      </c>
      <c r="I1671" t="n">
        <v>24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24</v>
      </c>
      <c r="P1671" s="96">
        <f>_xlfn.XLOOKUP(Tabla5[[#This Row],[EAN CORREGIDO]],'Tabla Articulos'!B:B,'Tabla Articulos'!D:D)</f>
        <v/>
      </c>
      <c r="Q1671" s="96">
        <f>_xlfn.XLOOKUP(S1671,'Tabla Articulos'!B:B,'Tabla Articulos'!E:E)</f>
        <v/>
      </c>
      <c r="R1671" s="96">
        <f>O1671*Q1671</f>
        <v/>
      </c>
      <c r="S1671" s="97">
        <f>TRIM(E1671)</f>
        <v/>
      </c>
    </row>
    <row r="1672" hidden="1">
      <c r="A1672" s="22" t="n">
        <v>6</v>
      </c>
      <c r="B1672" t="inlineStr">
        <is>
          <t xml:space="preserve">CDM03 - MORENO 3              </t>
        </is>
      </c>
      <c r="C1672" t="inlineStr">
        <is>
          <t xml:space="preserve">GRUPO L.                      </t>
        </is>
      </c>
      <c r="D1672" s="11" t="n"/>
      <c r="E1672" t="inlineStr">
        <is>
          <t xml:space="preserve">BUSAT000919         </t>
        </is>
      </c>
      <c r="G1672" t="inlineStr">
        <is>
          <t xml:space="preserve">PLATO PARA MICROONDAS              </t>
        </is>
      </c>
      <c r="H1672" t="inlineStr">
        <is>
          <t xml:space="preserve">UNIDAD              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1</v>
      </c>
      <c r="P1672" s="96">
        <f>_xlfn.XLOOKUP(Tabla5[[#This Row],[EAN CORREGIDO]],'Tabla Articulos'!B:B,'Tabla Articulos'!D:D)</f>
        <v/>
      </c>
      <c r="Q1672" s="96">
        <f>_xlfn.XLOOKUP(S1672,'Tabla Articulos'!B:B,'Tabla Articulos'!E:E)</f>
        <v/>
      </c>
      <c r="R1672" s="96">
        <f>O1672*Q1672</f>
        <v/>
      </c>
      <c r="S1672" s="97">
        <f>TRIM(E1672)</f>
        <v/>
      </c>
    </row>
    <row r="1673" hidden="1">
      <c r="A1673" s="22" t="n">
        <v>6</v>
      </c>
      <c r="B1673" t="inlineStr">
        <is>
          <t xml:space="preserve">CDM03 - MORENO 3              </t>
        </is>
      </c>
      <c r="C1673" t="inlineStr">
        <is>
          <t xml:space="preserve">GRUPO L.                      </t>
        </is>
      </c>
      <c r="E1673" t="inlineStr">
        <is>
          <t xml:space="preserve">BUSAT000860         </t>
        </is>
      </c>
      <c r="G1673" t="inlineStr">
        <is>
          <t xml:space="preserve">BARRAL DE ACERO LARGO              </t>
        </is>
      </c>
      <c r="H1673" t="inlineStr">
        <is>
          <t xml:space="preserve">UNIDAD              </t>
        </is>
      </c>
      <c r="I1673" t="n">
        <v>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2</v>
      </c>
      <c r="P1673" s="96">
        <f>_xlfn.XLOOKUP(Tabla5[[#This Row],[EAN CORREGIDO]],'Tabla Articulos'!B:B,'Tabla Articulos'!D:D)</f>
        <v/>
      </c>
      <c r="Q1673" s="96">
        <f>_xlfn.XLOOKUP(S1673,'Tabla Articulos'!B:B,'Tabla Articulos'!E:E)</f>
        <v/>
      </c>
      <c r="R1673" s="96">
        <f>O1673*Q1673</f>
        <v/>
      </c>
      <c r="S1673" s="97">
        <f>TRIM(E1673)</f>
        <v/>
      </c>
    </row>
    <row r="1674" hidden="1">
      <c r="A1674" s="22" t="n">
        <v>6</v>
      </c>
      <c r="B1674" t="inlineStr">
        <is>
          <t xml:space="preserve">CDM03 - MORENO 3              </t>
        </is>
      </c>
      <c r="C1674" t="inlineStr">
        <is>
          <t xml:space="preserve">GRUPO L.                      </t>
        </is>
      </c>
      <c r="E1674" t="inlineStr">
        <is>
          <t xml:space="preserve">BUSAT000393         </t>
        </is>
      </c>
      <c r="G1674" t="inlineStr">
        <is>
          <t xml:space="preserve">GUANTES AMARILLOS T7               </t>
        </is>
      </c>
      <c r="H1674" t="inlineStr">
        <is>
          <t xml:space="preserve">UNIDAD              </t>
        </is>
      </c>
      <c r="I1674" t="n">
        <v>13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13</v>
      </c>
      <c r="P1674" s="96">
        <f>_xlfn.XLOOKUP(Tabla5[[#This Row],[EAN CORREGIDO]],'Tabla Articulos'!B:B,'Tabla Articulos'!D:D)</f>
        <v/>
      </c>
      <c r="Q1674" s="96">
        <f>_xlfn.XLOOKUP(S1674,'Tabla Articulos'!B:B,'Tabla Articulos'!E:E)</f>
        <v/>
      </c>
      <c r="R1674" s="96">
        <f>O1674*Q1674</f>
        <v/>
      </c>
      <c r="S1674" s="97">
        <f>TRIM(E1674)</f>
        <v/>
      </c>
    </row>
    <row r="1675" hidden="1">
      <c r="A1675" s="22" t="n">
        <v>6</v>
      </c>
      <c r="B1675" t="inlineStr">
        <is>
          <t xml:space="preserve">CDM03 - MORENO 3              </t>
        </is>
      </c>
      <c r="C1675" t="inlineStr">
        <is>
          <t xml:space="preserve">GRUPO L.                      </t>
        </is>
      </c>
      <c r="D1675" s="11" t="n"/>
      <c r="E1675" t="inlineStr">
        <is>
          <t xml:space="preserve">BUSAT000362         </t>
        </is>
      </c>
      <c r="G1675" t="inlineStr">
        <is>
          <t xml:space="preserve">BANCOS PLEGABLES/ SAND 01          </t>
        </is>
      </c>
      <c r="H1675" t="inlineStr">
        <is>
          <t xml:space="preserve">UNIDAD              </t>
        </is>
      </c>
      <c r="I1675" t="n">
        <v>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8</v>
      </c>
      <c r="P1675" s="96">
        <f>_xlfn.XLOOKUP(Tabla5[[#This Row],[EAN CORREGIDO]],'Tabla Articulos'!B:B,'Tabla Articulos'!D:D)</f>
        <v/>
      </c>
      <c r="Q1675" s="96">
        <f>_xlfn.XLOOKUP(S1675,'Tabla Articulos'!B:B,'Tabla Articulos'!E:E)</f>
        <v/>
      </c>
      <c r="R1675" s="96">
        <f>O1675*Q1675</f>
        <v/>
      </c>
      <c r="S1675" s="97">
        <f>TRIM(E1675)</f>
        <v/>
      </c>
    </row>
    <row r="1676" hidden="1">
      <c r="A1676" s="22" t="n">
        <v>6</v>
      </c>
      <c r="B1676" t="inlineStr">
        <is>
          <t xml:space="preserve">CDM03 - MORENO 3              </t>
        </is>
      </c>
      <c r="C1676" t="inlineStr">
        <is>
          <t xml:space="preserve">GRUPO L.                      </t>
        </is>
      </c>
      <c r="D1676" s="11" t="n"/>
      <c r="E1676" t="inlineStr">
        <is>
          <t xml:space="preserve">BUSAT000352         </t>
        </is>
      </c>
      <c r="G1676" t="inlineStr">
        <is>
          <t xml:space="preserve">CAJA PLASTICA GRANDE ART. VARIOS   </t>
        </is>
      </c>
      <c r="H1676" t="inlineStr">
        <is>
          <t xml:space="preserve">UNIDAD              </t>
        </is>
      </c>
      <c r="I1676" t="n">
        <v>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1</v>
      </c>
      <c r="P1676" s="96">
        <f>_xlfn.XLOOKUP(Tabla5[[#This Row],[EAN CORREGIDO]],'Tabla Articulos'!B:B,'Tabla Articulos'!D:D)</f>
        <v/>
      </c>
      <c r="Q1676" s="96">
        <f>_xlfn.XLOOKUP(S1676,'Tabla Articulos'!B:B,'Tabla Articulos'!E:E)</f>
        <v/>
      </c>
      <c r="R1676" s="96">
        <f>O1676*Q1676</f>
        <v/>
      </c>
      <c r="S1676" s="97">
        <f>TRIM(E1676)</f>
        <v/>
      </c>
    </row>
    <row r="1677" hidden="1">
      <c r="A1677" s="22" t="n">
        <v>5</v>
      </c>
      <c r="B1677" t="inlineStr">
        <is>
          <t xml:space="preserve">CDM02 - MORENO 2              </t>
        </is>
      </c>
      <c r="C1677" t="inlineStr">
        <is>
          <t xml:space="preserve">GRUPO L.                      </t>
        </is>
      </c>
      <c r="D1677" s="11" t="inlineStr">
        <is>
          <t>LENTEJAS SECAS</t>
        </is>
      </c>
      <c r="E1677" t="inlineStr">
        <is>
          <t xml:space="preserve">7791476034011       </t>
        </is>
      </c>
      <c r="F1677" s="11" t="n">
        <v>4022849</v>
      </c>
      <c r="G1677" t="inlineStr">
        <is>
          <t xml:space="preserve">LENTEJAS SECAS 400GR EGRAN         </t>
        </is>
      </c>
      <c r="H1677" t="inlineStr">
        <is>
          <t xml:space="preserve">UNIDAD              </t>
        </is>
      </c>
      <c r="I1677" t="n">
        <v>1780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1780</v>
      </c>
      <c r="P1677" s="96">
        <f>_xlfn.XLOOKUP(Tabla5[[#This Row],[EAN CORREGIDO]],'Tabla Articulos'!B:B,'Tabla Articulos'!D:D)</f>
        <v/>
      </c>
      <c r="Q1677" s="96">
        <f>_xlfn.XLOOKUP(S1677,'Tabla Articulos'!B:B,'Tabla Articulos'!E:E)</f>
        <v/>
      </c>
      <c r="R1677" s="96">
        <f>O1677*Q1677</f>
        <v/>
      </c>
      <c r="S1677" s="97">
        <f>TRIM(E1677)</f>
        <v/>
      </c>
    </row>
    <row r="1678" hidden="1">
      <c r="A1678" s="22" t="n">
        <v>1</v>
      </c>
      <c r="B1678" t="inlineStr">
        <is>
          <t xml:space="preserve">CD MORENO                     </t>
        </is>
      </c>
      <c r="C1678" t="inlineStr">
        <is>
          <t xml:space="preserve">GRUPO L.                      </t>
        </is>
      </c>
      <c r="D1678" t="inlineStr">
        <is>
          <t>LENTEJAS SECAS</t>
        </is>
      </c>
      <c r="E1678" t="inlineStr">
        <is>
          <t xml:space="preserve">7791476034011       </t>
        </is>
      </c>
      <c r="F1678" t="n">
        <v>4022849</v>
      </c>
      <c r="G1678" t="inlineStr">
        <is>
          <t xml:space="preserve">LENTEJAS SECAS 400GR EGRAN         </t>
        </is>
      </c>
      <c r="H1678" t="inlineStr">
        <is>
          <t xml:space="preserve">UNIDAD              </t>
        </is>
      </c>
      <c r="I1678" t="n">
        <v>361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361</v>
      </c>
      <c r="P1678" s="96">
        <f>_xlfn.XLOOKUP(Tabla5[[#This Row],[EAN CORREGIDO]],'Tabla Articulos'!B:B,'Tabla Articulos'!D:D)</f>
        <v/>
      </c>
      <c r="Q1678" s="96">
        <f>_xlfn.XLOOKUP(S1678,'Tabla Articulos'!B:B,'Tabla Articulos'!E:E)</f>
        <v/>
      </c>
      <c r="R1678" s="96">
        <f>O1678*Q1678</f>
        <v/>
      </c>
      <c r="S1678" s="97">
        <f>TRIM(E1678)</f>
        <v/>
      </c>
    </row>
    <row r="1679" hidden="1">
      <c r="A1679" s="22" t="n">
        <v>6</v>
      </c>
      <c r="B1679" t="inlineStr">
        <is>
          <t xml:space="preserve">CDM03 - MORENO 3              </t>
        </is>
      </c>
      <c r="C1679" t="inlineStr">
        <is>
          <t xml:space="preserve">GRUPO L.                      </t>
        </is>
      </c>
      <c r="D1679" s="11" t="n"/>
      <c r="E1679" t="inlineStr">
        <is>
          <t xml:space="preserve">UNIF000436          </t>
        </is>
      </c>
      <c r="F1679" t="n">
        <v>9003597</v>
      </c>
      <c r="G1679" t="inlineStr">
        <is>
          <t xml:space="preserve">CAMPERA TRUCKER A. MAR GL SUP M    </t>
        </is>
      </c>
      <c r="H1679" t="inlineStr">
        <is>
          <t xml:space="preserve">UNIDAD              </t>
        </is>
      </c>
      <c r="I1679" t="n">
        <v>81</v>
      </c>
      <c r="J1679" t="n">
        <v>0</v>
      </c>
      <c r="K1679" t="n">
        <v>0</v>
      </c>
      <c r="L1679" t="n">
        <v>11</v>
      </c>
      <c r="M1679" t="n">
        <v>11</v>
      </c>
      <c r="N1679" t="n">
        <v>0</v>
      </c>
      <c r="O1679" t="n">
        <v>59</v>
      </c>
      <c r="P1679" s="96">
        <f>_xlfn.XLOOKUP(Tabla5[[#This Row],[EAN CORREGIDO]],'Tabla Articulos'!B:B,'Tabla Articulos'!D:D)</f>
        <v/>
      </c>
      <c r="Q1679" s="96">
        <f>_xlfn.XLOOKUP(S1679,'Tabla Articulos'!B:B,'Tabla Articulos'!E:E)</f>
        <v/>
      </c>
      <c r="R1679" s="96">
        <f>O1679*Q1679</f>
        <v/>
      </c>
      <c r="S1679" s="97">
        <f>TRIM(E1679)</f>
        <v/>
      </c>
    </row>
    <row r="1680" hidden="1">
      <c r="A1680" s="22" t="n">
        <v>6</v>
      </c>
      <c r="B1680" t="inlineStr">
        <is>
          <t xml:space="preserve">CDM03 - MORENO 3              </t>
        </is>
      </c>
      <c r="C1680" t="inlineStr">
        <is>
          <t xml:space="preserve">GRUPO L.                      </t>
        </is>
      </c>
      <c r="E1680" t="inlineStr">
        <is>
          <t xml:space="preserve">BAZ001230           </t>
        </is>
      </c>
      <c r="F1680" t="n">
        <v>9003852</v>
      </c>
      <c r="G1680" t="inlineStr">
        <is>
          <t xml:space="preserve">TARRO COC PLASTICO SOPLADO 3 KG    </t>
        </is>
      </c>
      <c r="H1680" t="inlineStr">
        <is>
          <t xml:space="preserve">UNIDAD              </t>
        </is>
      </c>
      <c r="I1680" t="n">
        <v>134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134</v>
      </c>
      <c r="P1680" s="96">
        <f>_xlfn.XLOOKUP(Tabla5[[#This Row],[EAN CORREGIDO]],'Tabla Articulos'!B:B,'Tabla Articulos'!D:D)</f>
        <v/>
      </c>
      <c r="Q1680" s="96">
        <f>_xlfn.XLOOKUP(S1680,'Tabla Articulos'!B:B,'Tabla Articulos'!E:E)</f>
        <v/>
      </c>
      <c r="R1680" s="96">
        <f>O1680*Q1680</f>
        <v/>
      </c>
      <c r="S1680" s="97">
        <f>TRIM(E1680)</f>
        <v/>
      </c>
    </row>
    <row r="1681" hidden="1">
      <c r="A1681" s="22" t="n">
        <v>6</v>
      </c>
      <c r="B1681" t="inlineStr">
        <is>
          <t xml:space="preserve">CDM03 - MORENO 3              </t>
        </is>
      </c>
      <c r="C1681" t="inlineStr">
        <is>
          <t xml:space="preserve">GRUPO L.                      </t>
        </is>
      </c>
      <c r="D1681" t="inlineStr">
        <is>
          <t>BOLSA RESIDUO</t>
        </is>
      </c>
      <c r="E1681" t="inlineStr">
        <is>
          <t xml:space="preserve">LIM00353            </t>
        </is>
      </c>
      <c r="F1681" t="n">
        <v>2006969</v>
      </c>
      <c r="G1681" t="inlineStr">
        <is>
          <t xml:space="preserve">BOLSA RESID 60X90X50 AMAR 120MIC   </t>
        </is>
      </c>
      <c r="H1681" t="inlineStr">
        <is>
          <t xml:space="preserve">UNIDAD              </t>
        </is>
      </c>
      <c r="I1681" t="n">
        <v>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1</v>
      </c>
      <c r="P1681" s="96">
        <f>_xlfn.XLOOKUP(Tabla5[[#This Row],[EAN CORREGIDO]],'Tabla Articulos'!B:B,'Tabla Articulos'!D:D)</f>
        <v/>
      </c>
      <c r="Q1681" s="96">
        <f>_xlfn.XLOOKUP(S1681,'Tabla Articulos'!B:B,'Tabla Articulos'!E:E)</f>
        <v/>
      </c>
      <c r="R1681" s="96">
        <f>O1681*Q1681</f>
        <v/>
      </c>
      <c r="S1681" s="97">
        <f>TRIM(E1681)</f>
        <v/>
      </c>
    </row>
    <row r="1682" hidden="1">
      <c r="A1682" s="22" t="n">
        <v>5</v>
      </c>
      <c r="B1682" t="inlineStr">
        <is>
          <t xml:space="preserve">CDM02 - MORENO 2              </t>
        </is>
      </c>
      <c r="C1682" t="inlineStr">
        <is>
          <t xml:space="preserve">GRUPO L.                      </t>
        </is>
      </c>
      <c r="D1682" t="inlineStr">
        <is>
          <t>ALIMENTO BALANCEADO FLAMENCO</t>
        </is>
      </c>
      <c r="E1682" t="inlineStr">
        <is>
          <t xml:space="preserve">7790000000447       </t>
        </is>
      </c>
      <c r="F1682" t="n">
        <v>4023263</v>
      </c>
      <c r="G1682" t="inlineStr">
        <is>
          <t xml:space="preserve">ALIMENTO BALANCEADO FLAMENCO KG    </t>
        </is>
      </c>
      <c r="H1682" t="inlineStr">
        <is>
          <t xml:space="preserve">Kgs                 </t>
        </is>
      </c>
      <c r="I1682" t="n">
        <v>725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725</v>
      </c>
      <c r="P1682" s="96">
        <f>_xlfn.XLOOKUP(Tabla5[[#This Row],[EAN CORREGIDO]],'Tabla Articulos'!B:B,'Tabla Articulos'!D:D)</f>
        <v/>
      </c>
      <c r="Q1682" s="96">
        <f>_xlfn.XLOOKUP(S1682,'Tabla Articulos'!B:B,'Tabla Articulos'!E:E)</f>
        <v/>
      </c>
      <c r="R1682" s="96">
        <f>O1682*Q1682</f>
        <v/>
      </c>
      <c r="S1682" s="97">
        <f>TRIM(E1682)</f>
        <v/>
      </c>
    </row>
    <row r="1683" hidden="1">
      <c r="A1683" s="22" t="n">
        <v>1</v>
      </c>
      <c r="B1683" t="inlineStr">
        <is>
          <t xml:space="preserve">CD MORENO                     </t>
        </is>
      </c>
      <c r="C1683" t="inlineStr">
        <is>
          <t xml:space="preserve">GRUPO L.                      </t>
        </is>
      </c>
      <c r="D1683" t="inlineStr">
        <is>
          <t>ALFAJOR SIMPLE BLANCO</t>
        </is>
      </c>
      <c r="E1683" t="inlineStr">
        <is>
          <t xml:space="preserve">77912268            </t>
        </is>
      </c>
      <c r="F1683" t="n">
        <v>4019179</v>
      </c>
      <c r="G1683" t="inlineStr">
        <is>
          <t xml:space="preserve">ALFAJOR BLANCO X38G MOGY           </t>
        </is>
      </c>
      <c r="H1683" t="inlineStr">
        <is>
          <t xml:space="preserve">UNIDAD              </t>
        </is>
      </c>
      <c r="I1683" t="n">
        <v>10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10</v>
      </c>
      <c r="P1683" s="96">
        <f>_xlfn.XLOOKUP(Tabla5[[#This Row],[EAN CORREGIDO]],'Tabla Articulos'!B:B,'Tabla Articulos'!D:D)</f>
        <v/>
      </c>
      <c r="Q1683" s="96">
        <f>_xlfn.XLOOKUP(S1683,'Tabla Articulos'!B:B,'Tabla Articulos'!E:E)</f>
        <v/>
      </c>
      <c r="R1683" s="96">
        <f>O1683*Q1683</f>
        <v/>
      </c>
      <c r="S1683" s="97">
        <f>TRIM(E1683)</f>
        <v/>
      </c>
    </row>
    <row r="1684" hidden="1">
      <c r="A1684" s="22" t="n">
        <v>6</v>
      </c>
      <c r="B1684" t="inlineStr">
        <is>
          <t xml:space="preserve">CDM03 - MORENO 3              </t>
        </is>
      </c>
      <c r="C1684" t="inlineStr">
        <is>
          <t xml:space="preserve">GRUPO L.                      </t>
        </is>
      </c>
      <c r="E1684" t="inlineStr">
        <is>
          <t xml:space="preserve">UNIF000174          </t>
        </is>
      </c>
      <c r="F1684" t="n">
        <v>9003209</v>
      </c>
      <c r="G1684" t="inlineStr">
        <is>
          <t xml:space="preserve">GORRO C. GOURMET BAJO              </t>
        </is>
      </c>
      <c r="H1684" t="inlineStr">
        <is>
          <t xml:space="preserve">UNIDAD              </t>
        </is>
      </c>
      <c r="I1684" t="n">
        <v>233</v>
      </c>
      <c r="J1684" t="n">
        <v>0</v>
      </c>
      <c r="K1684" t="n">
        <v>0</v>
      </c>
      <c r="L1684" t="n">
        <v>32</v>
      </c>
      <c r="M1684" t="n">
        <v>32</v>
      </c>
      <c r="N1684" t="n">
        <v>0</v>
      </c>
      <c r="O1684" t="n">
        <v>169</v>
      </c>
      <c r="P1684" s="96">
        <f>_xlfn.XLOOKUP(Tabla5[[#This Row],[EAN CORREGIDO]],'Tabla Articulos'!B:B,'Tabla Articulos'!D:D)</f>
        <v/>
      </c>
      <c r="Q1684" s="96">
        <f>_xlfn.XLOOKUP(S1684,'Tabla Articulos'!B:B,'Tabla Articulos'!E:E)</f>
        <v/>
      </c>
      <c r="R1684" s="96">
        <f>O1684*Q1684</f>
        <v/>
      </c>
      <c r="S1684" s="97">
        <f>TRIM(E1684)</f>
        <v/>
      </c>
    </row>
    <row r="1685" hidden="1">
      <c r="A1685" s="22" t="n">
        <v>6</v>
      </c>
      <c r="B1685" t="inlineStr">
        <is>
          <t xml:space="preserve">CDM03 - MORENO 3              </t>
        </is>
      </c>
      <c r="C1685" t="inlineStr">
        <is>
          <t xml:space="preserve">GRUPO L.                      </t>
        </is>
      </c>
      <c r="D1685" t="inlineStr">
        <is>
          <t>BAND ALUMINIO R5</t>
        </is>
      </c>
      <c r="E1685" t="inlineStr">
        <is>
          <t xml:space="preserve">610000108738        </t>
        </is>
      </c>
      <c r="F1685" t="n">
        <v>2007253</v>
      </c>
      <c r="G1685" t="inlineStr">
        <is>
          <t xml:space="preserve">BANDEJA ALUM R5 X600U VASSOI       </t>
        </is>
      </c>
      <c r="H1685" t="inlineStr">
        <is>
          <t xml:space="preserve">UNIDAD              </t>
        </is>
      </c>
      <c r="I1685" t="n">
        <v>22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22</v>
      </c>
      <c r="P1685" s="96">
        <f>_xlfn.XLOOKUP(Tabla5[[#This Row],[EAN CORREGIDO]],'Tabla Articulos'!B:B,'Tabla Articulos'!D:D)</f>
        <v/>
      </c>
      <c r="Q1685" s="96">
        <f>_xlfn.XLOOKUP(S1685,'Tabla Articulos'!B:B,'Tabla Articulos'!E:E)</f>
        <v/>
      </c>
      <c r="R1685" s="96">
        <f>O1685*Q1685</f>
        <v/>
      </c>
      <c r="S1685" s="97">
        <f>TRIM(E1685)</f>
        <v/>
      </c>
    </row>
    <row r="1686" hidden="1">
      <c r="A1686" s="22" t="n">
        <v>6</v>
      </c>
      <c r="B1686" t="inlineStr">
        <is>
          <t xml:space="preserve">CDM03 - MORENO 3              </t>
        </is>
      </c>
      <c r="C1686" t="inlineStr">
        <is>
          <t xml:space="preserve">GRUPO L.                      </t>
        </is>
      </c>
      <c r="D1686" s="11" t="n"/>
      <c r="E1686" t="inlineStr">
        <is>
          <t xml:space="preserve">UNIF000198          </t>
        </is>
      </c>
      <c r="F1686" t="n">
        <v>9003438</v>
      </c>
      <c r="G1686" t="inlineStr">
        <is>
          <t xml:space="preserve">PANTA. CARGO NEGRO 50 GL SUPPORT   </t>
        </is>
      </c>
      <c r="H1686" t="inlineStr">
        <is>
          <t xml:space="preserve">UNIDAD              </t>
        </is>
      </c>
      <c r="I1686" t="n">
        <v>32</v>
      </c>
      <c r="J1686" t="n">
        <v>0</v>
      </c>
      <c r="K1686" t="n">
        <v>0</v>
      </c>
      <c r="L1686" t="n">
        <v>2</v>
      </c>
      <c r="M1686" t="n">
        <v>2</v>
      </c>
      <c r="N1686" t="n">
        <v>0</v>
      </c>
      <c r="O1686" t="n">
        <v>28</v>
      </c>
      <c r="P1686" s="96">
        <f>_xlfn.XLOOKUP(Tabla5[[#This Row],[EAN CORREGIDO]],'Tabla Articulos'!B:B,'Tabla Articulos'!D:D)</f>
        <v/>
      </c>
      <c r="Q1686" s="96">
        <f>_xlfn.XLOOKUP(S1686,'Tabla Articulos'!B:B,'Tabla Articulos'!E:E)</f>
        <v/>
      </c>
      <c r="R1686" s="96">
        <f>O1686*Q1686</f>
        <v/>
      </c>
      <c r="S1686" s="97">
        <f>TRIM(E1686)</f>
        <v/>
      </c>
    </row>
    <row r="1687" hidden="1">
      <c r="A1687" s="22" t="n">
        <v>1</v>
      </c>
      <c r="B1687" t="inlineStr">
        <is>
          <t xml:space="preserve">CD MORENO                     </t>
        </is>
      </c>
      <c r="C1687" t="inlineStr">
        <is>
          <t xml:space="preserve">GRUPO L.                      </t>
        </is>
      </c>
      <c r="D1687" t="inlineStr">
        <is>
          <t>PASTAS RELLENAS</t>
        </is>
      </c>
      <c r="E1687" t="inlineStr">
        <is>
          <t xml:space="preserve">7791218122624       </t>
        </is>
      </c>
      <c r="F1687" t="n">
        <v>4018656</v>
      </c>
      <c r="G1687" t="inlineStr">
        <is>
          <t xml:space="preserve">RAVIOLES RICOTA X500G ORALI        </t>
        </is>
      </c>
      <c r="H1687" t="inlineStr">
        <is>
          <t xml:space="preserve">UNIDAD              </t>
        </is>
      </c>
      <c r="I1687" t="n">
        <v>138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138</v>
      </c>
      <c r="P1687" s="96">
        <f>_xlfn.XLOOKUP(Tabla5[[#This Row],[EAN CORREGIDO]],'Tabla Articulos'!B:B,'Tabla Articulos'!D:D)</f>
        <v/>
      </c>
      <c r="Q1687" s="96">
        <f>_xlfn.XLOOKUP(S1687,'Tabla Articulos'!B:B,'Tabla Articulos'!E:E)</f>
        <v/>
      </c>
      <c r="R1687" s="96">
        <f>O1687*Q1687</f>
        <v/>
      </c>
      <c r="S1687" s="97">
        <f>TRIM(E1687)</f>
        <v/>
      </c>
    </row>
    <row r="1688" hidden="1">
      <c r="A1688" s="22" t="n">
        <v>1</v>
      </c>
      <c r="B1688" t="inlineStr">
        <is>
          <t xml:space="preserve">CD MORENO                     </t>
        </is>
      </c>
      <c r="C1688" t="inlineStr">
        <is>
          <t xml:space="preserve">GRUPO L.                      </t>
        </is>
      </c>
      <c r="D1688" t="inlineStr">
        <is>
          <t>POLLO CONGELADO</t>
        </is>
      </c>
      <c r="E1688" t="inlineStr">
        <is>
          <t xml:space="preserve">2304631000001       </t>
        </is>
      </c>
      <c r="F1688" t="n">
        <v>4017579</v>
      </c>
      <c r="G1688" t="inlineStr">
        <is>
          <t xml:space="preserve">SUP. X 5 KG CONG 3 ARR X BOLSA     </t>
        </is>
      </c>
      <c r="H1688" t="inlineStr">
        <is>
          <t xml:space="preserve">UNIDAD              </t>
        </is>
      </c>
      <c r="I1688" t="n">
        <v>11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11</v>
      </c>
      <c r="P1688" s="96">
        <f>_xlfn.XLOOKUP(Tabla5[[#This Row],[EAN CORREGIDO]],'Tabla Articulos'!B:B,'Tabla Articulos'!D:D)</f>
        <v/>
      </c>
      <c r="Q1688" s="96">
        <f>_xlfn.XLOOKUP(S1688,'Tabla Articulos'!B:B,'Tabla Articulos'!E:E)</f>
        <v/>
      </c>
      <c r="R1688" s="96">
        <f>O1688*Q1688</f>
        <v/>
      </c>
      <c r="S1688" s="97">
        <f>TRIM(E1688)</f>
        <v/>
      </c>
    </row>
    <row r="1689" hidden="1">
      <c r="A1689" s="22" t="n">
        <v>1</v>
      </c>
      <c r="B1689" t="inlineStr">
        <is>
          <t xml:space="preserve">CD MORENO                     </t>
        </is>
      </c>
      <c r="C1689" t="inlineStr">
        <is>
          <t xml:space="preserve">GRUPO L.                      </t>
        </is>
      </c>
      <c r="D1689" t="inlineStr">
        <is>
          <t>MERMELADA DURAZNO VIDRIO</t>
        </is>
      </c>
      <c r="E1689" t="inlineStr">
        <is>
          <t xml:space="preserve">7791113000904       </t>
        </is>
      </c>
      <c r="F1689" t="n">
        <v>4020151</v>
      </c>
      <c r="G1689" t="inlineStr">
        <is>
          <t xml:space="preserve">MERMELADA DURX454GR EMETH VID      </t>
        </is>
      </c>
      <c r="H1689" t="inlineStr">
        <is>
          <t xml:space="preserve">UNIDAD              </t>
        </is>
      </c>
      <c r="I1689" t="n">
        <v>483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483</v>
      </c>
      <c r="P1689" s="96">
        <f>_xlfn.XLOOKUP(Tabla5[[#This Row],[EAN CORREGIDO]],'Tabla Articulos'!B:B,'Tabla Articulos'!D:D)</f>
        <v/>
      </c>
      <c r="Q1689" s="96">
        <f>_xlfn.XLOOKUP(S1689,'Tabla Articulos'!B:B,'Tabla Articulos'!E:E)</f>
        <v/>
      </c>
      <c r="R1689" s="96">
        <f>O1689*Q1689</f>
        <v/>
      </c>
      <c r="S1689" s="97">
        <f>TRIM(E1689)</f>
        <v/>
      </c>
    </row>
    <row r="1690" hidden="1">
      <c r="A1690" s="22" t="n">
        <v>6</v>
      </c>
      <c r="B1690" t="inlineStr">
        <is>
          <t xml:space="preserve">CDM03 - MORENO 3              </t>
        </is>
      </c>
      <c r="C1690" t="inlineStr">
        <is>
          <t xml:space="preserve">GRUPO L.                      </t>
        </is>
      </c>
      <c r="D1690" s="11" t="inlineStr">
        <is>
          <t>PALITO BROCHETE</t>
        </is>
      </c>
      <c r="E1690" t="inlineStr">
        <is>
          <t xml:space="preserve">7790321123456       </t>
        </is>
      </c>
      <c r="F1690" t="n">
        <v>2006633</v>
      </c>
      <c r="G1690" t="inlineStr">
        <is>
          <t xml:space="preserve">PALITO BROCHETTE 25CM X80U         </t>
        </is>
      </c>
      <c r="H1690" t="inlineStr">
        <is>
          <t xml:space="preserve">UNIDAD              </t>
        </is>
      </c>
      <c r="I1690" t="n">
        <v>29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29</v>
      </c>
      <c r="P1690" s="96">
        <f>_xlfn.XLOOKUP(Tabla5[[#This Row],[EAN CORREGIDO]],'Tabla Articulos'!B:B,'Tabla Articulos'!D:D)</f>
        <v/>
      </c>
      <c r="Q1690" s="96">
        <f>_xlfn.XLOOKUP(S1690,'Tabla Articulos'!B:B,'Tabla Articulos'!E:E)</f>
        <v/>
      </c>
      <c r="R1690" s="96">
        <f>O1690*Q1690</f>
        <v/>
      </c>
      <c r="S1690" s="97">
        <f>TRIM(E1690)</f>
        <v/>
      </c>
    </row>
    <row r="1691" hidden="1">
      <c r="A1691" s="22" t="n">
        <v>6</v>
      </c>
      <c r="B1691" t="inlineStr">
        <is>
          <t xml:space="preserve">CDM03 - MORENO 3              </t>
        </is>
      </c>
      <c r="C1691" t="inlineStr">
        <is>
          <t xml:space="preserve">GRUPO L.                      </t>
        </is>
      </c>
      <c r="D1691" s="11" t="n"/>
      <c r="E1691" t="inlineStr">
        <is>
          <t xml:space="preserve">7790000000670       </t>
        </is>
      </c>
      <c r="F1691" t="n">
        <v>2011425</v>
      </c>
      <c r="G1691" t="inlineStr">
        <is>
          <t xml:space="preserve">CABO EXTENSOR 6MT XUN              </t>
        </is>
      </c>
      <c r="H1691" t="inlineStr">
        <is>
          <t xml:space="preserve">UNIDAD              </t>
        </is>
      </c>
      <c r="I1691" t="n">
        <v>89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89</v>
      </c>
      <c r="P1691" s="96">
        <f>_xlfn.XLOOKUP(Tabla5[[#This Row],[EAN CORREGIDO]],'Tabla Articulos'!B:B,'Tabla Articulos'!D:D)</f>
        <v/>
      </c>
      <c r="Q1691" s="96">
        <f>_xlfn.XLOOKUP(S1691,'Tabla Articulos'!B:B,'Tabla Articulos'!E:E)</f>
        <v/>
      </c>
      <c r="R1691" s="96">
        <f>O1691*Q1691</f>
        <v/>
      </c>
      <c r="S1691" s="97">
        <f>TRIM(E1691)</f>
        <v/>
      </c>
    </row>
    <row r="1692" hidden="1">
      <c r="A1692" s="22" t="n">
        <v>1</v>
      </c>
      <c r="B1692" t="inlineStr">
        <is>
          <t xml:space="preserve">CD MORENO                     </t>
        </is>
      </c>
      <c r="C1692" t="inlineStr">
        <is>
          <t xml:space="preserve">GRUPO L.                      </t>
        </is>
      </c>
      <c r="D1692" s="11" t="inlineStr">
        <is>
          <t>GELATINA DURAZNO LIGHT</t>
        </is>
      </c>
      <c r="E1692" t="inlineStr">
        <is>
          <t xml:space="preserve">7791113001901       </t>
        </is>
      </c>
      <c r="F1692" t="n">
        <v>4019867</v>
      </c>
      <c r="G1692" t="inlineStr">
        <is>
          <t xml:space="preserve">GELATINA DURAZNO LIGHT X 25G EMETH </t>
        </is>
      </c>
      <c r="H1692" t="inlineStr">
        <is>
          <t xml:space="preserve">UNIDAD              </t>
        </is>
      </c>
      <c r="I1692" t="n">
        <v>1002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1002</v>
      </c>
      <c r="P1692" s="96">
        <f>_xlfn.XLOOKUP(Tabla5[[#This Row],[EAN CORREGIDO]],'Tabla Articulos'!B:B,'Tabla Articulos'!D:D)</f>
        <v/>
      </c>
      <c r="Q1692" s="96">
        <f>_xlfn.XLOOKUP(S1692,'Tabla Articulos'!B:B,'Tabla Articulos'!E:E)</f>
        <v/>
      </c>
      <c r="R1692" s="96">
        <f>O1692*Q1692</f>
        <v/>
      </c>
      <c r="S1692" s="97">
        <f>TRIM(E1692)</f>
        <v/>
      </c>
    </row>
    <row r="1693" hidden="1">
      <c r="A1693" s="22" t="n">
        <v>6</v>
      </c>
      <c r="B1693" t="inlineStr">
        <is>
          <t xml:space="preserve">CDM03 - MORENO 3              </t>
        </is>
      </c>
      <c r="C1693" t="inlineStr">
        <is>
          <t xml:space="preserve">GRUPO L.                      </t>
        </is>
      </c>
      <c r="D1693" t="inlineStr">
        <is>
          <t>PAPEL HIGIENICO</t>
        </is>
      </c>
      <c r="E1693" t="inlineStr">
        <is>
          <t xml:space="preserve">7791268030245       </t>
        </is>
      </c>
      <c r="F1693" t="n">
        <v>2016680</v>
      </c>
      <c r="G1693" t="inlineStr">
        <is>
          <t xml:space="preserve">PAPEL HIG DH 30MTX4UX10 VALOT      </t>
        </is>
      </c>
      <c r="H1693" t="inlineStr">
        <is>
          <t xml:space="preserve">UNIDAD              </t>
        </is>
      </c>
      <c r="I1693" t="n">
        <v>319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319</v>
      </c>
      <c r="P1693" s="96">
        <f>_xlfn.XLOOKUP(Tabla5[[#This Row],[EAN CORREGIDO]],'Tabla Articulos'!B:B,'Tabla Articulos'!D:D)</f>
        <v/>
      </c>
      <c r="Q1693" s="96">
        <f>_xlfn.XLOOKUP(S1693,'Tabla Articulos'!B:B,'Tabla Articulos'!E:E)</f>
        <v/>
      </c>
      <c r="R1693" s="96">
        <f>O1693*Q1693</f>
        <v/>
      </c>
      <c r="S1693" s="97">
        <f>TRIM(E1693)</f>
        <v/>
      </c>
    </row>
    <row r="1694" hidden="1">
      <c r="A1694" s="22" t="n">
        <v>5</v>
      </c>
      <c r="B1694" t="inlineStr">
        <is>
          <t xml:space="preserve">CDM02 - MORENO 2              </t>
        </is>
      </c>
      <c r="C1694" t="inlineStr">
        <is>
          <t xml:space="preserve">GRUPO L.                      </t>
        </is>
      </c>
      <c r="D1694" t="inlineStr">
        <is>
          <t>CAJAS CARTON ELECTORAL</t>
        </is>
      </c>
      <c r="E1694" t="inlineStr">
        <is>
          <t xml:space="preserve">7790321020914       </t>
        </is>
      </c>
      <c r="F1694" t="n">
        <v>2006385</v>
      </c>
      <c r="G1694" t="inlineStr">
        <is>
          <t xml:space="preserve">CAJA CARTON 245X200X90 ELECCION    </t>
        </is>
      </c>
      <c r="H1694" t="inlineStr">
        <is>
          <t xml:space="preserve">UNIDAD              </t>
        </is>
      </c>
      <c r="I1694" t="n">
        <v>13860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13860</v>
      </c>
      <c r="P1694" s="96">
        <f>_xlfn.XLOOKUP(Tabla5[[#This Row],[EAN CORREGIDO]],'Tabla Articulos'!B:B,'Tabla Articulos'!D:D)</f>
        <v/>
      </c>
      <c r="Q1694" s="96">
        <f>_xlfn.XLOOKUP(S1694,'Tabla Articulos'!B:B,'Tabla Articulos'!E:E)</f>
        <v/>
      </c>
      <c r="R1694" s="96">
        <f>O1694*Q1694</f>
        <v/>
      </c>
      <c r="S1694" s="97">
        <f>TRIM(E1694)</f>
        <v/>
      </c>
    </row>
    <row r="1695" hidden="1">
      <c r="A1695" s="22" t="n">
        <v>6</v>
      </c>
      <c r="B1695" t="inlineStr">
        <is>
          <t xml:space="preserve">CDM03 - MORENO 3              </t>
        </is>
      </c>
      <c r="C1695" t="inlineStr">
        <is>
          <t xml:space="preserve">GRUPO L.                      </t>
        </is>
      </c>
      <c r="E1695" t="inlineStr">
        <is>
          <t xml:space="preserve">UNIF000432          </t>
        </is>
      </c>
      <c r="F1695" t="n">
        <v>9003593</v>
      </c>
      <c r="G1695" t="inlineStr">
        <is>
          <t xml:space="preserve">CAMPE. TRUCK A. MAR. 2XL PULCRUS   </t>
        </is>
      </c>
      <c r="H1695" t="inlineStr">
        <is>
          <t xml:space="preserve">UNIDAD              </t>
        </is>
      </c>
      <c r="I1695" t="n">
        <v>149</v>
      </c>
      <c r="J1695" t="n">
        <v>0</v>
      </c>
      <c r="K1695" t="n">
        <v>0</v>
      </c>
      <c r="L1695" t="n">
        <v>9</v>
      </c>
      <c r="M1695" t="n">
        <v>9</v>
      </c>
      <c r="N1695" t="n">
        <v>0</v>
      </c>
      <c r="O1695" t="n">
        <v>131</v>
      </c>
      <c r="P1695" s="96">
        <f>_xlfn.XLOOKUP(Tabla5[[#This Row],[EAN CORREGIDO]],'Tabla Articulos'!B:B,'Tabla Articulos'!D:D)</f>
        <v/>
      </c>
      <c r="Q1695" s="96">
        <f>_xlfn.XLOOKUP(S1695,'Tabla Articulos'!B:B,'Tabla Articulos'!E:E)</f>
        <v/>
      </c>
      <c r="R1695" s="96">
        <f>O1695*Q1695</f>
        <v/>
      </c>
      <c r="S1695" s="97">
        <f>TRIM(E1695)</f>
        <v/>
      </c>
    </row>
    <row r="1696" hidden="1">
      <c r="A1696" s="22" t="n">
        <v>6</v>
      </c>
      <c r="B1696" t="inlineStr">
        <is>
          <t xml:space="preserve">CDM03 - MORENO 3              </t>
        </is>
      </c>
      <c r="C1696" t="inlineStr">
        <is>
          <t xml:space="preserve">GRUPO L.                      </t>
        </is>
      </c>
      <c r="E1696" t="inlineStr">
        <is>
          <t xml:space="preserve">100ND47             </t>
        </is>
      </c>
      <c r="F1696" t="n">
        <v>9004413</v>
      </c>
      <c r="G1696" t="inlineStr">
        <is>
          <t xml:space="preserve">GL ZAPATO SEG. NEG. 47 GAMAX       </t>
        </is>
      </c>
      <c r="H1696" t="inlineStr">
        <is>
          <t xml:space="preserve">UNIDAD              </t>
        </is>
      </c>
      <c r="I1696" t="n">
        <v>0</v>
      </c>
      <c r="J1696" t="n">
        <v>40</v>
      </c>
      <c r="K1696" t="n">
        <v>0</v>
      </c>
      <c r="L1696" t="n">
        <v>0</v>
      </c>
      <c r="M1696" t="n">
        <v>0</v>
      </c>
      <c r="N1696" t="n">
        <v>0</v>
      </c>
      <c r="O1696" t="n">
        <v>40</v>
      </c>
      <c r="P1696" s="96">
        <f>_xlfn.XLOOKUP(Tabla5[[#This Row],[EAN CORREGIDO]],'Tabla Articulos'!B:B,'Tabla Articulos'!D:D)</f>
        <v/>
      </c>
      <c r="Q1696" s="96">
        <f>_xlfn.XLOOKUP(S1696,'Tabla Articulos'!B:B,'Tabla Articulos'!E:E)</f>
        <v/>
      </c>
      <c r="R1696" s="96">
        <f>O1696*Q1696</f>
        <v/>
      </c>
      <c r="S1696" s="97">
        <f>TRIM(E1696)</f>
        <v/>
      </c>
    </row>
    <row r="1697" hidden="1">
      <c r="A1697" s="22" t="n">
        <v>6</v>
      </c>
      <c r="B1697" t="inlineStr">
        <is>
          <t xml:space="preserve">CDM03 - MORENO 3              </t>
        </is>
      </c>
      <c r="C1697" t="inlineStr">
        <is>
          <t xml:space="preserve">GRUPO L.                      </t>
        </is>
      </c>
      <c r="D1697" t="inlineStr">
        <is>
          <t>DETERGENTE</t>
        </is>
      </c>
      <c r="E1697" t="inlineStr">
        <is>
          <t xml:space="preserve">7798188650195       </t>
        </is>
      </c>
      <c r="F1697" t="n">
        <v>2006713</v>
      </c>
      <c r="G1697" t="inlineStr">
        <is>
          <t xml:space="preserve">DETERGENTE BIOT DET X5L THAMES     </t>
        </is>
      </c>
      <c r="H1697" t="inlineStr">
        <is>
          <t xml:space="preserve">UNIDAD              </t>
        </is>
      </c>
      <c r="I1697" t="n">
        <v>589</v>
      </c>
      <c r="J1697" t="n">
        <v>0</v>
      </c>
      <c r="K1697" t="n">
        <v>160</v>
      </c>
      <c r="L1697" t="n">
        <v>179</v>
      </c>
      <c r="M1697" t="n">
        <v>183</v>
      </c>
      <c r="N1697" t="n">
        <v>0</v>
      </c>
      <c r="O1697" t="n">
        <v>67</v>
      </c>
      <c r="P1697" s="96">
        <f>_xlfn.XLOOKUP(Tabla5[[#This Row],[EAN CORREGIDO]],'Tabla Articulos'!B:B,'Tabla Articulos'!D:D)</f>
        <v/>
      </c>
      <c r="Q1697" s="96">
        <f>_xlfn.XLOOKUP(S1697,'Tabla Articulos'!B:B,'Tabla Articulos'!E:E)</f>
        <v/>
      </c>
      <c r="R1697" s="96">
        <f>O1697*Q1697</f>
        <v/>
      </c>
      <c r="S1697" s="97">
        <f>TRIM(E1697)</f>
        <v/>
      </c>
    </row>
    <row r="1698" hidden="1">
      <c r="A1698" s="22" t="n">
        <v>6</v>
      </c>
      <c r="B1698" t="inlineStr">
        <is>
          <t xml:space="preserve">CDM03 - MORENO 3              </t>
        </is>
      </c>
      <c r="C1698" t="inlineStr">
        <is>
          <t xml:space="preserve">GRUPO L.                      </t>
        </is>
      </c>
      <c r="D1698" s="11" t="inlineStr">
        <is>
          <t>LAVANDINA</t>
        </is>
      </c>
      <c r="E1698" t="inlineStr">
        <is>
          <t xml:space="preserve">7790132098459       </t>
        </is>
      </c>
      <c r="F1698" t="n">
        <v>2006760</v>
      </c>
      <c r="G1698" t="inlineStr">
        <is>
          <t xml:space="preserve">LAVANDINA X1LT AYUDIN	             </t>
        </is>
      </c>
      <c r="H1698" t="inlineStr">
        <is>
          <t xml:space="preserve">UNIDAD              </t>
        </is>
      </c>
      <c r="I1698" t="n">
        <v>611</v>
      </c>
      <c r="J1698" t="n">
        <v>0</v>
      </c>
      <c r="K1698" t="n">
        <v>611</v>
      </c>
      <c r="L1698" t="n">
        <v>0</v>
      </c>
      <c r="M1698" t="n">
        <v>0</v>
      </c>
      <c r="N1698" t="n">
        <v>0</v>
      </c>
      <c r="O1698" t="n">
        <v>0</v>
      </c>
      <c r="P1698" s="96">
        <f>_xlfn.XLOOKUP(Tabla5[[#This Row],[EAN CORREGIDO]],'Tabla Articulos'!B:B,'Tabla Articulos'!D:D)</f>
        <v/>
      </c>
      <c r="Q1698" s="96">
        <f>_xlfn.XLOOKUP(S1698,'Tabla Articulos'!B:B,'Tabla Articulos'!E:E)</f>
        <v/>
      </c>
      <c r="R1698" s="96">
        <f>O1698*Q1698</f>
        <v/>
      </c>
      <c r="S1698" s="97">
        <f>TRIM(E1698)</f>
        <v/>
      </c>
    </row>
    <row r="1699" hidden="1">
      <c r="A1699" s="22" t="n">
        <v>6</v>
      </c>
      <c r="B1699" t="inlineStr">
        <is>
          <t xml:space="preserve">CDM03 - MORENO 3              </t>
        </is>
      </c>
      <c r="C1699" t="inlineStr">
        <is>
          <t xml:space="preserve">GRUPO L.                      </t>
        </is>
      </c>
      <c r="E1699" t="inlineStr">
        <is>
          <t xml:space="preserve">BAZ001355           </t>
        </is>
      </c>
      <c r="F1699" t="n">
        <v>9003750</v>
      </c>
      <c r="G1699" t="inlineStr">
        <is>
          <t xml:space="preserve">COMPOTERA/BOLS CERE PORC RECTO     </t>
        </is>
      </c>
      <c r="H1699" t="inlineStr">
        <is>
          <t xml:space="preserve">UNIDAD              </t>
        </is>
      </c>
      <c r="I1699" t="n">
        <v>936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936</v>
      </c>
      <c r="P1699" s="96">
        <f>_xlfn.XLOOKUP(Tabla5[[#This Row],[EAN CORREGIDO]],'Tabla Articulos'!B:B,'Tabla Articulos'!D:D)</f>
        <v/>
      </c>
      <c r="Q1699" s="96">
        <f>_xlfn.XLOOKUP(S1699,'Tabla Articulos'!B:B,'Tabla Articulos'!E:E)</f>
        <v/>
      </c>
      <c r="R1699" s="96">
        <f>O1699*Q1699</f>
        <v/>
      </c>
      <c r="S1699" s="97">
        <f>TRIM(E1699)</f>
        <v/>
      </c>
    </row>
    <row r="1700" hidden="1">
      <c r="A1700" s="22" t="n">
        <v>6</v>
      </c>
      <c r="B1700" t="inlineStr">
        <is>
          <t xml:space="preserve">CDM03 - MORENO 3              </t>
        </is>
      </c>
      <c r="C1700" t="inlineStr">
        <is>
          <t xml:space="preserve">GRUPO L.                      </t>
        </is>
      </c>
      <c r="E1700" t="inlineStr">
        <is>
          <t xml:space="preserve">BAZ001328           </t>
        </is>
      </c>
      <c r="F1700" t="n">
        <v>9003703</v>
      </c>
      <c r="G1700" t="inlineStr">
        <is>
          <t xml:space="preserve">PIZZERAS CHAPA D.D. REF N° 26      </t>
        </is>
      </c>
      <c r="H1700" t="inlineStr">
        <is>
          <t xml:space="preserve">UNIDAD              </t>
        </is>
      </c>
      <c r="I1700" t="n">
        <v>49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49</v>
      </c>
      <c r="P1700" s="96">
        <f>_xlfn.XLOOKUP(Tabla5[[#This Row],[EAN CORREGIDO]],'Tabla Articulos'!B:B,'Tabla Articulos'!D:D)</f>
        <v/>
      </c>
      <c r="Q1700" s="96">
        <f>_xlfn.XLOOKUP(S1700,'Tabla Articulos'!B:B,'Tabla Articulos'!E:E)</f>
        <v/>
      </c>
      <c r="R1700" s="96">
        <f>O1700*Q1700</f>
        <v/>
      </c>
      <c r="S1700" s="97">
        <f>TRIM(E1700)</f>
        <v/>
      </c>
    </row>
    <row r="1701" hidden="1">
      <c r="A1701" s="22" t="n">
        <v>6</v>
      </c>
      <c r="B1701" t="inlineStr">
        <is>
          <t xml:space="preserve">CDM03 - MORENO 3              </t>
        </is>
      </c>
      <c r="C1701" t="inlineStr">
        <is>
          <t xml:space="preserve">GRUPO L.                      </t>
        </is>
      </c>
      <c r="E1701" t="inlineStr">
        <is>
          <t xml:space="preserve">BAZ001155           </t>
        </is>
      </c>
      <c r="F1701" t="n">
        <v>9003831</v>
      </c>
      <c r="G1701" t="inlineStr">
        <is>
          <t xml:space="preserve">OLLA ALUMINO C/TAPA N°36 X 36 LT   </t>
        </is>
      </c>
      <c r="H1701" t="inlineStr">
        <is>
          <t xml:space="preserve">UNIDAD              </t>
        </is>
      </c>
      <c r="I1701" t="n">
        <v>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1</v>
      </c>
      <c r="P1701" s="96">
        <f>_xlfn.XLOOKUP(Tabla5[[#This Row],[EAN CORREGIDO]],'Tabla Articulos'!B:B,'Tabla Articulos'!D:D)</f>
        <v/>
      </c>
      <c r="Q1701" s="96">
        <f>_xlfn.XLOOKUP(S1701,'Tabla Articulos'!B:B,'Tabla Articulos'!E:E)</f>
        <v/>
      </c>
      <c r="R1701" s="96">
        <f>O1701*Q1701</f>
        <v/>
      </c>
      <c r="S1701" s="97">
        <f>TRIM(E1701)</f>
        <v/>
      </c>
    </row>
    <row r="1702" hidden="1">
      <c r="A1702" s="22" t="n">
        <v>6</v>
      </c>
      <c r="B1702" t="inlineStr">
        <is>
          <t xml:space="preserve">CDM03 - MORENO 3              </t>
        </is>
      </c>
      <c r="C1702" t="inlineStr">
        <is>
          <t xml:space="preserve">GRUPO L.                      </t>
        </is>
      </c>
      <c r="E1702" t="inlineStr">
        <is>
          <t xml:space="preserve">BUSAT000158         </t>
        </is>
      </c>
      <c r="G1702" t="inlineStr">
        <is>
          <t xml:space="preserve">TERMO CAFETERA ELECTRICA           </t>
        </is>
      </c>
      <c r="H1702" t="inlineStr">
        <is>
          <t xml:space="preserve">UNIDAD              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1</v>
      </c>
      <c r="P1702" s="96">
        <f>_xlfn.XLOOKUP(Tabla5[[#This Row],[EAN CORREGIDO]],'Tabla Articulos'!B:B,'Tabla Articulos'!D:D)</f>
        <v/>
      </c>
      <c r="Q1702" s="96">
        <f>_xlfn.XLOOKUP(S1702,'Tabla Articulos'!B:B,'Tabla Articulos'!E:E)</f>
        <v/>
      </c>
      <c r="R1702" s="96">
        <f>O1702*Q1702</f>
        <v/>
      </c>
      <c r="S1702" s="97">
        <f>TRIM(E1702)</f>
        <v/>
      </c>
    </row>
    <row r="1703" hidden="1">
      <c r="A1703" s="22" t="n">
        <v>6</v>
      </c>
      <c r="B1703" t="inlineStr">
        <is>
          <t xml:space="preserve">CDM03 - MORENO 3              </t>
        </is>
      </c>
      <c r="C1703" t="inlineStr">
        <is>
          <t xml:space="preserve">GRUPO L.                      </t>
        </is>
      </c>
      <c r="D1703" s="11" t="n"/>
      <c r="E1703" t="inlineStr">
        <is>
          <t xml:space="preserve">BUSAT000647         </t>
        </is>
      </c>
      <c r="G1703" t="inlineStr">
        <is>
          <t>DISPENSER TOALLA INTERCALADA CRISZE</t>
        </is>
      </c>
      <c r="H1703" t="inlineStr">
        <is>
          <t xml:space="preserve">UNIDAD              </t>
        </is>
      </c>
      <c r="I1703" t="n">
        <v>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2</v>
      </c>
      <c r="P1703" s="96">
        <f>_xlfn.XLOOKUP(Tabla5[[#This Row],[EAN CORREGIDO]],'Tabla Articulos'!B:B,'Tabla Articulos'!D:D)</f>
        <v/>
      </c>
      <c r="Q1703" s="96">
        <f>_xlfn.XLOOKUP(S1703,'Tabla Articulos'!B:B,'Tabla Articulos'!E:E)</f>
        <v/>
      </c>
      <c r="R1703" s="96">
        <f>O1703*Q1703</f>
        <v/>
      </c>
      <c r="S1703" s="97">
        <f>TRIM(E1703)</f>
        <v/>
      </c>
    </row>
    <row r="1704" hidden="1">
      <c r="A1704" s="22" t="n">
        <v>6</v>
      </c>
      <c r="B1704" t="inlineStr">
        <is>
          <t xml:space="preserve">CDM03 - MORENO 3              </t>
        </is>
      </c>
      <c r="C1704" t="inlineStr">
        <is>
          <t xml:space="preserve">GRUPO L.                      </t>
        </is>
      </c>
      <c r="E1704" t="inlineStr">
        <is>
          <t xml:space="preserve">BUSAT000618         </t>
        </is>
      </c>
      <c r="G1704" t="inlineStr">
        <is>
          <t xml:space="preserve">SWERTER CARDIGAN T1                </t>
        </is>
      </c>
      <c r="H1704" t="inlineStr">
        <is>
          <t xml:space="preserve">UNIDAD              </t>
        </is>
      </c>
      <c r="I1704" t="n">
        <v>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3</v>
      </c>
      <c r="P1704" s="96">
        <f>_xlfn.XLOOKUP(Tabla5[[#This Row],[EAN CORREGIDO]],'Tabla Articulos'!B:B,'Tabla Articulos'!D:D)</f>
        <v/>
      </c>
      <c r="Q1704" s="96">
        <f>_xlfn.XLOOKUP(S1704,'Tabla Articulos'!B:B,'Tabla Articulos'!E:E)</f>
        <v/>
      </c>
      <c r="R1704" s="96">
        <f>O1704*Q1704</f>
        <v/>
      </c>
      <c r="S1704" s="97">
        <f>TRIM(E1704)</f>
        <v/>
      </c>
    </row>
    <row r="1705" hidden="1">
      <c r="A1705" s="22" t="n">
        <v>6</v>
      </c>
      <c r="B1705" t="inlineStr">
        <is>
          <t xml:space="preserve">CDM03 - MORENO 3              </t>
        </is>
      </c>
      <c r="C1705" t="inlineStr">
        <is>
          <t xml:space="preserve">GRUPO L.                      </t>
        </is>
      </c>
      <c r="E1705" t="inlineStr">
        <is>
          <t xml:space="preserve">BUSAT000854         </t>
        </is>
      </c>
      <c r="G1705" t="inlineStr">
        <is>
          <t xml:space="preserve">BANDEJAS PLASTICAS VERDE C/ BLANCO </t>
        </is>
      </c>
      <c r="H1705" t="inlineStr">
        <is>
          <t xml:space="preserve">UNIDAD              </t>
        </is>
      </c>
      <c r="I1705" t="n">
        <v>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6</v>
      </c>
      <c r="P1705" s="96">
        <f>_xlfn.XLOOKUP(Tabla5[[#This Row],[EAN CORREGIDO]],'Tabla Articulos'!B:B,'Tabla Articulos'!D:D)</f>
        <v/>
      </c>
      <c r="Q1705" s="96">
        <f>_xlfn.XLOOKUP(S1705,'Tabla Articulos'!B:B,'Tabla Articulos'!E:E)</f>
        <v/>
      </c>
      <c r="R1705" s="96">
        <f>O1705*Q1705</f>
        <v/>
      </c>
      <c r="S1705" s="97">
        <f>TRIM(E1705)</f>
        <v/>
      </c>
    </row>
    <row r="1706" hidden="1">
      <c r="A1706" s="22" t="n">
        <v>6</v>
      </c>
      <c r="B1706" t="inlineStr">
        <is>
          <t xml:space="preserve">CDM03 - MORENO 3              </t>
        </is>
      </c>
      <c r="C1706" t="inlineStr">
        <is>
          <t xml:space="preserve">GRUPO L.                      </t>
        </is>
      </c>
      <c r="E1706" t="inlineStr">
        <is>
          <t xml:space="preserve">BUSAT0001133        </t>
        </is>
      </c>
      <c r="G1706" t="inlineStr">
        <is>
          <t xml:space="preserve">FOGONERO BJORN                     </t>
        </is>
      </c>
      <c r="H1706" t="inlineStr">
        <is>
          <t xml:space="preserve">UNIDAD              </t>
        </is>
      </c>
      <c r="I1706" t="n">
        <v>0</v>
      </c>
      <c r="J1706" t="n">
        <v>2</v>
      </c>
      <c r="K1706" t="n">
        <v>0</v>
      </c>
      <c r="L1706" t="n">
        <v>0</v>
      </c>
      <c r="M1706" t="n">
        <v>0</v>
      </c>
      <c r="N1706" t="n">
        <v>0</v>
      </c>
      <c r="O1706" t="n">
        <v>2</v>
      </c>
      <c r="P1706" s="96">
        <f>_xlfn.XLOOKUP(Tabla5[[#This Row],[EAN CORREGIDO]],'Tabla Articulos'!B:B,'Tabla Articulos'!D:D)</f>
        <v/>
      </c>
      <c r="Q1706" s="96">
        <f>_xlfn.XLOOKUP(S1706,'Tabla Articulos'!B:B,'Tabla Articulos'!E:E)</f>
        <v/>
      </c>
      <c r="R1706" s="96">
        <f>O1706*Q1706</f>
        <v/>
      </c>
      <c r="S1706" s="97">
        <f>TRIM(E1706)</f>
        <v/>
      </c>
    </row>
    <row r="1707" hidden="1">
      <c r="A1707" s="22" t="n">
        <v>6</v>
      </c>
      <c r="B1707" t="inlineStr">
        <is>
          <t xml:space="preserve">CDM03 - MORENO 3              </t>
        </is>
      </c>
      <c r="C1707" t="inlineStr">
        <is>
          <t xml:space="preserve">GRUPO L.                      </t>
        </is>
      </c>
      <c r="E1707" t="inlineStr">
        <is>
          <t xml:space="preserve">BUSAT001017         </t>
        </is>
      </c>
      <c r="G1707" t="inlineStr">
        <is>
          <t xml:space="preserve">CHOMBA GRIS C AZUL M-LARGA XXXL    </t>
        </is>
      </c>
      <c r="H1707" t="inlineStr">
        <is>
          <t xml:space="preserve">UNIDAD              </t>
        </is>
      </c>
      <c r="I1707" t="n">
        <v>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4</v>
      </c>
      <c r="P1707" s="96">
        <f>_xlfn.XLOOKUP(Tabla5[[#This Row],[EAN CORREGIDO]],'Tabla Articulos'!B:B,'Tabla Articulos'!D:D)</f>
        <v/>
      </c>
      <c r="Q1707" s="96">
        <f>_xlfn.XLOOKUP(S1707,'Tabla Articulos'!B:B,'Tabla Articulos'!E:E)</f>
        <v/>
      </c>
      <c r="R1707" s="96">
        <f>O1707*Q1707</f>
        <v/>
      </c>
      <c r="S1707" s="97">
        <f>TRIM(E1707)</f>
        <v/>
      </c>
    </row>
    <row r="1708" hidden="1">
      <c r="A1708" s="22" t="n">
        <v>6</v>
      </c>
      <c r="B1708" t="inlineStr">
        <is>
          <t xml:space="preserve">CDM03 - MORENO 3              </t>
        </is>
      </c>
      <c r="C1708" t="inlineStr">
        <is>
          <t xml:space="preserve">GRUPO L.                      </t>
        </is>
      </c>
      <c r="E1708" t="inlineStr">
        <is>
          <t xml:space="preserve">BUSAT000082         </t>
        </is>
      </c>
      <c r="G1708" t="inlineStr">
        <is>
          <t xml:space="preserve">DISCO RALLADOR CHICO               </t>
        </is>
      </c>
      <c r="H1708" t="inlineStr">
        <is>
          <t xml:space="preserve">UNIDAD              </t>
        </is>
      </c>
      <c r="I1708" t="n">
        <v>11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11</v>
      </c>
      <c r="P1708" s="96">
        <f>_xlfn.XLOOKUP(Tabla5[[#This Row],[EAN CORREGIDO]],'Tabla Articulos'!B:B,'Tabla Articulos'!D:D)</f>
        <v/>
      </c>
      <c r="Q1708" s="96">
        <f>_xlfn.XLOOKUP(S1708,'Tabla Articulos'!B:B,'Tabla Articulos'!E:E)</f>
        <v/>
      </c>
      <c r="R1708" s="96">
        <f>O1708*Q1708</f>
        <v/>
      </c>
      <c r="S1708" s="97">
        <f>TRIM(E1708)</f>
        <v/>
      </c>
    </row>
    <row r="1709" hidden="1">
      <c r="A1709" s="22" t="n">
        <v>6</v>
      </c>
      <c r="B1709" t="inlineStr">
        <is>
          <t xml:space="preserve">CDM03 - MORENO 3              </t>
        </is>
      </c>
      <c r="C1709" t="inlineStr">
        <is>
          <t xml:space="preserve">GRUPO L.                      </t>
        </is>
      </c>
      <c r="E1709" t="inlineStr">
        <is>
          <t xml:space="preserve">BUSAT000012         </t>
        </is>
      </c>
      <c r="G1709" t="inlineStr">
        <is>
          <t xml:space="preserve">ACCESORIO BATIDOR P/MASA           </t>
        </is>
      </c>
      <c r="H1709" t="inlineStr">
        <is>
          <t xml:space="preserve">UNIDAD              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1</v>
      </c>
      <c r="P1709" s="96">
        <f>_xlfn.XLOOKUP(Tabla5[[#This Row],[EAN CORREGIDO]],'Tabla Articulos'!B:B,'Tabla Articulos'!D:D)</f>
        <v/>
      </c>
      <c r="Q1709" s="96">
        <f>_xlfn.XLOOKUP(S1709,'Tabla Articulos'!B:B,'Tabla Articulos'!E:E)</f>
        <v/>
      </c>
      <c r="R1709" s="96">
        <f>O1709*Q1709</f>
        <v/>
      </c>
      <c r="S1709" s="97">
        <f>TRIM(E1709)</f>
        <v/>
      </c>
    </row>
    <row r="1710" hidden="1">
      <c r="A1710" s="22" t="n">
        <v>6</v>
      </c>
      <c r="B1710" t="inlineStr">
        <is>
          <t xml:space="preserve">CDM03 - MORENO 3              </t>
        </is>
      </c>
      <c r="C1710" t="inlineStr">
        <is>
          <t xml:space="preserve">GRUPO L.                      </t>
        </is>
      </c>
      <c r="E1710" t="inlineStr">
        <is>
          <t xml:space="preserve">BUSAT000344         </t>
        </is>
      </c>
      <c r="G1710" t="inlineStr">
        <is>
          <t xml:space="preserve">CUCHARAS PERFORADAS                </t>
        </is>
      </c>
      <c r="H1710" t="inlineStr">
        <is>
          <t xml:space="preserve">UNIDAD              </t>
        </is>
      </c>
      <c r="I1710" t="n">
        <v>16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16</v>
      </c>
      <c r="P1710" s="96">
        <f>_xlfn.XLOOKUP(Tabla5[[#This Row],[EAN CORREGIDO]],'Tabla Articulos'!B:B,'Tabla Articulos'!D:D)</f>
        <v/>
      </c>
      <c r="Q1710" s="96">
        <f>_xlfn.XLOOKUP(S1710,'Tabla Articulos'!B:B,'Tabla Articulos'!E:E)</f>
        <v/>
      </c>
      <c r="R1710" s="96">
        <f>O1710*Q1710</f>
        <v/>
      </c>
      <c r="S1710" s="97">
        <f>TRIM(E1710)</f>
        <v/>
      </c>
    </row>
    <row r="1711" hidden="1">
      <c r="A1711" s="22" t="n">
        <v>6</v>
      </c>
      <c r="B1711" t="inlineStr">
        <is>
          <t xml:space="preserve">CDM03 - MORENO 3              </t>
        </is>
      </c>
      <c r="C1711" t="inlineStr">
        <is>
          <t xml:space="preserve">GRUPO L.                      </t>
        </is>
      </c>
      <c r="E1711" t="inlineStr">
        <is>
          <t xml:space="preserve">BUSAT000438         </t>
        </is>
      </c>
      <c r="G1711" t="inlineStr">
        <is>
          <t xml:space="preserve">PANTALON CARGO GRIS FRANJA NARANJA	</t>
        </is>
      </c>
      <c r="H1711" t="inlineStr">
        <is>
          <t xml:space="preserve">UNIDAD              </t>
        </is>
      </c>
      <c r="I1711" t="n">
        <v>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2</v>
      </c>
      <c r="P1711" s="96">
        <f>_xlfn.XLOOKUP(Tabla5[[#This Row],[EAN CORREGIDO]],'Tabla Articulos'!B:B,'Tabla Articulos'!D:D)</f>
        <v/>
      </c>
      <c r="Q1711" s="96">
        <f>_xlfn.XLOOKUP(S1711,'Tabla Articulos'!B:B,'Tabla Articulos'!E:E)</f>
        <v/>
      </c>
      <c r="R1711" s="96">
        <f>O1711*Q1711</f>
        <v/>
      </c>
      <c r="S1711" s="97">
        <f>TRIM(E1711)</f>
        <v/>
      </c>
    </row>
    <row r="1712" hidden="1">
      <c r="A1712" s="22" t="n">
        <v>6</v>
      </c>
      <c r="B1712" t="inlineStr">
        <is>
          <t xml:space="preserve">CDM03 - MORENO 3              </t>
        </is>
      </c>
      <c r="C1712" t="inlineStr">
        <is>
          <t xml:space="preserve">GRUPO L.                      </t>
        </is>
      </c>
      <c r="E1712" t="inlineStr">
        <is>
          <t xml:space="preserve">BUSAT000910         </t>
        </is>
      </c>
      <c r="G1712" t="inlineStr">
        <is>
          <t xml:space="preserve">ASADERA ALUMINIO GRANDE C/ASA      </t>
        </is>
      </c>
      <c r="H1712" t="inlineStr">
        <is>
          <t xml:space="preserve">UNIDAD              </t>
        </is>
      </c>
      <c r="I1712" t="n">
        <v>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1</v>
      </c>
      <c r="P1712" s="96">
        <f>_xlfn.XLOOKUP(Tabla5[[#This Row],[EAN CORREGIDO]],'Tabla Articulos'!B:B,'Tabla Articulos'!D:D)</f>
        <v/>
      </c>
      <c r="Q1712" s="96">
        <f>_xlfn.XLOOKUP(S1712,'Tabla Articulos'!B:B,'Tabla Articulos'!E:E)</f>
        <v/>
      </c>
      <c r="R1712" s="96">
        <f>O1712*Q1712</f>
        <v/>
      </c>
      <c r="S1712" s="97">
        <f>TRIM(E1712)</f>
        <v/>
      </c>
    </row>
    <row r="1713" hidden="1">
      <c r="A1713" s="22" t="n">
        <v>6</v>
      </c>
      <c r="B1713" t="inlineStr">
        <is>
          <t xml:space="preserve">CDM03 - MORENO 3              </t>
        </is>
      </c>
      <c r="C1713" t="inlineStr">
        <is>
          <t xml:space="preserve">GRUPO L.                      </t>
        </is>
      </c>
      <c r="E1713" t="inlineStr">
        <is>
          <t xml:space="preserve">BUSAT000713         </t>
        </is>
      </c>
      <c r="G1713" t="inlineStr">
        <is>
          <t xml:space="preserve">CAMPERAS TRUCKER TRICAPA EX T/S    </t>
        </is>
      </c>
      <c r="H1713" t="inlineStr">
        <is>
          <t xml:space="preserve">UNIDAD              </t>
        </is>
      </c>
      <c r="I1713" t="n">
        <v>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1</v>
      </c>
      <c r="P1713" s="96">
        <f>_xlfn.XLOOKUP(Tabla5[[#This Row],[EAN CORREGIDO]],'Tabla Articulos'!B:B,'Tabla Articulos'!D:D)</f>
        <v/>
      </c>
      <c r="Q1713" s="96">
        <f>_xlfn.XLOOKUP(S1713,'Tabla Articulos'!B:B,'Tabla Articulos'!E:E)</f>
        <v/>
      </c>
      <c r="R1713" s="96">
        <f>O1713*Q1713</f>
        <v/>
      </c>
      <c r="S1713" s="97">
        <f>TRIM(E1713)</f>
        <v/>
      </c>
    </row>
    <row r="1714" hidden="1">
      <c r="A1714" s="22" t="n">
        <v>6</v>
      </c>
      <c r="B1714" t="inlineStr">
        <is>
          <t xml:space="preserve">CDM03 - MORENO 3              </t>
        </is>
      </c>
      <c r="C1714" t="inlineStr">
        <is>
          <t xml:space="preserve">GRUPO L.                      </t>
        </is>
      </c>
      <c r="D1714" s="11" t="n"/>
      <c r="E1714" t="inlineStr">
        <is>
          <t xml:space="preserve">BUSAT000422         </t>
        </is>
      </c>
      <c r="G1714" t="inlineStr">
        <is>
          <t xml:space="preserve">PANTALON CARGO GRIS FRANJA AZUL	56 </t>
        </is>
      </c>
      <c r="H1714" t="inlineStr">
        <is>
          <t xml:space="preserve">UNIDAD              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1</v>
      </c>
      <c r="P1714" s="96">
        <f>_xlfn.XLOOKUP(Tabla5[[#This Row],[EAN CORREGIDO]],'Tabla Articulos'!B:B,'Tabla Articulos'!D:D)</f>
        <v/>
      </c>
      <c r="Q1714" s="96">
        <f>_xlfn.XLOOKUP(S1714,'Tabla Articulos'!B:B,'Tabla Articulos'!E:E)</f>
        <v/>
      </c>
      <c r="R1714" s="96">
        <f>O1714*Q1714</f>
        <v/>
      </c>
      <c r="S1714" s="97">
        <f>TRIM(E1714)</f>
        <v/>
      </c>
    </row>
    <row r="1715" hidden="1">
      <c r="A1715" s="22" t="n">
        <v>6</v>
      </c>
      <c r="B1715" t="inlineStr">
        <is>
          <t xml:space="preserve">CDM03 - MORENO 3              </t>
        </is>
      </c>
      <c r="C1715" t="inlineStr">
        <is>
          <t xml:space="preserve">GRUPO L.                      </t>
        </is>
      </c>
      <c r="E1715" t="inlineStr">
        <is>
          <t xml:space="preserve">BUSAT000065         </t>
        </is>
      </c>
      <c r="G1715" t="inlineStr">
        <is>
          <t xml:space="preserve">IMPRESORA FISCAL BEMATECH          </t>
        </is>
      </c>
      <c r="H1715" t="inlineStr">
        <is>
          <t xml:space="preserve">UNIDAD              </t>
        </is>
      </c>
      <c r="I1715" t="n">
        <v>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1</v>
      </c>
      <c r="P1715" s="96">
        <f>_xlfn.XLOOKUP(Tabla5[[#This Row],[EAN CORREGIDO]],'Tabla Articulos'!B:B,'Tabla Articulos'!D:D)</f>
        <v/>
      </c>
      <c r="Q1715" s="96">
        <f>_xlfn.XLOOKUP(S1715,'Tabla Articulos'!B:B,'Tabla Articulos'!E:E)</f>
        <v/>
      </c>
      <c r="R1715" s="96">
        <f>O1715*Q1715</f>
        <v/>
      </c>
      <c r="S1715" s="97">
        <f>TRIM(E1715)</f>
        <v/>
      </c>
    </row>
    <row r="1716" hidden="1">
      <c r="A1716" s="22" t="n">
        <v>6</v>
      </c>
      <c r="B1716" t="inlineStr">
        <is>
          <t xml:space="preserve">CDM03 - MORENO 3              </t>
        </is>
      </c>
      <c r="C1716" t="inlineStr">
        <is>
          <t xml:space="preserve">GRUPO L.                      </t>
        </is>
      </c>
      <c r="D1716" s="11" t="n"/>
      <c r="E1716" t="inlineStr">
        <is>
          <t xml:space="preserve">BUSAT000881         </t>
        </is>
      </c>
      <c r="G1716" t="inlineStr">
        <is>
          <t xml:space="preserve">PALA PARA DESPACHO ACERO INOX      </t>
        </is>
      </c>
      <c r="H1716" t="inlineStr">
        <is>
          <t xml:space="preserve">UNIDAD              </t>
        </is>
      </c>
      <c r="I1716" t="n">
        <v>19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19</v>
      </c>
      <c r="P1716" s="96">
        <f>_xlfn.XLOOKUP(Tabla5[[#This Row],[EAN CORREGIDO]],'Tabla Articulos'!B:B,'Tabla Articulos'!D:D)</f>
        <v/>
      </c>
      <c r="Q1716" s="96">
        <f>_xlfn.XLOOKUP(S1716,'Tabla Articulos'!B:B,'Tabla Articulos'!E:E)</f>
        <v/>
      </c>
      <c r="R1716" s="96">
        <f>O1716*Q1716</f>
        <v/>
      </c>
      <c r="S1716" s="97">
        <f>TRIM(E1716)</f>
        <v/>
      </c>
    </row>
    <row r="1717" hidden="1">
      <c r="A1717" s="22" t="n">
        <v>6</v>
      </c>
      <c r="B1717" t="inlineStr">
        <is>
          <t xml:space="preserve">CDM03 - MORENO 3              </t>
        </is>
      </c>
      <c r="C1717" t="inlineStr">
        <is>
          <t xml:space="preserve">GRUPO L.                      </t>
        </is>
      </c>
      <c r="E1717" t="inlineStr">
        <is>
          <t xml:space="preserve">BUSAT000990         </t>
        </is>
      </c>
      <c r="G1717" t="inlineStr">
        <is>
          <t xml:space="preserve">C TASLAN C/MANGA DESMONTABLE XL    </t>
        </is>
      </c>
      <c r="H1717" t="inlineStr">
        <is>
          <t xml:space="preserve">UNIDAD              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2</v>
      </c>
      <c r="P1717" s="96">
        <f>_xlfn.XLOOKUP(Tabla5[[#This Row],[EAN CORREGIDO]],'Tabla Articulos'!B:B,'Tabla Articulos'!D:D)</f>
        <v/>
      </c>
      <c r="Q1717" s="96">
        <f>_xlfn.XLOOKUP(S1717,'Tabla Articulos'!B:B,'Tabla Articulos'!E:E)</f>
        <v/>
      </c>
      <c r="R1717" s="96">
        <f>O1717*Q1717</f>
        <v/>
      </c>
      <c r="S1717" s="97">
        <f>TRIM(E1717)</f>
        <v/>
      </c>
    </row>
    <row r="1718" hidden="1">
      <c r="A1718" s="22" t="n">
        <v>6</v>
      </c>
      <c r="B1718" t="inlineStr">
        <is>
          <t xml:space="preserve">CDM03 - MORENO 3              </t>
        </is>
      </c>
      <c r="C1718" t="inlineStr">
        <is>
          <t xml:space="preserve">GRUPO L.                      </t>
        </is>
      </c>
      <c r="E1718" t="inlineStr">
        <is>
          <t xml:space="preserve">BUSAT000725         </t>
        </is>
      </c>
      <c r="G1718" t="inlineStr">
        <is>
          <t xml:space="preserve">CHOMBA GRIS CUELLO AZUL M/CORTA M  </t>
        </is>
      </c>
      <c r="H1718" t="inlineStr">
        <is>
          <t xml:space="preserve">UNIDAD              </t>
        </is>
      </c>
      <c r="I1718" t="n">
        <v>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4</v>
      </c>
      <c r="P1718" s="96">
        <f>_xlfn.XLOOKUP(Tabla5[[#This Row],[EAN CORREGIDO]],'Tabla Articulos'!B:B,'Tabla Articulos'!D:D)</f>
        <v/>
      </c>
      <c r="Q1718" s="96">
        <f>_xlfn.XLOOKUP(S1718,'Tabla Articulos'!B:B,'Tabla Articulos'!E:E)</f>
        <v/>
      </c>
      <c r="R1718" s="96">
        <f>O1718*Q1718</f>
        <v/>
      </c>
      <c r="S1718" s="97">
        <f>TRIM(E1718)</f>
        <v/>
      </c>
    </row>
    <row r="1719" hidden="1">
      <c r="A1719" s="22" t="n">
        <v>6</v>
      </c>
      <c r="B1719" t="inlineStr">
        <is>
          <t xml:space="preserve">CDM03 - MORENO 3              </t>
        </is>
      </c>
      <c r="C1719" t="inlineStr">
        <is>
          <t xml:space="preserve">GRUPO L.                      </t>
        </is>
      </c>
      <c r="E1719" t="inlineStr">
        <is>
          <t xml:space="preserve">BUSAT000341         </t>
        </is>
      </c>
      <c r="G1719" t="inlineStr">
        <is>
          <t xml:space="preserve">BAUL CORTO MIMBRE/SANDWICHES 04    </t>
        </is>
      </c>
      <c r="H1719" t="inlineStr">
        <is>
          <t xml:space="preserve">UNIDAD              </t>
        </is>
      </c>
      <c r="I1719" t="n">
        <v>0</v>
      </c>
      <c r="J1719" t="n">
        <v>1</v>
      </c>
      <c r="K1719" t="n">
        <v>0</v>
      </c>
      <c r="L1719" t="n">
        <v>0</v>
      </c>
      <c r="M1719" t="n">
        <v>0</v>
      </c>
      <c r="N1719" t="n">
        <v>0</v>
      </c>
      <c r="O1719" t="n">
        <v>1</v>
      </c>
      <c r="P1719" s="96">
        <f>_xlfn.XLOOKUP(Tabla5[[#This Row],[EAN CORREGIDO]],'Tabla Articulos'!B:B,'Tabla Articulos'!D:D)</f>
        <v/>
      </c>
      <c r="Q1719" s="96">
        <f>_xlfn.XLOOKUP(S1719,'Tabla Articulos'!B:B,'Tabla Articulos'!E:E)</f>
        <v/>
      </c>
      <c r="R1719" s="96">
        <f>O1719*Q1719</f>
        <v/>
      </c>
      <c r="S1719" s="97">
        <f>TRIM(E1719)</f>
        <v/>
      </c>
    </row>
    <row r="1720" hidden="1">
      <c r="A1720" s="22" t="n">
        <v>6</v>
      </c>
      <c r="B1720" t="inlineStr">
        <is>
          <t xml:space="preserve">CDM03 - MORENO 3              </t>
        </is>
      </c>
      <c r="C1720" t="inlineStr">
        <is>
          <t xml:space="preserve">GRUPO L.                      </t>
        </is>
      </c>
      <c r="D1720" s="11" t="n"/>
      <c r="E1720" t="inlineStr">
        <is>
          <t xml:space="preserve">BUSAT000085         </t>
        </is>
      </c>
      <c r="G1720" t="inlineStr">
        <is>
          <t xml:space="preserve">TAMIZADOR GRANDE                   </t>
        </is>
      </c>
      <c r="H1720" t="inlineStr">
        <is>
          <t xml:space="preserve">UNIDAD              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2</v>
      </c>
      <c r="P1720" s="96">
        <f>_xlfn.XLOOKUP(Tabla5[[#This Row],[EAN CORREGIDO]],'Tabla Articulos'!B:B,'Tabla Articulos'!D:D)</f>
        <v/>
      </c>
      <c r="Q1720" s="96">
        <f>_xlfn.XLOOKUP(S1720,'Tabla Articulos'!B:B,'Tabla Articulos'!E:E)</f>
        <v/>
      </c>
      <c r="R1720" s="96">
        <f>O1720*Q1720</f>
        <v/>
      </c>
      <c r="S1720" s="97">
        <f>TRIM(E1720)</f>
        <v/>
      </c>
    </row>
    <row r="1721" hidden="1">
      <c r="A1721" s="22" t="n">
        <v>6</v>
      </c>
      <c r="B1721" t="inlineStr">
        <is>
          <t xml:space="preserve">CDM03 - MORENO 3              </t>
        </is>
      </c>
      <c r="C1721" t="inlineStr">
        <is>
          <t xml:space="preserve">GRUPO L.                      </t>
        </is>
      </c>
      <c r="E1721" t="inlineStr">
        <is>
          <t xml:space="preserve">BUSAT000130         </t>
        </is>
      </c>
      <c r="G1721" t="inlineStr">
        <is>
          <t xml:space="preserve">BANDEJA ACRILICO ROJO MEDIANA      </t>
        </is>
      </c>
      <c r="H1721" t="inlineStr">
        <is>
          <t xml:space="preserve">BULTOS              </t>
        </is>
      </c>
      <c r="I1721" t="n">
        <v>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2</v>
      </c>
      <c r="P1721" s="96">
        <f>_xlfn.XLOOKUP(Tabla5[[#This Row],[EAN CORREGIDO]],'Tabla Articulos'!B:B,'Tabla Articulos'!D:D)</f>
        <v/>
      </c>
      <c r="Q1721" s="96">
        <f>_xlfn.XLOOKUP(S1721,'Tabla Articulos'!B:B,'Tabla Articulos'!E:E)</f>
        <v/>
      </c>
      <c r="R1721" s="96">
        <f>O1721*Q1721</f>
        <v/>
      </c>
      <c r="S1721" s="97">
        <f>TRIM(E1721)</f>
        <v/>
      </c>
    </row>
    <row r="1722" hidden="1">
      <c r="A1722" s="22" t="n">
        <v>6</v>
      </c>
      <c r="B1722" t="inlineStr">
        <is>
          <t xml:space="preserve">CDM03 - MORENO 3              </t>
        </is>
      </c>
      <c r="C1722" t="inlineStr">
        <is>
          <t xml:space="preserve">GRUPO L.                      </t>
        </is>
      </c>
      <c r="E1722" t="inlineStr">
        <is>
          <t xml:space="preserve">BUSAT000119         </t>
        </is>
      </c>
      <c r="G1722" t="inlineStr">
        <is>
          <t xml:space="preserve">CARROS BANDEJEROS                  </t>
        </is>
      </c>
      <c r="H1722" t="inlineStr">
        <is>
          <t xml:space="preserve">UNIDAD              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1</v>
      </c>
      <c r="P1722" s="96">
        <f>_xlfn.XLOOKUP(Tabla5[[#This Row],[EAN CORREGIDO]],'Tabla Articulos'!B:B,'Tabla Articulos'!D:D)</f>
        <v/>
      </c>
      <c r="Q1722" s="96">
        <f>_xlfn.XLOOKUP(S1722,'Tabla Articulos'!B:B,'Tabla Articulos'!E:E)</f>
        <v/>
      </c>
      <c r="R1722" s="96">
        <f>O1722*Q1722</f>
        <v/>
      </c>
      <c r="S1722" s="97">
        <f>TRIM(E1722)</f>
        <v/>
      </c>
    </row>
    <row r="1723" hidden="1">
      <c r="A1723" s="22" t="n">
        <v>6</v>
      </c>
      <c r="B1723" t="inlineStr">
        <is>
          <t xml:space="preserve">CDM03 - MORENO 3              </t>
        </is>
      </c>
      <c r="C1723" t="inlineStr">
        <is>
          <t xml:space="preserve">GRUPO L.                      </t>
        </is>
      </c>
      <c r="E1723" t="inlineStr">
        <is>
          <t xml:space="preserve">BUSAT000170         </t>
        </is>
      </c>
      <c r="G1723" t="inlineStr">
        <is>
          <t xml:space="preserve">BAUL CON ART VARIOS P/ CAZUELA 06  </t>
        </is>
      </c>
      <c r="H1723" t="inlineStr">
        <is>
          <t xml:space="preserve">UNIDAD              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1</v>
      </c>
      <c r="P1723" s="96">
        <f>_xlfn.XLOOKUP(Tabla5[[#This Row],[EAN CORREGIDO]],'Tabla Articulos'!B:B,'Tabla Articulos'!D:D)</f>
        <v/>
      </c>
      <c r="Q1723" s="96">
        <f>_xlfn.XLOOKUP(S1723,'Tabla Articulos'!B:B,'Tabla Articulos'!E:E)</f>
        <v/>
      </c>
      <c r="R1723" s="96">
        <f>O1723*Q1723</f>
        <v/>
      </c>
      <c r="S1723" s="97">
        <f>TRIM(E1723)</f>
        <v/>
      </c>
    </row>
    <row r="1724" hidden="1">
      <c r="A1724" s="22" t="n">
        <v>6</v>
      </c>
      <c r="B1724" t="inlineStr">
        <is>
          <t xml:space="preserve">CDM03 - MORENO 3              </t>
        </is>
      </c>
      <c r="C1724" t="inlineStr">
        <is>
          <t xml:space="preserve">GRUPO L.                      </t>
        </is>
      </c>
      <c r="E1724" t="inlineStr">
        <is>
          <t xml:space="preserve">BUSAT000878         </t>
        </is>
      </c>
      <c r="G1724" t="inlineStr">
        <is>
          <t xml:space="preserve">TACHO BASURA RECTANGULAR VERDE     </t>
        </is>
      </c>
      <c r="H1724" t="inlineStr">
        <is>
          <t xml:space="preserve">UNIDAD              </t>
        </is>
      </c>
      <c r="I1724" t="n">
        <v>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3</v>
      </c>
      <c r="P1724" s="96">
        <f>_xlfn.XLOOKUP(Tabla5[[#This Row],[EAN CORREGIDO]],'Tabla Articulos'!B:B,'Tabla Articulos'!D:D)</f>
        <v/>
      </c>
      <c r="Q1724" s="96">
        <f>_xlfn.XLOOKUP(S1724,'Tabla Articulos'!B:B,'Tabla Articulos'!E:E)</f>
        <v/>
      </c>
      <c r="R1724" s="96">
        <f>O1724*Q1724</f>
        <v/>
      </c>
      <c r="S1724" s="97">
        <f>TRIM(E1724)</f>
        <v/>
      </c>
    </row>
    <row r="1725" hidden="1">
      <c r="A1725" s="22" t="n">
        <v>6</v>
      </c>
      <c r="B1725" t="inlineStr">
        <is>
          <t xml:space="preserve">CDM03 - MORENO 3              </t>
        </is>
      </c>
      <c r="C1725" t="inlineStr">
        <is>
          <t xml:space="preserve">GRUPO L.                      </t>
        </is>
      </c>
      <c r="E1725" t="inlineStr">
        <is>
          <t xml:space="preserve">BUSAT000994         </t>
        </is>
      </c>
      <c r="G1725" t="inlineStr">
        <is>
          <t xml:space="preserve">CAMISA AZUL GRAFA T 4              </t>
        </is>
      </c>
      <c r="H1725" t="inlineStr">
        <is>
          <t xml:space="preserve">UNIDAD              </t>
        </is>
      </c>
      <c r="I1725" t="n">
        <v>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4</v>
      </c>
      <c r="P1725" s="96">
        <f>_xlfn.XLOOKUP(Tabla5[[#This Row],[EAN CORREGIDO]],'Tabla Articulos'!B:B,'Tabla Articulos'!D:D)</f>
        <v/>
      </c>
      <c r="Q1725" s="96">
        <f>_xlfn.XLOOKUP(S1725,'Tabla Articulos'!B:B,'Tabla Articulos'!E:E)</f>
        <v/>
      </c>
      <c r="R1725" s="96">
        <f>O1725*Q1725</f>
        <v/>
      </c>
      <c r="S1725" s="97">
        <f>TRIM(E1725)</f>
        <v/>
      </c>
    </row>
    <row r="1726" hidden="1">
      <c r="A1726" s="22" t="n">
        <v>6</v>
      </c>
      <c r="B1726" t="inlineStr">
        <is>
          <t xml:space="preserve">CDM03 - MORENO 3              </t>
        </is>
      </c>
      <c r="C1726" t="inlineStr">
        <is>
          <t xml:space="preserve">GRUPO L.                      </t>
        </is>
      </c>
      <c r="D1726" s="11" t="n"/>
      <c r="E1726" t="inlineStr">
        <is>
          <t xml:space="preserve">BUSAT000886         </t>
        </is>
      </c>
      <c r="G1726" t="inlineStr">
        <is>
          <t xml:space="preserve">PANERA DE MIMBRE                   </t>
        </is>
      </c>
      <c r="H1726" t="inlineStr">
        <is>
          <t xml:space="preserve">UNIDAD              </t>
        </is>
      </c>
      <c r="I1726" t="n">
        <v>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3</v>
      </c>
      <c r="P1726" s="96">
        <f>_xlfn.XLOOKUP(Tabla5[[#This Row],[EAN CORREGIDO]],'Tabla Articulos'!B:B,'Tabla Articulos'!D:D)</f>
        <v/>
      </c>
      <c r="Q1726" s="96">
        <f>_xlfn.XLOOKUP(S1726,'Tabla Articulos'!B:B,'Tabla Articulos'!E:E)</f>
        <v/>
      </c>
      <c r="R1726" s="96">
        <f>O1726*Q1726</f>
        <v/>
      </c>
      <c r="S1726" s="97">
        <f>TRIM(E1726)</f>
        <v/>
      </c>
    </row>
    <row r="1727" hidden="1">
      <c r="A1727" s="22" t="n">
        <v>6</v>
      </c>
      <c r="B1727" t="inlineStr">
        <is>
          <t xml:space="preserve">CDM03 - MORENO 3              </t>
        </is>
      </c>
      <c r="C1727" t="inlineStr">
        <is>
          <t xml:space="preserve">GRUPO L.                      </t>
        </is>
      </c>
      <c r="E1727" t="inlineStr">
        <is>
          <t xml:space="preserve">BUSAT000447         </t>
        </is>
      </c>
      <c r="G1727" t="inlineStr">
        <is>
          <t>PANTALON CARGO GRIS FRANJA VERDE	52</t>
        </is>
      </c>
      <c r="H1727" t="inlineStr">
        <is>
          <t xml:space="preserve">UNIDAD              </t>
        </is>
      </c>
      <c r="I1727" t="n">
        <v>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2</v>
      </c>
      <c r="P1727" s="96">
        <f>_xlfn.XLOOKUP(Tabla5[[#This Row],[EAN CORREGIDO]],'Tabla Articulos'!B:B,'Tabla Articulos'!D:D)</f>
        <v/>
      </c>
      <c r="Q1727" s="96">
        <f>_xlfn.XLOOKUP(S1727,'Tabla Articulos'!B:B,'Tabla Articulos'!E:E)</f>
        <v/>
      </c>
      <c r="R1727" s="96">
        <f>O1727*Q1727</f>
        <v/>
      </c>
      <c r="S1727" s="97">
        <f>TRIM(E1727)</f>
        <v/>
      </c>
    </row>
    <row r="1728" hidden="1">
      <c r="A1728" s="22" t="n">
        <v>6</v>
      </c>
      <c r="B1728" t="inlineStr">
        <is>
          <t xml:space="preserve">CDM03 - MORENO 3              </t>
        </is>
      </c>
      <c r="C1728" t="inlineStr">
        <is>
          <t xml:space="preserve">GRUPO L.                      </t>
        </is>
      </c>
      <c r="E1728" t="inlineStr">
        <is>
          <t xml:space="preserve">BUSAT0001132        </t>
        </is>
      </c>
      <c r="G1728" t="inlineStr">
        <is>
          <t xml:space="preserve">COMBO ODIN (FOGONERO COMPLETO)     </t>
        </is>
      </c>
      <c r="H1728" t="inlineStr">
        <is>
          <t xml:space="preserve">UNIDAD              </t>
        </is>
      </c>
      <c r="I1728" t="n">
        <v>0</v>
      </c>
      <c r="J1728" t="n">
        <v>1</v>
      </c>
      <c r="K1728" t="n">
        <v>0</v>
      </c>
      <c r="L1728" t="n">
        <v>0</v>
      </c>
      <c r="M1728" t="n">
        <v>0</v>
      </c>
      <c r="N1728" t="n">
        <v>0</v>
      </c>
      <c r="O1728" t="n">
        <v>1</v>
      </c>
      <c r="P1728" s="96">
        <f>_xlfn.XLOOKUP(Tabla5[[#This Row],[EAN CORREGIDO]],'Tabla Articulos'!B:B,'Tabla Articulos'!D:D)</f>
        <v/>
      </c>
      <c r="Q1728" s="96">
        <f>_xlfn.XLOOKUP(S1728,'Tabla Articulos'!B:B,'Tabla Articulos'!E:E)</f>
        <v/>
      </c>
      <c r="R1728" s="96">
        <f>O1728*Q1728</f>
        <v/>
      </c>
      <c r="S1728" s="97">
        <f>TRIM(E1728)</f>
        <v/>
      </c>
    </row>
    <row r="1729" hidden="1">
      <c r="A1729" s="22" t="n">
        <v>6</v>
      </c>
      <c r="B1729" t="inlineStr">
        <is>
          <t xml:space="preserve">CDM03 - MORENO 3              </t>
        </is>
      </c>
      <c r="C1729" t="inlineStr">
        <is>
          <t xml:space="preserve">GRUPO L.                      </t>
        </is>
      </c>
      <c r="D1729" s="11" t="n"/>
      <c r="E1729" t="inlineStr">
        <is>
          <t xml:space="preserve">BUSAT000345         </t>
        </is>
      </c>
      <c r="F1729" s="11" t="n"/>
      <c r="G1729" t="inlineStr">
        <is>
          <t xml:space="preserve">CUCHARAS LISAS                     </t>
        </is>
      </c>
      <c r="H1729" t="inlineStr">
        <is>
          <t xml:space="preserve">UNIDAD              </t>
        </is>
      </c>
      <c r="I1729" t="n">
        <v>12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12</v>
      </c>
      <c r="P1729" s="96">
        <f>_xlfn.XLOOKUP(Tabla5[[#This Row],[EAN CORREGIDO]],'Tabla Articulos'!B:B,'Tabla Articulos'!D:D)</f>
        <v/>
      </c>
      <c r="Q1729" s="96">
        <f>_xlfn.XLOOKUP(S1729,'Tabla Articulos'!B:B,'Tabla Articulos'!E:E)</f>
        <v/>
      </c>
      <c r="R1729" s="96">
        <f>O1729*Q1729</f>
        <v/>
      </c>
      <c r="S1729" s="97">
        <f>TRIM(E1729)</f>
        <v/>
      </c>
    </row>
    <row r="1730" hidden="1">
      <c r="A1730" s="22" t="n">
        <v>6</v>
      </c>
      <c r="B1730" t="inlineStr">
        <is>
          <t xml:space="preserve">CDM03 - MORENO 3              </t>
        </is>
      </c>
      <c r="C1730" t="inlineStr">
        <is>
          <t xml:space="preserve">GRUPO L.                      </t>
        </is>
      </c>
      <c r="D1730" s="11" t="n"/>
      <c r="E1730" t="inlineStr">
        <is>
          <t xml:space="preserve">BUSAT000454         </t>
        </is>
      </c>
      <c r="F1730" s="11" t="n"/>
      <c r="G1730" t="inlineStr">
        <is>
          <t xml:space="preserve">CAMPERA AZUL POLAR	S               </t>
        </is>
      </c>
      <c r="H1730" t="inlineStr">
        <is>
          <t xml:space="preserve">UNIDAD              </t>
        </is>
      </c>
      <c r="I1730" t="n">
        <v>12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12</v>
      </c>
      <c r="P1730" s="96">
        <f>_xlfn.XLOOKUP(Tabla5[[#This Row],[EAN CORREGIDO]],'Tabla Articulos'!B:B,'Tabla Articulos'!D:D)</f>
        <v/>
      </c>
      <c r="Q1730" s="96">
        <f>_xlfn.XLOOKUP(S1730,'Tabla Articulos'!B:B,'Tabla Articulos'!E:E)</f>
        <v/>
      </c>
      <c r="R1730" s="96">
        <f>O1730*Q1730</f>
        <v/>
      </c>
      <c r="S1730" s="97">
        <f>TRIM(E1730)</f>
        <v/>
      </c>
    </row>
    <row r="1731" hidden="1">
      <c r="A1731" s="22" t="n">
        <v>6</v>
      </c>
      <c r="B1731" t="inlineStr">
        <is>
          <t xml:space="preserve">CDM03 - MORENO 3              </t>
        </is>
      </c>
      <c r="C1731" t="inlineStr">
        <is>
          <t xml:space="preserve">GRUPO L.                      </t>
        </is>
      </c>
      <c r="D1731" s="11" t="n"/>
      <c r="E1731" t="inlineStr">
        <is>
          <t xml:space="preserve">BUSAT000203         </t>
        </is>
      </c>
      <c r="F1731" s="11" t="n"/>
      <c r="G1731" t="inlineStr">
        <is>
          <t xml:space="preserve">FARDO 06 (EXPERIENCIA Y SABORES)   </t>
        </is>
      </c>
      <c r="H1731" t="inlineStr">
        <is>
          <t xml:space="preserve">UNIDAD              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2</v>
      </c>
      <c r="P1731" s="96">
        <f>_xlfn.XLOOKUP(Tabla5[[#This Row],[EAN CORREGIDO]],'Tabla Articulos'!B:B,'Tabla Articulos'!D:D)</f>
        <v/>
      </c>
      <c r="Q1731" s="96">
        <f>_xlfn.XLOOKUP(S1731,'Tabla Articulos'!B:B,'Tabla Articulos'!E:E)</f>
        <v/>
      </c>
      <c r="R1731" s="96">
        <f>O1731*Q1731</f>
        <v/>
      </c>
      <c r="S1731" s="97">
        <f>TRIM(E1731)</f>
        <v/>
      </c>
    </row>
    <row r="1732" hidden="1">
      <c r="A1732" s="22" t="n">
        <v>1</v>
      </c>
      <c r="B1732" t="inlineStr">
        <is>
          <t xml:space="preserve">CD MORENO                     </t>
        </is>
      </c>
      <c r="C1732" t="inlineStr">
        <is>
          <t xml:space="preserve">GRUPO L.                      </t>
        </is>
      </c>
      <c r="D1732" t="inlineStr">
        <is>
          <t>PIMIENTA NEGRA S/TACC</t>
        </is>
      </c>
      <c r="E1732" t="inlineStr">
        <is>
          <t xml:space="preserve">7790150555446       </t>
        </is>
      </c>
      <c r="F1732" s="11" t="n">
        <v>4019427</v>
      </c>
      <c r="G1732" t="inlineStr">
        <is>
          <t xml:space="preserve">PIMIENTA NEGRA X25G ALICANTE       </t>
        </is>
      </c>
      <c r="H1732" t="inlineStr">
        <is>
          <t xml:space="preserve">UNIDAD              </t>
        </is>
      </c>
      <c r="I1732" t="n">
        <v>77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77</v>
      </c>
      <c r="P1732" s="96">
        <f>_xlfn.XLOOKUP(Tabla5[[#This Row],[EAN CORREGIDO]],'Tabla Articulos'!B:B,'Tabla Articulos'!D:D)</f>
        <v/>
      </c>
      <c r="Q1732" s="96">
        <f>_xlfn.XLOOKUP(S1732,'Tabla Articulos'!B:B,'Tabla Articulos'!E:E)</f>
        <v/>
      </c>
      <c r="R1732" s="96">
        <f>O1732*Q1732</f>
        <v/>
      </c>
      <c r="S1732" s="97">
        <f>TRIM(E1732)</f>
        <v/>
      </c>
    </row>
    <row r="1733" hidden="1">
      <c r="A1733" s="22" t="n">
        <v>1</v>
      </c>
      <c r="B1733" t="inlineStr">
        <is>
          <t xml:space="preserve">CD MORENO                     </t>
        </is>
      </c>
      <c r="C1733" t="inlineStr">
        <is>
          <t xml:space="preserve">GRUPO L.                      </t>
        </is>
      </c>
      <c r="D1733" s="11" t="inlineStr">
        <is>
          <t>PREMEZCLA BIZCOCHUELO CHOCO</t>
        </is>
      </c>
      <c r="E1733" t="inlineStr">
        <is>
          <t xml:space="preserve">7790971000811       </t>
        </is>
      </c>
      <c r="F1733" s="11" t="n">
        <v>4023363</v>
      </c>
      <c r="G1733" t="inlineStr">
        <is>
          <t xml:space="preserve">BIZCOCHUELO CHOCO 5KG ORLOC        </t>
        </is>
      </c>
      <c r="H1733" t="inlineStr">
        <is>
          <t xml:space="preserve">UNIDAD              </t>
        </is>
      </c>
      <c r="I1733" t="n">
        <v>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7</v>
      </c>
      <c r="P1733" s="96">
        <f>_xlfn.XLOOKUP(Tabla5[[#This Row],[EAN CORREGIDO]],'Tabla Articulos'!B:B,'Tabla Articulos'!D:D)</f>
        <v/>
      </c>
      <c r="Q1733" s="96">
        <f>_xlfn.XLOOKUP(S1733,'Tabla Articulos'!B:B,'Tabla Articulos'!E:E)</f>
        <v/>
      </c>
      <c r="R1733" s="96">
        <f>O1733*Q1733</f>
        <v/>
      </c>
      <c r="S1733" s="97">
        <f>TRIM(E1733)</f>
        <v/>
      </c>
    </row>
    <row r="1734" hidden="1">
      <c r="A1734" s="22" t="n">
        <v>5</v>
      </c>
      <c r="B1734" t="inlineStr">
        <is>
          <t xml:space="preserve">CDM02 - MORENO 2              </t>
        </is>
      </c>
      <c r="C1734" t="inlineStr">
        <is>
          <t xml:space="preserve">GRUPO L.                      </t>
        </is>
      </c>
      <c r="D1734" t="inlineStr">
        <is>
          <t>ARROZ PARBOIL</t>
        </is>
      </c>
      <c r="E1734" t="inlineStr">
        <is>
          <t xml:space="preserve">7790503199099       </t>
        </is>
      </c>
      <c r="F1734" s="11" t="n">
        <v>4019353</v>
      </c>
      <c r="G1734" t="inlineStr">
        <is>
          <t xml:space="preserve">ARROZ PARB STACC X 1KG DOS HNOS    </t>
        </is>
      </c>
      <c r="H1734" t="inlineStr">
        <is>
          <t xml:space="preserve">UNIDAD              </t>
        </is>
      </c>
      <c r="I1734" t="n">
        <v>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2</v>
      </c>
      <c r="P1734" s="96">
        <f>_xlfn.XLOOKUP(Tabla5[[#This Row],[EAN CORREGIDO]],'Tabla Articulos'!B:B,'Tabla Articulos'!D:D)</f>
        <v/>
      </c>
      <c r="Q1734" s="96">
        <f>_xlfn.XLOOKUP(S1734,'Tabla Articulos'!B:B,'Tabla Articulos'!E:E)</f>
        <v/>
      </c>
      <c r="R1734" s="96">
        <f>O1734*Q1734</f>
        <v/>
      </c>
      <c r="S1734" s="97">
        <f>TRIM(E1734)</f>
        <v/>
      </c>
    </row>
    <row r="1735" hidden="1">
      <c r="A1735" s="22" t="n">
        <v>1</v>
      </c>
      <c r="B1735" t="inlineStr">
        <is>
          <t xml:space="preserve">CD MORENO                     </t>
        </is>
      </c>
      <c r="C1735" t="inlineStr">
        <is>
          <t xml:space="preserve">GRUPO L.                      </t>
        </is>
      </c>
      <c r="D1735" t="inlineStr">
        <is>
          <t>ARROZ PARBOIL</t>
        </is>
      </c>
      <c r="E1735" t="inlineStr">
        <is>
          <t xml:space="preserve">7790503199099       </t>
        </is>
      </c>
      <c r="F1735" s="11" t="n">
        <v>4019353</v>
      </c>
      <c r="G1735" t="inlineStr">
        <is>
          <t xml:space="preserve">ARROZ PARB STACC X 1KG DOS HNOS    </t>
        </is>
      </c>
      <c r="H1735" t="inlineStr">
        <is>
          <t xml:space="preserve">UNIDAD              </t>
        </is>
      </c>
      <c r="I1735" t="n">
        <v>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6</v>
      </c>
      <c r="P1735" s="96">
        <f>_xlfn.XLOOKUP(Tabla5[[#This Row],[EAN CORREGIDO]],'Tabla Articulos'!B:B,'Tabla Articulos'!D:D)</f>
        <v/>
      </c>
      <c r="Q1735" s="96">
        <f>_xlfn.XLOOKUP(S1735,'Tabla Articulos'!B:B,'Tabla Articulos'!E:E)</f>
        <v/>
      </c>
      <c r="R1735" s="96">
        <f>O1735*Q1735</f>
        <v/>
      </c>
      <c r="S1735" s="97">
        <f>TRIM(E1735)</f>
        <v/>
      </c>
    </row>
    <row r="1736" hidden="1">
      <c r="A1736" s="22" t="n">
        <v>6</v>
      </c>
      <c r="B1736" t="inlineStr">
        <is>
          <t xml:space="preserve">CDM03 - MORENO 3              </t>
        </is>
      </c>
      <c r="C1736" t="inlineStr">
        <is>
          <t xml:space="preserve">GRUPO L.                      </t>
        </is>
      </c>
      <c r="D1736" s="11" t="n"/>
      <c r="E1736" t="inlineStr">
        <is>
          <t xml:space="preserve">UNIF000658          </t>
        </is>
      </c>
      <c r="F1736" s="11" t="n">
        <v>9003994</v>
      </c>
      <c r="G1736" t="inlineStr">
        <is>
          <t xml:space="preserve">PANTALON CARGO NEGRO 40            </t>
        </is>
      </c>
      <c r="H1736" t="inlineStr">
        <is>
          <t xml:space="preserve">UNIDAD              </t>
        </is>
      </c>
      <c r="I1736" t="n">
        <v>14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14</v>
      </c>
      <c r="P1736" s="96">
        <f>_xlfn.XLOOKUP(Tabla5[[#This Row],[EAN CORREGIDO]],'Tabla Articulos'!B:B,'Tabla Articulos'!D:D)</f>
        <v/>
      </c>
      <c r="Q1736" s="96">
        <f>_xlfn.XLOOKUP(S1736,'Tabla Articulos'!B:B,'Tabla Articulos'!E:E)</f>
        <v/>
      </c>
      <c r="R1736" s="96">
        <f>O1736*Q1736</f>
        <v/>
      </c>
      <c r="S1736" s="97">
        <f>TRIM(E1736)</f>
        <v/>
      </c>
    </row>
    <row r="1737" hidden="1">
      <c r="A1737" s="22" t="n">
        <v>6</v>
      </c>
      <c r="B1737" t="inlineStr">
        <is>
          <t xml:space="preserve">CDM03 - MORENO 3              </t>
        </is>
      </c>
      <c r="C1737" t="inlineStr">
        <is>
          <t xml:space="preserve">GRUPO L.                      </t>
        </is>
      </c>
      <c r="D1737" s="11" t="inlineStr">
        <is>
          <t>BALDE PRENSAMOPA</t>
        </is>
      </c>
      <c r="E1737" t="inlineStr">
        <is>
          <t xml:space="preserve">LIM000106           </t>
        </is>
      </c>
      <c r="F1737" s="11" t="n">
        <v>2006617</v>
      </c>
      <c r="G1737" t="inlineStr">
        <is>
          <t xml:space="preserve">BALDE PRENSA MOPA X U	             </t>
        </is>
      </c>
      <c r="H1737" t="inlineStr">
        <is>
          <t xml:space="preserve">UNIDAD              </t>
        </is>
      </c>
      <c r="I1737" t="n">
        <v>123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123</v>
      </c>
      <c r="P1737" s="96">
        <f>_xlfn.XLOOKUP(Tabla5[[#This Row],[EAN CORREGIDO]],'Tabla Articulos'!B:B,'Tabla Articulos'!D:D)</f>
        <v/>
      </c>
      <c r="Q1737" s="96">
        <f>_xlfn.XLOOKUP(S1737,'Tabla Articulos'!B:B,'Tabla Articulos'!E:E)</f>
        <v/>
      </c>
      <c r="R1737" s="96">
        <f>O1737*Q1737</f>
        <v/>
      </c>
      <c r="S1737" s="97">
        <f>TRIM(E1737)</f>
        <v/>
      </c>
    </row>
    <row r="1738" hidden="1">
      <c r="A1738" s="22" t="n">
        <v>6</v>
      </c>
      <c r="B1738" t="inlineStr">
        <is>
          <t xml:space="preserve">CDM03 - MORENO 3              </t>
        </is>
      </c>
      <c r="C1738" t="inlineStr">
        <is>
          <t xml:space="preserve">GRUPO L.                      </t>
        </is>
      </c>
      <c r="D1738" s="11" t="n"/>
      <c r="E1738" t="inlineStr">
        <is>
          <t xml:space="preserve">BAZ000705           </t>
        </is>
      </c>
      <c r="F1738" s="11" t="n">
        <v>5002957</v>
      </c>
      <c r="G1738" t="inlineStr">
        <is>
          <t xml:space="preserve">REC CIL BLANC                      </t>
        </is>
      </c>
      <c r="H1738" t="inlineStr">
        <is>
          <t xml:space="preserve">UNIDAD              </t>
        </is>
      </c>
      <c r="I1738" t="n">
        <v>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5</v>
      </c>
      <c r="P1738" s="96">
        <f>_xlfn.XLOOKUP(Tabla5[[#This Row],[EAN CORREGIDO]],'Tabla Articulos'!B:B,'Tabla Articulos'!D:D)</f>
        <v/>
      </c>
      <c r="Q1738" s="96">
        <f>_xlfn.XLOOKUP(S1738,'Tabla Articulos'!B:B,'Tabla Articulos'!E:E)</f>
        <v/>
      </c>
      <c r="R1738" s="96">
        <f>O1738*Q1738</f>
        <v/>
      </c>
      <c r="S1738" s="97">
        <f>TRIM(E1738)</f>
        <v/>
      </c>
    </row>
    <row r="1739" hidden="1">
      <c r="A1739" s="22" t="n">
        <v>5</v>
      </c>
      <c r="B1739" t="inlineStr">
        <is>
          <t xml:space="preserve">CDM02 - MORENO 2              </t>
        </is>
      </c>
      <c r="C1739" t="inlineStr">
        <is>
          <t xml:space="preserve">GRUPO L.                      </t>
        </is>
      </c>
      <c r="D1739" s="11" t="inlineStr">
        <is>
          <t>AVENA</t>
        </is>
      </c>
      <c r="E1739" t="inlineStr">
        <is>
          <t xml:space="preserve">7790199604587       </t>
        </is>
      </c>
      <c r="F1739" s="11" t="n">
        <v>4024505</v>
      </c>
      <c r="G1739" t="inlineStr">
        <is>
          <t xml:space="preserve">AVENA TRADICIONAL X400G MORIXE     </t>
        </is>
      </c>
      <c r="H1739" t="inlineStr">
        <is>
          <t xml:space="preserve">UNIDAD              </t>
        </is>
      </c>
      <c r="I1739" t="n">
        <v>2428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2428</v>
      </c>
      <c r="P1739" s="96">
        <f>_xlfn.XLOOKUP(Tabla5[[#This Row],[EAN CORREGIDO]],'Tabla Articulos'!B:B,'Tabla Articulos'!D:D)</f>
        <v/>
      </c>
      <c r="Q1739" s="96">
        <f>_xlfn.XLOOKUP(S1739,'Tabla Articulos'!B:B,'Tabla Articulos'!E:E)</f>
        <v/>
      </c>
      <c r="R1739" s="96">
        <f>O1739*Q1739</f>
        <v/>
      </c>
      <c r="S1739" s="97">
        <f>TRIM(E1739)</f>
        <v/>
      </c>
    </row>
    <row r="1740" hidden="1">
      <c r="A1740" s="22" t="n">
        <v>1</v>
      </c>
      <c r="B1740" t="inlineStr">
        <is>
          <t xml:space="preserve">CD MORENO                     </t>
        </is>
      </c>
      <c r="C1740" t="inlineStr">
        <is>
          <t xml:space="preserve">GRUPO L.                      </t>
        </is>
      </c>
      <c r="D1740" s="11" t="inlineStr">
        <is>
          <t>AVENA</t>
        </is>
      </c>
      <c r="E1740" t="inlineStr">
        <is>
          <t xml:space="preserve">7790199604587       </t>
        </is>
      </c>
      <c r="F1740" s="11" t="n">
        <v>4024505</v>
      </c>
      <c r="G1740" t="inlineStr">
        <is>
          <t xml:space="preserve">AVENA TRADICIONAL X400G MORIXE     </t>
        </is>
      </c>
      <c r="H1740" t="inlineStr">
        <is>
          <t xml:space="preserve">UNIDAD              </t>
        </is>
      </c>
      <c r="I1740" t="n">
        <v>933</v>
      </c>
      <c r="J1740" t="n">
        <v>0</v>
      </c>
      <c r="K1740" t="n">
        <v>0</v>
      </c>
      <c r="L1740" t="n">
        <v>324</v>
      </c>
      <c r="M1740" t="n">
        <v>324</v>
      </c>
      <c r="N1740" t="n">
        <v>0</v>
      </c>
      <c r="O1740" t="n">
        <v>285</v>
      </c>
      <c r="P1740" s="96">
        <f>_xlfn.XLOOKUP(Tabla5[[#This Row],[EAN CORREGIDO]],'Tabla Articulos'!B:B,'Tabla Articulos'!D:D)</f>
        <v/>
      </c>
      <c r="Q1740" s="96">
        <f>_xlfn.XLOOKUP(S1740,'Tabla Articulos'!B:B,'Tabla Articulos'!E:E)</f>
        <v/>
      </c>
      <c r="R1740" s="96">
        <f>O1740*Q1740</f>
        <v/>
      </c>
      <c r="S1740" s="97">
        <f>TRIM(E1740)</f>
        <v/>
      </c>
    </row>
    <row r="1741" hidden="1">
      <c r="A1741" s="22" t="n">
        <v>1</v>
      </c>
      <c r="B1741" t="inlineStr">
        <is>
          <t xml:space="preserve">CD MORENO                     </t>
        </is>
      </c>
      <c r="C1741" t="inlineStr">
        <is>
          <t xml:space="preserve">GRUPO L.                      </t>
        </is>
      </c>
      <c r="D1741" s="11" t="inlineStr">
        <is>
          <t xml:space="preserve">LECHE MATERNIZADA </t>
        </is>
      </c>
      <c r="E1741" t="inlineStr">
        <is>
          <t xml:space="preserve">7798181641459       </t>
        </is>
      </c>
      <c r="F1741" s="11" t="n">
        <v>4022557</v>
      </c>
      <c r="G1741" t="inlineStr">
        <is>
          <t xml:space="preserve">LECHE BB3 ADV X200CC SANCOR        </t>
        </is>
      </c>
      <c r="H1741" t="inlineStr">
        <is>
          <t xml:space="preserve">UNIDAD              </t>
        </is>
      </c>
      <c r="I1741" t="n">
        <v>5573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5573</v>
      </c>
      <c r="P1741" s="96">
        <f>_xlfn.XLOOKUP(Tabla5[[#This Row],[EAN CORREGIDO]],'Tabla Articulos'!B:B,'Tabla Articulos'!D:D)</f>
        <v/>
      </c>
      <c r="Q1741" s="96">
        <f>_xlfn.XLOOKUP(S1741,'Tabla Articulos'!B:B,'Tabla Articulos'!E:E)</f>
        <v/>
      </c>
      <c r="R1741" s="96">
        <f>O1741*Q1741</f>
        <v/>
      </c>
      <c r="S1741" s="97">
        <f>TRIM(E1741)</f>
        <v/>
      </c>
    </row>
    <row r="1742" hidden="1">
      <c r="A1742" s="22" t="n">
        <v>6</v>
      </c>
      <c r="B1742" t="inlineStr">
        <is>
          <t xml:space="preserve">CDM03 - MORENO 3              </t>
        </is>
      </c>
      <c r="C1742" t="inlineStr">
        <is>
          <t xml:space="preserve">GRUPO L.                      </t>
        </is>
      </c>
      <c r="D1742" s="11" t="n"/>
      <c r="E1742" t="inlineStr">
        <is>
          <t xml:space="preserve">UNIF000662          </t>
        </is>
      </c>
      <c r="F1742" s="11" t="n">
        <v>9003998</v>
      </c>
      <c r="G1742" t="inlineStr">
        <is>
          <t xml:space="preserve">PANTALON CARGO S. LOGO NEGRO 56    </t>
        </is>
      </c>
      <c r="H1742" t="inlineStr">
        <is>
          <t xml:space="preserve">UNIDAD              </t>
        </is>
      </c>
      <c r="I1742" t="n">
        <v>20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20</v>
      </c>
      <c r="P1742" s="96">
        <f>_xlfn.XLOOKUP(Tabla5[[#This Row],[EAN CORREGIDO]],'Tabla Articulos'!B:B,'Tabla Articulos'!D:D)</f>
        <v/>
      </c>
      <c r="Q1742" s="96">
        <f>_xlfn.XLOOKUP(S1742,'Tabla Articulos'!B:B,'Tabla Articulos'!E:E)</f>
        <v/>
      </c>
      <c r="R1742" s="96">
        <f>O1742*Q1742</f>
        <v/>
      </c>
      <c r="S1742" s="97">
        <f>TRIM(E1742)</f>
        <v/>
      </c>
    </row>
    <row r="1743" hidden="1">
      <c r="A1743" s="22" t="n">
        <v>1</v>
      </c>
      <c r="B1743" t="inlineStr">
        <is>
          <t xml:space="preserve">CD MORENO                     </t>
        </is>
      </c>
      <c r="C1743" t="inlineStr">
        <is>
          <t xml:space="preserve">GRUPO L.                      </t>
        </is>
      </c>
      <c r="D1743" s="11" t="inlineStr">
        <is>
          <t>CHAMPIGNON LAMINADO</t>
        </is>
      </c>
      <c r="E1743" t="inlineStr">
        <is>
          <t xml:space="preserve">7790499000867       </t>
        </is>
      </c>
      <c r="F1743" s="11" t="n">
        <v>4022359</v>
      </c>
      <c r="G1743" t="inlineStr">
        <is>
          <t xml:space="preserve">CHAMPIGNON LAMINA X 400 LA BAN     </t>
        </is>
      </c>
      <c r="H1743" t="inlineStr">
        <is>
          <t xml:space="preserve">UNIDAD              </t>
        </is>
      </c>
      <c r="I1743" t="n">
        <v>146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146</v>
      </c>
      <c r="P1743" s="96">
        <f>_xlfn.XLOOKUP(Tabla5[[#This Row],[EAN CORREGIDO]],'Tabla Articulos'!B:B,'Tabla Articulos'!D:D)</f>
        <v/>
      </c>
      <c r="Q1743" s="96">
        <f>_xlfn.XLOOKUP(S1743,'Tabla Articulos'!B:B,'Tabla Articulos'!E:E)</f>
        <v/>
      </c>
      <c r="R1743" s="96">
        <f>O1743*Q1743</f>
        <v/>
      </c>
      <c r="S1743" s="97">
        <f>TRIM(E1743)</f>
        <v/>
      </c>
    </row>
    <row r="1744" hidden="1">
      <c r="A1744" s="22" t="n">
        <v>6</v>
      </c>
      <c r="B1744" t="inlineStr">
        <is>
          <t xml:space="preserve">CDM03 - MORENO 3              </t>
        </is>
      </c>
      <c r="C1744" t="inlineStr">
        <is>
          <t xml:space="preserve">GRUPO L.                      </t>
        </is>
      </c>
      <c r="D1744" s="11" t="inlineStr">
        <is>
          <t>GUANTE GOMA</t>
        </is>
      </c>
      <c r="E1744" t="inlineStr">
        <is>
          <t xml:space="preserve">7797390401281       </t>
        </is>
      </c>
      <c r="F1744" s="11" t="n">
        <v>2016727</v>
      </c>
      <c r="G1744" t="inlineStr">
        <is>
          <t xml:space="preserve">GUANTES NAR L SCHEZ                </t>
        </is>
      </c>
      <c r="H1744" t="inlineStr">
        <is>
          <t xml:space="preserve">UNIDAD              </t>
        </is>
      </c>
      <c r="I1744" t="n">
        <v>240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240</v>
      </c>
      <c r="P1744" s="96">
        <f>_xlfn.XLOOKUP(Tabla5[[#This Row],[EAN CORREGIDO]],'Tabla Articulos'!B:B,'Tabla Articulos'!D:D)</f>
        <v/>
      </c>
      <c r="Q1744" s="96">
        <f>_xlfn.XLOOKUP(S1744,'Tabla Articulos'!B:B,'Tabla Articulos'!E:E)</f>
        <v/>
      </c>
      <c r="R1744" s="96">
        <f>O1744*Q1744</f>
        <v/>
      </c>
      <c r="S1744" s="97">
        <f>TRIM(E1744)</f>
        <v/>
      </c>
    </row>
    <row r="1745" hidden="1">
      <c r="A1745" s="22" t="n">
        <v>1</v>
      </c>
      <c r="B1745" t="inlineStr">
        <is>
          <t xml:space="preserve">CD MORENO                     </t>
        </is>
      </c>
      <c r="C1745" t="inlineStr">
        <is>
          <t xml:space="preserve">GRUPO L.                      </t>
        </is>
      </c>
      <c r="D1745" s="11" t="inlineStr">
        <is>
          <t>FLAN DDL</t>
        </is>
      </c>
      <c r="E1745" t="inlineStr">
        <is>
          <t xml:space="preserve">7790971001948       </t>
        </is>
      </c>
      <c r="F1745" s="11" t="n">
        <v>4019602</v>
      </c>
      <c r="G1745" t="inlineStr">
        <is>
          <t xml:space="preserve">FLAN DULCE DE LECHE X60G RAVANA    </t>
        </is>
      </c>
      <c r="H1745" t="inlineStr">
        <is>
          <t xml:space="preserve">UNIDAD              </t>
        </is>
      </c>
      <c r="I1745" t="n">
        <v>66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66</v>
      </c>
      <c r="P1745" s="96">
        <f>_xlfn.XLOOKUP(Tabla5[[#This Row],[EAN CORREGIDO]],'Tabla Articulos'!B:B,'Tabla Articulos'!D:D)</f>
        <v/>
      </c>
      <c r="Q1745" s="96">
        <f>_xlfn.XLOOKUP(S1745,'Tabla Articulos'!B:B,'Tabla Articulos'!E:E)</f>
        <v/>
      </c>
      <c r="R1745" s="96">
        <f>O1745*Q1745</f>
        <v/>
      </c>
      <c r="S1745" s="97">
        <f>TRIM(E1745)</f>
        <v/>
      </c>
    </row>
    <row r="1746" hidden="1">
      <c r="A1746" s="22" t="n">
        <v>6</v>
      </c>
      <c r="B1746" t="inlineStr">
        <is>
          <t xml:space="preserve">CDM03 - MORENO 3              </t>
        </is>
      </c>
      <c r="C1746" t="inlineStr">
        <is>
          <t xml:space="preserve">GRUPO L.                      </t>
        </is>
      </c>
      <c r="D1746" s="11" t="n"/>
      <c r="E1746" t="inlineStr">
        <is>
          <t xml:space="preserve">UNIF000141          </t>
        </is>
      </c>
      <c r="F1746" s="11" t="n">
        <v>9003558</v>
      </c>
      <c r="G1746" t="inlineStr">
        <is>
          <t xml:space="preserve">CAMISA 3/4 BCA. SALUD MUJER - 4    </t>
        </is>
      </c>
      <c r="H1746" t="inlineStr">
        <is>
          <t xml:space="preserve">UNIDAD              </t>
        </is>
      </c>
      <c r="I1746" t="n">
        <v>0</v>
      </c>
      <c r="J1746" t="n">
        <v>80</v>
      </c>
      <c r="K1746" t="n">
        <v>0</v>
      </c>
      <c r="L1746" t="n">
        <v>0</v>
      </c>
      <c r="M1746" t="n">
        <v>0</v>
      </c>
      <c r="N1746" t="n">
        <v>0</v>
      </c>
      <c r="O1746" t="n">
        <v>80</v>
      </c>
      <c r="P1746" s="96">
        <f>_xlfn.XLOOKUP(Tabla5[[#This Row],[EAN CORREGIDO]],'Tabla Articulos'!B:B,'Tabla Articulos'!D:D)</f>
        <v/>
      </c>
      <c r="Q1746" s="96">
        <f>_xlfn.XLOOKUP(S1746,'Tabla Articulos'!B:B,'Tabla Articulos'!E:E)</f>
        <v/>
      </c>
      <c r="R1746" s="96">
        <f>O1746*Q1746</f>
        <v/>
      </c>
      <c r="S1746" s="97">
        <f>TRIM(E1746)</f>
        <v/>
      </c>
    </row>
    <row r="1747" hidden="1">
      <c r="A1747" s="22" t="n">
        <v>1</v>
      </c>
      <c r="B1747" t="inlineStr">
        <is>
          <t xml:space="preserve">CD MORENO                     </t>
        </is>
      </c>
      <c r="C1747" t="inlineStr">
        <is>
          <t xml:space="preserve">GRUPO L.                      </t>
        </is>
      </c>
      <c r="D1747" t="inlineStr">
        <is>
          <t>LECHE POLVO PEPTI JR HE</t>
        </is>
      </c>
      <c r="E1747" t="inlineStr">
        <is>
          <t xml:space="preserve">7795323776109       </t>
        </is>
      </c>
      <c r="F1747" s="11" t="n">
        <v>4077154</v>
      </c>
      <c r="G1747" t="inlineStr">
        <is>
          <t xml:space="preserve">LECHE NUTRILON PEPTI JR HE X400GR  </t>
        </is>
      </c>
      <c r="H1747" t="inlineStr">
        <is>
          <t xml:space="preserve">UNIDAD              </t>
        </is>
      </c>
      <c r="I1747" t="n">
        <v>15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15</v>
      </c>
      <c r="P1747" s="96">
        <f>_xlfn.XLOOKUP(Tabla5[[#This Row],[EAN CORREGIDO]],'Tabla Articulos'!B:B,'Tabla Articulos'!D:D)</f>
        <v/>
      </c>
      <c r="Q1747" s="96">
        <f>_xlfn.XLOOKUP(S1747,'Tabla Articulos'!B:B,'Tabla Articulos'!E:E)</f>
        <v/>
      </c>
      <c r="R1747" s="96">
        <f>O1747*Q1747</f>
        <v/>
      </c>
      <c r="S1747" s="97">
        <f>TRIM(E1747)</f>
        <v/>
      </c>
    </row>
    <row r="1748" hidden="1">
      <c r="A1748" s="22" t="n">
        <v>1</v>
      </c>
      <c r="B1748" t="inlineStr">
        <is>
          <t xml:space="preserve">CD MORENO                     </t>
        </is>
      </c>
      <c r="C1748" t="inlineStr">
        <is>
          <t xml:space="preserve">GRUPO L.                      </t>
        </is>
      </c>
      <c r="D1748" s="11" t="inlineStr">
        <is>
          <t>TOMATE TRITURADO</t>
        </is>
      </c>
      <c r="E1748" t="inlineStr">
        <is>
          <t xml:space="preserve">7790499017667       </t>
        </is>
      </c>
      <c r="F1748" s="11" t="n">
        <v>4019733</v>
      </c>
      <c r="G1748" t="inlineStr">
        <is>
          <t xml:space="preserve">TOMATE TRITURADO X500 GR LA BANDA  </t>
        </is>
      </c>
      <c r="H1748" t="inlineStr">
        <is>
          <t xml:space="preserve">UNIDAD              </t>
        </is>
      </c>
      <c r="I1748" t="n">
        <v>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9</v>
      </c>
      <c r="P1748" s="96">
        <f>_xlfn.XLOOKUP(Tabla5[[#This Row],[EAN CORREGIDO]],'Tabla Articulos'!B:B,'Tabla Articulos'!D:D)</f>
        <v/>
      </c>
      <c r="Q1748" s="96">
        <f>_xlfn.XLOOKUP(S1748,'Tabla Articulos'!B:B,'Tabla Articulos'!E:E)</f>
        <v/>
      </c>
      <c r="R1748" s="96">
        <f>O1748*Q1748</f>
        <v/>
      </c>
      <c r="S1748" s="97">
        <f>TRIM(E1748)</f>
        <v/>
      </c>
    </row>
    <row r="1749" hidden="1">
      <c r="A1749" s="22" t="n">
        <v>6</v>
      </c>
      <c r="B1749" t="inlineStr">
        <is>
          <t xml:space="preserve">CDM03 - MORENO 3              </t>
        </is>
      </c>
      <c r="C1749" t="inlineStr">
        <is>
          <t xml:space="preserve">GRUPO L.                      </t>
        </is>
      </c>
      <c r="D1749" s="11" t="n"/>
      <c r="E1749" t="inlineStr">
        <is>
          <t xml:space="preserve">UNIF000244          </t>
        </is>
      </c>
      <c r="F1749" s="11" t="n">
        <v>9003231</v>
      </c>
      <c r="G1749" t="inlineStr">
        <is>
          <t xml:space="preserve">PANTAL NAUT BLANCO SIN LOGO - T6   </t>
        </is>
      </c>
      <c r="H1749" t="inlineStr">
        <is>
          <t xml:space="preserve">UNIDAD              </t>
        </is>
      </c>
      <c r="I1749" t="n">
        <v>47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47</v>
      </c>
      <c r="P1749" s="96">
        <f>_xlfn.XLOOKUP(Tabla5[[#This Row],[EAN CORREGIDO]],'Tabla Articulos'!B:B,'Tabla Articulos'!D:D)</f>
        <v/>
      </c>
      <c r="Q1749" s="96">
        <f>_xlfn.XLOOKUP(S1749,'Tabla Articulos'!B:B,'Tabla Articulos'!E:E)</f>
        <v/>
      </c>
      <c r="R1749" s="96">
        <f>O1749*Q1749</f>
        <v/>
      </c>
      <c r="S1749" s="97">
        <f>TRIM(E1749)</f>
        <v/>
      </c>
    </row>
    <row r="1750" hidden="1">
      <c r="A1750" s="22" t="n">
        <v>6</v>
      </c>
      <c r="B1750" t="inlineStr">
        <is>
          <t xml:space="preserve">CDM03 - MORENO 3              </t>
        </is>
      </c>
      <c r="C1750" t="inlineStr">
        <is>
          <t xml:space="preserve">GRUPO L.                      </t>
        </is>
      </c>
      <c r="D1750" s="11" t="n"/>
      <c r="E1750" t="inlineStr">
        <is>
          <t xml:space="preserve">UNIF000138          </t>
        </is>
      </c>
      <c r="F1750" s="11" t="n">
        <v>9003555</v>
      </c>
      <c r="G1750" t="inlineStr">
        <is>
          <t xml:space="preserve">CAMISA 3/4 BCA. SALUD MUJER - 1    </t>
        </is>
      </c>
      <c r="H1750" t="inlineStr">
        <is>
          <t xml:space="preserve">UNIDAD              </t>
        </is>
      </c>
      <c r="I1750" t="n">
        <v>0</v>
      </c>
      <c r="J1750" t="n">
        <v>130</v>
      </c>
      <c r="K1750" t="n">
        <v>0</v>
      </c>
      <c r="L1750" t="n">
        <v>0</v>
      </c>
      <c r="M1750" t="n">
        <v>0</v>
      </c>
      <c r="N1750" t="n">
        <v>0</v>
      </c>
      <c r="O1750" t="n">
        <v>130</v>
      </c>
      <c r="P1750" s="96">
        <f>_xlfn.XLOOKUP(Tabla5[[#This Row],[EAN CORREGIDO]],'Tabla Articulos'!B:B,'Tabla Articulos'!D:D)</f>
        <v/>
      </c>
      <c r="Q1750" s="96">
        <f>_xlfn.XLOOKUP(S1750,'Tabla Articulos'!B:B,'Tabla Articulos'!E:E)</f>
        <v/>
      </c>
      <c r="R1750" s="96">
        <f>O1750*Q1750</f>
        <v/>
      </c>
      <c r="S1750" s="97">
        <f>TRIM(E1750)</f>
        <v/>
      </c>
    </row>
    <row r="1751" hidden="1">
      <c r="A1751" s="22" t="n">
        <v>6</v>
      </c>
      <c r="B1751" t="inlineStr">
        <is>
          <t xml:space="preserve">CDM03 - MORENO 3              </t>
        </is>
      </c>
      <c r="C1751" t="inlineStr">
        <is>
          <t xml:space="preserve">GRUPO L.                      </t>
        </is>
      </c>
      <c r="D1751" s="11" t="n"/>
      <c r="E1751" t="inlineStr">
        <is>
          <t xml:space="preserve">LIM000482           </t>
        </is>
      </c>
      <c r="F1751" s="11" t="n">
        <v>2006925</v>
      </c>
      <c r="G1751" t="inlineStr">
        <is>
          <t xml:space="preserve">MICROFIBRA MANO ROJA XU            </t>
        </is>
      </c>
      <c r="H1751" t="inlineStr">
        <is>
          <t xml:space="preserve">UNIDAD              </t>
        </is>
      </c>
      <c r="I1751" t="n">
        <v>816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816</v>
      </c>
      <c r="P1751" s="96">
        <f>_xlfn.XLOOKUP(Tabla5[[#This Row],[EAN CORREGIDO]],'Tabla Articulos'!B:B,'Tabla Articulos'!D:D)</f>
        <v/>
      </c>
      <c r="Q1751" s="96">
        <f>_xlfn.XLOOKUP(S1751,'Tabla Articulos'!B:B,'Tabla Articulos'!E:E)</f>
        <v/>
      </c>
      <c r="R1751" s="96">
        <f>O1751*Q1751</f>
        <v/>
      </c>
      <c r="S1751" s="97">
        <f>TRIM(E1751)</f>
        <v/>
      </c>
    </row>
    <row r="1752" hidden="1">
      <c r="A1752" s="22" t="n">
        <v>6</v>
      </c>
      <c r="B1752" t="inlineStr">
        <is>
          <t xml:space="preserve">CDM03 - MORENO 3              </t>
        </is>
      </c>
      <c r="C1752" t="inlineStr">
        <is>
          <t xml:space="preserve">GRUPO L.                      </t>
        </is>
      </c>
      <c r="E1752" t="inlineStr">
        <is>
          <t xml:space="preserve">UNIF000161          </t>
        </is>
      </c>
      <c r="F1752" s="11" t="n">
        <v>9003653</v>
      </c>
      <c r="G1752" t="inlineStr">
        <is>
          <t xml:space="preserve">CHAQUETA CHEF 1 C. GOURMET         </t>
        </is>
      </c>
      <c r="H1752" t="inlineStr">
        <is>
          <t xml:space="preserve">UNIDAD              </t>
        </is>
      </c>
      <c r="I1752" t="n">
        <v>23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23</v>
      </c>
      <c r="P1752" s="96">
        <f>_xlfn.XLOOKUP(Tabla5[[#This Row],[EAN CORREGIDO]],'Tabla Articulos'!B:B,'Tabla Articulos'!D:D)</f>
        <v/>
      </c>
      <c r="Q1752" s="96">
        <f>_xlfn.XLOOKUP(S1752,'Tabla Articulos'!B:B,'Tabla Articulos'!E:E)</f>
        <v/>
      </c>
      <c r="R1752" s="96">
        <f>O1752*Q1752</f>
        <v/>
      </c>
      <c r="S1752" s="97">
        <f>TRIM(E1752)</f>
        <v/>
      </c>
    </row>
    <row r="1753" hidden="1">
      <c r="A1753" s="22" t="n">
        <v>1</v>
      </c>
      <c r="B1753" t="inlineStr">
        <is>
          <t xml:space="preserve">CD MORENO                     </t>
        </is>
      </c>
      <c r="C1753" t="inlineStr">
        <is>
          <t xml:space="preserve">GRUPO L.                      </t>
        </is>
      </c>
      <c r="D1753" s="11" t="inlineStr">
        <is>
          <t>CARNE ENTERA</t>
        </is>
      </c>
      <c r="E1753" t="inlineStr">
        <is>
          <t xml:space="preserve">7790000000826       </t>
        </is>
      </c>
      <c r="F1753" s="11" t="n">
        <v>4077226</v>
      </c>
      <c r="G1753" t="inlineStr">
        <is>
          <t xml:space="preserve">PECHO REFRIG XKG                   </t>
        </is>
      </c>
      <c r="H1753" t="inlineStr">
        <is>
          <t xml:space="preserve">Kgs                 </t>
        </is>
      </c>
      <c r="I1753" t="n">
        <v>30.03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30.03</v>
      </c>
      <c r="P1753" s="96">
        <f>_xlfn.XLOOKUP(Tabla5[[#This Row],[EAN CORREGIDO]],'Tabla Articulos'!B:B,'Tabla Articulos'!D:D)</f>
        <v/>
      </c>
      <c r="Q1753" s="96">
        <f>_xlfn.XLOOKUP(S1753,'Tabla Articulos'!B:B,'Tabla Articulos'!E:E)</f>
        <v/>
      </c>
      <c r="R1753" s="96">
        <f>O1753*Q1753</f>
        <v/>
      </c>
      <c r="S1753" s="97">
        <f>TRIM(E1753)</f>
        <v/>
      </c>
    </row>
    <row r="1754" hidden="1">
      <c r="A1754" s="22" t="n">
        <v>6</v>
      </c>
      <c r="B1754" t="inlineStr">
        <is>
          <t xml:space="preserve">CDM03 - MORENO 3              </t>
        </is>
      </c>
      <c r="C1754" t="inlineStr">
        <is>
          <t xml:space="preserve">GRUPO L.                      </t>
        </is>
      </c>
      <c r="D1754" s="11" t="n"/>
      <c r="E1754" t="inlineStr">
        <is>
          <t xml:space="preserve">UNIF000449          </t>
        </is>
      </c>
      <c r="F1754" s="11" t="n">
        <v>9003610</v>
      </c>
      <c r="G1754" t="inlineStr">
        <is>
          <t xml:space="preserve">CAMP. A. MAR. TRUCKER ELEVARE S    </t>
        </is>
      </c>
      <c r="H1754" t="inlineStr">
        <is>
          <t xml:space="preserve">UNIDAD              </t>
        </is>
      </c>
      <c r="I1754" t="n">
        <v>28</v>
      </c>
      <c r="J1754" t="n">
        <v>0</v>
      </c>
      <c r="K1754" t="n">
        <v>0</v>
      </c>
      <c r="L1754" t="n">
        <v>4</v>
      </c>
      <c r="M1754" t="n">
        <v>4</v>
      </c>
      <c r="N1754" t="n">
        <v>0</v>
      </c>
      <c r="O1754" t="n">
        <v>20</v>
      </c>
      <c r="P1754" s="96">
        <f>_xlfn.XLOOKUP(Tabla5[[#This Row],[EAN CORREGIDO]],'Tabla Articulos'!B:B,'Tabla Articulos'!D:D)</f>
        <v/>
      </c>
      <c r="Q1754" s="96">
        <f>_xlfn.XLOOKUP(S1754,'Tabla Articulos'!B:B,'Tabla Articulos'!E:E)</f>
        <v/>
      </c>
      <c r="R1754" s="96">
        <f>O1754*Q1754</f>
        <v/>
      </c>
      <c r="S1754" s="97">
        <f>TRIM(E1754)</f>
        <v/>
      </c>
    </row>
    <row r="1755" hidden="1">
      <c r="A1755" s="22" t="n">
        <v>5</v>
      </c>
      <c r="B1755" t="inlineStr">
        <is>
          <t xml:space="preserve">CDM02 - MORENO 2              </t>
        </is>
      </c>
      <c r="C1755" t="inlineStr">
        <is>
          <t xml:space="preserve">GRUPO L.                      </t>
        </is>
      </c>
      <c r="D1755" s="11" t="inlineStr">
        <is>
          <t>FIDEOS LARGO</t>
        </is>
      </c>
      <c r="E1755" t="inlineStr">
        <is>
          <t xml:space="preserve">7798138555518       </t>
        </is>
      </c>
      <c r="F1755" s="11" t="n">
        <v>4020516</v>
      </c>
      <c r="G1755" t="inlineStr">
        <is>
          <t xml:space="preserve">FIDEO SPAGHETTI X500G STA ISABEL   </t>
        </is>
      </c>
      <c r="H1755" t="inlineStr">
        <is>
          <t xml:space="preserve">UNIDAD              </t>
        </is>
      </c>
      <c r="I1755" t="n">
        <v>41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41</v>
      </c>
      <c r="P1755" s="96">
        <f>_xlfn.XLOOKUP(Tabla5[[#This Row],[EAN CORREGIDO]],'Tabla Articulos'!B:B,'Tabla Articulos'!D:D)</f>
        <v/>
      </c>
      <c r="Q1755" s="96">
        <f>_xlfn.XLOOKUP(S1755,'Tabla Articulos'!B:B,'Tabla Articulos'!E:E)</f>
        <v/>
      </c>
      <c r="R1755" s="96">
        <f>O1755*Q1755</f>
        <v/>
      </c>
      <c r="S1755" s="97">
        <f>TRIM(E1755)</f>
        <v/>
      </c>
    </row>
    <row r="1756" hidden="1">
      <c r="A1756" s="22" t="n">
        <v>6</v>
      </c>
      <c r="B1756" t="inlineStr">
        <is>
          <t xml:space="preserve">CDM03 - MORENO 3              </t>
        </is>
      </c>
      <c r="C1756" t="inlineStr">
        <is>
          <t xml:space="preserve">GRUPO L.                      </t>
        </is>
      </c>
      <c r="D1756" t="inlineStr">
        <is>
          <t>PULVERIZADORES C/GATILLO</t>
        </is>
      </c>
      <c r="E1756" t="inlineStr">
        <is>
          <t xml:space="preserve">7790000000462       </t>
        </is>
      </c>
      <c r="F1756" t="n">
        <v>2007488</v>
      </c>
      <c r="G1756" t="inlineStr">
        <is>
          <t xml:space="preserve">GATILLOS PULV REFORZ MPROPIA       </t>
        </is>
      </c>
      <c r="H1756" t="inlineStr">
        <is>
          <t xml:space="preserve">UNIDAD              </t>
        </is>
      </c>
      <c r="I1756" t="n">
        <v>18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18</v>
      </c>
      <c r="P1756" s="96">
        <f>_xlfn.XLOOKUP(Tabla5[[#This Row],[EAN CORREGIDO]],'Tabla Articulos'!B:B,'Tabla Articulos'!D:D)</f>
        <v/>
      </c>
      <c r="Q1756" s="96">
        <f>_xlfn.XLOOKUP(S1756,'Tabla Articulos'!B:B,'Tabla Articulos'!E:E)</f>
        <v/>
      </c>
      <c r="R1756" s="96">
        <f>O1756*Q1756</f>
        <v/>
      </c>
      <c r="S1756" s="97">
        <f>TRIM(E1756)</f>
        <v/>
      </c>
    </row>
    <row r="1757" hidden="1">
      <c r="A1757" s="22" t="n">
        <v>6</v>
      </c>
      <c r="B1757" t="inlineStr">
        <is>
          <t xml:space="preserve">CDM03 - MORENO 3              </t>
        </is>
      </c>
      <c r="C1757" t="inlineStr">
        <is>
          <t xml:space="preserve">GRUPO L.                      </t>
        </is>
      </c>
      <c r="D1757" t="inlineStr">
        <is>
          <t>MANTEL INDIVIDUAL LISO</t>
        </is>
      </c>
      <c r="E1757" t="inlineStr">
        <is>
          <t xml:space="preserve">7790000000043       </t>
        </is>
      </c>
      <c r="F1757" t="n">
        <v>2007004</v>
      </c>
      <c r="G1757" t="inlineStr">
        <is>
          <t xml:space="preserve">MANTEL INDIV KRAFT LISO X200U      </t>
        </is>
      </c>
      <c r="H1757" t="inlineStr">
        <is>
          <t xml:space="preserve">UNIDAD              </t>
        </is>
      </c>
      <c r="I1757" t="n">
        <v>35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35</v>
      </c>
      <c r="P1757" s="96">
        <f>_xlfn.XLOOKUP(Tabla5[[#This Row],[EAN CORREGIDO]],'Tabla Articulos'!B:B,'Tabla Articulos'!D:D)</f>
        <v/>
      </c>
      <c r="Q1757" s="96">
        <f>_xlfn.XLOOKUP(S1757,'Tabla Articulos'!B:B,'Tabla Articulos'!E:E)</f>
        <v/>
      </c>
      <c r="R1757" s="96">
        <f>O1757*Q1757</f>
        <v/>
      </c>
      <c r="S1757" s="97">
        <f>TRIM(E1757)</f>
        <v/>
      </c>
    </row>
    <row r="1758" hidden="1">
      <c r="A1758" s="22" t="n">
        <v>6</v>
      </c>
      <c r="B1758" t="inlineStr">
        <is>
          <t xml:space="preserve">CDM03 - MORENO 3              </t>
        </is>
      </c>
      <c r="C1758" t="inlineStr">
        <is>
          <t xml:space="preserve">GRUPO L.                      </t>
        </is>
      </c>
      <c r="E1758" t="inlineStr">
        <is>
          <t xml:space="preserve">BAZ001168           </t>
        </is>
      </c>
      <c r="F1758" t="n">
        <v>9003692</v>
      </c>
      <c r="G1758" t="inlineStr">
        <is>
          <t xml:space="preserve">TENEDOR MANGO PLASTICO ROJO        </t>
        </is>
      </c>
      <c r="H1758" t="inlineStr">
        <is>
          <t xml:space="preserve">UNIDAD              </t>
        </is>
      </c>
      <c r="I1758" t="n">
        <v>216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216</v>
      </c>
      <c r="P1758" s="96">
        <f>_xlfn.XLOOKUP(Tabla5[[#This Row],[EAN CORREGIDO]],'Tabla Articulos'!B:B,'Tabla Articulos'!D:D)</f>
        <v/>
      </c>
      <c r="Q1758" s="96">
        <f>_xlfn.XLOOKUP(S1758,'Tabla Articulos'!B:B,'Tabla Articulos'!E:E)</f>
        <v/>
      </c>
      <c r="R1758" s="96">
        <f>O1758*Q1758</f>
        <v/>
      </c>
      <c r="S1758" s="97">
        <f>TRIM(E1758)</f>
        <v/>
      </c>
    </row>
    <row r="1759" hidden="1">
      <c r="A1759" s="22" t="n">
        <v>6</v>
      </c>
      <c r="B1759" t="inlineStr">
        <is>
          <t xml:space="preserve">CDM03 - MORENO 3              </t>
        </is>
      </c>
      <c r="C1759" t="inlineStr">
        <is>
          <t xml:space="preserve">GRUPO L.                      </t>
        </is>
      </c>
      <c r="E1759" t="inlineStr">
        <is>
          <t xml:space="preserve">7790000000687       </t>
        </is>
      </c>
      <c r="F1759" t="n">
        <v>2011493</v>
      </c>
      <c r="G1759" t="inlineStr">
        <is>
          <t xml:space="preserve">BOLSAS VERDES 80X100X50            </t>
        </is>
      </c>
      <c r="H1759" t="inlineStr">
        <is>
          <t xml:space="preserve">UNIDAD              </t>
        </is>
      </c>
      <c r="I1759" t="n">
        <v>2768</v>
      </c>
      <c r="J1759" t="n">
        <v>0</v>
      </c>
      <c r="K1759" t="n">
        <v>-332</v>
      </c>
      <c r="L1759" t="n">
        <v>0</v>
      </c>
      <c r="M1759" t="n">
        <v>0</v>
      </c>
      <c r="N1759" t="n">
        <v>0</v>
      </c>
      <c r="O1759" t="n">
        <v>3100</v>
      </c>
      <c r="P1759" s="96">
        <f>_xlfn.XLOOKUP(Tabla5[[#This Row],[EAN CORREGIDO]],'Tabla Articulos'!B:B,'Tabla Articulos'!D:D)</f>
        <v/>
      </c>
      <c r="Q1759" s="96">
        <f>_xlfn.XLOOKUP(S1759,'Tabla Articulos'!B:B,'Tabla Articulos'!E:E)</f>
        <v/>
      </c>
      <c r="R1759" s="96">
        <f>O1759*Q1759</f>
        <v/>
      </c>
      <c r="S1759" s="97">
        <f>TRIM(E1759)</f>
        <v/>
      </c>
    </row>
    <row r="1760" hidden="1">
      <c r="A1760" s="22" t="n">
        <v>6</v>
      </c>
      <c r="B1760" t="inlineStr">
        <is>
          <t xml:space="preserve">CDM03 - MORENO 3              </t>
        </is>
      </c>
      <c r="C1760" t="inlineStr">
        <is>
          <t xml:space="preserve">GRUPO L.                      </t>
        </is>
      </c>
      <c r="D1760" s="11" t="n"/>
      <c r="E1760" t="inlineStr">
        <is>
          <t xml:space="preserve">5000755             </t>
        </is>
      </c>
      <c r="F1760" t="n">
        <v>5000755</v>
      </c>
      <c r="G1760" t="inlineStr">
        <is>
          <t>GUANTE NORTH NF13 NYLON G15 GRIS-TA</t>
        </is>
      </c>
      <c r="H1760" t="inlineStr">
        <is>
          <t xml:space="preserve">UNIDAD              </t>
        </is>
      </c>
      <c r="I1760" t="n">
        <v>108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108</v>
      </c>
      <c r="P1760" s="96">
        <f>_xlfn.XLOOKUP(Tabla5[[#This Row],[EAN CORREGIDO]],'Tabla Articulos'!B:B,'Tabla Articulos'!D:D)</f>
        <v/>
      </c>
      <c r="Q1760" s="96">
        <f>_xlfn.XLOOKUP(S1760,'Tabla Articulos'!B:B,'Tabla Articulos'!E:E)</f>
        <v/>
      </c>
      <c r="R1760" s="96">
        <f>O1760*Q1760</f>
        <v/>
      </c>
      <c r="S1760" s="97">
        <f>TRIM(E1760)</f>
        <v/>
      </c>
    </row>
    <row r="1761" hidden="1">
      <c r="A1761" s="22" t="n">
        <v>1</v>
      </c>
      <c r="B1761" t="inlineStr">
        <is>
          <t xml:space="preserve">CD MORENO                     </t>
        </is>
      </c>
      <c r="C1761" t="inlineStr">
        <is>
          <t xml:space="preserve">GRUPO L.                      </t>
        </is>
      </c>
      <c r="D1761" t="inlineStr">
        <is>
          <t>CHORIZOS</t>
        </is>
      </c>
      <c r="E1761" t="inlineStr">
        <is>
          <t xml:space="preserve">7790212030026       </t>
        </is>
      </c>
      <c r="F1761" t="n">
        <v>4024421</v>
      </c>
      <c r="G1761" t="inlineStr">
        <is>
          <t xml:space="preserve">CHORIZO BOMBON x UN                </t>
        </is>
      </c>
      <c r="H1761" t="inlineStr">
        <is>
          <t xml:space="preserve">UNIDAD              </t>
        </is>
      </c>
      <c r="I1761" t="n">
        <v>27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27</v>
      </c>
      <c r="P1761" s="96">
        <f>_xlfn.XLOOKUP(Tabla5[[#This Row],[EAN CORREGIDO]],'Tabla Articulos'!B:B,'Tabla Articulos'!D:D)</f>
        <v/>
      </c>
      <c r="Q1761" s="96">
        <f>_xlfn.XLOOKUP(S1761,'Tabla Articulos'!B:B,'Tabla Articulos'!E:E)</f>
        <v/>
      </c>
      <c r="R1761" s="96">
        <f>O1761*Q1761</f>
        <v/>
      </c>
      <c r="S1761" s="97">
        <f>TRIM(E1761)</f>
        <v/>
      </c>
    </row>
    <row r="1762" hidden="1">
      <c r="A1762" s="22" t="n">
        <v>6</v>
      </c>
      <c r="B1762" t="inlineStr">
        <is>
          <t xml:space="preserve">CDM03 - MORENO 3              </t>
        </is>
      </c>
      <c r="C1762" t="inlineStr">
        <is>
          <t xml:space="preserve">GRUPO L.                      </t>
        </is>
      </c>
      <c r="D1762" t="inlineStr">
        <is>
          <t>ALCOHOL LIQ</t>
        </is>
      </c>
      <c r="E1762" t="inlineStr">
        <is>
          <t xml:space="preserve">7790139101039       </t>
        </is>
      </c>
      <c r="F1762" t="n">
        <v>2007330</v>
      </c>
      <c r="G1762" t="inlineStr">
        <is>
          <t xml:space="preserve">ALCOHOL 70% 5LT BIALCOHOL          </t>
        </is>
      </c>
      <c r="H1762" t="inlineStr">
        <is>
          <t xml:space="preserve">UNIDAD              </t>
        </is>
      </c>
      <c r="I1762" t="n">
        <v>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6</v>
      </c>
      <c r="P1762" s="96">
        <f>_xlfn.XLOOKUP(Tabla5[[#This Row],[EAN CORREGIDO]],'Tabla Articulos'!B:B,'Tabla Articulos'!D:D)</f>
        <v/>
      </c>
      <c r="Q1762" s="96">
        <f>_xlfn.XLOOKUP(S1762,'Tabla Articulos'!B:B,'Tabla Articulos'!E:E)</f>
        <v/>
      </c>
      <c r="R1762" s="96">
        <f>O1762*Q1762</f>
        <v/>
      </c>
      <c r="S1762" s="97">
        <f>TRIM(E1762)</f>
        <v/>
      </c>
    </row>
    <row r="1763" hidden="1">
      <c r="A1763" s="22" t="n">
        <v>6</v>
      </c>
      <c r="B1763" t="inlineStr">
        <is>
          <t xml:space="preserve">CDM03 - MORENO 3              </t>
        </is>
      </c>
      <c r="C1763" t="inlineStr">
        <is>
          <t xml:space="preserve">GRUPO L.                      </t>
        </is>
      </c>
      <c r="D1763" t="inlineStr">
        <is>
          <t>CABOS ALUMINIO</t>
        </is>
      </c>
      <c r="E1763" t="inlineStr">
        <is>
          <t xml:space="preserve">7790000000469       </t>
        </is>
      </c>
      <c r="F1763" t="n">
        <v>2007495</v>
      </c>
      <c r="G1763" t="inlineStr">
        <is>
          <t xml:space="preserve">CABO ALUM LISO 22CMX1.50M ROJO     </t>
        </is>
      </c>
      <c r="H1763" t="inlineStr">
        <is>
          <t xml:space="preserve">UNIDAD              </t>
        </is>
      </c>
      <c r="I1763" t="n">
        <v>135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135</v>
      </c>
      <c r="P1763" s="96">
        <f>_xlfn.XLOOKUP(Tabla5[[#This Row],[EAN CORREGIDO]],'Tabla Articulos'!B:B,'Tabla Articulos'!D:D)</f>
        <v/>
      </c>
      <c r="Q1763" s="96">
        <f>_xlfn.XLOOKUP(S1763,'Tabla Articulos'!B:B,'Tabla Articulos'!E:E)</f>
        <v/>
      </c>
      <c r="R1763" s="96">
        <f>O1763*Q1763</f>
        <v/>
      </c>
      <c r="S1763" s="97">
        <f>TRIM(E1763)</f>
        <v/>
      </c>
    </row>
    <row r="1764" hidden="1">
      <c r="A1764" s="22" t="n">
        <v>6</v>
      </c>
      <c r="B1764" t="inlineStr">
        <is>
          <t xml:space="preserve">CDM03 - MORENO 3              </t>
        </is>
      </c>
      <c r="C1764" t="inlineStr">
        <is>
          <t xml:space="preserve">GRUPO L.                      </t>
        </is>
      </c>
      <c r="D1764" s="11" t="inlineStr">
        <is>
          <t>DESODORANTE DE PISO</t>
        </is>
      </c>
      <c r="E1764" t="inlineStr">
        <is>
          <t xml:space="preserve">7798113400475       </t>
        </is>
      </c>
      <c r="F1764" t="n">
        <v>2016710</v>
      </c>
      <c r="G1764" t="inlineStr">
        <is>
          <t xml:space="preserve">VO DESOD CHERRY 5LT ZELNOVA        </t>
        </is>
      </c>
      <c r="H1764" t="inlineStr">
        <is>
          <t xml:space="preserve">UNIDAD              </t>
        </is>
      </c>
      <c r="I1764" t="n">
        <v>888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888</v>
      </c>
      <c r="P1764" s="96">
        <f>_xlfn.XLOOKUP(Tabla5[[#This Row],[EAN CORREGIDO]],'Tabla Articulos'!B:B,'Tabla Articulos'!D:D)</f>
        <v/>
      </c>
      <c r="Q1764" s="96">
        <f>_xlfn.XLOOKUP(S1764,'Tabla Articulos'!B:B,'Tabla Articulos'!E:E)</f>
        <v/>
      </c>
      <c r="R1764" s="96">
        <f>O1764*Q1764</f>
        <v/>
      </c>
      <c r="S1764" s="97">
        <f>TRIM(E1764)</f>
        <v/>
      </c>
    </row>
    <row r="1765" hidden="1">
      <c r="A1765" s="22" t="n">
        <v>6</v>
      </c>
      <c r="B1765" t="inlineStr">
        <is>
          <t xml:space="preserve">CDM03 - MORENO 3              </t>
        </is>
      </c>
      <c r="C1765" t="inlineStr">
        <is>
          <t xml:space="preserve">GRUPO L.                      </t>
        </is>
      </c>
      <c r="D1765" t="inlineStr">
        <is>
          <t>LIMPIADOR DE ALFOMBRA BIODEGRA</t>
        </is>
      </c>
      <c r="E1765" t="inlineStr">
        <is>
          <t xml:space="preserve">7798057860205       </t>
        </is>
      </c>
      <c r="F1765" t="n">
        <v>2016764</v>
      </c>
      <c r="G1765" t="inlineStr">
        <is>
          <t xml:space="preserve">LIMP ALFOMB  RUGBEE 4UX5LT JOHNSON </t>
        </is>
      </c>
      <c r="H1765" t="inlineStr">
        <is>
          <t xml:space="preserve">UNIDAD              </t>
        </is>
      </c>
      <c r="I1765" t="n">
        <v>20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20</v>
      </c>
      <c r="P1765" s="96">
        <f>_xlfn.XLOOKUP(Tabla5[[#This Row],[EAN CORREGIDO]],'Tabla Articulos'!B:B,'Tabla Articulos'!D:D)</f>
        <v/>
      </c>
      <c r="Q1765" s="96">
        <f>_xlfn.XLOOKUP(S1765,'Tabla Articulos'!B:B,'Tabla Articulos'!E:E)</f>
        <v/>
      </c>
      <c r="R1765" s="96">
        <f>O1765*Q1765</f>
        <v/>
      </c>
      <c r="S1765" s="97">
        <f>TRIM(E1765)</f>
        <v/>
      </c>
    </row>
    <row r="1766" hidden="1">
      <c r="A1766" s="22" t="n">
        <v>6</v>
      </c>
      <c r="B1766" t="inlineStr">
        <is>
          <t xml:space="preserve">CDM03 - MORENO 3              </t>
        </is>
      </c>
      <c r="C1766" t="inlineStr">
        <is>
          <t xml:space="preserve">GRUPO L.                      </t>
        </is>
      </c>
      <c r="E1766" t="inlineStr">
        <is>
          <t xml:space="preserve">UNIF000644          </t>
        </is>
      </c>
      <c r="F1766" t="n">
        <v>9003974</v>
      </c>
      <c r="G1766" t="inlineStr">
        <is>
          <t xml:space="preserve">BUZO CELES -FRISA CGOUR- 2XL       </t>
        </is>
      </c>
      <c r="H1766" t="inlineStr">
        <is>
          <t xml:space="preserve">UNIDAD              </t>
        </is>
      </c>
      <c r="I1766" t="n">
        <v>15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15</v>
      </c>
      <c r="P1766" s="96">
        <f>_xlfn.XLOOKUP(Tabla5[[#This Row],[EAN CORREGIDO]],'Tabla Articulos'!B:B,'Tabla Articulos'!D:D)</f>
        <v/>
      </c>
      <c r="Q1766" s="96">
        <f>_xlfn.XLOOKUP(S1766,'Tabla Articulos'!B:B,'Tabla Articulos'!E:E)</f>
        <v/>
      </c>
      <c r="R1766" s="96">
        <f>O1766*Q1766</f>
        <v/>
      </c>
      <c r="S1766" s="97">
        <f>TRIM(E1766)</f>
        <v/>
      </c>
    </row>
    <row r="1767" hidden="1">
      <c r="A1767" s="22" t="n">
        <v>6</v>
      </c>
      <c r="B1767" t="inlineStr">
        <is>
          <t xml:space="preserve">CDM03 - MORENO 3              </t>
        </is>
      </c>
      <c r="C1767" t="inlineStr">
        <is>
          <t xml:space="preserve">GRUPO L.                      </t>
        </is>
      </c>
      <c r="E1767" t="inlineStr">
        <is>
          <t xml:space="preserve">UNIF000322          </t>
        </is>
      </c>
      <c r="F1767" t="n">
        <v>9003196</v>
      </c>
      <c r="G1767" t="inlineStr">
        <is>
          <t xml:space="preserve">REM CUE. RED A.MAR. ELEVARE 5XL    </t>
        </is>
      </c>
      <c r="H1767" t="inlineStr">
        <is>
          <t xml:space="preserve">UNIDAD              </t>
        </is>
      </c>
      <c r="I1767" t="n">
        <v>38</v>
      </c>
      <c r="J1767" t="n">
        <v>0</v>
      </c>
      <c r="K1767" t="n">
        <v>0</v>
      </c>
      <c r="L1767" t="n">
        <v>2</v>
      </c>
      <c r="M1767" t="n">
        <v>2</v>
      </c>
      <c r="N1767" t="n">
        <v>0</v>
      </c>
      <c r="O1767" t="n">
        <v>34</v>
      </c>
      <c r="P1767" s="96">
        <f>_xlfn.XLOOKUP(Tabla5[[#This Row],[EAN CORREGIDO]],'Tabla Articulos'!B:B,'Tabla Articulos'!D:D)</f>
        <v/>
      </c>
      <c r="Q1767" s="96">
        <f>_xlfn.XLOOKUP(S1767,'Tabla Articulos'!B:B,'Tabla Articulos'!E:E)</f>
        <v/>
      </c>
      <c r="R1767" s="96">
        <f>O1767*Q1767</f>
        <v/>
      </c>
      <c r="S1767" s="97">
        <f>TRIM(E1767)</f>
        <v/>
      </c>
    </row>
    <row r="1768" hidden="1">
      <c r="A1768" s="22" t="n">
        <v>6</v>
      </c>
      <c r="B1768" t="inlineStr">
        <is>
          <t xml:space="preserve">CDM03 - MORENO 3              </t>
        </is>
      </c>
      <c r="C1768" t="inlineStr">
        <is>
          <t xml:space="preserve">GRUPO L.                      </t>
        </is>
      </c>
      <c r="E1768" t="inlineStr">
        <is>
          <t xml:space="preserve">UNIF000654          </t>
        </is>
      </c>
      <c r="F1768" t="n">
        <v>9003990</v>
      </c>
      <c r="G1768" t="inlineStr">
        <is>
          <t xml:space="preserve">PANTALON CARGO A. MARINO 40        </t>
        </is>
      </c>
      <c r="H1768" t="inlineStr">
        <is>
          <t xml:space="preserve">UNIDAD              </t>
        </is>
      </c>
      <c r="I1768" t="n">
        <v>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2</v>
      </c>
      <c r="P1768" s="96">
        <f>_xlfn.XLOOKUP(Tabla5[[#This Row],[EAN CORREGIDO]],'Tabla Articulos'!B:B,'Tabla Articulos'!D:D)</f>
        <v/>
      </c>
      <c r="Q1768" s="96">
        <f>_xlfn.XLOOKUP(S1768,'Tabla Articulos'!B:B,'Tabla Articulos'!E:E)</f>
        <v/>
      </c>
      <c r="R1768" s="96">
        <f>O1768*Q1768</f>
        <v/>
      </c>
      <c r="S1768" s="97">
        <f>TRIM(E1768)</f>
        <v/>
      </c>
    </row>
    <row r="1769" hidden="1">
      <c r="A1769" s="22" t="n">
        <v>6</v>
      </c>
      <c r="B1769" t="inlineStr">
        <is>
          <t xml:space="preserve">CDM03 - MORENO 3              </t>
        </is>
      </c>
      <c r="C1769" t="inlineStr">
        <is>
          <t xml:space="preserve">GRUPO L.                      </t>
        </is>
      </c>
      <c r="E1769" t="inlineStr">
        <is>
          <t xml:space="preserve">UNIF000422          </t>
        </is>
      </c>
      <c r="F1769" t="n">
        <v>9003265</v>
      </c>
      <c r="G1769" t="inlineStr">
        <is>
          <t xml:space="preserve">CAMISA GRAFA-AZUL MARINO 48 ELEV   </t>
        </is>
      </c>
      <c r="H1769" t="inlineStr">
        <is>
          <t xml:space="preserve">UNIDAD              </t>
        </is>
      </c>
      <c r="I1769" t="n">
        <v>146</v>
      </c>
      <c r="J1769" t="n">
        <v>0</v>
      </c>
      <c r="K1769" t="n">
        <v>0</v>
      </c>
      <c r="L1769" t="n">
        <v>5</v>
      </c>
      <c r="M1769" t="n">
        <v>5</v>
      </c>
      <c r="N1769" t="n">
        <v>0</v>
      </c>
      <c r="O1769" t="n">
        <v>136</v>
      </c>
      <c r="P1769" s="96">
        <f>_xlfn.XLOOKUP(Tabla5[[#This Row],[EAN CORREGIDO]],'Tabla Articulos'!B:B,'Tabla Articulos'!D:D)</f>
        <v/>
      </c>
      <c r="Q1769" s="96">
        <f>_xlfn.XLOOKUP(S1769,'Tabla Articulos'!B:B,'Tabla Articulos'!E:E)</f>
        <v/>
      </c>
      <c r="R1769" s="96">
        <f>O1769*Q1769</f>
        <v/>
      </c>
      <c r="S1769" s="97">
        <f>TRIM(E1769)</f>
        <v/>
      </c>
    </row>
    <row r="1770" hidden="1">
      <c r="A1770" s="22" t="n">
        <v>6</v>
      </c>
      <c r="B1770" t="inlineStr">
        <is>
          <t xml:space="preserve">CDM03 - MORENO 3              </t>
        </is>
      </c>
      <c r="C1770" t="inlineStr">
        <is>
          <t xml:space="preserve">GRUPO L.                      </t>
        </is>
      </c>
      <c r="D1770" t="inlineStr">
        <is>
          <t>CAJA NAVIDEÑA</t>
        </is>
      </c>
      <c r="E1770" t="inlineStr">
        <is>
          <t xml:space="preserve">8925200000006       </t>
        </is>
      </c>
      <c r="F1770" t="n">
        <v>4049055</v>
      </c>
      <c r="G1770" t="inlineStr">
        <is>
          <t xml:space="preserve">GL CAJA AMARILLA NAVIDAD XUN       </t>
        </is>
      </c>
      <c r="H1770" t="inlineStr">
        <is>
          <t xml:space="preserve">UNIDAD              </t>
        </is>
      </c>
      <c r="I1770" t="n">
        <v>22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22</v>
      </c>
      <c r="P1770" s="96">
        <f>_xlfn.XLOOKUP(Tabla5[[#This Row],[EAN CORREGIDO]],'Tabla Articulos'!B:B,'Tabla Articulos'!D:D)</f>
        <v/>
      </c>
      <c r="Q1770" s="96">
        <f>_xlfn.XLOOKUP(S1770,'Tabla Articulos'!B:B,'Tabla Articulos'!E:E)</f>
        <v/>
      </c>
      <c r="R1770" s="96">
        <f>O1770*Q1770</f>
        <v/>
      </c>
      <c r="S1770" s="97">
        <f>TRIM(E1770)</f>
        <v/>
      </c>
    </row>
    <row r="1771" hidden="1">
      <c r="A1771" s="22" t="n">
        <v>6</v>
      </c>
      <c r="B1771" t="inlineStr">
        <is>
          <t xml:space="preserve">CDM03 - MORENO 3              </t>
        </is>
      </c>
      <c r="C1771" t="inlineStr">
        <is>
          <t xml:space="preserve">GRUPO L.                      </t>
        </is>
      </c>
      <c r="E1771" t="inlineStr">
        <is>
          <t xml:space="preserve">UNIF000430          </t>
        </is>
      </c>
      <c r="F1771" t="n">
        <v>9003591</v>
      </c>
      <c r="G1771" t="inlineStr">
        <is>
          <t xml:space="preserve">CAMP. A. MAR. TRUCKER PULCRUS L    </t>
        </is>
      </c>
      <c r="H1771" t="inlineStr">
        <is>
          <t xml:space="preserve">UNIDAD              </t>
        </is>
      </c>
      <c r="I1771" t="n">
        <v>236</v>
      </c>
      <c r="J1771" t="n">
        <v>0</v>
      </c>
      <c r="K1771" t="n">
        <v>0</v>
      </c>
      <c r="L1771" t="n">
        <v>1</v>
      </c>
      <c r="M1771" t="n">
        <v>1</v>
      </c>
      <c r="N1771" t="n">
        <v>0</v>
      </c>
      <c r="O1771" t="n">
        <v>234</v>
      </c>
      <c r="P1771" s="96">
        <f>_xlfn.XLOOKUP(Tabla5[[#This Row],[EAN CORREGIDO]],'Tabla Articulos'!B:B,'Tabla Articulos'!D:D)</f>
        <v/>
      </c>
      <c r="Q1771" s="96">
        <f>_xlfn.XLOOKUP(S1771,'Tabla Articulos'!B:B,'Tabla Articulos'!E:E)</f>
        <v/>
      </c>
      <c r="R1771" s="96">
        <f>O1771*Q1771</f>
        <v/>
      </c>
      <c r="S1771" s="97">
        <f>TRIM(E1771)</f>
        <v/>
      </c>
    </row>
    <row r="1772" hidden="1">
      <c r="A1772" s="22" t="n">
        <v>6</v>
      </c>
      <c r="B1772" t="inlineStr">
        <is>
          <t xml:space="preserve">CDM03 - MORENO 3              </t>
        </is>
      </c>
      <c r="C1772" t="inlineStr">
        <is>
          <t xml:space="preserve">GRUPO L.                      </t>
        </is>
      </c>
      <c r="D1772" t="inlineStr">
        <is>
          <t>PAÑO MICROFIBRA</t>
        </is>
      </c>
      <c r="E1772" t="inlineStr">
        <is>
          <t xml:space="preserve">7790000000460       </t>
        </is>
      </c>
      <c r="F1772" t="n">
        <v>2007483</v>
      </c>
      <c r="G1772" t="inlineStr">
        <is>
          <t xml:space="preserve">PANO MICROF.MULT ROJO CLEANTEX     </t>
        </is>
      </c>
      <c r="H1772" t="inlineStr">
        <is>
          <t xml:space="preserve">PALLET              </t>
        </is>
      </c>
      <c r="I1772" t="n">
        <v>689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689</v>
      </c>
      <c r="P1772" s="96">
        <f>_xlfn.XLOOKUP(Tabla5[[#This Row],[EAN CORREGIDO]],'Tabla Articulos'!B:B,'Tabla Articulos'!D:D)</f>
        <v/>
      </c>
      <c r="Q1772" s="96">
        <f>_xlfn.XLOOKUP(S1772,'Tabla Articulos'!B:B,'Tabla Articulos'!E:E)</f>
        <v/>
      </c>
      <c r="R1772" s="96">
        <f>O1772*Q1772</f>
        <v/>
      </c>
      <c r="S1772" s="97">
        <f>TRIM(E1772)</f>
        <v/>
      </c>
    </row>
    <row r="1773" hidden="1">
      <c r="A1773" s="22" t="n">
        <v>6</v>
      </c>
      <c r="B1773" t="inlineStr">
        <is>
          <t xml:space="preserve">CDM03 - MORENO 3              </t>
        </is>
      </c>
      <c r="C1773" t="inlineStr">
        <is>
          <t xml:space="preserve">GRUPO L.                      </t>
        </is>
      </c>
      <c r="E1773" t="inlineStr">
        <is>
          <t xml:space="preserve">7793253004231       </t>
        </is>
      </c>
      <c r="F1773" t="n">
        <v>2011528</v>
      </c>
      <c r="G1773" t="inlineStr">
        <is>
          <t xml:space="preserve">DESOD.AMB LAVANDA 360CC POET       </t>
        </is>
      </c>
      <c r="H1773" t="inlineStr">
        <is>
          <t xml:space="preserve">UNIDAD              </t>
        </is>
      </c>
      <c r="I1773" t="n">
        <v>194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194</v>
      </c>
      <c r="P1773" s="96">
        <f>_xlfn.XLOOKUP(Tabla5[[#This Row],[EAN CORREGIDO]],'Tabla Articulos'!B:B,'Tabla Articulos'!D:D)</f>
        <v/>
      </c>
      <c r="Q1773" s="96">
        <f>_xlfn.XLOOKUP(S1773,'Tabla Articulos'!B:B,'Tabla Articulos'!E:E)</f>
        <v/>
      </c>
      <c r="R1773" s="96">
        <f>O1773*Q1773</f>
        <v/>
      </c>
      <c r="S1773" s="97">
        <f>TRIM(E1773)</f>
        <v/>
      </c>
    </row>
    <row r="1774" hidden="1">
      <c r="A1774" s="22" t="n">
        <v>6</v>
      </c>
      <c r="B1774" t="inlineStr">
        <is>
          <t xml:space="preserve">CDM03 - MORENO 3              </t>
        </is>
      </c>
      <c r="C1774" t="inlineStr">
        <is>
          <t xml:space="preserve">GRUPO L.                      </t>
        </is>
      </c>
      <c r="E1774" t="inlineStr">
        <is>
          <t xml:space="preserve">UNIF000050          </t>
        </is>
      </c>
      <c r="F1774" t="n">
        <v>9003303</v>
      </c>
      <c r="G1774" t="inlineStr">
        <is>
          <t xml:space="preserve">BUZO A. MARINO-FRISA PULCRUS 2XL   </t>
        </is>
      </c>
      <c r="H1774" t="inlineStr">
        <is>
          <t xml:space="preserve">UNIDAD              </t>
        </is>
      </c>
      <c r="I1774" t="n">
        <v>207</v>
      </c>
      <c r="J1774" t="n">
        <v>0</v>
      </c>
      <c r="K1774" t="n">
        <v>0</v>
      </c>
      <c r="L1774" t="n">
        <v>8</v>
      </c>
      <c r="M1774" t="n">
        <v>8</v>
      </c>
      <c r="N1774" t="n">
        <v>0</v>
      </c>
      <c r="O1774" t="n">
        <v>191</v>
      </c>
      <c r="P1774" s="96">
        <f>_xlfn.XLOOKUP(Tabla5[[#This Row],[EAN CORREGIDO]],'Tabla Articulos'!B:B,'Tabla Articulos'!D:D)</f>
        <v/>
      </c>
      <c r="Q1774" s="96">
        <f>_xlfn.XLOOKUP(S1774,'Tabla Articulos'!B:B,'Tabla Articulos'!E:E)</f>
        <v/>
      </c>
      <c r="R1774" s="96">
        <f>O1774*Q1774</f>
        <v/>
      </c>
      <c r="S1774" s="97">
        <f>TRIM(E1774)</f>
        <v/>
      </c>
    </row>
    <row r="1775" hidden="1">
      <c r="A1775" s="22" t="n">
        <v>6</v>
      </c>
      <c r="B1775" t="inlineStr">
        <is>
          <t xml:space="preserve">CDM03 - MORENO 3              </t>
        </is>
      </c>
      <c r="C1775" t="inlineStr">
        <is>
          <t xml:space="preserve">GRUPO L.                      </t>
        </is>
      </c>
      <c r="D1775" t="inlineStr">
        <is>
          <t>PAPEL HIGIENICO</t>
        </is>
      </c>
      <c r="E1775" t="inlineStr">
        <is>
          <t xml:space="preserve">7798188652007       </t>
        </is>
      </c>
      <c r="F1775" t="n">
        <v>2016728</v>
      </c>
      <c r="G1775" t="inlineStr">
        <is>
          <t xml:space="preserve">PAPEL HIG BCO C.CHICO 200MTX8U     </t>
        </is>
      </c>
      <c r="H1775" t="inlineStr">
        <is>
          <t xml:space="preserve">UNIDAD              </t>
        </is>
      </c>
      <c r="I1775" t="n">
        <v>860</v>
      </c>
      <c r="J1775" t="n">
        <v>1728</v>
      </c>
      <c r="K1775" t="n">
        <v>0</v>
      </c>
      <c r="L1775" t="n">
        <v>0</v>
      </c>
      <c r="M1775" t="n">
        <v>0</v>
      </c>
      <c r="N1775" t="n">
        <v>0</v>
      </c>
      <c r="O1775" t="n">
        <v>2588</v>
      </c>
      <c r="P1775" s="96">
        <f>_xlfn.XLOOKUP(Tabla5[[#This Row],[EAN CORREGIDO]],'Tabla Articulos'!B:B,'Tabla Articulos'!D:D)</f>
        <v/>
      </c>
      <c r="Q1775" s="96">
        <f>_xlfn.XLOOKUP(S1775,'Tabla Articulos'!B:B,'Tabla Articulos'!E:E)</f>
        <v/>
      </c>
      <c r="R1775" s="96">
        <f>O1775*Q1775</f>
        <v/>
      </c>
      <c r="S1775" s="97">
        <f>TRIM(E1775)</f>
        <v/>
      </c>
    </row>
    <row r="1776" hidden="1">
      <c r="A1776" s="22" t="n">
        <v>6</v>
      </c>
      <c r="B1776" t="inlineStr">
        <is>
          <t xml:space="preserve">CDM03 - MORENO 3              </t>
        </is>
      </c>
      <c r="C1776" t="inlineStr">
        <is>
          <t xml:space="preserve">GRUPO L.                      </t>
        </is>
      </c>
      <c r="E1776" t="inlineStr">
        <is>
          <t xml:space="preserve">UNIF000525          </t>
        </is>
      </c>
      <c r="F1776" t="n">
        <v>9003234</v>
      </c>
      <c r="G1776" t="inlineStr">
        <is>
          <t xml:space="preserve">CORBATIN SALUD CAMARERA NEGRO      </t>
        </is>
      </c>
      <c r="H1776" t="inlineStr">
        <is>
          <t xml:space="preserve">UNIDAD              </t>
        </is>
      </c>
      <c r="I1776" t="n">
        <v>242</v>
      </c>
      <c r="J1776" t="n">
        <v>17</v>
      </c>
      <c r="K1776" t="n">
        <v>0</v>
      </c>
      <c r="L1776" t="n">
        <v>0</v>
      </c>
      <c r="M1776" t="n">
        <v>0</v>
      </c>
      <c r="N1776" t="n">
        <v>0</v>
      </c>
      <c r="O1776" t="n">
        <v>259</v>
      </c>
      <c r="P1776" s="96">
        <f>_xlfn.XLOOKUP(Tabla5[[#This Row],[EAN CORREGIDO]],'Tabla Articulos'!B:B,'Tabla Articulos'!D:D)</f>
        <v/>
      </c>
      <c r="Q1776" s="96">
        <f>_xlfn.XLOOKUP(S1776,'Tabla Articulos'!B:B,'Tabla Articulos'!E:E)</f>
        <v/>
      </c>
      <c r="R1776" s="96">
        <f>O1776*Q1776</f>
        <v/>
      </c>
      <c r="S1776" s="97">
        <f>TRIM(E1776)</f>
        <v/>
      </c>
    </row>
    <row r="1777" hidden="1">
      <c r="A1777" s="22" t="n">
        <v>6</v>
      </c>
      <c r="B1777" t="inlineStr">
        <is>
          <t xml:space="preserve">CDM03 - MORENO 3              </t>
        </is>
      </c>
      <c r="C1777" t="inlineStr">
        <is>
          <t xml:space="preserve">GRUPO L.                      </t>
        </is>
      </c>
      <c r="E1777" t="inlineStr">
        <is>
          <t xml:space="preserve">UNIF000131          </t>
        </is>
      </c>
      <c r="F1777" t="n">
        <v>9003067</v>
      </c>
      <c r="G1777" t="inlineStr">
        <is>
          <t xml:space="preserve">AMBO GRIS ESCO.V 2XL GL SUPPORT    </t>
        </is>
      </c>
      <c r="H1777" t="inlineStr">
        <is>
          <t xml:space="preserve">UNIDAD              </t>
        </is>
      </c>
      <c r="I1777" t="n">
        <v>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5</v>
      </c>
      <c r="P1777" s="96">
        <f>_xlfn.XLOOKUP(Tabla5[[#This Row],[EAN CORREGIDO]],'Tabla Articulos'!B:B,'Tabla Articulos'!D:D)</f>
        <v/>
      </c>
      <c r="Q1777" s="96">
        <f>_xlfn.XLOOKUP(S1777,'Tabla Articulos'!B:B,'Tabla Articulos'!E:E)</f>
        <v/>
      </c>
      <c r="R1777" s="96">
        <f>O1777*Q1777</f>
        <v/>
      </c>
      <c r="S1777" s="97">
        <f>TRIM(E1777)</f>
        <v/>
      </c>
    </row>
    <row r="1778" hidden="1">
      <c r="A1778" s="22" t="n">
        <v>6</v>
      </c>
      <c r="B1778" t="inlineStr">
        <is>
          <t xml:space="preserve">CDM03 - MORENO 3              </t>
        </is>
      </c>
      <c r="C1778" t="inlineStr">
        <is>
          <t xml:space="preserve">GRUPO L.                      </t>
        </is>
      </c>
      <c r="D1778" t="inlineStr">
        <is>
          <t>LIMPIADOR DRASTICK</t>
        </is>
      </c>
      <c r="E1778" t="inlineStr">
        <is>
          <t xml:space="preserve">7798057868676       </t>
        </is>
      </c>
      <c r="F1778" t="n">
        <v>2016765</v>
      </c>
      <c r="G1778" t="inlineStr">
        <is>
          <t xml:space="preserve">LIMPIADOR DRASTIK X500ML JOHNSON   </t>
        </is>
      </c>
      <c r="H1778" t="inlineStr">
        <is>
          <t xml:space="preserve">UNIDAD              </t>
        </is>
      </c>
      <c r="I1778" t="n">
        <v>53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53</v>
      </c>
      <c r="P1778" s="96">
        <f>_xlfn.XLOOKUP(Tabla5[[#This Row],[EAN CORREGIDO]],'Tabla Articulos'!B:B,'Tabla Articulos'!D:D)</f>
        <v/>
      </c>
      <c r="Q1778" s="96">
        <f>_xlfn.XLOOKUP(S1778,'Tabla Articulos'!B:B,'Tabla Articulos'!E:E)</f>
        <v/>
      </c>
      <c r="R1778" s="96">
        <f>O1778*Q1778</f>
        <v/>
      </c>
      <c r="S1778" s="97">
        <f>TRIM(E1778)</f>
        <v/>
      </c>
    </row>
    <row r="1779" hidden="1">
      <c r="A1779" s="22" t="n">
        <v>1</v>
      </c>
      <c r="B1779" t="inlineStr">
        <is>
          <t xml:space="preserve">CD MORENO                     </t>
        </is>
      </c>
      <c r="C1779" t="inlineStr">
        <is>
          <t xml:space="preserve">GRUPO L.                      </t>
        </is>
      </c>
      <c r="D1779" t="inlineStr">
        <is>
          <t>PROVENZAL S/TACC</t>
        </is>
      </c>
      <c r="E1779" t="inlineStr">
        <is>
          <t xml:space="preserve">7797234000397       </t>
        </is>
      </c>
      <c r="F1779" t="n">
        <v>4020081</v>
      </c>
      <c r="G1779" t="inlineStr">
        <is>
          <t xml:space="preserve">PROVENZAL x 25 G PERGOLA           </t>
        </is>
      </c>
      <c r="H1779" t="inlineStr">
        <is>
          <t xml:space="preserve">UNIDAD              </t>
        </is>
      </c>
      <c r="I1779" t="n">
        <v>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3</v>
      </c>
      <c r="P1779" s="96">
        <f>_xlfn.XLOOKUP(Tabla5[[#This Row],[EAN CORREGIDO]],'Tabla Articulos'!B:B,'Tabla Articulos'!D:D)</f>
        <v/>
      </c>
      <c r="Q1779" s="96">
        <f>_xlfn.XLOOKUP(S1779,'Tabla Articulos'!B:B,'Tabla Articulos'!E:E)</f>
        <v/>
      </c>
      <c r="R1779" s="96">
        <f>O1779*Q1779</f>
        <v/>
      </c>
      <c r="S1779" s="97">
        <f>TRIM(E1779)</f>
        <v/>
      </c>
    </row>
    <row r="1780" hidden="1">
      <c r="A1780" s="22" t="n">
        <v>6</v>
      </c>
      <c r="B1780" t="inlineStr">
        <is>
          <t xml:space="preserve">CDM03 - MORENO 3              </t>
        </is>
      </c>
      <c r="C1780" t="inlineStr">
        <is>
          <t xml:space="preserve">GRUPO L.                      </t>
        </is>
      </c>
      <c r="D1780" s="11" t="n"/>
      <c r="E1780" t="inlineStr">
        <is>
          <t xml:space="preserve">UNIF000015          </t>
        </is>
      </c>
      <c r="F1780" t="n">
        <v>9003046</v>
      </c>
      <c r="G1780" t="inlineStr">
        <is>
          <t xml:space="preserve">CHAQ AMB PULCRUS ESC V M           </t>
        </is>
      </c>
      <c r="H1780" t="inlineStr">
        <is>
          <t xml:space="preserve">UNIDAD              </t>
        </is>
      </c>
      <c r="I1780" t="n">
        <v>34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34</v>
      </c>
      <c r="P1780" s="96">
        <f>_xlfn.XLOOKUP(Tabla5[[#This Row],[EAN CORREGIDO]],'Tabla Articulos'!B:B,'Tabla Articulos'!D:D)</f>
        <v/>
      </c>
      <c r="Q1780" s="96">
        <f>_xlfn.XLOOKUP(S1780,'Tabla Articulos'!B:B,'Tabla Articulos'!E:E)</f>
        <v/>
      </c>
      <c r="R1780" s="96">
        <f>O1780*Q1780</f>
        <v/>
      </c>
      <c r="S1780" s="97">
        <f>TRIM(E1780)</f>
        <v/>
      </c>
    </row>
    <row r="1781" hidden="1">
      <c r="A1781" s="22" t="n">
        <v>6</v>
      </c>
      <c r="B1781" t="inlineStr">
        <is>
          <t xml:space="preserve">CDM03 - MORENO 3              </t>
        </is>
      </c>
      <c r="C1781" t="inlineStr">
        <is>
          <t xml:space="preserve">GRUPO L.                      </t>
        </is>
      </c>
      <c r="E1781" t="inlineStr">
        <is>
          <t xml:space="preserve">UNIF000215          </t>
        </is>
      </c>
      <c r="F1781" t="n">
        <v>9003483</v>
      </c>
      <c r="G1781" t="inlineStr">
        <is>
          <t xml:space="preserve">PANTAL CARG NEGRO NAR. 44 GL SUP   </t>
        </is>
      </c>
      <c r="H1781" t="inlineStr">
        <is>
          <t xml:space="preserve">UNIDAD              </t>
        </is>
      </c>
      <c r="I1781" t="n">
        <v>32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32</v>
      </c>
      <c r="P1781" s="96">
        <f>_xlfn.XLOOKUP(Tabla5[[#This Row],[EAN CORREGIDO]],'Tabla Articulos'!B:B,'Tabla Articulos'!D:D)</f>
        <v/>
      </c>
      <c r="Q1781" s="96">
        <f>_xlfn.XLOOKUP(S1781,'Tabla Articulos'!B:B,'Tabla Articulos'!E:E)</f>
        <v/>
      </c>
      <c r="R1781" s="96">
        <f>O1781*Q1781</f>
        <v/>
      </c>
      <c r="S1781" s="97">
        <f>TRIM(E1781)</f>
        <v/>
      </c>
    </row>
    <row r="1782" hidden="1">
      <c r="A1782" s="22" t="n">
        <v>1</v>
      </c>
      <c r="B1782" t="inlineStr">
        <is>
          <t xml:space="preserve">CD MORENO                     </t>
        </is>
      </c>
      <c r="C1782" t="inlineStr">
        <is>
          <t xml:space="preserve">GRUPO L.                      </t>
        </is>
      </c>
      <c r="D1782" t="inlineStr">
        <is>
          <t>SAL GRUESA</t>
        </is>
      </c>
      <c r="E1782" t="inlineStr">
        <is>
          <t xml:space="preserve">7797470000076       </t>
        </is>
      </c>
      <c r="F1782" t="n">
        <v>4020262</v>
      </c>
      <c r="G1782" t="inlineStr">
        <is>
          <t xml:space="preserve">SAL GRUESA X1KG EL DIQUE           </t>
        </is>
      </c>
      <c r="H1782" t="inlineStr">
        <is>
          <t xml:space="preserve">BULTOS              </t>
        </is>
      </c>
      <c r="I1782" t="n">
        <v>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3</v>
      </c>
      <c r="P1782" s="96">
        <f>_xlfn.XLOOKUP(Tabla5[[#This Row],[EAN CORREGIDO]],'Tabla Articulos'!B:B,'Tabla Articulos'!D:D)</f>
        <v/>
      </c>
      <c r="Q1782" s="96">
        <f>_xlfn.XLOOKUP(S1782,'Tabla Articulos'!B:B,'Tabla Articulos'!E:E)</f>
        <v/>
      </c>
      <c r="R1782" s="96">
        <f>O1782*Q1782</f>
        <v/>
      </c>
      <c r="S1782" s="97">
        <f>TRIM(E1782)</f>
        <v/>
      </c>
    </row>
    <row r="1783" hidden="1">
      <c r="A1783" s="22" t="n">
        <v>6</v>
      </c>
      <c r="B1783" t="inlineStr">
        <is>
          <t xml:space="preserve">CDM03 - MORENO 3              </t>
        </is>
      </c>
      <c r="C1783" t="inlineStr">
        <is>
          <t xml:space="preserve">GRUPO L.                      </t>
        </is>
      </c>
      <c r="E1783" t="inlineStr">
        <is>
          <t xml:space="preserve">BAZ001293           </t>
        </is>
      </c>
      <c r="F1783" t="n">
        <v>9003723</v>
      </c>
      <c r="G1783" t="inlineStr">
        <is>
          <t xml:space="preserve">BOWL MELAM 155M ALTO 50MM ROJO     </t>
        </is>
      </c>
      <c r="H1783" t="inlineStr">
        <is>
          <t xml:space="preserve">UNIDAD              </t>
        </is>
      </c>
      <c r="I1783" t="n">
        <v>31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31</v>
      </c>
      <c r="P1783" s="96">
        <f>_xlfn.XLOOKUP(Tabla5[[#This Row],[EAN CORREGIDO]],'Tabla Articulos'!B:B,'Tabla Articulos'!D:D)</f>
        <v/>
      </c>
      <c r="Q1783" s="96">
        <f>_xlfn.XLOOKUP(S1783,'Tabla Articulos'!B:B,'Tabla Articulos'!E:E)</f>
        <v/>
      </c>
      <c r="R1783" s="96">
        <f>O1783*Q1783</f>
        <v/>
      </c>
      <c r="S1783" s="97">
        <f>TRIM(E1783)</f>
        <v/>
      </c>
    </row>
    <row r="1784" hidden="1">
      <c r="A1784" s="22" t="n">
        <v>1</v>
      </c>
      <c r="B1784" t="inlineStr">
        <is>
          <t xml:space="preserve">CD MORENO                     </t>
        </is>
      </c>
      <c r="C1784" t="inlineStr">
        <is>
          <t xml:space="preserve">GRUPO L.                      </t>
        </is>
      </c>
      <c r="D1784" s="11" t="inlineStr">
        <is>
          <t>GALLE ARROZ C/S</t>
        </is>
      </c>
      <c r="E1784" t="inlineStr">
        <is>
          <t xml:space="preserve">7798082000126       </t>
        </is>
      </c>
      <c r="F1784" t="n">
        <v>4018878</v>
      </c>
      <c r="G1784" t="inlineStr">
        <is>
          <t xml:space="preserve">GALL ARROZ C/S CEL X100G ARROC     </t>
        </is>
      </c>
      <c r="H1784" t="inlineStr">
        <is>
          <t xml:space="preserve">UNIDAD              </t>
        </is>
      </c>
      <c r="I1784" t="n">
        <v>64</v>
      </c>
      <c r="J1784" t="n">
        <v>0</v>
      </c>
      <c r="K1784" t="n">
        <v>0</v>
      </c>
      <c r="L1784" t="n">
        <v>1</v>
      </c>
      <c r="M1784" t="n">
        <v>1</v>
      </c>
      <c r="N1784" t="n">
        <v>0</v>
      </c>
      <c r="O1784" t="n">
        <v>62</v>
      </c>
      <c r="P1784" s="96">
        <f>_xlfn.XLOOKUP(Tabla5[[#This Row],[EAN CORREGIDO]],'Tabla Articulos'!B:B,'Tabla Articulos'!D:D)</f>
        <v/>
      </c>
      <c r="Q1784" s="96">
        <f>_xlfn.XLOOKUP(S1784,'Tabla Articulos'!B:B,'Tabla Articulos'!E:E)</f>
        <v/>
      </c>
      <c r="R1784" s="96">
        <f>O1784*Q1784</f>
        <v/>
      </c>
      <c r="S1784" s="97">
        <f>TRIM(E1784)</f>
        <v/>
      </c>
    </row>
    <row r="1785" hidden="1">
      <c r="A1785" s="22" t="n">
        <v>1</v>
      </c>
      <c r="B1785" t="inlineStr">
        <is>
          <t xml:space="preserve">CD MORENO                     </t>
        </is>
      </c>
      <c r="C1785" t="inlineStr">
        <is>
          <t xml:space="preserve">GRUPO L.                      </t>
        </is>
      </c>
      <c r="D1785" t="inlineStr">
        <is>
          <t>TE BOLDO</t>
        </is>
      </c>
      <c r="E1785" t="inlineStr">
        <is>
          <t xml:space="preserve">7792280000407       </t>
        </is>
      </c>
      <c r="F1785" t="n">
        <v>4023303</v>
      </c>
      <c r="G1785" t="inlineStr">
        <is>
          <t xml:space="preserve">TE BOLDO X100SAQ ENS CACHAMAI      </t>
        </is>
      </c>
      <c r="H1785" t="inlineStr">
        <is>
          <t xml:space="preserve">UNIDAD              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1</v>
      </c>
      <c r="P1785" s="96">
        <f>_xlfn.XLOOKUP(Tabla5[[#This Row],[EAN CORREGIDO]],'Tabla Articulos'!B:B,'Tabla Articulos'!D:D)</f>
        <v/>
      </c>
      <c r="Q1785" s="96">
        <f>_xlfn.XLOOKUP(S1785,'Tabla Articulos'!B:B,'Tabla Articulos'!E:E)</f>
        <v/>
      </c>
      <c r="R1785" s="96">
        <f>O1785*Q1785</f>
        <v/>
      </c>
      <c r="S1785" s="97">
        <f>TRIM(E1785)</f>
        <v/>
      </c>
    </row>
    <row r="1786" hidden="1">
      <c r="A1786" s="22" t="n">
        <v>5</v>
      </c>
      <c r="B1786" t="inlineStr">
        <is>
          <t xml:space="preserve">CDM02 - MORENO 2              </t>
        </is>
      </c>
      <c r="C1786" t="inlineStr">
        <is>
          <t xml:space="preserve">GRUPO L.                      </t>
        </is>
      </c>
      <c r="D1786" s="11" t="inlineStr">
        <is>
          <t>MOSTAZA INDIVIDUAL</t>
        </is>
      </c>
      <c r="E1786" t="inlineStr">
        <is>
          <t xml:space="preserve">7798011976607       </t>
        </is>
      </c>
      <c r="F1786" t="n">
        <v>4020348</v>
      </c>
      <c r="G1786" t="inlineStr">
        <is>
          <t xml:space="preserve">MOSTAZA IND X198U X8CC ABEDUL      </t>
        </is>
      </c>
      <c r="H1786" t="inlineStr">
        <is>
          <t xml:space="preserve">UNIDAD              </t>
        </is>
      </c>
      <c r="I1786" t="n">
        <v>49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49</v>
      </c>
      <c r="P1786" s="96">
        <f>_xlfn.XLOOKUP(Tabla5[[#This Row],[EAN CORREGIDO]],'Tabla Articulos'!B:B,'Tabla Articulos'!D:D)</f>
        <v/>
      </c>
      <c r="Q1786" s="96">
        <f>_xlfn.XLOOKUP(S1786,'Tabla Articulos'!B:B,'Tabla Articulos'!E:E)</f>
        <v/>
      </c>
      <c r="R1786" s="96">
        <f>O1786*Q1786</f>
        <v/>
      </c>
      <c r="S1786" s="97">
        <f>TRIM(E1786)</f>
        <v/>
      </c>
    </row>
    <row r="1787" hidden="1">
      <c r="A1787" s="22" t="n">
        <v>6</v>
      </c>
      <c r="B1787" t="inlineStr">
        <is>
          <t xml:space="preserve">CDM03 - MORENO 3              </t>
        </is>
      </c>
      <c r="C1787" t="inlineStr">
        <is>
          <t xml:space="preserve">GRUPO L.                      </t>
        </is>
      </c>
      <c r="D1787" t="inlineStr">
        <is>
          <t>DESINFECTANTE</t>
        </is>
      </c>
      <c r="E1787" t="inlineStr">
        <is>
          <t xml:space="preserve">7798332283637       </t>
        </is>
      </c>
      <c r="F1787" t="n">
        <v>2007078</v>
      </c>
      <c r="G1787" t="inlineStr">
        <is>
          <t xml:space="preserve">DESENGR DESINFEC METAQUART LIMP    </t>
        </is>
      </c>
      <c r="H1787" t="inlineStr">
        <is>
          <t xml:space="preserve">UNIDAD              </t>
        </is>
      </c>
      <c r="I1787" t="n">
        <v>30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30</v>
      </c>
      <c r="P1787" s="96">
        <f>_xlfn.XLOOKUP(Tabla5[[#This Row],[EAN CORREGIDO]],'Tabla Articulos'!B:B,'Tabla Articulos'!D:D)</f>
        <v/>
      </c>
      <c r="Q1787" s="96">
        <f>_xlfn.XLOOKUP(S1787,'Tabla Articulos'!B:B,'Tabla Articulos'!E:E)</f>
        <v/>
      </c>
      <c r="R1787" s="96">
        <f>O1787*Q1787</f>
        <v/>
      </c>
      <c r="S1787" s="97">
        <f>TRIM(E1787)</f>
        <v/>
      </c>
    </row>
    <row r="1788" hidden="1">
      <c r="A1788" s="22" t="n">
        <v>6</v>
      </c>
      <c r="B1788" t="inlineStr">
        <is>
          <t xml:space="preserve">CDM03 - MORENO 3              </t>
        </is>
      </c>
      <c r="C1788" t="inlineStr">
        <is>
          <t xml:space="preserve">GRUPO L.                      </t>
        </is>
      </c>
      <c r="E1788" t="inlineStr">
        <is>
          <t xml:space="preserve">UNIF000152          </t>
        </is>
      </c>
      <c r="F1788" t="n">
        <v>9003569</v>
      </c>
      <c r="G1788" t="inlineStr">
        <is>
          <t xml:space="preserve">CAMI. BLAN.M. LARG 44 C. GOURMET   </t>
        </is>
      </c>
      <c r="H1788" t="inlineStr">
        <is>
          <t xml:space="preserve">UNIDAD              </t>
        </is>
      </c>
      <c r="I1788" t="n">
        <v>36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36</v>
      </c>
      <c r="P1788" s="96">
        <f>_xlfn.XLOOKUP(Tabla5[[#This Row],[EAN CORREGIDO]],'Tabla Articulos'!B:B,'Tabla Articulos'!D:D)</f>
        <v/>
      </c>
      <c r="Q1788" s="96">
        <f>_xlfn.XLOOKUP(S1788,'Tabla Articulos'!B:B,'Tabla Articulos'!E:E)</f>
        <v/>
      </c>
      <c r="R1788" s="96">
        <f>O1788*Q1788</f>
        <v/>
      </c>
      <c r="S1788" s="97">
        <f>TRIM(E1788)</f>
        <v/>
      </c>
    </row>
    <row r="1789" hidden="1">
      <c r="A1789" s="22" t="n">
        <v>6</v>
      </c>
      <c r="B1789" t="inlineStr">
        <is>
          <t xml:space="preserve">CDM03 - MORENO 3              </t>
        </is>
      </c>
      <c r="C1789" t="inlineStr">
        <is>
          <t xml:space="preserve">GRUPO L.                      </t>
        </is>
      </c>
      <c r="E1789" t="inlineStr">
        <is>
          <t xml:space="preserve">UNIF000051          </t>
        </is>
      </c>
      <c r="F1789" t="n">
        <v>9003304</v>
      </c>
      <c r="G1789" t="inlineStr">
        <is>
          <t xml:space="preserve">BUZO A. MARINO-FRISA PULCRUS 3XL   </t>
        </is>
      </c>
      <c r="H1789" t="inlineStr">
        <is>
          <t xml:space="preserve">UNIDAD              </t>
        </is>
      </c>
      <c r="I1789" t="n">
        <v>156</v>
      </c>
      <c r="J1789" t="n">
        <v>0</v>
      </c>
      <c r="K1789" t="n">
        <v>0</v>
      </c>
      <c r="L1789" t="n">
        <v>1</v>
      </c>
      <c r="M1789" t="n">
        <v>1</v>
      </c>
      <c r="N1789" t="n">
        <v>0</v>
      </c>
      <c r="O1789" t="n">
        <v>154</v>
      </c>
      <c r="P1789" s="96">
        <f>_xlfn.XLOOKUP(Tabla5[[#This Row],[EAN CORREGIDO]],'Tabla Articulos'!B:B,'Tabla Articulos'!D:D)</f>
        <v/>
      </c>
      <c r="Q1789" s="96">
        <f>_xlfn.XLOOKUP(S1789,'Tabla Articulos'!B:B,'Tabla Articulos'!E:E)</f>
        <v/>
      </c>
      <c r="R1789" s="96">
        <f>O1789*Q1789</f>
        <v/>
      </c>
      <c r="S1789" s="97">
        <f>TRIM(E1789)</f>
        <v/>
      </c>
    </row>
    <row r="1790" hidden="1">
      <c r="A1790" s="22" t="n">
        <v>6</v>
      </c>
      <c r="B1790" t="inlineStr">
        <is>
          <t xml:space="preserve">CDM03 - MORENO 3              </t>
        </is>
      </c>
      <c r="C1790" t="inlineStr">
        <is>
          <t xml:space="preserve">GRUPO L.                      </t>
        </is>
      </c>
      <c r="E1790" t="inlineStr">
        <is>
          <t xml:space="preserve">UNIF000041          </t>
        </is>
      </c>
      <c r="F1790" t="n">
        <v>9003294</v>
      </c>
      <c r="G1790" t="inlineStr">
        <is>
          <t xml:space="preserve">BUZO AZUL ELEVARE L                </t>
        </is>
      </c>
      <c r="H1790" t="inlineStr">
        <is>
          <t xml:space="preserve">UNIDAD              </t>
        </is>
      </c>
      <c r="I1790" t="n">
        <v>5</v>
      </c>
      <c r="J1790" t="n">
        <v>210</v>
      </c>
      <c r="K1790" t="n">
        <v>0</v>
      </c>
      <c r="L1790" t="n">
        <v>10</v>
      </c>
      <c r="M1790" t="n">
        <v>10</v>
      </c>
      <c r="N1790" t="n">
        <v>0</v>
      </c>
      <c r="O1790" t="n">
        <v>195</v>
      </c>
      <c r="P1790" s="96">
        <f>_xlfn.XLOOKUP(Tabla5[[#This Row],[EAN CORREGIDO]],'Tabla Articulos'!B:B,'Tabla Articulos'!D:D)</f>
        <v/>
      </c>
      <c r="Q1790" s="96">
        <f>_xlfn.XLOOKUP(S1790,'Tabla Articulos'!B:B,'Tabla Articulos'!E:E)</f>
        <v/>
      </c>
      <c r="R1790" s="96">
        <f>O1790*Q1790</f>
        <v/>
      </c>
      <c r="S1790" s="97">
        <f>TRIM(E1790)</f>
        <v/>
      </c>
    </row>
    <row r="1791" hidden="1">
      <c r="A1791" s="22" t="n">
        <v>6</v>
      </c>
      <c r="B1791" t="inlineStr">
        <is>
          <t xml:space="preserve">CDM03 - MORENO 3              </t>
        </is>
      </c>
      <c r="C1791" t="inlineStr">
        <is>
          <t xml:space="preserve">GRUPO L.                      </t>
        </is>
      </c>
      <c r="E1791" t="inlineStr">
        <is>
          <t xml:space="preserve">UNIF000586          </t>
        </is>
      </c>
      <c r="F1791" s="11" t="n">
        <v>9003124</v>
      </c>
      <c r="G1791" t="inlineStr">
        <is>
          <t xml:space="preserve">CHAQUETA CUELLO MAO T1 GL SUP.     </t>
        </is>
      </c>
      <c r="H1791" t="inlineStr">
        <is>
          <t xml:space="preserve">UNIDAD              </t>
        </is>
      </c>
      <c r="I1791" t="n">
        <v>37</v>
      </c>
      <c r="J1791" t="n">
        <v>120</v>
      </c>
      <c r="K1791" t="n">
        <v>0</v>
      </c>
      <c r="L1791" t="n">
        <v>0</v>
      </c>
      <c r="M1791" t="n">
        <v>0</v>
      </c>
      <c r="N1791" t="n">
        <v>0</v>
      </c>
      <c r="O1791" t="n">
        <v>157</v>
      </c>
      <c r="P1791" s="96">
        <f>_xlfn.XLOOKUP(Tabla5[[#This Row],[EAN CORREGIDO]],'Tabla Articulos'!B:B,'Tabla Articulos'!D:D)</f>
        <v/>
      </c>
      <c r="Q1791" s="96">
        <f>_xlfn.XLOOKUP(S1791,'Tabla Articulos'!B:B,'Tabla Articulos'!E:E)</f>
        <v/>
      </c>
      <c r="R1791" s="96">
        <f>O1791*Q1791</f>
        <v/>
      </c>
      <c r="S1791" s="97">
        <f>TRIM(E1791)</f>
        <v/>
      </c>
    </row>
    <row r="1792" hidden="1">
      <c r="A1792" s="22" t="n">
        <v>6</v>
      </c>
      <c r="B1792" t="inlineStr">
        <is>
          <t xml:space="preserve">CDM03 - MORENO 3              </t>
        </is>
      </c>
      <c r="C1792" t="inlineStr">
        <is>
          <t xml:space="preserve">GRUPO L.                      </t>
        </is>
      </c>
      <c r="E1792" t="inlineStr">
        <is>
          <t xml:space="preserve">BUSAT000117         </t>
        </is>
      </c>
      <c r="F1792" s="11" t="n"/>
      <c r="G1792" t="inlineStr">
        <is>
          <t>COMPOSTERA DE CAERO INOX. MEDIANA X</t>
        </is>
      </c>
      <c r="H1792" t="inlineStr">
        <is>
          <t xml:space="preserve">UNIDAD              </t>
        </is>
      </c>
      <c r="I1792" t="n">
        <v>29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29</v>
      </c>
      <c r="P1792" s="96">
        <f>_xlfn.XLOOKUP(Tabla5[[#This Row],[EAN CORREGIDO]],'Tabla Articulos'!B:B,'Tabla Articulos'!D:D)</f>
        <v/>
      </c>
      <c r="Q1792" s="96">
        <f>_xlfn.XLOOKUP(S1792,'Tabla Articulos'!B:B,'Tabla Articulos'!E:E)</f>
        <v/>
      </c>
      <c r="R1792" s="96">
        <f>O1792*Q1792</f>
        <v/>
      </c>
      <c r="S1792" s="97">
        <f>TRIM(E1792)</f>
        <v/>
      </c>
    </row>
    <row r="1793" hidden="1">
      <c r="A1793" s="22" t="n">
        <v>6</v>
      </c>
      <c r="B1793" t="inlineStr">
        <is>
          <t xml:space="preserve">CDM03 - MORENO 3              </t>
        </is>
      </c>
      <c r="C1793" t="inlineStr">
        <is>
          <t xml:space="preserve">GRUPO L.                      </t>
        </is>
      </c>
      <c r="D1793" s="11" t="n"/>
      <c r="E1793" t="inlineStr">
        <is>
          <t xml:space="preserve">BUSAT000602         </t>
        </is>
      </c>
      <c r="F1793" s="11" t="n"/>
      <c r="G1793" t="inlineStr">
        <is>
          <t xml:space="preserve">CHOMBA GRIS  MANGA L XXXL          </t>
        </is>
      </c>
      <c r="H1793" t="inlineStr">
        <is>
          <t xml:space="preserve">UNIDAD              </t>
        </is>
      </c>
      <c r="I1793" t="n">
        <v>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4</v>
      </c>
      <c r="P1793" s="96">
        <f>_xlfn.XLOOKUP(Tabla5[[#This Row],[EAN CORREGIDO]],'Tabla Articulos'!B:B,'Tabla Articulos'!D:D)</f>
        <v/>
      </c>
      <c r="Q1793" s="96">
        <f>_xlfn.XLOOKUP(S1793,'Tabla Articulos'!B:B,'Tabla Articulos'!E:E)</f>
        <v/>
      </c>
      <c r="R1793" s="96">
        <f>O1793*Q1793</f>
        <v/>
      </c>
      <c r="S1793" s="97">
        <f>TRIM(E1793)</f>
        <v/>
      </c>
    </row>
    <row r="1794" hidden="1">
      <c r="A1794" s="22" t="n">
        <v>6</v>
      </c>
      <c r="B1794" t="inlineStr">
        <is>
          <t xml:space="preserve">CDM03 - MORENO 3              </t>
        </is>
      </c>
      <c r="C1794" t="inlineStr">
        <is>
          <t xml:space="preserve">GRUPO L.                      </t>
        </is>
      </c>
      <c r="D1794" s="11" t="n"/>
      <c r="E1794" t="inlineStr">
        <is>
          <t xml:space="preserve">BUSAT000888         </t>
        </is>
      </c>
      <c r="F1794" s="11" t="n"/>
      <c r="G1794" t="inlineStr">
        <is>
          <t xml:space="preserve">MOLDE PATY GRANDE                  </t>
        </is>
      </c>
      <c r="H1794" t="inlineStr">
        <is>
          <t xml:space="preserve">UNIDAD              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1</v>
      </c>
      <c r="P1794" s="96">
        <f>_xlfn.XLOOKUP(Tabla5[[#This Row],[EAN CORREGIDO]],'Tabla Articulos'!B:B,'Tabla Articulos'!D:D)</f>
        <v/>
      </c>
      <c r="Q1794" s="96">
        <f>_xlfn.XLOOKUP(S1794,'Tabla Articulos'!B:B,'Tabla Articulos'!E:E)</f>
        <v/>
      </c>
      <c r="R1794" s="96">
        <f>O1794*Q1794</f>
        <v/>
      </c>
      <c r="S1794" s="97">
        <f>TRIM(E1794)</f>
        <v/>
      </c>
    </row>
    <row r="1795" hidden="1">
      <c r="A1795" s="22" t="n">
        <v>6</v>
      </c>
      <c r="B1795" t="inlineStr">
        <is>
          <t xml:space="preserve">CDM03 - MORENO 3              </t>
        </is>
      </c>
      <c r="C1795" t="inlineStr">
        <is>
          <t xml:space="preserve">GRUPO L.                      </t>
        </is>
      </c>
      <c r="E1795" t="inlineStr">
        <is>
          <t xml:space="preserve">BUSAT000294         </t>
        </is>
      </c>
      <c r="F1795" s="11" t="n"/>
      <c r="G1795" t="inlineStr">
        <is>
          <t xml:space="preserve">PAN 60CM                           </t>
        </is>
      </c>
      <c r="H1795" t="inlineStr">
        <is>
          <t xml:space="preserve">UNIDAD              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1</v>
      </c>
      <c r="P1795" s="96">
        <f>_xlfn.XLOOKUP(Tabla5[[#This Row],[EAN CORREGIDO]],'Tabla Articulos'!B:B,'Tabla Articulos'!D:D)</f>
        <v/>
      </c>
      <c r="Q1795" s="96">
        <f>_xlfn.XLOOKUP(S1795,'Tabla Articulos'!B:B,'Tabla Articulos'!E:E)</f>
        <v/>
      </c>
      <c r="R1795" s="96">
        <f>O1795*Q1795</f>
        <v/>
      </c>
      <c r="S1795" s="97">
        <f>TRIM(E1795)</f>
        <v/>
      </c>
    </row>
    <row r="1796" hidden="1">
      <c r="A1796" s="22" t="n">
        <v>6</v>
      </c>
      <c r="B1796" t="inlineStr">
        <is>
          <t xml:space="preserve">CDM03 - MORENO 3              </t>
        </is>
      </c>
      <c r="C1796" t="inlineStr">
        <is>
          <t xml:space="preserve">GRUPO L.                      </t>
        </is>
      </c>
      <c r="E1796" t="inlineStr">
        <is>
          <t xml:space="preserve">BUSAT000389         </t>
        </is>
      </c>
      <c r="G1796" t="inlineStr">
        <is>
          <t>GUANTE NITRILO NARANJA/CELESTE - T7</t>
        </is>
      </c>
      <c r="H1796" t="inlineStr">
        <is>
          <t xml:space="preserve">UNIDAD              </t>
        </is>
      </c>
      <c r="I1796" t="n">
        <v>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8</v>
      </c>
      <c r="P1796" s="96">
        <f>_xlfn.XLOOKUP(Tabla5[[#This Row],[EAN CORREGIDO]],'Tabla Articulos'!B:B,'Tabla Articulos'!D:D)</f>
        <v/>
      </c>
      <c r="Q1796" s="96">
        <f>_xlfn.XLOOKUP(S1796,'Tabla Articulos'!B:B,'Tabla Articulos'!E:E)</f>
        <v/>
      </c>
      <c r="R1796" s="96">
        <f>O1796*Q1796</f>
        <v/>
      </c>
      <c r="S1796" s="97">
        <f>TRIM(E1796)</f>
        <v/>
      </c>
    </row>
    <row r="1797" hidden="1">
      <c r="A1797" s="22" t="n">
        <v>6</v>
      </c>
      <c r="B1797" t="inlineStr">
        <is>
          <t xml:space="preserve">CDM03 - MORENO 3              </t>
        </is>
      </c>
      <c r="C1797" t="inlineStr">
        <is>
          <t xml:space="preserve">GRUPO L.                      </t>
        </is>
      </c>
      <c r="E1797" t="inlineStr">
        <is>
          <t xml:space="preserve">OBR000115           </t>
        </is>
      </c>
      <c r="G1797" t="inlineStr">
        <is>
          <t xml:space="preserve">ILUM CUA                           </t>
        </is>
      </c>
      <c r="H1797" t="inlineStr">
        <is>
          <t xml:space="preserve">UNIDAD              </t>
        </is>
      </c>
      <c r="I1797" t="n">
        <v>28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28</v>
      </c>
      <c r="P1797" s="96">
        <f>_xlfn.XLOOKUP(Tabla5[[#This Row],[EAN CORREGIDO]],'Tabla Articulos'!B:B,'Tabla Articulos'!D:D)</f>
        <v/>
      </c>
      <c r="Q1797" s="96">
        <f>_xlfn.XLOOKUP(S1797,'Tabla Articulos'!B:B,'Tabla Articulos'!E:E)</f>
        <v/>
      </c>
      <c r="R1797" s="96">
        <f>O1797*Q1797</f>
        <v/>
      </c>
      <c r="S1797" s="97">
        <f>TRIM(E1797)</f>
        <v/>
      </c>
    </row>
    <row r="1798" hidden="1">
      <c r="A1798" s="22" t="n">
        <v>6</v>
      </c>
      <c r="B1798" t="inlineStr">
        <is>
          <t xml:space="preserve">CDM03 - MORENO 3              </t>
        </is>
      </c>
      <c r="C1798" t="inlineStr">
        <is>
          <t xml:space="preserve">GRUPO L.                      </t>
        </is>
      </c>
      <c r="D1798" s="11" t="n"/>
      <c r="E1798" t="inlineStr">
        <is>
          <t xml:space="preserve">2004526             </t>
        </is>
      </c>
      <c r="G1798" t="inlineStr">
        <is>
          <t>BOLSA RESIDUO ROJA 90X110 CM 120 MI</t>
        </is>
      </c>
      <c r="H1798" t="inlineStr">
        <is>
          <t xml:space="preserve">UNIDAD              </t>
        </is>
      </c>
      <c r="I1798" t="n">
        <v>36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36</v>
      </c>
      <c r="P1798" s="96">
        <f>_xlfn.XLOOKUP(Tabla5[[#This Row],[EAN CORREGIDO]],'Tabla Articulos'!B:B,'Tabla Articulos'!D:D)</f>
        <v/>
      </c>
      <c r="Q1798" s="96">
        <f>_xlfn.XLOOKUP(S1798,'Tabla Articulos'!B:B,'Tabla Articulos'!E:E)</f>
        <v/>
      </c>
      <c r="R1798" s="96">
        <f>O1798*Q1798</f>
        <v/>
      </c>
      <c r="S1798" s="97">
        <f>TRIM(E1798)</f>
        <v/>
      </c>
    </row>
    <row r="1799" hidden="1">
      <c r="A1799" s="22" t="n">
        <v>6</v>
      </c>
      <c r="B1799" t="inlineStr">
        <is>
          <t xml:space="preserve">CDM03 - MORENO 3              </t>
        </is>
      </c>
      <c r="C1799" t="inlineStr">
        <is>
          <t xml:space="preserve">GRUPO L.                      </t>
        </is>
      </c>
      <c r="D1799" s="11" t="n"/>
      <c r="E1799" t="inlineStr">
        <is>
          <t xml:space="preserve">F01005C1706024049   </t>
        </is>
      </c>
      <c r="G1799" t="inlineStr">
        <is>
          <t xml:space="preserve">BAÑO MARIA CHICO (A REPARAR)       </t>
        </is>
      </c>
      <c r="H1799" t="inlineStr">
        <is>
          <t xml:space="preserve">UNIDAD              </t>
        </is>
      </c>
      <c r="I1799" t="n">
        <v>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1</v>
      </c>
      <c r="P1799" s="96">
        <f>_xlfn.XLOOKUP(Tabla5[[#This Row],[EAN CORREGIDO]],'Tabla Articulos'!B:B,'Tabla Articulos'!D:D)</f>
        <v/>
      </c>
      <c r="Q1799" s="96">
        <f>_xlfn.XLOOKUP(S1799,'Tabla Articulos'!B:B,'Tabla Articulos'!E:E)</f>
        <v/>
      </c>
      <c r="R1799" s="96">
        <f>O1799*Q1799</f>
        <v/>
      </c>
      <c r="S1799" s="97">
        <f>TRIM(E1799)</f>
        <v/>
      </c>
    </row>
    <row r="1800" hidden="1">
      <c r="A1800" s="22" t="n">
        <v>6</v>
      </c>
      <c r="B1800" t="inlineStr">
        <is>
          <t xml:space="preserve">CDM03 - MORENO 3              </t>
        </is>
      </c>
      <c r="C1800" t="inlineStr">
        <is>
          <t xml:space="preserve">GRUPO L.                      </t>
        </is>
      </c>
      <c r="D1800" s="11" t="n"/>
      <c r="E1800" t="inlineStr">
        <is>
          <t xml:space="preserve">BUSAT000123         </t>
        </is>
      </c>
      <c r="G1800" t="inlineStr">
        <is>
          <t xml:space="preserve">BOWL BATIDORA CON ASA              </t>
        </is>
      </c>
      <c r="H1800" t="inlineStr">
        <is>
          <t xml:space="preserve">UNIDAD              </t>
        </is>
      </c>
      <c r="I1800" t="n">
        <v>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6</v>
      </c>
      <c r="P1800" s="96">
        <f>_xlfn.XLOOKUP(Tabla5[[#This Row],[EAN CORREGIDO]],'Tabla Articulos'!B:B,'Tabla Articulos'!D:D)</f>
        <v/>
      </c>
      <c r="Q1800" s="96">
        <f>_xlfn.XLOOKUP(S1800,'Tabla Articulos'!B:B,'Tabla Articulos'!E:E)</f>
        <v/>
      </c>
      <c r="R1800" s="96">
        <f>O1800*Q1800</f>
        <v/>
      </c>
      <c r="S1800" s="97">
        <f>TRIM(E1800)</f>
        <v/>
      </c>
    </row>
    <row r="1801" hidden="1">
      <c r="A1801" s="22" t="n">
        <v>6</v>
      </c>
      <c r="B1801" t="inlineStr">
        <is>
          <t xml:space="preserve">CDM03 - MORENO 3              </t>
        </is>
      </c>
      <c r="C1801" t="inlineStr">
        <is>
          <t xml:space="preserve">GRUPO L.                      </t>
        </is>
      </c>
      <c r="D1801" s="11" t="n"/>
      <c r="E1801" t="inlineStr">
        <is>
          <t xml:space="preserve">BUSAT000789         </t>
        </is>
      </c>
      <c r="G1801" t="inlineStr">
        <is>
          <t xml:space="preserve">CAMPERA TASLAN C/MANGA DESMONTABLE </t>
        </is>
      </c>
      <c r="H1801" t="inlineStr">
        <is>
          <t xml:space="preserve">UNIDAD              </t>
        </is>
      </c>
      <c r="I1801" t="n">
        <v>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2</v>
      </c>
      <c r="P1801" s="96">
        <f>_xlfn.XLOOKUP(Tabla5[[#This Row],[EAN CORREGIDO]],'Tabla Articulos'!B:B,'Tabla Articulos'!D:D)</f>
        <v/>
      </c>
      <c r="Q1801" s="96">
        <f>_xlfn.XLOOKUP(S1801,'Tabla Articulos'!B:B,'Tabla Articulos'!E:E)</f>
        <v/>
      </c>
      <c r="R1801" s="96">
        <f>O1801*Q1801</f>
        <v/>
      </c>
      <c r="S1801" s="97">
        <f>TRIM(E1801)</f>
        <v/>
      </c>
    </row>
    <row r="1802" hidden="1">
      <c r="A1802" s="22" t="n">
        <v>6</v>
      </c>
      <c r="B1802" t="inlineStr">
        <is>
          <t xml:space="preserve">CDM03 - MORENO 3              </t>
        </is>
      </c>
      <c r="C1802" t="inlineStr">
        <is>
          <t xml:space="preserve">GRUPO L.                      </t>
        </is>
      </c>
      <c r="E1802" t="inlineStr">
        <is>
          <t xml:space="preserve">BUSAT001101         </t>
        </is>
      </c>
      <c r="F1802" s="11" t="n"/>
      <c r="G1802" t="inlineStr">
        <is>
          <t xml:space="preserve">TERMOSELLADORA  RESINET            </t>
        </is>
      </c>
      <c r="H1802" t="inlineStr">
        <is>
          <t xml:space="preserve">UNIDAD              </t>
        </is>
      </c>
      <c r="I1802" t="n">
        <v>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1</v>
      </c>
      <c r="P1802" s="96">
        <f>_xlfn.XLOOKUP(Tabla5[[#This Row],[EAN CORREGIDO]],'Tabla Articulos'!B:B,'Tabla Articulos'!D:D)</f>
        <v/>
      </c>
      <c r="Q1802" s="96">
        <f>_xlfn.XLOOKUP(S1802,'Tabla Articulos'!B:B,'Tabla Articulos'!E:E)</f>
        <v/>
      </c>
      <c r="R1802" s="96">
        <f>O1802*Q1802</f>
        <v/>
      </c>
      <c r="S1802" s="97">
        <f>TRIM(E1802)</f>
        <v/>
      </c>
    </row>
    <row r="1803" hidden="1">
      <c r="A1803" s="22" t="n">
        <v>6</v>
      </c>
      <c r="B1803" t="inlineStr">
        <is>
          <t xml:space="preserve">CDM03 - MORENO 3              </t>
        </is>
      </c>
      <c r="C1803" t="inlineStr">
        <is>
          <t xml:space="preserve">GRUPO L.                      </t>
        </is>
      </c>
      <c r="E1803" t="inlineStr">
        <is>
          <t xml:space="preserve">BUSAT000357         </t>
        </is>
      </c>
      <c r="F1803" s="11" t="n"/>
      <c r="G1803" t="inlineStr">
        <is>
          <t>CAJA DE PLAS G ART.VARIOS/SAND 03 B</t>
        </is>
      </c>
      <c r="H1803" t="inlineStr">
        <is>
          <t xml:space="preserve">UNIDAD              </t>
        </is>
      </c>
      <c r="I1803" t="n">
        <v>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1</v>
      </c>
      <c r="P1803" s="96">
        <f>_xlfn.XLOOKUP(Tabla5[[#This Row],[EAN CORREGIDO]],'Tabla Articulos'!B:B,'Tabla Articulos'!D:D)</f>
        <v/>
      </c>
      <c r="Q1803" s="96">
        <f>_xlfn.XLOOKUP(S1803,'Tabla Articulos'!B:B,'Tabla Articulos'!E:E)</f>
        <v/>
      </c>
      <c r="R1803" s="96">
        <f>O1803*Q1803</f>
        <v/>
      </c>
      <c r="S1803" s="97">
        <f>TRIM(E1803)</f>
        <v/>
      </c>
    </row>
    <row r="1804" hidden="1">
      <c r="A1804" s="22" t="n">
        <v>6</v>
      </c>
      <c r="B1804" t="inlineStr">
        <is>
          <t xml:space="preserve">CDM03 - MORENO 3              </t>
        </is>
      </c>
      <c r="C1804" t="inlineStr">
        <is>
          <t xml:space="preserve">GRUPO L.                      </t>
        </is>
      </c>
      <c r="D1804" s="11" t="n"/>
      <c r="E1804" t="inlineStr">
        <is>
          <t xml:space="preserve">BUSAT000283         </t>
        </is>
      </c>
      <c r="F1804" s="11" t="n"/>
      <c r="G1804" t="inlineStr">
        <is>
          <t xml:space="preserve">EST BASE H BRAFH                   </t>
        </is>
      </c>
      <c r="H1804" t="inlineStr">
        <is>
          <t xml:space="preserve">UNIDAD              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1</v>
      </c>
      <c r="P1804" s="96">
        <f>_xlfn.XLOOKUP(Tabla5[[#This Row],[EAN CORREGIDO]],'Tabla Articulos'!B:B,'Tabla Articulos'!D:D)</f>
        <v/>
      </c>
      <c r="Q1804" s="96">
        <f>_xlfn.XLOOKUP(S1804,'Tabla Articulos'!B:B,'Tabla Articulos'!E:E)</f>
        <v/>
      </c>
      <c r="R1804" s="96">
        <f>O1804*Q1804</f>
        <v/>
      </c>
      <c r="S1804" s="97">
        <f>TRIM(E1804)</f>
        <v/>
      </c>
    </row>
    <row r="1805" hidden="1">
      <c r="A1805" s="22" t="n">
        <v>6</v>
      </c>
      <c r="B1805" t="inlineStr">
        <is>
          <t xml:space="preserve">CDM03 - MORENO 3              </t>
        </is>
      </c>
      <c r="C1805" t="inlineStr">
        <is>
          <t xml:space="preserve">GRUPO L.                      </t>
        </is>
      </c>
      <c r="E1805" t="inlineStr">
        <is>
          <t xml:space="preserve">BUSAT000205         </t>
        </is>
      </c>
      <c r="F1805" s="11" t="n"/>
      <c r="G1805" t="inlineStr">
        <is>
          <t xml:space="preserve">BANDEJAS FAST FOOD NEGRAS X U      </t>
        </is>
      </c>
      <c r="H1805" t="inlineStr">
        <is>
          <t xml:space="preserve">UNIDAD              </t>
        </is>
      </c>
      <c r="I1805" t="n">
        <v>168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168</v>
      </c>
      <c r="P1805" s="96">
        <f>_xlfn.XLOOKUP(Tabla5[[#This Row],[EAN CORREGIDO]],'Tabla Articulos'!B:B,'Tabla Articulos'!D:D)</f>
        <v/>
      </c>
      <c r="Q1805" s="96">
        <f>_xlfn.XLOOKUP(S1805,'Tabla Articulos'!B:B,'Tabla Articulos'!E:E)</f>
        <v/>
      </c>
      <c r="R1805" s="96">
        <f>O1805*Q1805</f>
        <v/>
      </c>
      <c r="S1805" s="97">
        <f>TRIM(E1805)</f>
        <v/>
      </c>
    </row>
    <row r="1806" hidden="1">
      <c r="A1806" s="22" t="n">
        <v>6</v>
      </c>
      <c r="B1806" t="inlineStr">
        <is>
          <t xml:space="preserve">CDM03 - MORENO 3              </t>
        </is>
      </c>
      <c r="C1806" t="inlineStr">
        <is>
          <t xml:space="preserve">GRUPO L.                      </t>
        </is>
      </c>
      <c r="D1806" s="11" t="n"/>
      <c r="E1806" t="inlineStr">
        <is>
          <t xml:space="preserve">BUSAT000340         </t>
        </is>
      </c>
      <c r="F1806" s="11" t="n"/>
      <c r="G1806" t="inlineStr">
        <is>
          <t xml:space="preserve">CARRO HELADERA/SANDWICHES 04       </t>
        </is>
      </c>
      <c r="H1806" t="inlineStr">
        <is>
          <t xml:space="preserve">UNIDAD              </t>
        </is>
      </c>
      <c r="I1806" t="n">
        <v>0</v>
      </c>
      <c r="J1806" t="n">
        <v>1</v>
      </c>
      <c r="K1806" t="n">
        <v>0</v>
      </c>
      <c r="L1806" t="n">
        <v>0</v>
      </c>
      <c r="M1806" t="n">
        <v>0</v>
      </c>
      <c r="N1806" t="n">
        <v>0</v>
      </c>
      <c r="O1806" t="n">
        <v>1</v>
      </c>
      <c r="P1806" s="96">
        <f>_xlfn.XLOOKUP(Tabla5[[#This Row],[EAN CORREGIDO]],'Tabla Articulos'!B:B,'Tabla Articulos'!D:D)</f>
        <v/>
      </c>
      <c r="Q1806" s="96">
        <f>_xlfn.XLOOKUP(S1806,'Tabla Articulos'!B:B,'Tabla Articulos'!E:E)</f>
        <v/>
      </c>
      <c r="R1806" s="96">
        <f>O1806*Q1806</f>
        <v/>
      </c>
      <c r="S1806" s="97">
        <f>TRIM(E1806)</f>
        <v/>
      </c>
    </row>
    <row r="1807" hidden="1">
      <c r="A1807" s="22" t="n">
        <v>6</v>
      </c>
      <c r="B1807" t="inlineStr">
        <is>
          <t xml:space="preserve">CDM03 - MORENO 3              </t>
        </is>
      </c>
      <c r="C1807" t="inlineStr">
        <is>
          <t xml:space="preserve">GRUPO L.                      </t>
        </is>
      </c>
      <c r="D1807" s="11" t="n"/>
      <c r="E1807" t="inlineStr">
        <is>
          <t xml:space="preserve">BUSAT000893         </t>
        </is>
      </c>
      <c r="F1807" s="11" t="n"/>
      <c r="G1807" t="inlineStr">
        <is>
          <t xml:space="preserve">JARRA ACERO SERVIR                 </t>
        </is>
      </c>
      <c r="H1807" t="inlineStr">
        <is>
          <t xml:space="preserve">UNIDAD              </t>
        </is>
      </c>
      <c r="I1807" t="n">
        <v>68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68</v>
      </c>
      <c r="P1807" s="96">
        <f>_xlfn.XLOOKUP(Tabla5[[#This Row],[EAN CORREGIDO]],'Tabla Articulos'!B:B,'Tabla Articulos'!D:D)</f>
        <v/>
      </c>
      <c r="Q1807" s="96">
        <f>_xlfn.XLOOKUP(S1807,'Tabla Articulos'!B:B,'Tabla Articulos'!E:E)</f>
        <v/>
      </c>
      <c r="R1807" s="96">
        <f>O1807*Q1807</f>
        <v/>
      </c>
      <c r="S1807" s="97">
        <f>TRIM(E1807)</f>
        <v/>
      </c>
    </row>
    <row r="1808" hidden="1">
      <c r="A1808" s="22" t="n">
        <v>6</v>
      </c>
      <c r="B1808" t="inlineStr">
        <is>
          <t xml:space="preserve">CDM03 - MORENO 3              </t>
        </is>
      </c>
      <c r="C1808" t="inlineStr">
        <is>
          <t xml:space="preserve">GRUPO L.                      </t>
        </is>
      </c>
      <c r="D1808" s="11" t="n"/>
      <c r="E1808" t="inlineStr">
        <is>
          <t xml:space="preserve">BUSAT0011007        </t>
        </is>
      </c>
      <c r="F1808" s="11" t="n"/>
      <c r="G1808" t="inlineStr">
        <is>
          <t xml:space="preserve">TABLA DE CORTAR GRANDE AMARILLA    </t>
        </is>
      </c>
      <c r="H1808" t="inlineStr">
        <is>
          <t xml:space="preserve">UNIDAD              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1</v>
      </c>
      <c r="P1808" s="96">
        <f>_xlfn.XLOOKUP(Tabla5[[#This Row],[EAN CORREGIDO]],'Tabla Articulos'!B:B,'Tabla Articulos'!D:D)</f>
        <v/>
      </c>
      <c r="Q1808" s="96">
        <f>_xlfn.XLOOKUP(S1808,'Tabla Articulos'!B:B,'Tabla Articulos'!E:E)</f>
        <v/>
      </c>
      <c r="R1808" s="96">
        <f>O1808*Q1808</f>
        <v/>
      </c>
      <c r="S1808" s="97">
        <f>TRIM(E1808)</f>
        <v/>
      </c>
    </row>
    <row r="1809" hidden="1">
      <c r="A1809" s="22" t="n">
        <v>6</v>
      </c>
      <c r="B1809" t="inlineStr">
        <is>
          <t xml:space="preserve">CDM03 - MORENO 3              </t>
        </is>
      </c>
      <c r="C1809" t="inlineStr">
        <is>
          <t xml:space="preserve">GRUPO L.                      </t>
        </is>
      </c>
      <c r="D1809" s="11" t="n"/>
      <c r="E1809" t="inlineStr">
        <is>
          <t xml:space="preserve">BUSAT000150         </t>
        </is>
      </c>
      <c r="F1809" s="11" t="n"/>
      <c r="G1809" t="inlineStr">
        <is>
          <t xml:space="preserve">TAPA PLATOS ACERO INOX.            </t>
        </is>
      </c>
      <c r="H1809" t="inlineStr">
        <is>
          <t xml:space="preserve">UNIDAD              </t>
        </is>
      </c>
      <c r="I1809" t="n">
        <v>342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342</v>
      </c>
      <c r="P1809" s="96">
        <f>_xlfn.XLOOKUP(Tabla5[[#This Row],[EAN CORREGIDO]],'Tabla Articulos'!B:B,'Tabla Articulos'!D:D)</f>
        <v/>
      </c>
      <c r="Q1809" s="96">
        <f>_xlfn.XLOOKUP(S1809,'Tabla Articulos'!B:B,'Tabla Articulos'!E:E)</f>
        <v/>
      </c>
      <c r="R1809" s="96">
        <f>O1809*Q1809</f>
        <v/>
      </c>
      <c r="S1809" s="97">
        <f>TRIM(E1809)</f>
        <v/>
      </c>
    </row>
    <row r="1810" hidden="1">
      <c r="A1810" s="22" t="n">
        <v>6</v>
      </c>
      <c r="B1810" t="inlineStr">
        <is>
          <t xml:space="preserve">CDM03 - MORENO 3              </t>
        </is>
      </c>
      <c r="C1810" t="inlineStr">
        <is>
          <t xml:space="preserve">GRUPO L.                      </t>
        </is>
      </c>
      <c r="D1810" s="11" t="n"/>
      <c r="E1810" t="inlineStr">
        <is>
          <t xml:space="preserve">UNIF000389          </t>
        </is>
      </c>
      <c r="F1810" s="11" t="n">
        <v>9003508</v>
      </c>
      <c r="G1810" t="inlineStr">
        <is>
          <t xml:space="preserve">PANTALON DE VESTIR NEGRO 1         </t>
        </is>
      </c>
      <c r="H1810" t="inlineStr">
        <is>
          <t xml:space="preserve">UNIDAD              </t>
        </is>
      </c>
      <c r="I1810" t="n">
        <v>10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10</v>
      </c>
      <c r="P1810" s="96">
        <f>_xlfn.XLOOKUP(Tabla5[[#This Row],[EAN CORREGIDO]],'Tabla Articulos'!B:B,'Tabla Articulos'!D:D)</f>
        <v/>
      </c>
      <c r="Q1810" s="96">
        <f>_xlfn.XLOOKUP(S1810,'Tabla Articulos'!B:B,'Tabla Articulos'!E:E)</f>
        <v/>
      </c>
      <c r="R1810" s="96">
        <f>O1810*Q1810</f>
        <v/>
      </c>
      <c r="S1810" s="97">
        <f>TRIM(E1810)</f>
        <v/>
      </c>
    </row>
    <row r="1811" hidden="1">
      <c r="A1811" s="22" t="n">
        <v>6</v>
      </c>
      <c r="B1811" t="inlineStr">
        <is>
          <t xml:space="preserve">CDM03 - MORENO 3              </t>
        </is>
      </c>
      <c r="C1811" t="inlineStr">
        <is>
          <t xml:space="preserve">GRUPO L.                      </t>
        </is>
      </c>
      <c r="D1811" s="11" t="inlineStr">
        <is>
          <t>GUANTE GOMA</t>
        </is>
      </c>
      <c r="E1811" t="inlineStr">
        <is>
          <t xml:space="preserve">7798092962308       </t>
        </is>
      </c>
      <c r="F1811" s="11" t="n">
        <v>2011458</v>
      </c>
      <c r="G1811" t="inlineStr">
        <is>
          <t xml:space="preserve">GUANTES AFELPADOS  XL MAKE         </t>
        </is>
      </c>
      <c r="H1811" t="inlineStr">
        <is>
          <t xml:space="preserve">UNIDAD              </t>
        </is>
      </c>
      <c r="I1811" t="n">
        <v>706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706</v>
      </c>
      <c r="P1811" s="96">
        <f>_xlfn.XLOOKUP(Tabla5[[#This Row],[EAN CORREGIDO]],'Tabla Articulos'!B:B,'Tabla Articulos'!D:D)</f>
        <v/>
      </c>
      <c r="Q1811" s="96">
        <f>_xlfn.XLOOKUP(S1811,'Tabla Articulos'!B:B,'Tabla Articulos'!E:E)</f>
        <v/>
      </c>
      <c r="R1811" s="96">
        <f>O1811*Q1811</f>
        <v/>
      </c>
      <c r="S1811" s="97">
        <f>TRIM(E1811)</f>
        <v/>
      </c>
    </row>
    <row r="1812" hidden="1">
      <c r="A1812" s="22" t="n">
        <v>6</v>
      </c>
      <c r="B1812" t="inlineStr">
        <is>
          <t xml:space="preserve">CDM03 - MORENO 3              </t>
        </is>
      </c>
      <c r="C1812" t="inlineStr">
        <is>
          <t xml:space="preserve">GRUPO L.                      </t>
        </is>
      </c>
      <c r="D1812" s="11" t="n"/>
      <c r="E1812" t="inlineStr">
        <is>
          <t xml:space="preserve">BAZ001259           </t>
        </is>
      </c>
      <c r="F1812" s="11" t="n">
        <v>9003861</v>
      </c>
      <c r="G1812" t="inlineStr">
        <is>
          <t xml:space="preserve">COPA MARTINI SAN CC MOD EMBASSY    </t>
        </is>
      </c>
      <c r="H1812" t="inlineStr">
        <is>
          <t xml:space="preserve">UNIDAD              </t>
        </is>
      </c>
      <c r="I1812" t="n">
        <v>1215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1215</v>
      </c>
      <c r="P1812" s="96">
        <f>_xlfn.XLOOKUP(Tabla5[[#This Row],[EAN CORREGIDO]],'Tabla Articulos'!B:B,'Tabla Articulos'!D:D)</f>
        <v/>
      </c>
      <c r="Q1812" s="96">
        <f>_xlfn.XLOOKUP(S1812,'Tabla Articulos'!B:B,'Tabla Articulos'!E:E)</f>
        <v/>
      </c>
      <c r="R1812" s="96">
        <f>O1812*Q1812</f>
        <v/>
      </c>
      <c r="S1812" s="97">
        <f>TRIM(E1812)</f>
        <v/>
      </c>
    </row>
    <row r="1813" hidden="1">
      <c r="A1813" s="22" t="n">
        <v>5</v>
      </c>
      <c r="B1813" t="inlineStr">
        <is>
          <t xml:space="preserve">CDM02 - MORENO 2              </t>
        </is>
      </c>
      <c r="C1813" t="inlineStr">
        <is>
          <t xml:space="preserve">GRUPO L.                      </t>
        </is>
      </c>
      <c r="D1813" s="11" t="inlineStr">
        <is>
          <t>AZUCAR INDIV</t>
        </is>
      </c>
      <c r="E1813" t="inlineStr">
        <is>
          <t xml:space="preserve">7798011970186       </t>
        </is>
      </c>
      <c r="F1813" s="11" t="n">
        <v>4020344</v>
      </c>
      <c r="G1813" t="inlineStr">
        <is>
          <t xml:space="preserve">AZUCAR INDIV 6.25GRX800U ABEDUL    </t>
        </is>
      </c>
      <c r="H1813" t="inlineStr">
        <is>
          <t xml:space="preserve">UNIDAD              </t>
        </is>
      </c>
      <c r="I1813" t="n">
        <v>52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52</v>
      </c>
      <c r="P1813" s="96">
        <f>_xlfn.XLOOKUP(Tabla5[[#This Row],[EAN CORREGIDO]],'Tabla Articulos'!B:B,'Tabla Articulos'!D:D)</f>
        <v/>
      </c>
      <c r="Q1813" s="96">
        <f>_xlfn.XLOOKUP(S1813,'Tabla Articulos'!B:B,'Tabla Articulos'!E:E)</f>
        <v/>
      </c>
      <c r="R1813" s="96">
        <f>O1813*Q1813</f>
        <v/>
      </c>
      <c r="S1813" s="97">
        <f>TRIM(E1813)</f>
        <v/>
      </c>
    </row>
    <row r="1814" hidden="1">
      <c r="A1814" s="22" t="n">
        <v>5</v>
      </c>
      <c r="B1814" t="inlineStr">
        <is>
          <t xml:space="preserve">CDM02 - MORENO 2              </t>
        </is>
      </c>
      <c r="C1814" t="inlineStr">
        <is>
          <t xml:space="preserve">GRUPO L.                      </t>
        </is>
      </c>
      <c r="D1814" t="inlineStr">
        <is>
          <t>PEPA INDIVIDUAL</t>
        </is>
      </c>
      <c r="E1814" t="inlineStr">
        <is>
          <t xml:space="preserve">7793176000020       </t>
        </is>
      </c>
      <c r="F1814" s="11" t="n">
        <v>4077429</v>
      </c>
      <c r="G1814" t="inlineStr">
        <is>
          <t xml:space="preserve">GALLET DUL PEPA X 30G TEMFLOR      </t>
        </is>
      </c>
      <c r="H1814" t="inlineStr">
        <is>
          <t xml:space="preserve">PALLET              </t>
        </is>
      </c>
      <c r="I1814" t="n">
        <v>300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300</v>
      </c>
      <c r="P1814" s="96">
        <f>_xlfn.XLOOKUP(Tabla5[[#This Row],[EAN CORREGIDO]],'Tabla Articulos'!B:B,'Tabla Articulos'!D:D)</f>
        <v/>
      </c>
      <c r="Q1814" s="96">
        <f>_xlfn.XLOOKUP(S1814,'Tabla Articulos'!B:B,'Tabla Articulos'!E:E)</f>
        <v/>
      </c>
      <c r="R1814" s="96">
        <f>O1814*Q1814</f>
        <v/>
      </c>
      <c r="S1814" s="97">
        <f>TRIM(E1814)</f>
        <v/>
      </c>
    </row>
    <row r="1815" hidden="1">
      <c r="A1815" s="22" t="n">
        <v>5</v>
      </c>
      <c r="B1815" t="inlineStr">
        <is>
          <t xml:space="preserve">CDM02 - MORENO 2              </t>
        </is>
      </c>
      <c r="C1815" t="inlineStr">
        <is>
          <t xml:space="preserve">GRUPO L.                      </t>
        </is>
      </c>
      <c r="D1815" s="11" t="inlineStr">
        <is>
          <t>BROTE DE SOJA</t>
        </is>
      </c>
      <c r="E1815" t="inlineStr">
        <is>
          <t xml:space="preserve">7790216012617       </t>
        </is>
      </c>
      <c r="F1815" s="11" t="n">
        <v>4017990</v>
      </c>
      <c r="G1815" t="inlineStr">
        <is>
          <t xml:space="preserve">BROTE DE SOJA X KG                 </t>
        </is>
      </c>
      <c r="H1815" t="inlineStr">
        <is>
          <t xml:space="preserve">Kgs                 </t>
        </is>
      </c>
      <c r="I1815" t="n">
        <v>1.5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1.5</v>
      </c>
      <c r="P1815" s="96">
        <f>_xlfn.XLOOKUP(Tabla5[[#This Row],[EAN CORREGIDO]],'Tabla Articulos'!B:B,'Tabla Articulos'!D:D)</f>
        <v/>
      </c>
      <c r="Q1815" s="96">
        <f>_xlfn.XLOOKUP(S1815,'Tabla Articulos'!B:B,'Tabla Articulos'!E:E)</f>
        <v/>
      </c>
      <c r="R1815" s="96">
        <f>O1815*Q1815</f>
        <v/>
      </c>
      <c r="S1815" s="97">
        <f>TRIM(E1815)</f>
        <v/>
      </c>
    </row>
    <row r="1816" hidden="1">
      <c r="A1816" s="22" t="n">
        <v>6</v>
      </c>
      <c r="B1816" t="inlineStr">
        <is>
          <t xml:space="preserve">CDM03 - MORENO 3              </t>
        </is>
      </c>
      <c r="C1816" t="inlineStr">
        <is>
          <t xml:space="preserve">GRUPO L.                      </t>
        </is>
      </c>
      <c r="D1816" s="11" t="n"/>
      <c r="E1816" t="inlineStr">
        <is>
          <t xml:space="preserve">UNIF000111          </t>
        </is>
      </c>
      <c r="F1816" s="11" t="n">
        <v>9003211</v>
      </c>
      <c r="G1816" t="inlineStr">
        <is>
          <t xml:space="preserve">PANTALON NAUTICO GRIS 1            </t>
        </is>
      </c>
      <c r="H1816" t="inlineStr">
        <is>
          <t xml:space="preserve">UNIDAD              </t>
        </is>
      </c>
      <c r="I1816" t="n">
        <v>11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11</v>
      </c>
      <c r="P1816" s="96">
        <f>_xlfn.XLOOKUP(Tabla5[[#This Row],[EAN CORREGIDO]],'Tabla Articulos'!B:B,'Tabla Articulos'!D:D)</f>
        <v/>
      </c>
      <c r="Q1816" s="96">
        <f>_xlfn.XLOOKUP(S1816,'Tabla Articulos'!B:B,'Tabla Articulos'!E:E)</f>
        <v/>
      </c>
      <c r="R1816" s="96">
        <f>O1816*Q1816</f>
        <v/>
      </c>
      <c r="S1816" s="97">
        <f>TRIM(E1816)</f>
        <v/>
      </c>
    </row>
    <row r="1817" hidden="1">
      <c r="A1817" s="22" t="n">
        <v>6</v>
      </c>
      <c r="B1817" t="inlineStr">
        <is>
          <t xml:space="preserve">CDM03 - MORENO 3              </t>
        </is>
      </c>
      <c r="C1817" t="inlineStr">
        <is>
          <t xml:space="preserve">GRUPO L.                      </t>
        </is>
      </c>
      <c r="D1817" s="11" t="n"/>
      <c r="E1817" t="inlineStr">
        <is>
          <t xml:space="preserve">UNIF000230          </t>
        </is>
      </c>
      <c r="F1817" s="11" t="n">
        <v>9003498</v>
      </c>
      <c r="G1817" t="inlineStr">
        <is>
          <t xml:space="preserve">PANTAL CARG NEGRO VER. 56 GL SUP   </t>
        </is>
      </c>
      <c r="H1817" t="inlineStr">
        <is>
          <t xml:space="preserve">UNIDAD              </t>
        </is>
      </c>
      <c r="I1817" t="n">
        <v>6</v>
      </c>
      <c r="J1817" t="n">
        <v>15</v>
      </c>
      <c r="K1817" t="n">
        <v>0</v>
      </c>
      <c r="L1817" t="n">
        <v>0</v>
      </c>
      <c r="M1817" t="n">
        <v>0</v>
      </c>
      <c r="N1817" t="n">
        <v>0</v>
      </c>
      <c r="O1817" t="n">
        <v>21</v>
      </c>
      <c r="P1817" s="96">
        <f>_xlfn.XLOOKUP(Tabla5[[#This Row],[EAN CORREGIDO]],'Tabla Articulos'!B:B,'Tabla Articulos'!D:D)</f>
        <v/>
      </c>
      <c r="Q1817" s="96">
        <f>_xlfn.XLOOKUP(S1817,'Tabla Articulos'!B:B,'Tabla Articulos'!E:E)</f>
        <v/>
      </c>
      <c r="R1817" s="96">
        <f>O1817*Q1817</f>
        <v/>
      </c>
      <c r="S1817" s="97">
        <f>TRIM(E1817)</f>
        <v/>
      </c>
    </row>
    <row r="1818" hidden="1">
      <c r="A1818" s="22" t="n">
        <v>6</v>
      </c>
      <c r="B1818" t="inlineStr">
        <is>
          <t xml:space="preserve">CDM03 - MORENO 3              </t>
        </is>
      </c>
      <c r="C1818" t="inlineStr">
        <is>
          <t xml:space="preserve">GRUPO L.                      </t>
        </is>
      </c>
      <c r="D1818" s="11" t="n"/>
      <c r="E1818" t="inlineStr">
        <is>
          <t xml:space="preserve">UNIF000590          </t>
        </is>
      </c>
      <c r="F1818" s="11" t="n">
        <v>9003128</v>
      </c>
      <c r="G1818" t="inlineStr">
        <is>
          <t xml:space="preserve">CHAQUETA CUELLO MAO T5 GL SUP.     </t>
        </is>
      </c>
      <c r="H1818" t="inlineStr">
        <is>
          <t xml:space="preserve">UNIDAD              </t>
        </is>
      </c>
      <c r="I1818" t="n">
        <v>70</v>
      </c>
      <c r="J1818" t="n">
        <v>230</v>
      </c>
      <c r="K1818" t="n">
        <v>0</v>
      </c>
      <c r="L1818" t="n">
        <v>0</v>
      </c>
      <c r="M1818" t="n">
        <v>0</v>
      </c>
      <c r="N1818" t="n">
        <v>0</v>
      </c>
      <c r="O1818" t="n">
        <v>300</v>
      </c>
      <c r="P1818" s="96">
        <f>_xlfn.XLOOKUP(Tabla5[[#This Row],[EAN CORREGIDO]],'Tabla Articulos'!B:B,'Tabla Articulos'!D:D)</f>
        <v/>
      </c>
      <c r="Q1818" s="96">
        <f>_xlfn.XLOOKUP(S1818,'Tabla Articulos'!B:B,'Tabla Articulos'!E:E)</f>
        <v/>
      </c>
      <c r="R1818" s="96">
        <f>O1818*Q1818</f>
        <v/>
      </c>
      <c r="S1818" s="97">
        <f>TRIM(E1818)</f>
        <v/>
      </c>
    </row>
    <row r="1819" hidden="1">
      <c r="A1819" s="22" t="n">
        <v>6</v>
      </c>
      <c r="B1819" t="inlineStr">
        <is>
          <t xml:space="preserve">CDM03 - MORENO 3              </t>
        </is>
      </c>
      <c r="C1819" t="inlineStr">
        <is>
          <t xml:space="preserve">GRUPO L.                      </t>
        </is>
      </c>
      <c r="D1819" s="11" t="inlineStr">
        <is>
          <t>PAPEL HIGIENICO</t>
        </is>
      </c>
      <c r="E1819" t="inlineStr">
        <is>
          <t xml:space="preserve">7798188651180       </t>
        </is>
      </c>
      <c r="F1819" s="11" t="n">
        <v>2006213</v>
      </c>
      <c r="G1819" t="inlineStr">
        <is>
          <t>PAPEL HIG BCO PREM X8UN X200MTX3.2K</t>
        </is>
      </c>
      <c r="H1819" t="inlineStr">
        <is>
          <t xml:space="preserve">BULTOS              </t>
        </is>
      </c>
      <c r="I1819" t="n">
        <v>1880</v>
      </c>
      <c r="J1819" t="n">
        <v>2256</v>
      </c>
      <c r="K1819" t="n">
        <v>0</v>
      </c>
      <c r="L1819" t="n">
        <v>882</v>
      </c>
      <c r="M1819" t="n">
        <v>882</v>
      </c>
      <c r="N1819" t="n">
        <v>0</v>
      </c>
      <c r="O1819" t="n">
        <v>2372</v>
      </c>
      <c r="P1819" s="96">
        <f>_xlfn.XLOOKUP(Tabla5[[#This Row],[EAN CORREGIDO]],'Tabla Articulos'!B:B,'Tabla Articulos'!D:D)</f>
        <v/>
      </c>
      <c r="Q1819" s="96">
        <f>_xlfn.XLOOKUP(S1819,'Tabla Articulos'!B:B,'Tabla Articulos'!E:E)</f>
        <v/>
      </c>
      <c r="R1819" s="96">
        <f>O1819*Q1819</f>
        <v/>
      </c>
      <c r="S1819" s="97">
        <f>TRIM(E1819)</f>
        <v/>
      </c>
    </row>
    <row r="1820" hidden="1">
      <c r="A1820" s="22" t="n">
        <v>1</v>
      </c>
      <c r="B1820" t="inlineStr">
        <is>
          <t xml:space="preserve">CD MORENO                     </t>
        </is>
      </c>
      <c r="C1820" t="inlineStr">
        <is>
          <t xml:space="preserve">GRUPO L.                      </t>
        </is>
      </c>
      <c r="D1820" s="11" t="inlineStr">
        <is>
          <t>GALLE DE ALGARROBA</t>
        </is>
      </c>
      <c r="E1820" t="inlineStr">
        <is>
          <t xml:space="preserve">7798128000684       </t>
        </is>
      </c>
      <c r="F1820" s="11" t="n">
        <v>4076795</v>
      </c>
      <c r="G1820" t="inlineStr">
        <is>
          <t xml:space="preserve">GALLE ALGARROBA X255G CACHAFAZ     </t>
        </is>
      </c>
      <c r="H1820" t="inlineStr">
        <is>
          <t xml:space="preserve">UNIDAD              </t>
        </is>
      </c>
      <c r="I1820" t="n">
        <v>168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168</v>
      </c>
      <c r="P1820" s="96">
        <f>_xlfn.XLOOKUP(Tabla5[[#This Row],[EAN CORREGIDO]],'Tabla Articulos'!B:B,'Tabla Articulos'!D:D)</f>
        <v/>
      </c>
      <c r="Q1820" s="96">
        <f>_xlfn.XLOOKUP(S1820,'Tabla Articulos'!B:B,'Tabla Articulos'!E:E)</f>
        <v/>
      </c>
      <c r="R1820" s="96">
        <f>O1820*Q1820</f>
        <v/>
      </c>
      <c r="S1820" s="97">
        <f>TRIM(E1820)</f>
        <v/>
      </c>
    </row>
    <row r="1821" hidden="1">
      <c r="A1821" s="22" t="n">
        <v>1</v>
      </c>
      <c r="B1821" t="inlineStr">
        <is>
          <t xml:space="preserve">CD MORENO                     </t>
        </is>
      </c>
      <c r="C1821" t="inlineStr">
        <is>
          <t xml:space="preserve">GRUPO L.                      </t>
        </is>
      </c>
      <c r="D1821" s="11" t="inlineStr">
        <is>
          <t>CREMA DE LECHE ENTERA</t>
        </is>
      </c>
      <c r="E1821" t="inlineStr">
        <is>
          <t xml:space="preserve">7794990879731       </t>
        </is>
      </c>
      <c r="F1821" s="11" t="n">
        <v>4018223</v>
      </c>
      <c r="G1821" t="inlineStr">
        <is>
          <t xml:space="preserve">CREMA LECHE X 5LT LA PAULINA       </t>
        </is>
      </c>
      <c r="H1821" t="inlineStr">
        <is>
          <t xml:space="preserve">UNIDAD              </t>
        </is>
      </c>
      <c r="I1821" t="n">
        <v>28</v>
      </c>
      <c r="J1821" t="n">
        <v>0</v>
      </c>
      <c r="K1821" t="n">
        <v>0</v>
      </c>
      <c r="L1821" t="n">
        <v>7</v>
      </c>
      <c r="M1821" t="n">
        <v>7</v>
      </c>
      <c r="N1821" t="n">
        <v>0</v>
      </c>
      <c r="O1821" t="n">
        <v>14</v>
      </c>
      <c r="P1821" s="96">
        <f>_xlfn.XLOOKUP(Tabla5[[#This Row],[EAN CORREGIDO]],'Tabla Articulos'!B:B,'Tabla Articulos'!D:D)</f>
        <v/>
      </c>
      <c r="Q1821" s="96">
        <f>_xlfn.XLOOKUP(S1821,'Tabla Articulos'!B:B,'Tabla Articulos'!E:E)</f>
        <v/>
      </c>
      <c r="R1821" s="96">
        <f>O1821*Q1821</f>
        <v/>
      </c>
      <c r="S1821" s="97">
        <f>TRIM(E1821)</f>
        <v/>
      </c>
    </row>
    <row r="1822" hidden="1">
      <c r="A1822" s="22" t="n">
        <v>1</v>
      </c>
      <c r="B1822" t="inlineStr">
        <is>
          <t xml:space="preserve">CD MORENO                     </t>
        </is>
      </c>
      <c r="C1822" t="inlineStr">
        <is>
          <t xml:space="preserve">GRUPO L.                      </t>
        </is>
      </c>
      <c r="D1822" s="11" t="inlineStr">
        <is>
          <t>ARROZ PARBOIL</t>
        </is>
      </c>
      <c r="E1822" t="inlineStr">
        <is>
          <t xml:space="preserve">7790503000029       </t>
        </is>
      </c>
      <c r="F1822" s="11" t="n">
        <v>4019380</v>
      </c>
      <c r="G1822" t="inlineStr">
        <is>
          <t xml:space="preserve">ARROZ PARBOIL STACC X5K DOS HNOS   </t>
        </is>
      </c>
      <c r="H1822" t="inlineStr">
        <is>
          <t xml:space="preserve">UNIDAD              </t>
        </is>
      </c>
      <c r="I1822" t="n">
        <v>156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156</v>
      </c>
      <c r="P1822" s="96">
        <f>_xlfn.XLOOKUP(Tabla5[[#This Row],[EAN CORREGIDO]],'Tabla Articulos'!B:B,'Tabla Articulos'!D:D)</f>
        <v/>
      </c>
      <c r="Q1822" s="96">
        <f>_xlfn.XLOOKUP(S1822,'Tabla Articulos'!B:B,'Tabla Articulos'!E:E)</f>
        <v/>
      </c>
      <c r="R1822" s="96">
        <f>O1822*Q1822</f>
        <v/>
      </c>
      <c r="S1822" s="97">
        <f>TRIM(E1822)</f>
        <v/>
      </c>
    </row>
    <row r="1823" hidden="1">
      <c r="A1823" s="22" t="n">
        <v>5</v>
      </c>
      <c r="B1823" t="inlineStr">
        <is>
          <t xml:space="preserve">CDM02 - MORENO 2              </t>
        </is>
      </c>
      <c r="C1823" t="inlineStr">
        <is>
          <t xml:space="preserve">GRUPO L.                      </t>
        </is>
      </c>
      <c r="D1823" s="11" t="inlineStr">
        <is>
          <t>ARROZ PARBOIL</t>
        </is>
      </c>
      <c r="E1823" t="inlineStr">
        <is>
          <t xml:space="preserve">7790503000029       </t>
        </is>
      </c>
      <c r="F1823" s="11" t="n">
        <v>4019380</v>
      </c>
      <c r="G1823" t="inlineStr">
        <is>
          <t xml:space="preserve">ARROZ PARBOIL STACC X5K DOS HNOS   </t>
        </is>
      </c>
      <c r="H1823" t="inlineStr">
        <is>
          <t xml:space="preserve">UNIDAD              </t>
        </is>
      </c>
      <c r="I1823" t="n">
        <v>155</v>
      </c>
      <c r="J1823" t="n">
        <v>0</v>
      </c>
      <c r="K1823" t="n">
        <v>0</v>
      </c>
      <c r="L1823" t="n">
        <v>3</v>
      </c>
      <c r="M1823" t="n">
        <v>3</v>
      </c>
      <c r="N1823" t="n">
        <v>0</v>
      </c>
      <c r="O1823" t="n">
        <v>149</v>
      </c>
      <c r="P1823" s="96">
        <f>_xlfn.XLOOKUP(Tabla5[[#This Row],[EAN CORREGIDO]],'Tabla Articulos'!B:B,'Tabla Articulos'!D:D)</f>
        <v/>
      </c>
      <c r="Q1823" s="96">
        <f>_xlfn.XLOOKUP(S1823,'Tabla Articulos'!B:B,'Tabla Articulos'!E:E)</f>
        <v/>
      </c>
      <c r="R1823" s="96">
        <f>O1823*Q1823</f>
        <v/>
      </c>
      <c r="S1823" s="97">
        <f>TRIM(E1823)</f>
        <v/>
      </c>
    </row>
    <row r="1824" hidden="1">
      <c r="A1824" s="22" t="n">
        <v>5</v>
      </c>
      <c r="B1824" t="inlineStr">
        <is>
          <t xml:space="preserve">CDM02 - MORENO 2              </t>
        </is>
      </c>
      <c r="C1824" t="inlineStr">
        <is>
          <t xml:space="preserve">GRUPO L.                      </t>
        </is>
      </c>
      <c r="D1824" t="inlineStr">
        <is>
          <t>TE ENSOB LIMON</t>
        </is>
      </c>
      <c r="E1824" t="inlineStr">
        <is>
          <t xml:space="preserve">7790150240175       </t>
        </is>
      </c>
      <c r="F1824" t="n">
        <v>4019311</v>
      </c>
      <c r="G1824" t="inlineStr">
        <is>
          <t xml:space="preserve">TE LIMON ENSOB X20U LA VIRGINA     </t>
        </is>
      </c>
      <c r="H1824" t="inlineStr">
        <is>
          <t xml:space="preserve">UNIDAD              </t>
        </is>
      </c>
      <c r="I1824" t="n">
        <v>10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10</v>
      </c>
      <c r="P1824" s="96">
        <f>_xlfn.XLOOKUP(Tabla5[[#This Row],[EAN CORREGIDO]],'Tabla Articulos'!B:B,'Tabla Articulos'!D:D)</f>
        <v/>
      </c>
      <c r="Q1824" s="96">
        <f>_xlfn.XLOOKUP(S1824,'Tabla Articulos'!B:B,'Tabla Articulos'!E:E)</f>
        <v/>
      </c>
      <c r="R1824" s="96">
        <f>O1824*Q1824</f>
        <v/>
      </c>
      <c r="S1824" s="97">
        <f>TRIM(E1824)</f>
        <v/>
      </c>
    </row>
    <row r="1825" hidden="1">
      <c r="A1825" s="22" t="n">
        <v>1</v>
      </c>
      <c r="B1825" t="inlineStr">
        <is>
          <t xml:space="preserve">CD MORENO                     </t>
        </is>
      </c>
      <c r="C1825" t="inlineStr">
        <is>
          <t xml:space="preserve">GRUPO L.                      </t>
        </is>
      </c>
      <c r="D1825" t="inlineStr">
        <is>
          <t>TE ENSOB LIMON</t>
        </is>
      </c>
      <c r="E1825" t="inlineStr">
        <is>
          <t xml:space="preserve">7790150240175       </t>
        </is>
      </c>
      <c r="F1825" t="n">
        <v>4019311</v>
      </c>
      <c r="G1825" t="inlineStr">
        <is>
          <t xml:space="preserve">TE LIMON ENSOB X20U LA VIRGINA     </t>
        </is>
      </c>
      <c r="H1825" t="inlineStr">
        <is>
          <t xml:space="preserve">UNIDAD              </t>
        </is>
      </c>
      <c r="I1825" t="n">
        <v>44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44</v>
      </c>
      <c r="P1825" s="96">
        <f>_xlfn.XLOOKUP(Tabla5[[#This Row],[EAN CORREGIDO]],'Tabla Articulos'!B:B,'Tabla Articulos'!D:D)</f>
        <v/>
      </c>
      <c r="Q1825" s="96">
        <f>_xlfn.XLOOKUP(S1825,'Tabla Articulos'!B:B,'Tabla Articulos'!E:E)</f>
        <v/>
      </c>
      <c r="R1825" s="96">
        <f>O1825*Q1825</f>
        <v/>
      </c>
      <c r="S1825" s="97">
        <f>TRIM(E1825)</f>
        <v/>
      </c>
    </row>
    <row r="1826" hidden="1">
      <c r="A1826" s="22" t="n">
        <v>1</v>
      </c>
      <c r="B1826" t="inlineStr">
        <is>
          <t xml:space="preserve">CD MORENO                     </t>
        </is>
      </c>
      <c r="C1826" t="inlineStr">
        <is>
          <t xml:space="preserve">GRUPO L.                      </t>
        </is>
      </c>
      <c r="D1826" s="11" t="inlineStr">
        <is>
          <t>LAUREL SECO</t>
        </is>
      </c>
      <c r="E1826" t="inlineStr">
        <is>
          <t xml:space="preserve">7793875314756       </t>
        </is>
      </c>
      <c r="F1826" t="n">
        <v>4020057</v>
      </c>
      <c r="G1826" t="inlineStr">
        <is>
          <t xml:space="preserve">LAUREL X1KG AROMAS Y SABORES       </t>
        </is>
      </c>
      <c r="H1826" t="inlineStr">
        <is>
          <t xml:space="preserve">UNIDAD              </t>
        </is>
      </c>
      <c r="I1826" t="n">
        <v>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2</v>
      </c>
      <c r="P1826" s="96">
        <f>_xlfn.XLOOKUP(Tabla5[[#This Row],[EAN CORREGIDO]],'Tabla Articulos'!B:B,'Tabla Articulos'!D:D)</f>
        <v/>
      </c>
      <c r="Q1826" s="96">
        <f>_xlfn.XLOOKUP(S1826,'Tabla Articulos'!B:B,'Tabla Articulos'!E:E)</f>
        <v/>
      </c>
      <c r="R1826" s="96">
        <f>O1826*Q1826</f>
        <v/>
      </c>
      <c r="S1826" s="97">
        <f>TRIM(E1826)</f>
        <v/>
      </c>
    </row>
    <row r="1827" hidden="1">
      <c r="A1827" s="22" t="n">
        <v>1</v>
      </c>
      <c r="B1827" t="inlineStr">
        <is>
          <t xml:space="preserve">CD MORENO                     </t>
        </is>
      </c>
      <c r="C1827" t="inlineStr">
        <is>
          <t xml:space="preserve">GRUPO L.                      </t>
        </is>
      </c>
      <c r="D1827" t="inlineStr">
        <is>
          <t>CHAMPIGNON LAMINADO</t>
        </is>
      </c>
      <c r="E1827" t="inlineStr">
        <is>
          <t xml:space="preserve">7793275000662       </t>
        </is>
      </c>
      <c r="F1827" t="n">
        <v>4022723</v>
      </c>
      <c r="G1827" t="inlineStr">
        <is>
          <t xml:space="preserve">CHAMPIGNON LAMINADO X2.9KG REYGAL  </t>
        </is>
      </c>
      <c r="H1827" t="inlineStr">
        <is>
          <t xml:space="preserve">UNIDAD              </t>
        </is>
      </c>
      <c r="I1827" t="n">
        <v>13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13</v>
      </c>
      <c r="P1827" s="96">
        <f>_xlfn.XLOOKUP(Tabla5[[#This Row],[EAN CORREGIDO]],'Tabla Articulos'!B:B,'Tabla Articulos'!D:D)</f>
        <v/>
      </c>
      <c r="Q1827" s="96">
        <f>_xlfn.XLOOKUP(S1827,'Tabla Articulos'!B:B,'Tabla Articulos'!E:E)</f>
        <v/>
      </c>
      <c r="R1827" s="96">
        <f>O1827*Q1827</f>
        <v/>
      </c>
      <c r="S1827" s="97">
        <f>TRIM(E1827)</f>
        <v/>
      </c>
    </row>
    <row r="1828" hidden="1">
      <c r="A1828" s="22" t="n">
        <v>6</v>
      </c>
      <c r="B1828" t="inlineStr">
        <is>
          <t xml:space="preserve">CDM03 - MORENO 3              </t>
        </is>
      </c>
      <c r="C1828" t="inlineStr">
        <is>
          <t xml:space="preserve">GRUPO L.                      </t>
        </is>
      </c>
      <c r="E1828" t="inlineStr">
        <is>
          <t xml:space="preserve">BAZ001196           </t>
        </is>
      </c>
      <c r="F1828" t="n">
        <v>9003787</v>
      </c>
      <c r="G1828" t="inlineStr">
        <is>
          <t xml:space="preserve">CUCHILL PAN DENTADO SANIT 12       </t>
        </is>
      </c>
      <c r="H1828" t="inlineStr">
        <is>
          <t xml:space="preserve">UNIDAD              </t>
        </is>
      </c>
      <c r="I1828" t="n">
        <v>18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18</v>
      </c>
      <c r="P1828" s="96">
        <f>_xlfn.XLOOKUP(Tabla5[[#This Row],[EAN CORREGIDO]],'Tabla Articulos'!B:B,'Tabla Articulos'!D:D)</f>
        <v/>
      </c>
      <c r="Q1828" s="96">
        <f>_xlfn.XLOOKUP(S1828,'Tabla Articulos'!B:B,'Tabla Articulos'!E:E)</f>
        <v/>
      </c>
      <c r="R1828" s="96">
        <f>O1828*Q1828</f>
        <v/>
      </c>
      <c r="S1828" s="97">
        <f>TRIM(E1828)</f>
        <v/>
      </c>
    </row>
    <row r="1829" hidden="1">
      <c r="A1829" s="22" t="n">
        <v>6</v>
      </c>
      <c r="B1829" t="inlineStr">
        <is>
          <t xml:space="preserve">CDM03 - MORENO 3              </t>
        </is>
      </c>
      <c r="C1829" t="inlineStr">
        <is>
          <t xml:space="preserve">GRUPO L.                      </t>
        </is>
      </c>
      <c r="E1829" t="inlineStr">
        <is>
          <t xml:space="preserve">UNIF000421          </t>
        </is>
      </c>
      <c r="F1829" t="n">
        <v>9003264</v>
      </c>
      <c r="G1829" t="inlineStr">
        <is>
          <t xml:space="preserve">CAMISA GRAFA-AZUL MARINO 46 ELEV   </t>
        </is>
      </c>
      <c r="H1829" t="inlineStr">
        <is>
          <t xml:space="preserve">UNIDAD              </t>
        </is>
      </c>
      <c r="I1829" t="n">
        <v>3</v>
      </c>
      <c r="J1829" t="n">
        <v>150</v>
      </c>
      <c r="K1829" t="n">
        <v>0</v>
      </c>
      <c r="L1829" t="n">
        <v>9</v>
      </c>
      <c r="M1829" t="n">
        <v>9</v>
      </c>
      <c r="N1829" t="n">
        <v>0</v>
      </c>
      <c r="O1829" t="n">
        <v>135</v>
      </c>
      <c r="P1829" s="96">
        <f>_xlfn.XLOOKUP(Tabla5[[#This Row],[EAN CORREGIDO]],'Tabla Articulos'!B:B,'Tabla Articulos'!D:D)</f>
        <v/>
      </c>
      <c r="Q1829" s="96">
        <f>_xlfn.XLOOKUP(S1829,'Tabla Articulos'!B:B,'Tabla Articulos'!E:E)</f>
        <v/>
      </c>
      <c r="R1829" s="96">
        <f>O1829*Q1829</f>
        <v/>
      </c>
      <c r="S1829" s="97">
        <f>TRIM(E1829)</f>
        <v/>
      </c>
    </row>
    <row r="1830" hidden="1">
      <c r="A1830" s="22" t="n">
        <v>5</v>
      </c>
      <c r="B1830" t="inlineStr">
        <is>
          <t xml:space="preserve">CDM02 - MORENO 2              </t>
        </is>
      </c>
      <c r="C1830" t="inlineStr">
        <is>
          <t xml:space="preserve">GRUPO L.                      </t>
        </is>
      </c>
      <c r="D1830" t="inlineStr">
        <is>
          <t>FECULA DE MANDIOCA</t>
        </is>
      </c>
      <c r="E1830" t="inlineStr">
        <is>
          <t xml:space="preserve">7798186163000       </t>
        </is>
      </c>
      <c r="F1830" t="n">
        <v>4020463</v>
      </c>
      <c r="G1830" t="inlineStr">
        <is>
          <t xml:space="preserve">FECULA DE MANDIOCA X1KG VALLE	     </t>
        </is>
      </c>
      <c r="H1830" t="inlineStr">
        <is>
          <t xml:space="preserve">UNIDAD              </t>
        </is>
      </c>
      <c r="I1830" t="n">
        <v>38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38</v>
      </c>
      <c r="P1830" s="96">
        <f>_xlfn.XLOOKUP(Tabla5[[#This Row],[EAN CORREGIDO]],'Tabla Articulos'!B:B,'Tabla Articulos'!D:D)</f>
        <v/>
      </c>
      <c r="Q1830" s="96">
        <f>_xlfn.XLOOKUP(S1830,'Tabla Articulos'!B:B,'Tabla Articulos'!E:E)</f>
        <v/>
      </c>
      <c r="R1830" s="96">
        <f>O1830*Q1830</f>
        <v/>
      </c>
      <c r="S1830" s="97">
        <f>TRIM(E1830)</f>
        <v/>
      </c>
    </row>
    <row r="1831" hidden="1">
      <c r="A1831" s="22" t="n">
        <v>1</v>
      </c>
      <c r="B1831" t="inlineStr">
        <is>
          <t xml:space="preserve">CD MORENO                     </t>
        </is>
      </c>
      <c r="C1831" t="inlineStr">
        <is>
          <t xml:space="preserve">GRUPO L.                      </t>
        </is>
      </c>
      <c r="D1831" t="inlineStr">
        <is>
          <t>QUESO BARRA</t>
        </is>
      </c>
      <c r="E1831" t="inlineStr">
        <is>
          <t xml:space="preserve">7794990866373       </t>
        </is>
      </c>
      <c r="F1831" t="n">
        <v>4018299</v>
      </c>
      <c r="G1831" t="inlineStr">
        <is>
          <t xml:space="preserve">QUESO BARRA DAMBO XKG PAULINA      </t>
        </is>
      </c>
      <c r="H1831" t="inlineStr">
        <is>
          <t xml:space="preserve">Kgs                 </t>
        </is>
      </c>
      <c r="I1831" t="n">
        <v>713.98</v>
      </c>
      <c r="J1831" t="n">
        <v>0</v>
      </c>
      <c r="K1831" t="n">
        <v>0</v>
      </c>
      <c r="L1831" t="n">
        <v>12</v>
      </c>
      <c r="M1831" t="n">
        <v>12</v>
      </c>
      <c r="N1831" t="n">
        <v>0</v>
      </c>
      <c r="O1831" t="n">
        <v>689.98</v>
      </c>
      <c r="P1831" s="96">
        <f>_xlfn.XLOOKUP(Tabla5[[#This Row],[EAN CORREGIDO]],'Tabla Articulos'!B:B,'Tabla Articulos'!D:D)</f>
        <v/>
      </c>
      <c r="Q1831" s="96">
        <f>_xlfn.XLOOKUP(S1831,'Tabla Articulos'!B:B,'Tabla Articulos'!E:E)</f>
        <v/>
      </c>
      <c r="R1831" s="96">
        <f>O1831*Q1831</f>
        <v/>
      </c>
      <c r="S1831" s="97">
        <f>TRIM(E1831)</f>
        <v/>
      </c>
    </row>
    <row r="1832" hidden="1">
      <c r="A1832" s="22" t="n">
        <v>5</v>
      </c>
      <c r="B1832" t="inlineStr">
        <is>
          <t xml:space="preserve">CDM02 - MORENO 2              </t>
        </is>
      </c>
      <c r="C1832" t="inlineStr">
        <is>
          <t xml:space="preserve">GRUPO L.                      </t>
        </is>
      </c>
      <c r="D1832" t="inlineStr">
        <is>
          <t>CAJAS CARTON</t>
        </is>
      </c>
      <c r="E1832" t="inlineStr">
        <is>
          <t xml:space="preserve">7790321626838       </t>
        </is>
      </c>
      <c r="F1832" t="n">
        <v>2006492</v>
      </c>
      <c r="G1832" t="inlineStr">
        <is>
          <t xml:space="preserve">CAJA 300X180X280 MESA/LANUS        </t>
        </is>
      </c>
      <c r="H1832" t="inlineStr">
        <is>
          <t xml:space="preserve">UNIDAD              </t>
        </is>
      </c>
      <c r="I1832" t="n">
        <v>45388</v>
      </c>
      <c r="J1832" t="n">
        <v>0</v>
      </c>
      <c r="K1832" t="n">
        <v>-600</v>
      </c>
      <c r="L1832" t="n">
        <v>0</v>
      </c>
      <c r="M1832" t="n">
        <v>0</v>
      </c>
      <c r="N1832" t="n">
        <v>0</v>
      </c>
      <c r="O1832" t="n">
        <v>45988</v>
      </c>
      <c r="P1832" s="96">
        <f>_xlfn.XLOOKUP(Tabla5[[#This Row],[EAN CORREGIDO]],'Tabla Articulos'!B:B,'Tabla Articulos'!D:D)</f>
        <v/>
      </c>
      <c r="Q1832" s="96">
        <f>_xlfn.XLOOKUP(S1832,'Tabla Articulos'!B:B,'Tabla Articulos'!E:E)</f>
        <v/>
      </c>
      <c r="R1832" s="96">
        <f>O1832*Q1832</f>
        <v/>
      </c>
      <c r="S1832" s="97">
        <f>TRIM(E1832)</f>
        <v/>
      </c>
    </row>
    <row r="1833" hidden="1">
      <c r="A1833" s="22" t="n">
        <v>6</v>
      </c>
      <c r="B1833" t="inlineStr">
        <is>
          <t xml:space="preserve">CDM03 - MORENO 3              </t>
        </is>
      </c>
      <c r="C1833" t="inlineStr">
        <is>
          <t xml:space="preserve">GRUPO L.                      </t>
        </is>
      </c>
      <c r="D1833" t="inlineStr">
        <is>
          <t>PAPEL HIGIENICO</t>
        </is>
      </c>
      <c r="E1833" t="inlineStr">
        <is>
          <t xml:space="preserve">LIM000511           </t>
        </is>
      </c>
      <c r="F1833" t="n">
        <v>2006403</v>
      </c>
      <c r="G1833" t="inlineStr">
        <is>
          <t>ELITE (6128/6328) JUMBO PAPEL HIGIE</t>
        </is>
      </c>
      <c r="H1833" t="inlineStr">
        <is>
          <t xml:space="preserve">UNIDAD              </t>
        </is>
      </c>
      <c r="I1833" t="n">
        <v>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3</v>
      </c>
      <c r="P1833" s="96">
        <f>_xlfn.XLOOKUP(Tabla5[[#This Row],[EAN CORREGIDO]],'Tabla Articulos'!B:B,'Tabla Articulos'!D:D)</f>
        <v/>
      </c>
      <c r="Q1833" s="96">
        <f>_xlfn.XLOOKUP(S1833,'Tabla Articulos'!B:B,'Tabla Articulos'!E:E)</f>
        <v/>
      </c>
      <c r="R1833" s="96">
        <f>O1833*Q1833</f>
        <v/>
      </c>
      <c r="S1833" s="97">
        <f>TRIM(E1833)</f>
        <v/>
      </c>
    </row>
    <row r="1834" hidden="1">
      <c r="A1834" s="22" t="n">
        <v>6</v>
      </c>
      <c r="B1834" t="inlineStr">
        <is>
          <t xml:space="preserve">CDM03 - MORENO 3              </t>
        </is>
      </c>
      <c r="C1834" t="inlineStr">
        <is>
          <t xml:space="preserve">GRUPO L.                      </t>
        </is>
      </c>
      <c r="D1834" s="11" t="inlineStr">
        <is>
          <t>FIBRA ESPONJA VERDE</t>
        </is>
      </c>
      <c r="E1834" t="inlineStr">
        <is>
          <t xml:space="preserve">LIM000138           </t>
        </is>
      </c>
      <c r="F1834" t="n">
        <v>2006583</v>
      </c>
      <c r="G1834" t="inlineStr">
        <is>
          <t xml:space="preserve">FIBRA_ESPONJA_CHICA_X UN           </t>
        </is>
      </c>
      <c r="H1834" t="inlineStr">
        <is>
          <t xml:space="preserve">UNIDAD              </t>
        </is>
      </c>
      <c r="I1834" t="n">
        <v>265</v>
      </c>
      <c r="J1834" t="n">
        <v>0</v>
      </c>
      <c r="K1834" t="n">
        <v>0</v>
      </c>
      <c r="L1834" t="n">
        <v>5</v>
      </c>
      <c r="M1834" t="n">
        <v>5</v>
      </c>
      <c r="N1834" t="n">
        <v>0</v>
      </c>
      <c r="O1834" t="n">
        <v>255</v>
      </c>
      <c r="P1834" s="96">
        <f>_xlfn.XLOOKUP(Tabla5[[#This Row],[EAN CORREGIDO]],'Tabla Articulos'!B:B,'Tabla Articulos'!D:D)</f>
        <v/>
      </c>
      <c r="Q1834" s="96">
        <f>_xlfn.XLOOKUP(S1834,'Tabla Articulos'!B:B,'Tabla Articulos'!E:E)</f>
        <v/>
      </c>
      <c r="R1834" s="96">
        <f>O1834*Q1834</f>
        <v/>
      </c>
      <c r="S1834" s="97">
        <f>TRIM(E1834)</f>
        <v/>
      </c>
    </row>
    <row r="1835" hidden="1">
      <c r="A1835" s="22" t="n">
        <v>6</v>
      </c>
      <c r="B1835" t="inlineStr">
        <is>
          <t xml:space="preserve">CDM03 - MORENO 3              </t>
        </is>
      </c>
      <c r="C1835" t="inlineStr">
        <is>
          <t xml:space="preserve">GRUPO L.                      </t>
        </is>
      </c>
      <c r="D1835" t="inlineStr">
        <is>
          <t>BOLSAS CRISTAL</t>
        </is>
      </c>
      <c r="E1835" t="inlineStr">
        <is>
          <t xml:space="preserve">BUSAT001150         </t>
        </is>
      </c>
      <c r="F1835" t="n">
        <v>2006958</v>
      </c>
      <c r="G1835" t="inlineStr">
        <is>
          <t xml:space="preserve">BOLSA CRISTAL 80X110 X 100/U       </t>
        </is>
      </c>
      <c r="H1835" t="inlineStr">
        <is>
          <t xml:space="preserve">BULTOS              </t>
        </is>
      </c>
      <c r="I1835" t="n">
        <v>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2</v>
      </c>
      <c r="P1835" s="96">
        <f>_xlfn.XLOOKUP(Tabla5[[#This Row],[EAN CORREGIDO]],'Tabla Articulos'!B:B,'Tabla Articulos'!D:D)</f>
        <v/>
      </c>
      <c r="Q1835" s="96">
        <f>_xlfn.XLOOKUP(S1835,'Tabla Articulos'!B:B,'Tabla Articulos'!E:E)</f>
        <v/>
      </c>
      <c r="R1835" s="96">
        <f>O1835*Q1835</f>
        <v/>
      </c>
      <c r="S1835" s="97">
        <f>TRIM(E1835)</f>
        <v/>
      </c>
    </row>
    <row r="1836" hidden="1">
      <c r="A1836" s="22" t="n">
        <v>1</v>
      </c>
      <c r="B1836" t="inlineStr">
        <is>
          <t xml:space="preserve">CD MORENO                     </t>
        </is>
      </c>
      <c r="C1836" t="inlineStr">
        <is>
          <t xml:space="preserve">GRUPO L.                      </t>
        </is>
      </c>
      <c r="D1836" s="11" t="inlineStr">
        <is>
          <t>FIDEOS GLUTEN S/TACC</t>
        </is>
      </c>
      <c r="E1836" t="inlineStr">
        <is>
          <t xml:space="preserve">7790070336002       </t>
        </is>
      </c>
      <c r="F1836" t="n">
        <v>4019454</v>
      </c>
      <c r="G1836" t="inlineStr">
        <is>
          <t>FIDEO SPAGHETTI S/TACC X500G MATARA</t>
        </is>
      </c>
      <c r="H1836" t="inlineStr">
        <is>
          <t xml:space="preserve">UNIDAD              </t>
        </is>
      </c>
      <c r="I1836" t="n">
        <v>11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11</v>
      </c>
      <c r="P1836" s="96">
        <f>_xlfn.XLOOKUP(Tabla5[[#This Row],[EAN CORREGIDO]],'Tabla Articulos'!B:B,'Tabla Articulos'!D:D)</f>
        <v/>
      </c>
      <c r="Q1836" s="96">
        <f>_xlfn.XLOOKUP(S1836,'Tabla Articulos'!B:B,'Tabla Articulos'!E:E)</f>
        <v/>
      </c>
      <c r="R1836" s="96">
        <f>O1836*Q1836</f>
        <v/>
      </c>
      <c r="S1836" s="97">
        <f>TRIM(E1836)</f>
        <v/>
      </c>
    </row>
    <row r="1837" hidden="1">
      <c r="A1837" s="22" t="n">
        <v>5</v>
      </c>
      <c r="B1837" t="inlineStr">
        <is>
          <t xml:space="preserve">CDM02 - MORENO 2              </t>
        </is>
      </c>
      <c r="C1837" t="inlineStr">
        <is>
          <t xml:space="preserve">GRUPO L.                      </t>
        </is>
      </c>
      <c r="D1837" t="inlineStr">
        <is>
          <t>FIDEOS GLUTEN S/TACC</t>
        </is>
      </c>
      <c r="E1837" t="inlineStr">
        <is>
          <t xml:space="preserve">7790070336002       </t>
        </is>
      </c>
      <c r="F1837" t="n">
        <v>4019454</v>
      </c>
      <c r="G1837" t="inlineStr">
        <is>
          <t>FIDEO SPAGHETTI S/TACC X500G MATARA</t>
        </is>
      </c>
      <c r="H1837" t="inlineStr">
        <is>
          <t xml:space="preserve">UNIDAD              </t>
        </is>
      </c>
      <c r="I1837" t="n">
        <v>459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459</v>
      </c>
      <c r="P1837" s="96">
        <f>_xlfn.XLOOKUP(Tabla5[[#This Row],[EAN CORREGIDO]],'Tabla Articulos'!B:B,'Tabla Articulos'!D:D)</f>
        <v/>
      </c>
      <c r="Q1837" s="96">
        <f>_xlfn.XLOOKUP(S1837,'Tabla Articulos'!B:B,'Tabla Articulos'!E:E)</f>
        <v/>
      </c>
      <c r="R1837" s="96">
        <f>O1837*Q1837</f>
        <v/>
      </c>
      <c r="S1837" s="97">
        <f>TRIM(E1837)</f>
        <v/>
      </c>
    </row>
    <row r="1838" hidden="1">
      <c r="A1838" s="22" t="n">
        <v>6</v>
      </c>
      <c r="B1838" t="inlineStr">
        <is>
          <t xml:space="preserve">CDM03 - MORENO 3              </t>
        </is>
      </c>
      <c r="C1838" t="inlineStr">
        <is>
          <t xml:space="preserve">GRUPO L.                      </t>
        </is>
      </c>
      <c r="E1838" t="inlineStr">
        <is>
          <t xml:space="preserve">UNIF000638          </t>
        </is>
      </c>
      <c r="F1838" t="n">
        <v>9003914</v>
      </c>
      <c r="G1838" t="inlineStr">
        <is>
          <t xml:space="preserve">CHOMBA PIQUE GR S CHEF G           </t>
        </is>
      </c>
      <c r="H1838" t="inlineStr">
        <is>
          <t xml:space="preserve">UNIDAD              </t>
        </is>
      </c>
      <c r="I1838" t="n">
        <v>40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40</v>
      </c>
      <c r="P1838" s="96">
        <f>_xlfn.XLOOKUP(Tabla5[[#This Row],[EAN CORREGIDO]],'Tabla Articulos'!B:B,'Tabla Articulos'!D:D)</f>
        <v/>
      </c>
      <c r="Q1838" s="96">
        <f>_xlfn.XLOOKUP(S1838,'Tabla Articulos'!B:B,'Tabla Articulos'!E:E)</f>
        <v/>
      </c>
      <c r="R1838" s="96">
        <f>O1838*Q1838</f>
        <v/>
      </c>
      <c r="S1838" s="97">
        <f>TRIM(E1838)</f>
        <v/>
      </c>
    </row>
    <row r="1839" hidden="1">
      <c r="A1839" s="22" t="n">
        <v>6</v>
      </c>
      <c r="B1839" t="inlineStr">
        <is>
          <t xml:space="preserve">CDM03 - MORENO 3              </t>
        </is>
      </c>
      <c r="C1839" t="inlineStr">
        <is>
          <t xml:space="preserve">GRUPO L.                      </t>
        </is>
      </c>
      <c r="D1839" t="inlineStr">
        <is>
          <t>BARBIJO DESCARTABLE</t>
        </is>
      </c>
      <c r="E1839" t="inlineStr">
        <is>
          <t xml:space="preserve">LIM000462           </t>
        </is>
      </c>
      <c r="F1839" t="n">
        <v>2006638</v>
      </c>
      <c r="G1839" t="inlineStr">
        <is>
          <t xml:space="preserve">BARBIJO QUIRURGICO X 50 U          </t>
        </is>
      </c>
      <c r="H1839" t="inlineStr">
        <is>
          <t xml:space="preserve">UNIDAD              </t>
        </is>
      </c>
      <c r="I1839" t="n">
        <v>407</v>
      </c>
      <c r="J1839" t="n">
        <v>0</v>
      </c>
      <c r="K1839" t="n">
        <v>0</v>
      </c>
      <c r="L1839" t="n">
        <v>20</v>
      </c>
      <c r="M1839" t="n">
        <v>20</v>
      </c>
      <c r="N1839" t="n">
        <v>0</v>
      </c>
      <c r="O1839" t="n">
        <v>367</v>
      </c>
      <c r="P1839" s="96">
        <f>_xlfn.XLOOKUP(Tabla5[[#This Row],[EAN CORREGIDO]],'Tabla Articulos'!B:B,'Tabla Articulos'!D:D)</f>
        <v/>
      </c>
      <c r="Q1839" s="96">
        <f>_xlfn.XLOOKUP(S1839,'Tabla Articulos'!B:B,'Tabla Articulos'!E:E)</f>
        <v/>
      </c>
      <c r="R1839" s="96">
        <f>O1839*Q1839</f>
        <v/>
      </c>
      <c r="S1839" s="97">
        <f>TRIM(E1839)</f>
        <v/>
      </c>
    </row>
    <row r="1840" hidden="1">
      <c r="A1840" s="22" t="n">
        <v>5</v>
      </c>
      <c r="B1840" t="inlineStr">
        <is>
          <t xml:space="preserve">CDM02 - MORENO 2              </t>
        </is>
      </c>
      <c r="C1840" t="inlineStr">
        <is>
          <t xml:space="preserve">GRUPO L.                      </t>
        </is>
      </c>
      <c r="D1840" t="inlineStr">
        <is>
          <t>ARROZ LARGO FINO</t>
        </is>
      </c>
      <c r="E1840" t="inlineStr">
        <is>
          <t xml:space="preserve">7792180139542       </t>
        </is>
      </c>
      <c r="F1840" t="n">
        <v>4020684</v>
      </c>
      <c r="G1840" t="inlineStr">
        <is>
          <t xml:space="preserve">ARROZ LARGO FINO X500G CAÑUELA     </t>
        </is>
      </c>
      <c r="H1840" t="inlineStr">
        <is>
          <t xml:space="preserve">UNIDAD              </t>
        </is>
      </c>
      <c r="I1840" t="n">
        <v>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3</v>
      </c>
      <c r="P1840" s="96">
        <f>_xlfn.XLOOKUP(Tabla5[[#This Row],[EAN CORREGIDO]],'Tabla Articulos'!B:B,'Tabla Articulos'!D:D)</f>
        <v/>
      </c>
      <c r="Q1840" s="96">
        <f>_xlfn.XLOOKUP(S1840,'Tabla Articulos'!B:B,'Tabla Articulos'!E:E)</f>
        <v/>
      </c>
      <c r="R1840" s="96">
        <f>O1840*Q1840</f>
        <v/>
      </c>
      <c r="S1840" s="97">
        <f>TRIM(E1840)</f>
        <v/>
      </c>
    </row>
    <row r="1841" hidden="1">
      <c r="A1841" s="22" t="n">
        <v>1</v>
      </c>
      <c r="B1841" t="inlineStr">
        <is>
          <t xml:space="preserve">CD MORENO                     </t>
        </is>
      </c>
      <c r="C1841" t="inlineStr">
        <is>
          <t xml:space="preserve">GRUPO L.                      </t>
        </is>
      </c>
      <c r="D1841" t="inlineStr">
        <is>
          <t>ATUN A/A ENTERO</t>
        </is>
      </c>
      <c r="E1841" t="inlineStr">
        <is>
          <t xml:space="preserve">7798430450023       </t>
        </is>
      </c>
      <c r="F1841" t="n">
        <v>4022449</v>
      </c>
      <c r="G1841" t="inlineStr">
        <is>
          <t xml:space="preserve">ATUN LOM ACEITE 170GR DON JULIO    </t>
        </is>
      </c>
      <c r="H1841" t="inlineStr">
        <is>
          <t xml:space="preserve">UNIDAD              </t>
        </is>
      </c>
      <c r="I1841" t="n">
        <v>31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31</v>
      </c>
      <c r="P1841" s="96">
        <f>_xlfn.XLOOKUP(Tabla5[[#This Row],[EAN CORREGIDO]],'Tabla Articulos'!B:B,'Tabla Articulos'!D:D)</f>
        <v/>
      </c>
      <c r="Q1841" s="96">
        <f>_xlfn.XLOOKUP(S1841,'Tabla Articulos'!B:B,'Tabla Articulos'!E:E)</f>
        <v/>
      </c>
      <c r="R1841" s="96">
        <f>O1841*Q1841</f>
        <v/>
      </c>
      <c r="S1841" s="97">
        <f>TRIM(E1841)</f>
        <v/>
      </c>
    </row>
    <row r="1842" hidden="1">
      <c r="A1842" s="22" t="n">
        <v>6</v>
      </c>
      <c r="B1842" t="inlineStr">
        <is>
          <t xml:space="preserve">CDM03 - MORENO 3              </t>
        </is>
      </c>
      <c r="C1842" t="inlineStr">
        <is>
          <t xml:space="preserve">GRUPO L.                      </t>
        </is>
      </c>
      <c r="E1842" t="inlineStr">
        <is>
          <t xml:space="preserve">100ND41             </t>
        </is>
      </c>
      <c r="F1842" t="n">
        <v>9004408</v>
      </c>
      <c r="G1842" t="inlineStr">
        <is>
          <t xml:space="preserve">GL ZAPATO SEG. NEG. 41 GAMAX       </t>
        </is>
      </c>
      <c r="H1842" t="inlineStr">
        <is>
          <t xml:space="preserve">UNIDAD              </t>
        </is>
      </c>
      <c r="I1842" t="n">
        <v>0</v>
      </c>
      <c r="J1842" t="n">
        <v>195</v>
      </c>
      <c r="K1842" t="n">
        <v>0</v>
      </c>
      <c r="L1842" t="n">
        <v>15</v>
      </c>
      <c r="M1842" t="n">
        <v>15</v>
      </c>
      <c r="N1842" t="n">
        <v>0</v>
      </c>
      <c r="O1842" t="n">
        <v>165</v>
      </c>
      <c r="P1842" s="96">
        <f>_xlfn.XLOOKUP(Tabla5[[#This Row],[EAN CORREGIDO]],'Tabla Articulos'!B:B,'Tabla Articulos'!D:D)</f>
        <v/>
      </c>
      <c r="Q1842" s="96">
        <f>_xlfn.XLOOKUP(S1842,'Tabla Articulos'!B:B,'Tabla Articulos'!E:E)</f>
        <v/>
      </c>
      <c r="R1842" s="96">
        <f>O1842*Q1842</f>
        <v/>
      </c>
      <c r="S1842" s="97">
        <f>TRIM(E1842)</f>
        <v/>
      </c>
    </row>
    <row r="1843" hidden="1">
      <c r="A1843" s="22" t="n">
        <v>6</v>
      </c>
      <c r="B1843" t="inlineStr">
        <is>
          <t xml:space="preserve">CDM03 - MORENO 3              </t>
        </is>
      </c>
      <c r="C1843" t="inlineStr">
        <is>
          <t xml:space="preserve">GRUPO L.                      </t>
        </is>
      </c>
      <c r="D1843" t="inlineStr">
        <is>
          <t>GUANTE GOMA</t>
        </is>
      </c>
      <c r="E1843" t="inlineStr">
        <is>
          <t xml:space="preserve">LIM000293           </t>
        </is>
      </c>
      <c r="F1843" t="n">
        <v>2006630</v>
      </c>
      <c r="G1843" t="inlineStr">
        <is>
          <t xml:space="preserve">GUANTE DE GOMA REFORZADO X PAR     </t>
        </is>
      </c>
      <c r="H1843" t="inlineStr">
        <is>
          <t xml:space="preserve">UNIDAD              </t>
        </is>
      </c>
      <c r="I1843" t="n">
        <v>32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32</v>
      </c>
      <c r="P1843" s="96">
        <f>_xlfn.XLOOKUP(Tabla5[[#This Row],[EAN CORREGIDO]],'Tabla Articulos'!B:B,'Tabla Articulos'!D:D)</f>
        <v/>
      </c>
      <c r="Q1843" s="96">
        <f>_xlfn.XLOOKUP(S1843,'Tabla Articulos'!B:B,'Tabla Articulos'!E:E)</f>
        <v/>
      </c>
      <c r="R1843" s="96">
        <f>O1843*Q1843</f>
        <v/>
      </c>
      <c r="S1843" s="97">
        <f>TRIM(E1843)</f>
        <v/>
      </c>
    </row>
    <row r="1844" hidden="1">
      <c r="A1844" s="22" t="n">
        <v>1</v>
      </c>
      <c r="B1844" t="inlineStr">
        <is>
          <t xml:space="preserve">CD MORENO                     </t>
        </is>
      </c>
      <c r="C1844" t="inlineStr">
        <is>
          <t xml:space="preserve">GRUPO L.                      </t>
        </is>
      </c>
      <c r="D1844" s="11" t="inlineStr">
        <is>
          <t>TOSTADA ARROZ DULCE</t>
        </is>
      </c>
      <c r="E1844" t="inlineStr">
        <is>
          <t xml:space="preserve">7790412000288       </t>
        </is>
      </c>
      <c r="F1844" t="n">
        <v>4018812</v>
      </c>
      <c r="G1844" t="inlineStr">
        <is>
          <t>TOSTADA ARROZ DULCE S/TACC X150G LE</t>
        </is>
      </c>
      <c r="H1844" t="inlineStr">
        <is>
          <t xml:space="preserve">UNIDAD              </t>
        </is>
      </c>
      <c r="I1844" t="n">
        <v>34</v>
      </c>
      <c r="J1844" t="n">
        <v>0</v>
      </c>
      <c r="K1844" t="n">
        <v>0</v>
      </c>
      <c r="L1844" t="n">
        <v>0</v>
      </c>
      <c r="M1844" t="n">
        <v>0</v>
      </c>
      <c r="N1844" t="n">
        <v>263</v>
      </c>
      <c r="O1844" t="n">
        <v>-229</v>
      </c>
      <c r="P1844" s="96">
        <f>_xlfn.XLOOKUP(Tabla5[[#This Row],[EAN CORREGIDO]],'Tabla Articulos'!B:B,'Tabla Articulos'!D:D)</f>
        <v/>
      </c>
      <c r="Q1844" s="96">
        <f>_xlfn.XLOOKUP(S1844,'Tabla Articulos'!B:B,'Tabla Articulos'!E:E)</f>
        <v/>
      </c>
      <c r="R1844" s="96">
        <f>O1844*Q1844</f>
        <v/>
      </c>
      <c r="S1844" s="97">
        <f>TRIM(E1844)</f>
        <v/>
      </c>
    </row>
    <row r="1845" hidden="1">
      <c r="A1845" s="22" t="n">
        <v>5</v>
      </c>
      <c r="B1845" t="inlineStr">
        <is>
          <t xml:space="preserve">CDM02 - MORENO 2              </t>
        </is>
      </c>
      <c r="C1845" t="inlineStr">
        <is>
          <t xml:space="preserve">GRUPO L.                      </t>
        </is>
      </c>
      <c r="D1845" s="11" t="inlineStr">
        <is>
          <t>TOSTADA ARROZ DULCE</t>
        </is>
      </c>
      <c r="E1845" t="inlineStr">
        <is>
          <t xml:space="preserve">7790412000288       </t>
        </is>
      </c>
      <c r="F1845" t="n">
        <v>4018812</v>
      </c>
      <c r="G1845" t="inlineStr">
        <is>
          <t>TOSTADA ARROZ DULCE S/TACC X150G LE</t>
        </is>
      </c>
      <c r="H1845" t="inlineStr">
        <is>
          <t xml:space="preserve">UNIDAD              </t>
        </is>
      </c>
      <c r="I1845" t="n">
        <v>200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200</v>
      </c>
      <c r="P1845" s="96">
        <f>_xlfn.XLOOKUP(Tabla5[[#This Row],[EAN CORREGIDO]],'Tabla Articulos'!B:B,'Tabla Articulos'!D:D)</f>
        <v/>
      </c>
      <c r="Q1845" s="96">
        <f>_xlfn.XLOOKUP(S1845,'Tabla Articulos'!B:B,'Tabla Articulos'!E:E)</f>
        <v/>
      </c>
      <c r="R1845" s="96">
        <f>O1845*Q1845</f>
        <v/>
      </c>
      <c r="S1845" s="97">
        <f>TRIM(E1845)</f>
        <v/>
      </c>
    </row>
    <row r="1846" hidden="1">
      <c r="A1846" s="22" t="n">
        <v>1</v>
      </c>
      <c r="B1846" t="inlineStr">
        <is>
          <t xml:space="preserve">CD MORENO                     </t>
        </is>
      </c>
      <c r="C1846" t="inlineStr">
        <is>
          <t xml:space="preserve">GRUPO L.                      </t>
        </is>
      </c>
      <c r="D1846" s="11" t="inlineStr">
        <is>
          <t>ACELGA EN LATA</t>
        </is>
      </c>
      <c r="E1846" t="inlineStr">
        <is>
          <t xml:space="preserve">7790499002106       </t>
        </is>
      </c>
      <c r="F1846" t="n">
        <v>4019545</v>
      </c>
      <c r="G1846" t="inlineStr">
        <is>
          <t xml:space="preserve">ACELGA CORTADA X800G.LA BANDA	     </t>
        </is>
      </c>
      <c r="H1846" t="inlineStr">
        <is>
          <t xml:space="preserve">UNIDAD              </t>
        </is>
      </c>
      <c r="I1846" t="n">
        <v>95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95</v>
      </c>
      <c r="P1846" s="96">
        <f>_xlfn.XLOOKUP(Tabla5[[#This Row],[EAN CORREGIDO]],'Tabla Articulos'!B:B,'Tabla Articulos'!D:D)</f>
        <v/>
      </c>
      <c r="Q1846" s="96">
        <f>_xlfn.XLOOKUP(S1846,'Tabla Articulos'!B:B,'Tabla Articulos'!E:E)</f>
        <v/>
      </c>
      <c r="R1846" s="96">
        <f>O1846*Q1846</f>
        <v/>
      </c>
      <c r="S1846" s="97">
        <f>TRIM(E1846)</f>
        <v/>
      </c>
    </row>
    <row r="1847" hidden="1">
      <c r="A1847" s="22" t="n">
        <v>6</v>
      </c>
      <c r="B1847" t="inlineStr">
        <is>
          <t xml:space="preserve">CDM03 - MORENO 3              </t>
        </is>
      </c>
      <c r="C1847" t="inlineStr">
        <is>
          <t xml:space="preserve">GRUPO L.                      </t>
        </is>
      </c>
      <c r="E1847" t="inlineStr">
        <is>
          <t xml:space="preserve">BUSAT000427         </t>
        </is>
      </c>
      <c r="G1847" t="inlineStr">
        <is>
          <t xml:space="preserve">PANTALON CARGO GRIS FRANJA NARANJA	</t>
        </is>
      </c>
      <c r="H1847" t="inlineStr">
        <is>
          <t xml:space="preserve">UNIDAD              </t>
        </is>
      </c>
      <c r="I1847" t="n">
        <v>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6</v>
      </c>
      <c r="P1847" s="96">
        <f>_xlfn.XLOOKUP(Tabla5[[#This Row],[EAN CORREGIDO]],'Tabla Articulos'!B:B,'Tabla Articulos'!D:D)</f>
        <v/>
      </c>
      <c r="Q1847" s="96">
        <f>_xlfn.XLOOKUP(S1847,'Tabla Articulos'!B:B,'Tabla Articulos'!E:E)</f>
        <v/>
      </c>
      <c r="R1847" s="96">
        <f>O1847*Q1847</f>
        <v/>
      </c>
      <c r="S1847" s="97">
        <f>TRIM(E1847)</f>
        <v/>
      </c>
    </row>
    <row r="1848" hidden="1">
      <c r="A1848" s="22" t="n">
        <v>6</v>
      </c>
      <c r="B1848" t="inlineStr">
        <is>
          <t xml:space="preserve">CDM03 - MORENO 3              </t>
        </is>
      </c>
      <c r="C1848" t="inlineStr">
        <is>
          <t xml:space="preserve">GRUPO L.                      </t>
        </is>
      </c>
      <c r="E1848" t="inlineStr">
        <is>
          <t xml:space="preserve">BUSAT000312         </t>
        </is>
      </c>
      <c r="G1848" t="inlineStr">
        <is>
          <t xml:space="preserve">PARILLA A GAS AC INOX              </t>
        </is>
      </c>
      <c r="H1848" t="inlineStr">
        <is>
          <t xml:space="preserve">UNIDAD              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1</v>
      </c>
      <c r="P1848" s="96">
        <f>_xlfn.XLOOKUP(Tabla5[[#This Row],[EAN CORREGIDO]],'Tabla Articulos'!B:B,'Tabla Articulos'!D:D)</f>
        <v/>
      </c>
      <c r="Q1848" s="96">
        <f>_xlfn.XLOOKUP(S1848,'Tabla Articulos'!B:B,'Tabla Articulos'!E:E)</f>
        <v/>
      </c>
      <c r="R1848" s="96">
        <f>O1848*Q1848</f>
        <v/>
      </c>
      <c r="S1848" s="97">
        <f>TRIM(E1848)</f>
        <v/>
      </c>
    </row>
    <row r="1849" hidden="1">
      <c r="A1849" s="22" t="n">
        <v>6</v>
      </c>
      <c r="B1849" t="inlineStr">
        <is>
          <t xml:space="preserve">CDM03 - MORENO 3              </t>
        </is>
      </c>
      <c r="C1849" t="inlineStr">
        <is>
          <t xml:space="preserve">GRUPO L.                      </t>
        </is>
      </c>
      <c r="E1849" t="inlineStr">
        <is>
          <t xml:space="preserve">BUSAT000409         </t>
        </is>
      </c>
      <c r="G1849" t="inlineStr">
        <is>
          <t xml:space="preserve">SEMIMÁSCARA 3M 6200                </t>
        </is>
      </c>
      <c r="H1849" t="inlineStr">
        <is>
          <t xml:space="preserve">UNIDAD              </t>
        </is>
      </c>
      <c r="I1849" t="n">
        <v>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3</v>
      </c>
      <c r="P1849" s="96">
        <f>_xlfn.XLOOKUP(Tabla5[[#This Row],[EAN CORREGIDO]],'Tabla Articulos'!B:B,'Tabla Articulos'!D:D)</f>
        <v/>
      </c>
      <c r="Q1849" s="96">
        <f>_xlfn.XLOOKUP(S1849,'Tabla Articulos'!B:B,'Tabla Articulos'!E:E)</f>
        <v/>
      </c>
      <c r="R1849" s="96">
        <f>O1849*Q1849</f>
        <v/>
      </c>
      <c r="S1849" s="97">
        <f>TRIM(E1849)</f>
        <v/>
      </c>
    </row>
    <row r="1850" hidden="1">
      <c r="A1850" s="22" t="n">
        <v>6</v>
      </c>
      <c r="B1850" t="inlineStr">
        <is>
          <t xml:space="preserve">CDM03 - MORENO 3              </t>
        </is>
      </c>
      <c r="C1850" t="inlineStr">
        <is>
          <t xml:space="preserve">GRUPO L.                      </t>
        </is>
      </c>
      <c r="D1850" s="11" t="n"/>
      <c r="E1850" t="inlineStr">
        <is>
          <t xml:space="preserve">BUSAT000884         </t>
        </is>
      </c>
      <c r="G1850" t="inlineStr">
        <is>
          <t xml:space="preserve">CILINDRO ACERO INOX GRANDE         </t>
        </is>
      </c>
      <c r="H1850" t="inlineStr">
        <is>
          <t xml:space="preserve">UNIDAD              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2</v>
      </c>
      <c r="P1850" s="96">
        <f>_xlfn.XLOOKUP(Tabla5[[#This Row],[EAN CORREGIDO]],'Tabla Articulos'!B:B,'Tabla Articulos'!D:D)</f>
        <v/>
      </c>
      <c r="Q1850" s="96">
        <f>_xlfn.XLOOKUP(S1850,'Tabla Articulos'!B:B,'Tabla Articulos'!E:E)</f>
        <v/>
      </c>
      <c r="R1850" s="96">
        <f>O1850*Q1850</f>
        <v/>
      </c>
      <c r="S1850" s="97">
        <f>TRIM(E1850)</f>
        <v/>
      </c>
    </row>
    <row r="1851" hidden="1">
      <c r="A1851" s="22" t="n">
        <v>6</v>
      </c>
      <c r="B1851" t="inlineStr">
        <is>
          <t xml:space="preserve">CDM03 - MORENO 3              </t>
        </is>
      </c>
      <c r="C1851" t="inlineStr">
        <is>
          <t xml:space="preserve">GRUPO L.                      </t>
        </is>
      </c>
      <c r="D1851" s="11" t="n"/>
      <c r="E1851" t="inlineStr">
        <is>
          <t xml:space="preserve">2006183             </t>
        </is>
      </c>
      <c r="G1851" t="inlineStr">
        <is>
          <t>TOALLA INTERCALADA BEIGE X 2500 UNI</t>
        </is>
      </c>
      <c r="H1851" t="inlineStr">
        <is>
          <t xml:space="preserve">UNIDAD              </t>
        </is>
      </c>
      <c r="I1851" t="n">
        <v>131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131</v>
      </c>
      <c r="P1851" s="96">
        <f>_xlfn.XLOOKUP(Tabla5[[#This Row],[EAN CORREGIDO]],'Tabla Articulos'!B:B,'Tabla Articulos'!D:D)</f>
        <v/>
      </c>
      <c r="Q1851" s="96">
        <f>_xlfn.XLOOKUP(S1851,'Tabla Articulos'!B:B,'Tabla Articulos'!E:E)</f>
        <v/>
      </c>
      <c r="R1851" s="96">
        <f>O1851*Q1851</f>
        <v/>
      </c>
      <c r="S1851" s="97">
        <f>TRIM(E1851)</f>
        <v/>
      </c>
    </row>
    <row r="1852" hidden="1">
      <c r="A1852" s="22" t="n">
        <v>6</v>
      </c>
      <c r="B1852" t="inlineStr">
        <is>
          <t xml:space="preserve">CDM03 - MORENO 3              </t>
        </is>
      </c>
      <c r="C1852" t="inlineStr">
        <is>
          <t xml:space="preserve">GRUPO L.                      </t>
        </is>
      </c>
      <c r="E1852" t="inlineStr">
        <is>
          <t xml:space="preserve">BUSAT0001134        </t>
        </is>
      </c>
      <c r="G1852" t="inlineStr">
        <is>
          <t xml:space="preserve">MESADA DE MADERA Y HIERRO          </t>
        </is>
      </c>
      <c r="H1852" t="inlineStr">
        <is>
          <t xml:space="preserve">UNIDAD              </t>
        </is>
      </c>
      <c r="I1852" t="n">
        <v>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1</v>
      </c>
      <c r="P1852" s="96">
        <f>_xlfn.XLOOKUP(Tabla5[[#This Row],[EAN CORREGIDO]],'Tabla Articulos'!B:B,'Tabla Articulos'!D:D)</f>
        <v/>
      </c>
      <c r="Q1852" s="96">
        <f>_xlfn.XLOOKUP(S1852,'Tabla Articulos'!B:B,'Tabla Articulos'!E:E)</f>
        <v/>
      </c>
      <c r="R1852" s="96">
        <f>O1852*Q1852</f>
        <v/>
      </c>
      <c r="S1852" s="97">
        <f>TRIM(E1852)</f>
        <v/>
      </c>
    </row>
    <row r="1853" hidden="1">
      <c r="A1853" s="22" t="n">
        <v>6</v>
      </c>
      <c r="B1853" t="inlineStr">
        <is>
          <t xml:space="preserve">CDM03 - MORENO 3              </t>
        </is>
      </c>
      <c r="C1853" t="inlineStr">
        <is>
          <t xml:space="preserve">GRUPO L.                      </t>
        </is>
      </c>
      <c r="E1853" t="inlineStr">
        <is>
          <t xml:space="preserve">5000797             </t>
        </is>
      </c>
      <c r="F1853" t="n">
        <v>5000797</v>
      </c>
      <c r="G1853" t="inlineStr">
        <is>
          <t xml:space="preserve">BOTAS DE GOMA T:44                 </t>
        </is>
      </c>
      <c r="H1853" t="inlineStr">
        <is>
          <t xml:space="preserve">UNIDAD              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1</v>
      </c>
      <c r="P1853" s="96">
        <f>_xlfn.XLOOKUP(Tabla5[[#This Row],[EAN CORREGIDO]],'Tabla Articulos'!B:B,'Tabla Articulos'!D:D)</f>
        <v/>
      </c>
      <c r="Q1853" s="96">
        <f>_xlfn.XLOOKUP(S1853,'Tabla Articulos'!B:B,'Tabla Articulos'!E:E)</f>
        <v/>
      </c>
      <c r="R1853" s="96">
        <f>O1853*Q1853</f>
        <v/>
      </c>
      <c r="S1853" s="97">
        <f>TRIM(E1853)</f>
        <v/>
      </c>
    </row>
    <row r="1854" hidden="1">
      <c r="A1854" s="22" t="n">
        <v>6</v>
      </c>
      <c r="B1854" t="inlineStr">
        <is>
          <t xml:space="preserve">CDM03 - MORENO 3              </t>
        </is>
      </c>
      <c r="C1854" t="inlineStr">
        <is>
          <t xml:space="preserve">GRUPO L.                      </t>
        </is>
      </c>
      <c r="E1854" t="inlineStr">
        <is>
          <t xml:space="preserve">UNIF000292          </t>
        </is>
      </c>
      <c r="F1854" t="n">
        <v>9003669</v>
      </c>
      <c r="G1854" t="inlineStr">
        <is>
          <t xml:space="preserve">CAMP. TRUCK. AZ CINT. REFRAC 2XL   </t>
        </is>
      </c>
      <c r="H1854" t="inlineStr">
        <is>
          <t xml:space="preserve">UNIDAD              </t>
        </is>
      </c>
      <c r="I1854" t="n">
        <v>18</v>
      </c>
      <c r="J1854" t="n">
        <v>80</v>
      </c>
      <c r="K1854" t="n">
        <v>0</v>
      </c>
      <c r="L1854" t="n">
        <v>0</v>
      </c>
      <c r="M1854" t="n">
        <v>0</v>
      </c>
      <c r="N1854" t="n">
        <v>0</v>
      </c>
      <c r="O1854" t="n">
        <v>98</v>
      </c>
      <c r="P1854" s="96">
        <f>_xlfn.XLOOKUP(Tabla5[[#This Row],[EAN CORREGIDO]],'Tabla Articulos'!B:B,'Tabla Articulos'!D:D)</f>
        <v/>
      </c>
      <c r="Q1854" s="96">
        <f>_xlfn.XLOOKUP(S1854,'Tabla Articulos'!B:B,'Tabla Articulos'!E:E)</f>
        <v/>
      </c>
      <c r="R1854" s="96">
        <f>O1854*Q1854</f>
        <v/>
      </c>
      <c r="S1854" s="97">
        <f>TRIM(E1854)</f>
        <v/>
      </c>
    </row>
    <row r="1855" hidden="1">
      <c r="A1855" s="22" t="n">
        <v>1</v>
      </c>
      <c r="B1855" t="inlineStr">
        <is>
          <t xml:space="preserve">CD MORENO                     </t>
        </is>
      </c>
      <c r="C1855" t="inlineStr">
        <is>
          <t xml:space="preserve">GRUPO L.                      </t>
        </is>
      </c>
      <c r="D1855" t="inlineStr">
        <is>
          <t>ESPINACA CONGELADA</t>
        </is>
      </c>
      <c r="E1855" t="inlineStr">
        <is>
          <t xml:space="preserve">7798184270281       </t>
        </is>
      </c>
      <c r="F1855" t="n">
        <v>4024017</v>
      </c>
      <c r="G1855" t="inlineStr">
        <is>
          <t xml:space="preserve">ESPINACA HOJAS IQF X1KG BIOMAC     </t>
        </is>
      </c>
      <c r="H1855" t="inlineStr">
        <is>
          <t xml:space="preserve">UNIDAD              </t>
        </is>
      </c>
      <c r="I1855" t="n">
        <v>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5</v>
      </c>
      <c r="P1855" s="96">
        <f>_xlfn.XLOOKUP(Tabla5[[#This Row],[EAN CORREGIDO]],'Tabla Articulos'!B:B,'Tabla Articulos'!D:D)</f>
        <v/>
      </c>
      <c r="Q1855" s="96">
        <f>_xlfn.XLOOKUP(S1855,'Tabla Articulos'!B:B,'Tabla Articulos'!E:E)</f>
        <v/>
      </c>
      <c r="R1855" s="96">
        <f>O1855*Q1855</f>
        <v/>
      </c>
      <c r="S1855" s="97">
        <f>TRIM(E1855)</f>
        <v/>
      </c>
    </row>
    <row r="1856" hidden="1">
      <c r="A1856" s="22" t="n">
        <v>1</v>
      </c>
      <c r="B1856" t="inlineStr">
        <is>
          <t xml:space="preserve">CD MORENO                     </t>
        </is>
      </c>
      <c r="C1856" t="inlineStr">
        <is>
          <t xml:space="preserve">GRUPO L.                      </t>
        </is>
      </c>
      <c r="D1856" t="inlineStr">
        <is>
          <t>LECHE NIDINA 2</t>
        </is>
      </c>
      <c r="E1856" t="inlineStr">
        <is>
          <t xml:space="preserve">8445290180209       </t>
        </is>
      </c>
      <c r="F1856" t="n">
        <v>4018276</v>
      </c>
      <c r="G1856" t="inlineStr">
        <is>
          <t xml:space="preserve">LECHE NIDINA2 X200ML               </t>
        </is>
      </c>
      <c r="H1856" t="inlineStr">
        <is>
          <t xml:space="preserve">UNIDAD              </t>
        </is>
      </c>
      <c r="I1856" t="n">
        <v>116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116</v>
      </c>
      <c r="P1856" s="96">
        <f>_xlfn.XLOOKUP(Tabla5[[#This Row],[EAN CORREGIDO]],'Tabla Articulos'!B:B,'Tabla Articulos'!D:D)</f>
        <v/>
      </c>
      <c r="Q1856" s="96">
        <f>_xlfn.XLOOKUP(S1856,'Tabla Articulos'!B:B,'Tabla Articulos'!E:E)</f>
        <v/>
      </c>
      <c r="R1856" s="96">
        <f>O1856*Q1856</f>
        <v/>
      </c>
      <c r="S1856" s="97">
        <f>TRIM(E1856)</f>
        <v/>
      </c>
    </row>
    <row r="1857" hidden="1">
      <c r="A1857" s="22" t="n">
        <v>6</v>
      </c>
      <c r="B1857" t="inlineStr">
        <is>
          <t xml:space="preserve">CDM03 - MORENO 3              </t>
        </is>
      </c>
      <c r="C1857" t="inlineStr">
        <is>
          <t xml:space="preserve">GRUPO L.                      </t>
        </is>
      </c>
      <c r="D1857" s="11" t="n"/>
      <c r="E1857" t="inlineStr">
        <is>
          <t xml:space="preserve">A1607C25T6          </t>
        </is>
      </c>
      <c r="F1857" t="n">
        <v>9003028</v>
      </c>
      <c r="G1857" t="inlineStr">
        <is>
          <t xml:space="preserve">ZAPATO SEG. NEG. 39 ATT CHUBUT     </t>
        </is>
      </c>
      <c r="H1857" t="inlineStr">
        <is>
          <t xml:space="preserve">UNIDAD              </t>
        </is>
      </c>
      <c r="I1857" t="n">
        <v>109</v>
      </c>
      <c r="J1857" t="n">
        <v>60</v>
      </c>
      <c r="K1857" t="n">
        <v>0</v>
      </c>
      <c r="L1857" t="n">
        <v>7</v>
      </c>
      <c r="M1857" t="n">
        <v>7</v>
      </c>
      <c r="N1857" t="n">
        <v>0</v>
      </c>
      <c r="O1857" t="n">
        <v>155</v>
      </c>
      <c r="P1857" s="96">
        <f>_xlfn.XLOOKUP(Tabla5[[#This Row],[EAN CORREGIDO]],'Tabla Articulos'!B:B,'Tabla Articulos'!D:D)</f>
        <v/>
      </c>
      <c r="Q1857" s="96">
        <f>_xlfn.XLOOKUP(S1857,'Tabla Articulos'!B:B,'Tabla Articulos'!E:E)</f>
        <v/>
      </c>
      <c r="R1857" s="96">
        <f>O1857*Q1857</f>
        <v/>
      </c>
      <c r="S1857" s="97">
        <f>TRIM(E1857)</f>
        <v/>
      </c>
    </row>
    <row r="1858" hidden="1">
      <c r="A1858" s="22" t="n">
        <v>6</v>
      </c>
      <c r="B1858" t="inlineStr">
        <is>
          <t xml:space="preserve">CDM03 - MORENO 3              </t>
        </is>
      </c>
      <c r="C1858" t="inlineStr">
        <is>
          <t xml:space="preserve">GRUPO L.                      </t>
        </is>
      </c>
      <c r="D1858" s="11" t="n"/>
      <c r="E1858" t="inlineStr">
        <is>
          <t xml:space="preserve">UNIF000558          </t>
        </is>
      </c>
      <c r="F1858" t="n">
        <v>9003096</v>
      </c>
      <c r="G1858" t="inlineStr">
        <is>
          <t xml:space="preserve">PANTALON JEAN 52                   </t>
        </is>
      </c>
      <c r="H1858" t="inlineStr">
        <is>
          <t xml:space="preserve">UNIDAD              </t>
        </is>
      </c>
      <c r="I1858" t="n">
        <v>13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13</v>
      </c>
      <c r="P1858" s="96">
        <f>_xlfn.XLOOKUP(Tabla5[[#This Row],[EAN CORREGIDO]],'Tabla Articulos'!B:B,'Tabla Articulos'!D:D)</f>
        <v/>
      </c>
      <c r="Q1858" s="96">
        <f>_xlfn.XLOOKUP(S1858,'Tabla Articulos'!B:B,'Tabla Articulos'!E:E)</f>
        <v/>
      </c>
      <c r="R1858" s="96">
        <f>O1858*Q1858</f>
        <v/>
      </c>
      <c r="S1858" s="97">
        <f>TRIM(E1858)</f>
        <v/>
      </c>
    </row>
    <row r="1859" hidden="1">
      <c r="A1859" s="22" t="n">
        <v>6</v>
      </c>
      <c r="B1859" t="inlineStr">
        <is>
          <t xml:space="preserve">CDM03 - MORENO 3              </t>
        </is>
      </c>
      <c r="C1859" t="inlineStr">
        <is>
          <t xml:space="preserve">GRUPO L.                      </t>
        </is>
      </c>
      <c r="E1859" t="inlineStr">
        <is>
          <t xml:space="preserve">BUSAT000346         </t>
        </is>
      </c>
      <c r="G1859" t="inlineStr">
        <is>
          <t xml:space="preserve">PINZAS /SAND BIS                   </t>
        </is>
      </c>
      <c r="H1859" t="inlineStr">
        <is>
          <t xml:space="preserve">UNIDAD              </t>
        </is>
      </c>
      <c r="I1859" t="n">
        <v>20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20</v>
      </c>
      <c r="P1859" s="96">
        <f>_xlfn.XLOOKUP(Tabla5[[#This Row],[EAN CORREGIDO]],'Tabla Articulos'!B:B,'Tabla Articulos'!D:D)</f>
        <v/>
      </c>
      <c r="Q1859" s="96">
        <f>_xlfn.XLOOKUP(S1859,'Tabla Articulos'!B:B,'Tabla Articulos'!E:E)</f>
        <v/>
      </c>
      <c r="R1859" s="96">
        <f>O1859*Q1859</f>
        <v/>
      </c>
      <c r="S1859" s="97">
        <f>TRIM(E1859)</f>
        <v/>
      </c>
    </row>
    <row r="1860" hidden="1">
      <c r="A1860" s="22" t="n">
        <v>6</v>
      </c>
      <c r="B1860" t="inlineStr">
        <is>
          <t xml:space="preserve">CDM03 - MORENO 3              </t>
        </is>
      </c>
      <c r="C1860" t="inlineStr">
        <is>
          <t xml:space="preserve">GRUPO L.                      </t>
        </is>
      </c>
      <c r="E1860" t="inlineStr">
        <is>
          <t xml:space="preserve">BUSAT000074         </t>
        </is>
      </c>
      <c r="G1860" t="inlineStr">
        <is>
          <t xml:space="preserve">BOWL ACERO INOX GRANDE             </t>
        </is>
      </c>
      <c r="H1860" t="inlineStr">
        <is>
          <t xml:space="preserve">UNIDAD              </t>
        </is>
      </c>
      <c r="I1860" t="n">
        <v>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3</v>
      </c>
      <c r="P1860" s="96">
        <f>_xlfn.XLOOKUP(Tabla5[[#This Row],[EAN CORREGIDO]],'Tabla Articulos'!B:B,'Tabla Articulos'!D:D)</f>
        <v/>
      </c>
      <c r="Q1860" s="96">
        <f>_xlfn.XLOOKUP(S1860,'Tabla Articulos'!B:B,'Tabla Articulos'!E:E)</f>
        <v/>
      </c>
      <c r="R1860" s="96">
        <f>O1860*Q1860</f>
        <v/>
      </c>
      <c r="S1860" s="97">
        <f>TRIM(E1860)</f>
        <v/>
      </c>
    </row>
    <row r="1861" hidden="1">
      <c r="A1861" s="22" t="n">
        <v>6</v>
      </c>
      <c r="B1861" t="inlineStr">
        <is>
          <t xml:space="preserve">CDM03 - MORENO 3              </t>
        </is>
      </c>
      <c r="C1861" t="inlineStr">
        <is>
          <t xml:space="preserve">GRUPO L.                      </t>
        </is>
      </c>
      <c r="E1861" t="inlineStr">
        <is>
          <t xml:space="preserve">BUSAT000628         </t>
        </is>
      </c>
      <c r="G1861" t="inlineStr">
        <is>
          <t xml:space="preserve">BUZO AZUL UNILEVER XXXL            </t>
        </is>
      </c>
      <c r="H1861" t="inlineStr">
        <is>
          <t xml:space="preserve">UNIDAD              </t>
        </is>
      </c>
      <c r="I1861" t="n">
        <v>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2</v>
      </c>
      <c r="P1861" s="96">
        <f>_xlfn.XLOOKUP(Tabla5[[#This Row],[EAN CORREGIDO]],'Tabla Articulos'!B:B,'Tabla Articulos'!D:D)</f>
        <v/>
      </c>
      <c r="Q1861" s="96">
        <f>_xlfn.XLOOKUP(S1861,'Tabla Articulos'!B:B,'Tabla Articulos'!E:E)</f>
        <v/>
      </c>
      <c r="R1861" s="96">
        <f>O1861*Q1861</f>
        <v/>
      </c>
      <c r="S1861" s="97">
        <f>TRIM(E1861)</f>
        <v/>
      </c>
    </row>
    <row r="1862" hidden="1">
      <c r="A1862" s="22" t="n">
        <v>6</v>
      </c>
      <c r="B1862" t="inlineStr">
        <is>
          <t xml:space="preserve">CDM03 - MORENO 3              </t>
        </is>
      </c>
      <c r="C1862" t="inlineStr">
        <is>
          <t xml:space="preserve">GRUPO L.                      </t>
        </is>
      </c>
      <c r="E1862" t="inlineStr">
        <is>
          <t xml:space="preserve">BUSAT001008         </t>
        </is>
      </c>
      <c r="G1862" t="inlineStr">
        <is>
          <t xml:space="preserve">CHOMBA GRIS C AZUL MANGA LARGA XXL </t>
        </is>
      </c>
      <c r="H1862" t="inlineStr">
        <is>
          <t xml:space="preserve">BULTOS              </t>
        </is>
      </c>
      <c r="I1862" t="n">
        <v>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4</v>
      </c>
      <c r="P1862" s="96">
        <f>_xlfn.XLOOKUP(Tabla5[[#This Row],[EAN CORREGIDO]],'Tabla Articulos'!B:B,'Tabla Articulos'!D:D)</f>
        <v/>
      </c>
      <c r="Q1862" s="96">
        <f>_xlfn.XLOOKUP(S1862,'Tabla Articulos'!B:B,'Tabla Articulos'!E:E)</f>
        <v/>
      </c>
      <c r="R1862" s="96">
        <f>O1862*Q1862</f>
        <v/>
      </c>
      <c r="S1862" s="97">
        <f>TRIM(E1862)</f>
        <v/>
      </c>
    </row>
    <row r="1863" hidden="1">
      <c r="A1863" s="22" t="n">
        <v>6</v>
      </c>
      <c r="B1863" t="inlineStr">
        <is>
          <t xml:space="preserve">CDM03 - MORENO 3              </t>
        </is>
      </c>
      <c r="C1863" t="inlineStr">
        <is>
          <t xml:space="preserve">GRUPO L.                      </t>
        </is>
      </c>
      <c r="D1863" s="11" t="n"/>
      <c r="E1863" t="inlineStr">
        <is>
          <t xml:space="preserve">BUSAT000423         </t>
        </is>
      </c>
      <c r="G1863" t="inlineStr">
        <is>
          <t xml:space="preserve">PANTALON CARGO GRIS FRANJA AZUL	58 </t>
        </is>
      </c>
      <c r="H1863" t="inlineStr">
        <is>
          <t xml:space="preserve">UNIDAD              </t>
        </is>
      </c>
      <c r="I1863" t="n">
        <v>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3</v>
      </c>
      <c r="P1863" s="96">
        <f>_xlfn.XLOOKUP(Tabla5[[#This Row],[EAN CORREGIDO]],'Tabla Articulos'!B:B,'Tabla Articulos'!D:D)</f>
        <v/>
      </c>
      <c r="Q1863" s="96">
        <f>_xlfn.XLOOKUP(S1863,'Tabla Articulos'!B:B,'Tabla Articulos'!E:E)</f>
        <v/>
      </c>
      <c r="R1863" s="96">
        <f>O1863*Q1863</f>
        <v/>
      </c>
      <c r="S1863" s="97">
        <f>TRIM(E1863)</f>
        <v/>
      </c>
    </row>
    <row r="1864" hidden="1">
      <c r="A1864" s="22" t="n">
        <v>6</v>
      </c>
      <c r="B1864" t="inlineStr">
        <is>
          <t xml:space="preserve">CDM03 - MORENO 3              </t>
        </is>
      </c>
      <c r="C1864" t="inlineStr">
        <is>
          <t xml:space="preserve">GRUPO L.                      </t>
        </is>
      </c>
      <c r="E1864" t="inlineStr">
        <is>
          <t xml:space="preserve">LIM000489           </t>
        </is>
      </c>
      <c r="G1864" t="inlineStr">
        <is>
          <t xml:space="preserve">TAP FERRUM                         </t>
        </is>
      </c>
      <c r="H1864" t="inlineStr">
        <is>
          <t xml:space="preserve">BULTOS              </t>
        </is>
      </c>
      <c r="I1864" t="n">
        <v>14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14</v>
      </c>
      <c r="P1864" s="96">
        <f>_xlfn.XLOOKUP(Tabla5[[#This Row],[EAN CORREGIDO]],'Tabla Articulos'!B:B,'Tabla Articulos'!D:D)</f>
        <v/>
      </c>
      <c r="Q1864" s="96">
        <f>_xlfn.XLOOKUP(S1864,'Tabla Articulos'!B:B,'Tabla Articulos'!E:E)</f>
        <v/>
      </c>
      <c r="R1864" s="96">
        <f>O1864*Q1864</f>
        <v/>
      </c>
      <c r="S1864" s="97">
        <f>TRIM(E1864)</f>
        <v/>
      </c>
    </row>
    <row r="1865" hidden="1">
      <c r="A1865" s="22" t="n">
        <v>6</v>
      </c>
      <c r="B1865" t="inlineStr">
        <is>
          <t xml:space="preserve">CDM03 - MORENO 3              </t>
        </is>
      </c>
      <c r="C1865" t="inlineStr">
        <is>
          <t xml:space="preserve">GRUPO L.                      </t>
        </is>
      </c>
      <c r="E1865" t="inlineStr">
        <is>
          <t xml:space="preserve">BUSAT000003         </t>
        </is>
      </c>
      <c r="G1865" t="inlineStr">
        <is>
          <t xml:space="preserve">BANDEJA S/ASA                      </t>
        </is>
      </c>
      <c r="H1865" t="inlineStr">
        <is>
          <t xml:space="preserve">UNIDAD              </t>
        </is>
      </c>
      <c r="I1865" t="n">
        <v>244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244</v>
      </c>
      <c r="P1865" s="96">
        <f>_xlfn.XLOOKUP(Tabla5[[#This Row],[EAN CORREGIDO]],'Tabla Articulos'!B:B,'Tabla Articulos'!D:D)</f>
        <v/>
      </c>
      <c r="Q1865" s="96">
        <f>_xlfn.XLOOKUP(S1865,'Tabla Articulos'!B:B,'Tabla Articulos'!E:E)</f>
        <v/>
      </c>
      <c r="R1865" s="96">
        <f>O1865*Q1865</f>
        <v/>
      </c>
      <c r="S1865" s="97">
        <f>TRIM(E1865)</f>
        <v/>
      </c>
    </row>
    <row r="1866" hidden="1">
      <c r="A1866" s="22" t="n">
        <v>6</v>
      </c>
      <c r="B1866" t="inlineStr">
        <is>
          <t xml:space="preserve">CDM03 - MORENO 3              </t>
        </is>
      </c>
      <c r="C1866" t="inlineStr">
        <is>
          <t xml:space="preserve">GRUPO L.                      </t>
        </is>
      </c>
      <c r="E1866" t="inlineStr">
        <is>
          <t xml:space="preserve">BUSAT000570         </t>
        </is>
      </c>
      <c r="G1866" t="inlineStr">
        <is>
          <t xml:space="preserve">PANTALON CARGO GRIS	52             </t>
        </is>
      </c>
      <c r="H1866" t="inlineStr">
        <is>
          <t xml:space="preserve">UNIDAD              </t>
        </is>
      </c>
      <c r="I1866" t="n">
        <v>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7</v>
      </c>
      <c r="P1866" s="96">
        <f>_xlfn.XLOOKUP(Tabla5[[#This Row],[EAN CORREGIDO]],'Tabla Articulos'!B:B,'Tabla Articulos'!D:D)</f>
        <v/>
      </c>
      <c r="Q1866" s="96">
        <f>_xlfn.XLOOKUP(S1866,'Tabla Articulos'!B:B,'Tabla Articulos'!E:E)</f>
        <v/>
      </c>
      <c r="R1866" s="96">
        <f>O1866*Q1866</f>
        <v/>
      </c>
      <c r="S1866" s="97">
        <f>TRIM(E1866)</f>
        <v/>
      </c>
    </row>
    <row r="1867" hidden="1">
      <c r="A1867" s="22" t="n">
        <v>6</v>
      </c>
      <c r="B1867" t="inlineStr">
        <is>
          <t xml:space="preserve">CDM03 - MORENO 3              </t>
        </is>
      </c>
      <c r="C1867" t="inlineStr">
        <is>
          <t xml:space="preserve">GRUPO L.                      </t>
        </is>
      </c>
      <c r="E1867" t="inlineStr">
        <is>
          <t xml:space="preserve">BUSAT000030         </t>
        </is>
      </c>
      <c r="G1867" t="inlineStr">
        <is>
          <t xml:space="preserve">PINZA PARA ENSALADAS               </t>
        </is>
      </c>
      <c r="H1867" t="inlineStr">
        <is>
          <t xml:space="preserve">UNIDAD              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1</v>
      </c>
      <c r="P1867" s="96">
        <f>_xlfn.XLOOKUP(Tabla5[[#This Row],[EAN CORREGIDO]],'Tabla Articulos'!B:B,'Tabla Articulos'!D:D)</f>
        <v/>
      </c>
      <c r="Q1867" s="96">
        <f>_xlfn.XLOOKUP(S1867,'Tabla Articulos'!B:B,'Tabla Articulos'!E:E)</f>
        <v/>
      </c>
      <c r="R1867" s="96">
        <f>O1867*Q1867</f>
        <v/>
      </c>
      <c r="S1867" s="97">
        <f>TRIM(E1867)</f>
        <v/>
      </c>
    </row>
    <row r="1868" hidden="1">
      <c r="A1868" s="22" t="n">
        <v>6</v>
      </c>
      <c r="B1868" t="inlineStr">
        <is>
          <t xml:space="preserve">CDM03 - MORENO 3              </t>
        </is>
      </c>
      <c r="C1868" t="inlineStr">
        <is>
          <t xml:space="preserve">GRUPO L.                      </t>
        </is>
      </c>
      <c r="D1868" s="11" t="n"/>
      <c r="E1868" t="inlineStr">
        <is>
          <t xml:space="preserve">BUSAT000320         </t>
        </is>
      </c>
      <c r="G1868" t="inlineStr">
        <is>
          <t xml:space="preserve">ANAFE 4 H                          </t>
        </is>
      </c>
      <c r="H1868" t="inlineStr">
        <is>
          <t xml:space="preserve">UNIDAD              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1</v>
      </c>
      <c r="P1868" s="96">
        <f>_xlfn.XLOOKUP(Tabla5[[#This Row],[EAN CORREGIDO]],'Tabla Articulos'!B:B,'Tabla Articulos'!D:D)</f>
        <v/>
      </c>
      <c r="Q1868" s="96">
        <f>_xlfn.XLOOKUP(S1868,'Tabla Articulos'!B:B,'Tabla Articulos'!E:E)</f>
        <v/>
      </c>
      <c r="R1868" s="96">
        <f>O1868*Q1868</f>
        <v/>
      </c>
      <c r="S1868" s="97">
        <f>TRIM(E1868)</f>
        <v/>
      </c>
    </row>
    <row r="1869" hidden="1">
      <c r="A1869" s="22" t="n">
        <v>6</v>
      </c>
      <c r="B1869" t="inlineStr">
        <is>
          <t xml:space="preserve">CDM03 - MORENO 3              </t>
        </is>
      </c>
      <c r="C1869" t="inlineStr">
        <is>
          <t xml:space="preserve">GRUPO L.                      </t>
        </is>
      </c>
      <c r="E1869" t="inlineStr">
        <is>
          <t xml:space="preserve">BUSAT000305         </t>
        </is>
      </c>
      <c r="G1869" t="inlineStr">
        <is>
          <t xml:space="preserve">DISPENSER DE CUB, PAN Y BAN +10C   </t>
        </is>
      </c>
      <c r="H1869" t="inlineStr">
        <is>
          <t xml:space="preserve">UNIDAD              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1</v>
      </c>
      <c r="P1869" s="96">
        <f>_xlfn.XLOOKUP(Tabla5[[#This Row],[EAN CORREGIDO]],'Tabla Articulos'!B:B,'Tabla Articulos'!D:D)</f>
        <v/>
      </c>
      <c r="Q1869" s="96">
        <f>_xlfn.XLOOKUP(S1869,'Tabla Articulos'!B:B,'Tabla Articulos'!E:E)</f>
        <v/>
      </c>
      <c r="R1869" s="96">
        <f>O1869*Q1869</f>
        <v/>
      </c>
      <c r="S1869" s="97">
        <f>TRIM(E1869)</f>
        <v/>
      </c>
    </row>
    <row r="1870" hidden="1">
      <c r="A1870" s="22" t="n">
        <v>6</v>
      </c>
      <c r="B1870" t="inlineStr">
        <is>
          <t xml:space="preserve">CDM03 - MORENO 3              </t>
        </is>
      </c>
      <c r="C1870" t="inlineStr">
        <is>
          <t xml:space="preserve">GRUPO L.                      </t>
        </is>
      </c>
      <c r="E1870" t="inlineStr">
        <is>
          <t xml:space="preserve">BUSAT000651         </t>
        </is>
      </c>
      <c r="G1870" t="inlineStr">
        <is>
          <t>DISPENSER PAPEL HIGIENICO X 300 MTS</t>
        </is>
      </c>
      <c r="H1870" t="inlineStr">
        <is>
          <t xml:space="preserve">UNIDAD              </t>
        </is>
      </c>
      <c r="I1870" t="n">
        <v>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2</v>
      </c>
      <c r="P1870" s="96">
        <f>_xlfn.XLOOKUP(Tabla5[[#This Row],[EAN CORREGIDO]],'Tabla Articulos'!B:B,'Tabla Articulos'!D:D)</f>
        <v/>
      </c>
      <c r="Q1870" s="96">
        <f>_xlfn.XLOOKUP(S1870,'Tabla Articulos'!B:B,'Tabla Articulos'!E:E)</f>
        <v/>
      </c>
      <c r="R1870" s="96">
        <f>O1870*Q1870</f>
        <v/>
      </c>
      <c r="S1870" s="97">
        <f>TRIM(E1870)</f>
        <v/>
      </c>
    </row>
    <row r="1871" hidden="1">
      <c r="A1871" s="22" t="n">
        <v>6</v>
      </c>
      <c r="B1871" t="inlineStr">
        <is>
          <t xml:space="preserve">CDM03 - MORENO 3              </t>
        </is>
      </c>
      <c r="C1871" t="inlineStr">
        <is>
          <t xml:space="preserve">GRUPO L.                      </t>
        </is>
      </c>
      <c r="E1871" t="inlineStr">
        <is>
          <t xml:space="preserve">BUSAT000370         </t>
        </is>
      </c>
      <c r="G1871" t="inlineStr">
        <is>
          <t xml:space="preserve">MANTEL CUADRILLE / SAND (BL)       </t>
        </is>
      </c>
      <c r="H1871" t="inlineStr">
        <is>
          <t xml:space="preserve">UNIDAD              </t>
        </is>
      </c>
      <c r="I1871" t="n">
        <v>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4</v>
      </c>
      <c r="P1871" s="96">
        <f>_xlfn.XLOOKUP(Tabla5[[#This Row],[EAN CORREGIDO]],'Tabla Articulos'!B:B,'Tabla Articulos'!D:D)</f>
        <v/>
      </c>
      <c r="Q1871" s="96">
        <f>_xlfn.XLOOKUP(S1871,'Tabla Articulos'!B:B,'Tabla Articulos'!E:E)</f>
        <v/>
      </c>
      <c r="R1871" s="96">
        <f>O1871*Q1871</f>
        <v/>
      </c>
      <c r="S1871" s="97">
        <f>TRIM(E1871)</f>
        <v/>
      </c>
    </row>
    <row r="1872" hidden="1">
      <c r="A1872" s="22" t="n">
        <v>6</v>
      </c>
      <c r="B1872" t="inlineStr">
        <is>
          <t xml:space="preserve">CDM03 - MORENO 3              </t>
        </is>
      </c>
      <c r="C1872" t="inlineStr">
        <is>
          <t xml:space="preserve">GRUPO L.                      </t>
        </is>
      </c>
      <c r="D1872" s="11" t="n"/>
      <c r="E1872" t="inlineStr">
        <is>
          <t xml:space="preserve">BUM00244            </t>
        </is>
      </c>
      <c r="G1872" t="inlineStr">
        <is>
          <t xml:space="preserve">OUTTAKES                           </t>
        </is>
      </c>
      <c r="H1872" t="inlineStr">
        <is>
          <t xml:space="preserve">UNIDAD              </t>
        </is>
      </c>
      <c r="I1872" t="n">
        <v>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2</v>
      </c>
      <c r="P1872" s="96">
        <f>_xlfn.XLOOKUP(Tabla5[[#This Row],[EAN CORREGIDO]],'Tabla Articulos'!B:B,'Tabla Articulos'!D:D)</f>
        <v/>
      </c>
      <c r="Q1872" s="96">
        <f>_xlfn.XLOOKUP(S1872,'Tabla Articulos'!B:B,'Tabla Articulos'!E:E)</f>
        <v/>
      </c>
      <c r="R1872" s="96">
        <f>O1872*Q1872</f>
        <v/>
      </c>
      <c r="S1872" s="97">
        <f>TRIM(E1872)</f>
        <v/>
      </c>
    </row>
    <row r="1873" hidden="1">
      <c r="A1873" s="22" t="n">
        <v>6</v>
      </c>
      <c r="B1873" t="inlineStr">
        <is>
          <t xml:space="preserve">CDM03 - MORENO 3              </t>
        </is>
      </c>
      <c r="C1873" t="inlineStr">
        <is>
          <t xml:space="preserve">GRUPO L.                      </t>
        </is>
      </c>
      <c r="E1873" t="inlineStr">
        <is>
          <t xml:space="preserve">BUSAT000311         </t>
        </is>
      </c>
      <c r="G1873" t="inlineStr">
        <is>
          <t xml:space="preserve">PANERA                             </t>
        </is>
      </c>
      <c r="H1873" t="inlineStr">
        <is>
          <t xml:space="preserve">UNIDAD              </t>
        </is>
      </c>
      <c r="I1873" t="n">
        <v>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1</v>
      </c>
      <c r="P1873" s="96">
        <f>_xlfn.XLOOKUP(Tabla5[[#This Row],[EAN CORREGIDO]],'Tabla Articulos'!B:B,'Tabla Articulos'!D:D)</f>
        <v/>
      </c>
      <c r="Q1873" s="96">
        <f>_xlfn.XLOOKUP(S1873,'Tabla Articulos'!B:B,'Tabla Articulos'!E:E)</f>
        <v/>
      </c>
      <c r="R1873" s="96">
        <f>O1873*Q1873</f>
        <v/>
      </c>
      <c r="S1873" s="97">
        <f>TRIM(E1873)</f>
        <v/>
      </c>
    </row>
    <row r="1874" hidden="1">
      <c r="A1874" s="22" t="n">
        <v>6</v>
      </c>
      <c r="B1874" t="inlineStr">
        <is>
          <t xml:space="preserve">CDM03 - MORENO 3              </t>
        </is>
      </c>
      <c r="C1874" t="inlineStr">
        <is>
          <t xml:space="preserve">GRUPO L.                      </t>
        </is>
      </c>
      <c r="E1874" t="inlineStr">
        <is>
          <t xml:space="preserve">BUSAT000363         </t>
        </is>
      </c>
      <c r="G1874" t="inlineStr">
        <is>
          <t xml:space="preserve">FUNDA/SANDWICHES  (BAUL LARGO)     </t>
        </is>
      </c>
      <c r="H1874" t="inlineStr">
        <is>
          <t xml:space="preserve">UNIDAD              </t>
        </is>
      </c>
      <c r="I1874" t="n">
        <v>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4</v>
      </c>
      <c r="P1874" s="96">
        <f>_xlfn.XLOOKUP(Tabla5[[#This Row],[EAN CORREGIDO]],'Tabla Articulos'!B:B,'Tabla Articulos'!D:D)</f>
        <v/>
      </c>
      <c r="Q1874" s="96">
        <f>_xlfn.XLOOKUP(S1874,'Tabla Articulos'!B:B,'Tabla Articulos'!E:E)</f>
        <v/>
      </c>
      <c r="R1874" s="96">
        <f>O1874*Q1874</f>
        <v/>
      </c>
      <c r="S1874" s="97">
        <f>TRIM(E1874)</f>
        <v/>
      </c>
    </row>
    <row r="1875" hidden="1">
      <c r="A1875" s="22" t="n">
        <v>6</v>
      </c>
      <c r="B1875" t="inlineStr">
        <is>
          <t xml:space="preserve">CDM03 - MORENO 3              </t>
        </is>
      </c>
      <c r="C1875" t="inlineStr">
        <is>
          <t xml:space="preserve">GRUPO L.                      </t>
        </is>
      </c>
      <c r="E1875" t="inlineStr">
        <is>
          <t xml:space="preserve">BUSAT000391         </t>
        </is>
      </c>
      <c r="G1875" t="inlineStr">
        <is>
          <t>GUANTE NITRILO NARANJA/CELESTE - T9</t>
        </is>
      </c>
      <c r="H1875" t="inlineStr">
        <is>
          <t xml:space="preserve">UNIDAD              </t>
        </is>
      </c>
      <c r="I1875" t="n">
        <v>10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10</v>
      </c>
      <c r="P1875" s="96">
        <f>_xlfn.XLOOKUP(Tabla5[[#This Row],[EAN CORREGIDO]],'Tabla Articulos'!B:B,'Tabla Articulos'!D:D)</f>
        <v/>
      </c>
      <c r="Q1875" s="96">
        <f>_xlfn.XLOOKUP(S1875,'Tabla Articulos'!B:B,'Tabla Articulos'!E:E)</f>
        <v/>
      </c>
      <c r="R1875" s="96">
        <f>O1875*Q1875</f>
        <v/>
      </c>
      <c r="S1875" s="97">
        <f>TRIM(E1875)</f>
        <v/>
      </c>
    </row>
    <row r="1876" hidden="1">
      <c r="A1876" s="22" t="n">
        <v>6</v>
      </c>
      <c r="B1876" t="inlineStr">
        <is>
          <t xml:space="preserve">CDM03 - MORENO 3              </t>
        </is>
      </c>
      <c r="C1876" t="inlineStr">
        <is>
          <t xml:space="preserve">GRUPO L.                      </t>
        </is>
      </c>
      <c r="E1876" t="inlineStr">
        <is>
          <t xml:space="preserve">BUSAT000099         </t>
        </is>
      </c>
      <c r="G1876" t="inlineStr">
        <is>
          <t xml:space="preserve">TAZA LOZA LISA                     </t>
        </is>
      </c>
      <c r="H1876" t="inlineStr">
        <is>
          <t xml:space="preserve">UNIDAD              </t>
        </is>
      </c>
      <c r="I1876" t="n">
        <v>28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28</v>
      </c>
      <c r="P1876" s="96">
        <f>_xlfn.XLOOKUP(Tabla5[[#This Row],[EAN CORREGIDO]],'Tabla Articulos'!B:B,'Tabla Articulos'!D:D)</f>
        <v/>
      </c>
      <c r="Q1876" s="96">
        <f>_xlfn.XLOOKUP(S1876,'Tabla Articulos'!B:B,'Tabla Articulos'!E:E)</f>
        <v/>
      </c>
      <c r="R1876" s="96">
        <f>O1876*Q1876</f>
        <v/>
      </c>
      <c r="S1876" s="97">
        <f>TRIM(E1876)</f>
        <v/>
      </c>
    </row>
    <row r="1877" hidden="1">
      <c r="A1877" s="22" t="n">
        <v>6</v>
      </c>
      <c r="B1877" t="inlineStr">
        <is>
          <t xml:space="preserve">CDM03 - MORENO 3              </t>
        </is>
      </c>
      <c r="C1877" t="inlineStr">
        <is>
          <t xml:space="preserve">GRUPO L.                      </t>
        </is>
      </c>
      <c r="E1877" t="inlineStr">
        <is>
          <t xml:space="preserve">BUSAT000887         </t>
        </is>
      </c>
      <c r="G1877" t="inlineStr">
        <is>
          <t xml:space="preserve">JARRA DE ACERO INOX                </t>
        </is>
      </c>
      <c r="H1877" t="inlineStr">
        <is>
          <t xml:space="preserve">UNIDAD              </t>
        </is>
      </c>
      <c r="I1877" t="n">
        <v>88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88</v>
      </c>
      <c r="P1877" s="96">
        <f>_xlfn.XLOOKUP(Tabla5[[#This Row],[EAN CORREGIDO]],'Tabla Articulos'!B:B,'Tabla Articulos'!D:D)</f>
        <v/>
      </c>
      <c r="Q1877" s="96">
        <f>_xlfn.XLOOKUP(S1877,'Tabla Articulos'!B:B,'Tabla Articulos'!E:E)</f>
        <v/>
      </c>
      <c r="R1877" s="96">
        <f>O1877*Q1877</f>
        <v/>
      </c>
      <c r="S1877" s="97">
        <f>TRIM(E1877)</f>
        <v/>
      </c>
    </row>
    <row r="1878" hidden="1">
      <c r="A1878" s="22" t="n">
        <v>6</v>
      </c>
      <c r="B1878" t="inlineStr">
        <is>
          <t xml:space="preserve">CDM03 - MORENO 3              </t>
        </is>
      </c>
      <c r="C1878" t="inlineStr">
        <is>
          <t xml:space="preserve">GRUPO L.                      </t>
        </is>
      </c>
      <c r="D1878" s="11" t="n"/>
      <c r="E1878" t="inlineStr">
        <is>
          <t xml:space="preserve">BUSAT000546         </t>
        </is>
      </c>
      <c r="G1878" t="inlineStr">
        <is>
          <t xml:space="preserve">JEANS RAIZEN	44                    </t>
        </is>
      </c>
      <c r="H1878" t="inlineStr">
        <is>
          <t xml:space="preserve">UNIDAD              </t>
        </is>
      </c>
      <c r="I1878" t="n">
        <v>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2</v>
      </c>
      <c r="P1878" s="96">
        <f>_xlfn.XLOOKUP(Tabla5[[#This Row],[EAN CORREGIDO]],'Tabla Articulos'!B:B,'Tabla Articulos'!D:D)</f>
        <v/>
      </c>
      <c r="Q1878" s="96">
        <f>_xlfn.XLOOKUP(S1878,'Tabla Articulos'!B:B,'Tabla Articulos'!E:E)</f>
        <v/>
      </c>
      <c r="R1878" s="96">
        <f>O1878*Q1878</f>
        <v/>
      </c>
      <c r="S1878" s="97">
        <f>TRIM(E1878)</f>
        <v/>
      </c>
    </row>
    <row r="1879" hidden="1">
      <c r="A1879" s="22" t="n">
        <v>1</v>
      </c>
      <c r="B1879" t="inlineStr">
        <is>
          <t xml:space="preserve">CD MORENO                     </t>
        </is>
      </c>
      <c r="C1879" t="inlineStr">
        <is>
          <t xml:space="preserve">GRUPO L.                      </t>
        </is>
      </c>
      <c r="D1879" s="11" t="n"/>
      <c r="E1879" t="inlineStr">
        <is>
          <t xml:space="preserve">BUE00258            </t>
        </is>
      </c>
      <c r="G1879" t="inlineStr">
        <is>
          <t xml:space="preserve">HELADERA MOS BRIKET M3200 1,70 M   </t>
        </is>
      </c>
      <c r="H1879" t="inlineStr">
        <is>
          <t xml:space="preserve">UNIDAD              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1</v>
      </c>
      <c r="P1879" s="96">
        <f>_xlfn.XLOOKUP(Tabla5[[#This Row],[EAN CORREGIDO]],'Tabla Articulos'!B:B,'Tabla Articulos'!D:D)</f>
        <v/>
      </c>
      <c r="Q1879" s="96">
        <f>_xlfn.XLOOKUP(S1879,'Tabla Articulos'!B:B,'Tabla Articulos'!E:E)</f>
        <v/>
      </c>
      <c r="R1879" s="96">
        <f>O1879*Q1879</f>
        <v/>
      </c>
      <c r="S1879" s="97">
        <f>TRIM(E1879)</f>
        <v/>
      </c>
    </row>
    <row r="1880" hidden="1">
      <c r="A1880" s="22" t="n">
        <v>6</v>
      </c>
      <c r="B1880" t="inlineStr">
        <is>
          <t xml:space="preserve">CDM03 - MORENO 3              </t>
        </is>
      </c>
      <c r="C1880" t="inlineStr">
        <is>
          <t xml:space="preserve">GRUPO L.                      </t>
        </is>
      </c>
      <c r="E1880" t="inlineStr">
        <is>
          <t xml:space="preserve">BUSAT000940         </t>
        </is>
      </c>
      <c r="G1880" t="inlineStr">
        <is>
          <t xml:space="preserve">BOWL COMPOTERA ACERO INOX CHICO    </t>
        </is>
      </c>
      <c r="H1880" t="inlineStr">
        <is>
          <t xml:space="preserve">UNIDAD              </t>
        </is>
      </c>
      <c r="I1880" t="n">
        <v>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5</v>
      </c>
      <c r="P1880" s="96">
        <f>_xlfn.XLOOKUP(Tabla5[[#This Row],[EAN CORREGIDO]],'Tabla Articulos'!B:B,'Tabla Articulos'!D:D)</f>
        <v/>
      </c>
      <c r="Q1880" s="96">
        <f>_xlfn.XLOOKUP(S1880,'Tabla Articulos'!B:B,'Tabla Articulos'!E:E)</f>
        <v/>
      </c>
      <c r="R1880" s="96">
        <f>O1880*Q1880</f>
        <v/>
      </c>
      <c r="S1880" s="97">
        <f>TRIM(E1880)</f>
        <v/>
      </c>
    </row>
    <row r="1881" hidden="1">
      <c r="A1881" s="22" t="n">
        <v>6</v>
      </c>
      <c r="B1881" t="inlineStr">
        <is>
          <t xml:space="preserve">CDM03 - MORENO 3              </t>
        </is>
      </c>
      <c r="C1881" t="inlineStr">
        <is>
          <t xml:space="preserve">GRUPO L.                      </t>
        </is>
      </c>
      <c r="E1881" t="inlineStr">
        <is>
          <t xml:space="preserve">BUSAT000702         </t>
        </is>
      </c>
      <c r="G1881" t="inlineStr">
        <is>
          <t xml:space="preserve">CAMISA AZUL GRAFA T 38             </t>
        </is>
      </c>
      <c r="H1881" t="inlineStr">
        <is>
          <t xml:space="preserve">UNIDAD              </t>
        </is>
      </c>
      <c r="I1881" t="n">
        <v>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2</v>
      </c>
      <c r="P1881" s="96">
        <f>_xlfn.XLOOKUP(Tabla5[[#This Row],[EAN CORREGIDO]],'Tabla Articulos'!B:B,'Tabla Articulos'!D:D)</f>
        <v/>
      </c>
      <c r="Q1881" s="96">
        <f>_xlfn.XLOOKUP(S1881,'Tabla Articulos'!B:B,'Tabla Articulos'!E:E)</f>
        <v/>
      </c>
      <c r="R1881" s="96">
        <f>O1881*Q1881</f>
        <v/>
      </c>
      <c r="S1881" s="97">
        <f>TRIM(E1881)</f>
        <v/>
      </c>
    </row>
    <row r="1882" hidden="1">
      <c r="A1882" s="22" t="n">
        <v>6</v>
      </c>
      <c r="B1882" t="inlineStr">
        <is>
          <t xml:space="preserve">CDM03 - MORENO 3              </t>
        </is>
      </c>
      <c r="C1882" t="inlineStr">
        <is>
          <t xml:space="preserve">GRUPO L.                      </t>
        </is>
      </c>
      <c r="E1882" t="inlineStr">
        <is>
          <t xml:space="preserve">BUSAT000302         </t>
        </is>
      </c>
      <c r="G1882" t="inlineStr">
        <is>
          <t xml:space="preserve">HELADERA 2P POYIN                  </t>
        </is>
      </c>
      <c r="H1882" t="inlineStr">
        <is>
          <t xml:space="preserve">UNIDAD              </t>
        </is>
      </c>
      <c r="I1882" t="n">
        <v>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1</v>
      </c>
      <c r="P1882" s="96">
        <f>_xlfn.XLOOKUP(Tabla5[[#This Row],[EAN CORREGIDO]],'Tabla Articulos'!B:B,'Tabla Articulos'!D:D)</f>
        <v/>
      </c>
      <c r="Q1882" s="96">
        <f>_xlfn.XLOOKUP(S1882,'Tabla Articulos'!B:B,'Tabla Articulos'!E:E)</f>
        <v/>
      </c>
      <c r="R1882" s="96">
        <f>O1882*Q1882</f>
        <v/>
      </c>
      <c r="S1882" s="97">
        <f>TRIM(E1882)</f>
        <v/>
      </c>
    </row>
    <row r="1883" hidden="1">
      <c r="A1883" s="22" t="n">
        <v>6</v>
      </c>
      <c r="B1883" t="inlineStr">
        <is>
          <t xml:space="preserve">CDM03 - MORENO 3              </t>
        </is>
      </c>
      <c r="C1883" t="inlineStr">
        <is>
          <t xml:space="preserve">GRUPO L.                      </t>
        </is>
      </c>
      <c r="E1883" t="inlineStr">
        <is>
          <t xml:space="preserve">BUSAT000192         </t>
        </is>
      </c>
      <c r="G1883" t="inlineStr">
        <is>
          <t xml:space="preserve">HELADERA ART. VARIOS/SAND 02 BIS   </t>
        </is>
      </c>
      <c r="H1883" t="inlineStr">
        <is>
          <t xml:space="preserve">UNIDAD              </t>
        </is>
      </c>
      <c r="I1883" t="n">
        <v>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1</v>
      </c>
      <c r="P1883" s="96">
        <f>_xlfn.XLOOKUP(Tabla5[[#This Row],[EAN CORREGIDO]],'Tabla Articulos'!B:B,'Tabla Articulos'!D:D)</f>
        <v/>
      </c>
      <c r="Q1883" s="96">
        <f>_xlfn.XLOOKUP(S1883,'Tabla Articulos'!B:B,'Tabla Articulos'!E:E)</f>
        <v/>
      </c>
      <c r="R1883" s="96">
        <f>O1883*Q1883</f>
        <v/>
      </c>
      <c r="S1883" s="97">
        <f>TRIM(E1883)</f>
        <v/>
      </c>
    </row>
    <row r="1884" hidden="1">
      <c r="A1884" s="22" t="n">
        <v>6</v>
      </c>
      <c r="B1884" t="inlineStr">
        <is>
          <t xml:space="preserve">CDM03 - MORENO 3              </t>
        </is>
      </c>
      <c r="C1884" t="inlineStr">
        <is>
          <t xml:space="preserve">GRUPO L.                      </t>
        </is>
      </c>
      <c r="E1884" t="inlineStr">
        <is>
          <t xml:space="preserve">BUSAT000113         </t>
        </is>
      </c>
      <c r="G1884" t="inlineStr">
        <is>
          <t xml:space="preserve">SARTENES                           </t>
        </is>
      </c>
      <c r="H1884" t="inlineStr">
        <is>
          <t xml:space="preserve">UNIDAD              </t>
        </is>
      </c>
      <c r="I1884" t="n">
        <v>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5</v>
      </c>
      <c r="P1884" s="96">
        <f>_xlfn.XLOOKUP(Tabla5[[#This Row],[EAN CORREGIDO]],'Tabla Articulos'!B:B,'Tabla Articulos'!D:D)</f>
        <v/>
      </c>
      <c r="Q1884" s="96">
        <f>_xlfn.XLOOKUP(S1884,'Tabla Articulos'!B:B,'Tabla Articulos'!E:E)</f>
        <v/>
      </c>
      <c r="R1884" s="96">
        <f>O1884*Q1884</f>
        <v/>
      </c>
      <c r="S1884" s="97">
        <f>TRIM(E1884)</f>
        <v/>
      </c>
    </row>
    <row r="1885" hidden="1">
      <c r="A1885" s="22" t="n">
        <v>6</v>
      </c>
      <c r="B1885" t="inlineStr">
        <is>
          <t xml:space="preserve">CDM03 - MORENO 3              </t>
        </is>
      </c>
      <c r="C1885" t="inlineStr">
        <is>
          <t xml:space="preserve">GRUPO L.                      </t>
        </is>
      </c>
      <c r="D1885" s="11" t="n"/>
      <c r="E1885" t="inlineStr">
        <is>
          <t xml:space="preserve">BUSAT000449         </t>
        </is>
      </c>
      <c r="G1885" t="inlineStr">
        <is>
          <t>PANTALON CARGO GRIS FRANJA VERDE	56</t>
        </is>
      </c>
      <c r="H1885" t="inlineStr">
        <is>
          <t xml:space="preserve">UNIDAD              </t>
        </is>
      </c>
      <c r="I1885" t="n">
        <v>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2</v>
      </c>
      <c r="P1885" s="96">
        <f>_xlfn.XLOOKUP(Tabla5[[#This Row],[EAN CORREGIDO]],'Tabla Articulos'!B:B,'Tabla Articulos'!D:D)</f>
        <v/>
      </c>
      <c r="Q1885" s="96">
        <f>_xlfn.XLOOKUP(S1885,'Tabla Articulos'!B:B,'Tabla Articulos'!E:E)</f>
        <v/>
      </c>
      <c r="R1885" s="96">
        <f>O1885*Q1885</f>
        <v/>
      </c>
      <c r="S1885" s="97">
        <f>TRIM(E1885)</f>
        <v/>
      </c>
    </row>
    <row r="1886" hidden="1">
      <c r="A1886" s="22" t="n">
        <v>6</v>
      </c>
      <c r="B1886" t="inlineStr">
        <is>
          <t xml:space="preserve">CDM03 - MORENO 3              </t>
        </is>
      </c>
      <c r="C1886" t="inlineStr">
        <is>
          <t xml:space="preserve">GRUPO L.                      </t>
        </is>
      </c>
      <c r="D1886" s="11" t="n"/>
      <c r="E1886" t="inlineStr">
        <is>
          <t xml:space="preserve">BUSAT0011018        </t>
        </is>
      </c>
      <c r="G1886" t="inlineStr">
        <is>
          <t xml:space="preserve">LICUADORA/PROCESADORA TURBOBLENDER </t>
        </is>
      </c>
      <c r="H1886" t="inlineStr">
        <is>
          <t xml:space="preserve">UNIDAD              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1</v>
      </c>
      <c r="P1886" s="96">
        <f>_xlfn.XLOOKUP(Tabla5[[#This Row],[EAN CORREGIDO]],'Tabla Articulos'!B:B,'Tabla Articulos'!D:D)</f>
        <v/>
      </c>
      <c r="Q1886" s="96">
        <f>_xlfn.XLOOKUP(S1886,'Tabla Articulos'!B:B,'Tabla Articulos'!E:E)</f>
        <v/>
      </c>
      <c r="R1886" s="96">
        <f>O1886*Q1886</f>
        <v/>
      </c>
      <c r="S1886" s="97">
        <f>TRIM(E1886)</f>
        <v/>
      </c>
    </row>
    <row r="1887" hidden="1">
      <c r="A1887" s="22" t="n">
        <v>6</v>
      </c>
      <c r="B1887" t="inlineStr">
        <is>
          <t xml:space="preserve">CDM03 - MORENO 3              </t>
        </is>
      </c>
      <c r="C1887" t="inlineStr">
        <is>
          <t xml:space="preserve">GRUPO L.                      </t>
        </is>
      </c>
      <c r="D1887" s="11" t="n"/>
      <c r="E1887" t="inlineStr">
        <is>
          <t xml:space="preserve">BUSAT000853         </t>
        </is>
      </c>
      <c r="G1887" t="inlineStr">
        <is>
          <t xml:space="preserve">TAPA PLASTICA MEDIANA              </t>
        </is>
      </c>
      <c r="H1887" t="inlineStr">
        <is>
          <t xml:space="preserve">UNIDAD              </t>
        </is>
      </c>
      <c r="I1887" t="n">
        <v>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2</v>
      </c>
      <c r="P1887" s="96">
        <f>_xlfn.XLOOKUP(Tabla5[[#This Row],[EAN CORREGIDO]],'Tabla Articulos'!B:B,'Tabla Articulos'!D:D)</f>
        <v/>
      </c>
      <c r="Q1887" s="96">
        <f>_xlfn.XLOOKUP(S1887,'Tabla Articulos'!B:B,'Tabla Articulos'!E:E)</f>
        <v/>
      </c>
      <c r="R1887" s="96">
        <f>O1887*Q1887</f>
        <v/>
      </c>
      <c r="S1887" s="97">
        <f>TRIM(E1887)</f>
        <v/>
      </c>
    </row>
    <row r="1888" hidden="1">
      <c r="A1888" s="22" t="n">
        <v>6</v>
      </c>
      <c r="B1888" t="inlineStr">
        <is>
          <t xml:space="preserve">CDM03 - MORENO 3              </t>
        </is>
      </c>
      <c r="C1888" t="inlineStr">
        <is>
          <t xml:space="preserve">GRUPO L.                      </t>
        </is>
      </c>
      <c r="E1888" t="inlineStr">
        <is>
          <t xml:space="preserve">BUSAT000353         </t>
        </is>
      </c>
      <c r="G1888" t="inlineStr">
        <is>
          <t xml:space="preserve">BAUL LARGO MIMBRE/SANDWICHES 01    </t>
        </is>
      </c>
      <c r="H1888" t="inlineStr">
        <is>
          <t xml:space="preserve">UNIDAD              </t>
        </is>
      </c>
      <c r="I1888" t="n">
        <v>0</v>
      </c>
      <c r="J1888" t="n">
        <v>1</v>
      </c>
      <c r="K1888" t="n">
        <v>0</v>
      </c>
      <c r="L1888" t="n">
        <v>0</v>
      </c>
      <c r="M1888" t="n">
        <v>0</v>
      </c>
      <c r="N1888" t="n">
        <v>0</v>
      </c>
      <c r="O1888" t="n">
        <v>1</v>
      </c>
      <c r="P1888" s="96">
        <f>_xlfn.XLOOKUP(Tabla5[[#This Row],[EAN CORREGIDO]],'Tabla Articulos'!B:B,'Tabla Articulos'!D:D)</f>
        <v/>
      </c>
      <c r="Q1888" s="96">
        <f>_xlfn.XLOOKUP(S1888,'Tabla Articulos'!B:B,'Tabla Articulos'!E:E)</f>
        <v/>
      </c>
      <c r="R1888" s="96">
        <f>O1888*Q1888</f>
        <v/>
      </c>
      <c r="S1888" s="97">
        <f>TRIM(E1888)</f>
        <v/>
      </c>
    </row>
    <row r="1889" hidden="1">
      <c r="A1889" s="22" t="n">
        <v>6</v>
      </c>
      <c r="B1889" t="inlineStr">
        <is>
          <t xml:space="preserve">CDM03 - MORENO 3              </t>
        </is>
      </c>
      <c r="C1889" t="inlineStr">
        <is>
          <t xml:space="preserve">GRUPO L.                      </t>
        </is>
      </c>
      <c r="E1889" t="inlineStr">
        <is>
          <t xml:space="preserve">BUSAT000127         </t>
        </is>
      </c>
      <c r="G1889" t="inlineStr">
        <is>
          <t xml:space="preserve">CEREALERA                          </t>
        </is>
      </c>
      <c r="H1889" t="inlineStr">
        <is>
          <t xml:space="preserve">UNIDAD              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1</v>
      </c>
      <c r="P1889" s="96">
        <f>_xlfn.XLOOKUP(Tabla5[[#This Row],[EAN CORREGIDO]],'Tabla Articulos'!B:B,'Tabla Articulos'!D:D)</f>
        <v/>
      </c>
      <c r="Q1889" s="96">
        <f>_xlfn.XLOOKUP(S1889,'Tabla Articulos'!B:B,'Tabla Articulos'!E:E)</f>
        <v/>
      </c>
      <c r="R1889" s="96">
        <f>O1889*Q1889</f>
        <v/>
      </c>
      <c r="S1889" s="97">
        <f>TRIM(E1889)</f>
        <v/>
      </c>
    </row>
    <row r="1890" hidden="1">
      <c r="A1890" s="22" t="n">
        <v>6</v>
      </c>
      <c r="B1890" t="inlineStr">
        <is>
          <t xml:space="preserve">CDM03 - MORENO 3              </t>
        </is>
      </c>
      <c r="C1890" t="inlineStr">
        <is>
          <t xml:space="preserve">GRUPO L.                      </t>
        </is>
      </c>
      <c r="E1890" t="inlineStr">
        <is>
          <t xml:space="preserve">BUSAT000591         </t>
        </is>
      </c>
      <c r="G1890" t="inlineStr">
        <is>
          <t xml:space="preserve">CHOMBA BLANCA XXXL                 </t>
        </is>
      </c>
      <c r="H1890" t="inlineStr">
        <is>
          <t xml:space="preserve">UNIDAD              </t>
        </is>
      </c>
      <c r="I1890" t="n">
        <v>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6</v>
      </c>
      <c r="P1890" s="96">
        <f>_xlfn.XLOOKUP(Tabla5[[#This Row],[EAN CORREGIDO]],'Tabla Articulos'!B:B,'Tabla Articulos'!D:D)</f>
        <v/>
      </c>
      <c r="Q1890" s="96">
        <f>_xlfn.XLOOKUP(S1890,'Tabla Articulos'!B:B,'Tabla Articulos'!E:E)</f>
        <v/>
      </c>
      <c r="R1890" s="96">
        <f>O1890*Q1890</f>
        <v/>
      </c>
      <c r="S1890" s="97">
        <f>TRIM(E1890)</f>
        <v/>
      </c>
    </row>
    <row r="1891" hidden="1">
      <c r="A1891" s="22" t="n">
        <v>6</v>
      </c>
      <c r="B1891" t="inlineStr">
        <is>
          <t xml:space="preserve">CDM03 - MORENO 3              </t>
        </is>
      </c>
      <c r="C1891" t="inlineStr">
        <is>
          <t xml:space="preserve">GRUPO L.                      </t>
        </is>
      </c>
      <c r="E1891" t="inlineStr">
        <is>
          <t xml:space="preserve">BUSAT000191         </t>
        </is>
      </c>
      <c r="G1891" t="inlineStr">
        <is>
          <t>CARROS ENSALADA 02 (EXPERENCIAS Y S</t>
        </is>
      </c>
      <c r="H1891" t="inlineStr">
        <is>
          <t xml:space="preserve">UNIDAD              </t>
        </is>
      </c>
      <c r="I1891" t="n">
        <v>0</v>
      </c>
      <c r="J1891" t="n">
        <v>1</v>
      </c>
      <c r="K1891" t="n">
        <v>0</v>
      </c>
      <c r="L1891" t="n">
        <v>0</v>
      </c>
      <c r="M1891" t="n">
        <v>0</v>
      </c>
      <c r="N1891" t="n">
        <v>0</v>
      </c>
      <c r="O1891" t="n">
        <v>1</v>
      </c>
      <c r="P1891" s="96">
        <f>_xlfn.XLOOKUP(Tabla5[[#This Row],[EAN CORREGIDO]],'Tabla Articulos'!B:B,'Tabla Articulos'!D:D)</f>
        <v/>
      </c>
      <c r="Q1891" s="96">
        <f>_xlfn.XLOOKUP(S1891,'Tabla Articulos'!B:B,'Tabla Articulos'!E:E)</f>
        <v/>
      </c>
      <c r="R1891" s="96">
        <f>O1891*Q1891</f>
        <v/>
      </c>
      <c r="S1891" s="97">
        <f>TRIM(E1891)</f>
        <v/>
      </c>
    </row>
    <row r="1892" hidden="1">
      <c r="A1892" s="22" t="n">
        <v>6</v>
      </c>
      <c r="B1892" t="inlineStr">
        <is>
          <t xml:space="preserve">CDM03 - MORENO 3              </t>
        </is>
      </c>
      <c r="C1892" t="inlineStr">
        <is>
          <t xml:space="preserve">GRUPO L.                      </t>
        </is>
      </c>
      <c r="E1892" t="inlineStr">
        <is>
          <t xml:space="preserve">BUM309              </t>
        </is>
      </c>
      <c r="G1892" t="inlineStr">
        <is>
          <t xml:space="preserve">CAMPANA ACERO INOX                 </t>
        </is>
      </c>
      <c r="H1892" t="inlineStr">
        <is>
          <t xml:space="preserve">UNIDAD              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1</v>
      </c>
      <c r="P1892" s="96">
        <f>_xlfn.XLOOKUP(Tabla5[[#This Row],[EAN CORREGIDO]],'Tabla Articulos'!B:B,'Tabla Articulos'!D:D)</f>
        <v/>
      </c>
      <c r="Q1892" s="96">
        <f>_xlfn.XLOOKUP(S1892,'Tabla Articulos'!B:B,'Tabla Articulos'!E:E)</f>
        <v/>
      </c>
      <c r="R1892" s="96">
        <f>O1892*Q1892</f>
        <v/>
      </c>
      <c r="S1892" s="97">
        <f>TRIM(E1892)</f>
        <v/>
      </c>
    </row>
    <row r="1893" hidden="1">
      <c r="A1893" s="22" t="n">
        <v>6</v>
      </c>
      <c r="B1893" t="inlineStr">
        <is>
          <t xml:space="preserve">CDM03 - MORENO 3              </t>
        </is>
      </c>
      <c r="C1893" t="inlineStr">
        <is>
          <t xml:space="preserve">GRUPO L.                      </t>
        </is>
      </c>
      <c r="E1893" t="inlineStr">
        <is>
          <t xml:space="preserve">BUSAT000412         </t>
        </is>
      </c>
      <c r="G1893" t="inlineStr">
        <is>
          <t xml:space="preserve">PANTALON CARGO GRIS FRANJA AZUL	36 </t>
        </is>
      </c>
      <c r="H1893" t="inlineStr">
        <is>
          <t xml:space="preserve">UNIDAD              </t>
        </is>
      </c>
      <c r="I1893" t="n">
        <v>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4</v>
      </c>
      <c r="P1893" s="96">
        <f>_xlfn.XLOOKUP(Tabla5[[#This Row],[EAN CORREGIDO]],'Tabla Articulos'!B:B,'Tabla Articulos'!D:D)</f>
        <v/>
      </c>
      <c r="Q1893" s="96">
        <f>_xlfn.XLOOKUP(S1893,'Tabla Articulos'!B:B,'Tabla Articulos'!E:E)</f>
        <v/>
      </c>
      <c r="R1893" s="96">
        <f>O1893*Q1893</f>
        <v/>
      </c>
      <c r="S1893" s="97">
        <f>TRIM(E1893)</f>
        <v/>
      </c>
    </row>
    <row r="1894" hidden="1">
      <c r="A1894" s="22" t="n">
        <v>6</v>
      </c>
      <c r="B1894" t="inlineStr">
        <is>
          <t xml:space="preserve">CDM03 - MORENO 3              </t>
        </is>
      </c>
      <c r="C1894" t="inlineStr">
        <is>
          <t xml:space="preserve">GRUPO L.                      </t>
        </is>
      </c>
      <c r="D1894" s="11" t="n"/>
      <c r="E1894" t="inlineStr">
        <is>
          <t xml:space="preserve">BUSAT000916         </t>
        </is>
      </c>
      <c r="G1894" t="inlineStr">
        <is>
          <t xml:space="preserve">INODORO FERRUM                     </t>
        </is>
      </c>
      <c r="H1894" t="inlineStr">
        <is>
          <t xml:space="preserve">UNIDAD              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1</v>
      </c>
      <c r="P1894" s="96">
        <f>_xlfn.XLOOKUP(Tabla5[[#This Row],[EAN CORREGIDO]],'Tabla Articulos'!B:B,'Tabla Articulos'!D:D)</f>
        <v/>
      </c>
      <c r="Q1894" s="96">
        <f>_xlfn.XLOOKUP(S1894,'Tabla Articulos'!B:B,'Tabla Articulos'!E:E)</f>
        <v/>
      </c>
      <c r="R1894" s="96">
        <f>O1894*Q1894</f>
        <v/>
      </c>
      <c r="S1894" s="97">
        <f>TRIM(E1894)</f>
        <v/>
      </c>
    </row>
    <row r="1895" hidden="1">
      <c r="A1895" s="22" t="n">
        <v>6</v>
      </c>
      <c r="B1895" t="inlineStr">
        <is>
          <t xml:space="preserve">CDM03 - MORENO 3              </t>
        </is>
      </c>
      <c r="C1895" t="inlineStr">
        <is>
          <t xml:space="preserve">GRUPO L.                      </t>
        </is>
      </c>
      <c r="E1895" t="inlineStr">
        <is>
          <t xml:space="preserve">BUSAT000912         </t>
        </is>
      </c>
      <c r="G1895" t="inlineStr">
        <is>
          <t xml:space="preserve">ASADERA NEGRA GRANDE               </t>
        </is>
      </c>
      <c r="H1895" t="inlineStr">
        <is>
          <t xml:space="preserve">UNIDAD              </t>
        </is>
      </c>
      <c r="I1895" t="n">
        <v>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4</v>
      </c>
      <c r="P1895" s="96">
        <f>_xlfn.XLOOKUP(Tabla5[[#This Row],[EAN CORREGIDO]],'Tabla Articulos'!B:B,'Tabla Articulos'!D:D)</f>
        <v/>
      </c>
      <c r="Q1895" s="96">
        <f>_xlfn.XLOOKUP(S1895,'Tabla Articulos'!B:B,'Tabla Articulos'!E:E)</f>
        <v/>
      </c>
      <c r="R1895" s="96">
        <f>O1895*Q1895</f>
        <v/>
      </c>
      <c r="S1895" s="97">
        <f>TRIM(E1895)</f>
        <v/>
      </c>
    </row>
    <row r="1896" hidden="1">
      <c r="A1896" s="22" t="n">
        <v>6</v>
      </c>
      <c r="B1896" t="inlineStr">
        <is>
          <t xml:space="preserve">CDM03 - MORENO 3              </t>
        </is>
      </c>
      <c r="C1896" t="inlineStr">
        <is>
          <t xml:space="preserve">GRUPO L.                      </t>
        </is>
      </c>
      <c r="D1896" s="11" t="n"/>
      <c r="E1896" t="inlineStr">
        <is>
          <t xml:space="preserve">BUSAT000057         </t>
        </is>
      </c>
      <c r="G1896" t="inlineStr">
        <is>
          <t xml:space="preserve">VASO TRAGO LARGO                   </t>
        </is>
      </c>
      <c r="H1896" t="inlineStr">
        <is>
          <t xml:space="preserve">UNIDAD              </t>
        </is>
      </c>
      <c r="I1896" t="n">
        <v>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3</v>
      </c>
      <c r="P1896" s="96">
        <f>_xlfn.XLOOKUP(Tabla5[[#This Row],[EAN CORREGIDO]],'Tabla Articulos'!B:B,'Tabla Articulos'!D:D)</f>
        <v/>
      </c>
      <c r="Q1896" s="96">
        <f>_xlfn.XLOOKUP(S1896,'Tabla Articulos'!B:B,'Tabla Articulos'!E:E)</f>
        <v/>
      </c>
      <c r="R1896" s="96">
        <f>O1896*Q1896</f>
        <v/>
      </c>
      <c r="S1896" s="97">
        <f>TRIM(E1896)</f>
        <v/>
      </c>
    </row>
    <row r="1897" hidden="1">
      <c r="A1897" s="22" t="n">
        <v>6</v>
      </c>
      <c r="B1897" t="inlineStr">
        <is>
          <t xml:space="preserve">CDM03 - MORENO 3              </t>
        </is>
      </c>
      <c r="C1897" t="inlineStr">
        <is>
          <t xml:space="preserve">GRUPO L.                      </t>
        </is>
      </c>
      <c r="E1897" t="inlineStr">
        <is>
          <t xml:space="preserve">BUM00216            </t>
        </is>
      </c>
      <c r="G1897" t="inlineStr">
        <is>
          <t xml:space="preserve">SILLA DE MADERA                    </t>
        </is>
      </c>
      <c r="H1897" t="inlineStr">
        <is>
          <t xml:space="preserve">BULTOS              </t>
        </is>
      </c>
      <c r="I1897" t="n">
        <v>56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56</v>
      </c>
      <c r="P1897" s="96">
        <f>_xlfn.XLOOKUP(Tabla5[[#This Row],[EAN CORREGIDO]],'Tabla Articulos'!B:B,'Tabla Articulos'!D:D)</f>
        <v/>
      </c>
      <c r="Q1897" s="96">
        <f>_xlfn.XLOOKUP(S1897,'Tabla Articulos'!B:B,'Tabla Articulos'!E:E)</f>
        <v/>
      </c>
      <c r="R1897" s="96">
        <f>O1897*Q1897</f>
        <v/>
      </c>
      <c r="S1897" s="97">
        <f>TRIM(E1897)</f>
        <v/>
      </c>
    </row>
    <row r="1898" hidden="1">
      <c r="A1898" s="22" t="n">
        <v>1</v>
      </c>
      <c r="B1898" t="inlineStr">
        <is>
          <t xml:space="preserve">CD MORENO                     </t>
        </is>
      </c>
      <c r="C1898" t="inlineStr">
        <is>
          <t xml:space="preserve">GRUPO L.                      </t>
        </is>
      </c>
      <c r="D1898" t="inlineStr">
        <is>
          <t>CALDO CUBOS VERDURA</t>
        </is>
      </c>
      <c r="E1898" t="inlineStr">
        <is>
          <t xml:space="preserve">7790989004290       </t>
        </is>
      </c>
      <c r="F1898" t="n">
        <v>4019936</v>
      </c>
      <c r="G1898" t="inlineStr">
        <is>
          <t xml:space="preserve">CALDO VERDURA X12U LA MERE MIC     </t>
        </is>
      </c>
      <c r="H1898" t="inlineStr">
        <is>
          <t xml:space="preserve">UNIDAD              </t>
        </is>
      </c>
      <c r="I1898" t="n">
        <v>78099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78099</v>
      </c>
      <c r="P1898" s="96">
        <f>_xlfn.XLOOKUP(Tabla5[[#This Row],[EAN CORREGIDO]],'Tabla Articulos'!B:B,'Tabla Articulos'!D:D)</f>
        <v/>
      </c>
      <c r="Q1898" s="96">
        <f>_xlfn.XLOOKUP(S1898,'Tabla Articulos'!B:B,'Tabla Articulos'!E:E)</f>
        <v/>
      </c>
      <c r="R1898" s="96">
        <f>O1898*Q1898</f>
        <v/>
      </c>
      <c r="S1898" s="97">
        <f>TRIM(E1898)</f>
        <v/>
      </c>
    </row>
    <row r="1899" hidden="1">
      <c r="A1899" s="22" t="n">
        <v>5</v>
      </c>
      <c r="B1899" t="inlineStr">
        <is>
          <t xml:space="preserve">CDM02 - MORENO 2              </t>
        </is>
      </c>
      <c r="C1899" t="inlineStr">
        <is>
          <t xml:space="preserve">GRUPO L.                      </t>
        </is>
      </c>
      <c r="D1899" s="11" t="inlineStr">
        <is>
          <t>CALDO CUBOS VERDURA</t>
        </is>
      </c>
      <c r="E1899" t="inlineStr">
        <is>
          <t xml:space="preserve">7790989004290       </t>
        </is>
      </c>
      <c r="F1899" t="n">
        <v>4019936</v>
      </c>
      <c r="G1899" t="inlineStr">
        <is>
          <t xml:space="preserve">CALDO VERDURA X12U LA MERE MIC     </t>
        </is>
      </c>
      <c r="H1899" t="inlineStr">
        <is>
          <t xml:space="preserve">UNIDAD              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2</v>
      </c>
      <c r="P1899" s="96">
        <f>_xlfn.XLOOKUP(Tabla5[[#This Row],[EAN CORREGIDO]],'Tabla Articulos'!B:B,'Tabla Articulos'!D:D)</f>
        <v/>
      </c>
      <c r="Q1899" s="96">
        <f>_xlfn.XLOOKUP(S1899,'Tabla Articulos'!B:B,'Tabla Articulos'!E:E)</f>
        <v/>
      </c>
      <c r="R1899" s="96">
        <f>O1899*Q1899</f>
        <v/>
      </c>
      <c r="S1899" s="97">
        <f>TRIM(E1899)</f>
        <v/>
      </c>
    </row>
    <row r="1900" hidden="1">
      <c r="A1900" s="22" t="n">
        <v>5</v>
      </c>
      <c r="B1900" t="inlineStr">
        <is>
          <t xml:space="preserve">CDM02 - MORENO 2              </t>
        </is>
      </c>
      <c r="C1900" t="inlineStr">
        <is>
          <t xml:space="preserve">GRUPO L.                      </t>
        </is>
      </c>
      <c r="D1900" t="inlineStr">
        <is>
          <t>TE MANZANILLA ENSOBR</t>
        </is>
      </c>
      <c r="E1900" t="inlineStr">
        <is>
          <t xml:space="preserve">7792280000377       </t>
        </is>
      </c>
      <c r="F1900" t="n">
        <v>4020042</v>
      </c>
      <c r="G1900" t="inlineStr">
        <is>
          <t xml:space="preserve">TE SOB MANZANILLA X20U CACHAMAI    </t>
        </is>
      </c>
      <c r="H1900" t="inlineStr">
        <is>
          <t xml:space="preserve">UNIDAD              </t>
        </is>
      </c>
      <c r="I1900" t="n">
        <v>10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10</v>
      </c>
      <c r="P1900" s="96">
        <f>_xlfn.XLOOKUP(Tabla5[[#This Row],[EAN CORREGIDO]],'Tabla Articulos'!B:B,'Tabla Articulos'!D:D)</f>
        <v/>
      </c>
      <c r="Q1900" s="96">
        <f>_xlfn.XLOOKUP(S1900,'Tabla Articulos'!B:B,'Tabla Articulos'!E:E)</f>
        <v/>
      </c>
      <c r="R1900" s="96">
        <f>O1900*Q1900</f>
        <v/>
      </c>
      <c r="S1900" s="97">
        <f>TRIM(E1900)</f>
        <v/>
      </c>
    </row>
    <row r="1901" hidden="1">
      <c r="A1901" s="22" t="n">
        <v>6</v>
      </c>
      <c r="B1901" t="inlineStr">
        <is>
          <t xml:space="preserve">CDM03 - MORENO 3              </t>
        </is>
      </c>
      <c r="C1901" t="inlineStr">
        <is>
          <t xml:space="preserve">GRUPO L.                      </t>
        </is>
      </c>
      <c r="D1901" t="inlineStr">
        <is>
          <t>TRAPOS DE PISO</t>
        </is>
      </c>
      <c r="E1901" t="inlineStr">
        <is>
          <t xml:space="preserve">7798011944131       </t>
        </is>
      </c>
      <c r="F1901" t="n">
        <v>2006927</v>
      </c>
      <c r="G1901" t="inlineStr">
        <is>
          <t xml:space="preserve">PANO BLANCO P/PISO 20"XU           </t>
        </is>
      </c>
      <c r="H1901" t="inlineStr">
        <is>
          <t xml:space="preserve">UNIDAD              </t>
        </is>
      </c>
      <c r="I1901" t="n">
        <v>52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52</v>
      </c>
      <c r="P1901" s="96">
        <f>_xlfn.XLOOKUP(Tabla5[[#This Row],[EAN CORREGIDO]],'Tabla Articulos'!B:B,'Tabla Articulos'!D:D)</f>
        <v/>
      </c>
      <c r="Q1901" s="96">
        <f>_xlfn.XLOOKUP(S1901,'Tabla Articulos'!B:B,'Tabla Articulos'!E:E)</f>
        <v/>
      </c>
      <c r="R1901" s="96">
        <f>O1901*Q1901</f>
        <v/>
      </c>
      <c r="S1901" s="97">
        <f>TRIM(E1901)</f>
        <v/>
      </c>
    </row>
    <row r="1902" hidden="1">
      <c r="A1902" s="22" t="n">
        <v>6</v>
      </c>
      <c r="B1902" t="inlineStr">
        <is>
          <t xml:space="preserve">CDM03 - MORENO 3              </t>
        </is>
      </c>
      <c r="C1902" t="inlineStr">
        <is>
          <t xml:space="preserve">GRUPO L.                      </t>
        </is>
      </c>
      <c r="D1902" s="11" t="n"/>
      <c r="E1902" t="inlineStr">
        <is>
          <t xml:space="preserve">UNIF000007          </t>
        </is>
      </c>
      <c r="F1902" t="n">
        <v>9003038</v>
      </c>
      <c r="G1902" t="inlineStr">
        <is>
          <t xml:space="preserve">AMBO A. MAR. PULCRUS ESC V 4XL     </t>
        </is>
      </c>
      <c r="H1902" t="inlineStr">
        <is>
          <t xml:space="preserve">UNIDAD              </t>
        </is>
      </c>
      <c r="I1902" t="n">
        <v>0</v>
      </c>
      <c r="J1902" t="n">
        <v>57</v>
      </c>
      <c r="K1902" t="n">
        <v>0</v>
      </c>
      <c r="L1902" t="n">
        <v>3</v>
      </c>
      <c r="M1902" t="n">
        <v>3</v>
      </c>
      <c r="N1902" t="n">
        <v>0</v>
      </c>
      <c r="O1902" t="n">
        <v>51</v>
      </c>
      <c r="P1902" s="96">
        <f>_xlfn.XLOOKUP(Tabla5[[#This Row],[EAN CORREGIDO]],'Tabla Articulos'!B:B,'Tabla Articulos'!D:D)</f>
        <v/>
      </c>
      <c r="Q1902" s="96">
        <f>_xlfn.XLOOKUP(S1902,'Tabla Articulos'!B:B,'Tabla Articulos'!E:E)</f>
        <v/>
      </c>
      <c r="R1902" s="96">
        <f>O1902*Q1902</f>
        <v/>
      </c>
      <c r="S1902" s="97">
        <f>TRIM(E1902)</f>
        <v/>
      </c>
    </row>
    <row r="1903" hidden="1">
      <c r="A1903" s="22" t="n">
        <v>6</v>
      </c>
      <c r="B1903" t="inlineStr">
        <is>
          <t xml:space="preserve">CDM03 - MORENO 3              </t>
        </is>
      </c>
      <c r="C1903" t="inlineStr">
        <is>
          <t xml:space="preserve">GRUPO L.                      </t>
        </is>
      </c>
      <c r="E1903" t="inlineStr">
        <is>
          <t xml:space="preserve">UNIF000603          </t>
        </is>
      </c>
      <c r="F1903" t="n">
        <v>9003141</v>
      </c>
      <c r="G1903" t="inlineStr">
        <is>
          <t xml:space="preserve">CHAQ. ESCOTE V GU NUTRICION T1     </t>
        </is>
      </c>
      <c r="H1903" t="inlineStr">
        <is>
          <t xml:space="preserve">UNIDAD              </t>
        </is>
      </c>
      <c r="I1903" t="n">
        <v>30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30</v>
      </c>
      <c r="P1903" s="96">
        <f>_xlfn.XLOOKUP(Tabla5[[#This Row],[EAN CORREGIDO]],'Tabla Articulos'!B:B,'Tabla Articulos'!D:D)</f>
        <v/>
      </c>
      <c r="Q1903" s="96">
        <f>_xlfn.XLOOKUP(S1903,'Tabla Articulos'!B:B,'Tabla Articulos'!E:E)</f>
        <v/>
      </c>
      <c r="R1903" s="96">
        <f>O1903*Q1903</f>
        <v/>
      </c>
      <c r="S1903" s="97">
        <f>TRIM(E1903)</f>
        <v/>
      </c>
    </row>
    <row r="1904" hidden="1">
      <c r="A1904" s="22" t="n">
        <v>5</v>
      </c>
      <c r="B1904" t="inlineStr">
        <is>
          <t xml:space="preserve">CDM02 - MORENO 2              </t>
        </is>
      </c>
      <c r="C1904" t="inlineStr">
        <is>
          <t xml:space="preserve">GRUPO L.                      </t>
        </is>
      </c>
      <c r="D1904" t="inlineStr">
        <is>
          <t>ARROZ 00000</t>
        </is>
      </c>
      <c r="E1904" t="inlineStr">
        <is>
          <t xml:space="preserve">7798078450126       </t>
        </is>
      </c>
      <c r="F1904" t="n">
        <v>4020790</v>
      </c>
      <c r="G1904" t="inlineStr">
        <is>
          <t xml:space="preserve">ARROZ 00000 X 1 KG VANGUARDIA      </t>
        </is>
      </c>
      <c r="H1904" t="inlineStr">
        <is>
          <t xml:space="preserve">UNIDAD              </t>
        </is>
      </c>
      <c r="I1904" t="n">
        <v>12825</v>
      </c>
      <c r="J1904" t="n">
        <v>0</v>
      </c>
      <c r="K1904" t="n">
        <v>0</v>
      </c>
      <c r="L1904" t="n">
        <v>4</v>
      </c>
      <c r="M1904" t="n">
        <v>4</v>
      </c>
      <c r="N1904" t="n">
        <v>0</v>
      </c>
      <c r="O1904" t="n">
        <v>12817</v>
      </c>
      <c r="P1904" s="96">
        <f>_xlfn.XLOOKUP(Tabla5[[#This Row],[EAN CORREGIDO]],'Tabla Articulos'!B:B,'Tabla Articulos'!D:D)</f>
        <v/>
      </c>
      <c r="Q1904" s="96">
        <f>_xlfn.XLOOKUP(S1904,'Tabla Articulos'!B:B,'Tabla Articulos'!E:E)</f>
        <v/>
      </c>
      <c r="R1904" s="96">
        <f>O1904*Q1904</f>
        <v/>
      </c>
      <c r="S1904" s="97">
        <f>TRIM(E1904)</f>
        <v/>
      </c>
    </row>
    <row r="1905" hidden="1">
      <c r="A1905" s="22" t="n">
        <v>6</v>
      </c>
      <c r="B1905" t="inlineStr">
        <is>
          <t xml:space="preserve">CDM03 - MORENO 3              </t>
        </is>
      </c>
      <c r="C1905" t="inlineStr">
        <is>
          <t xml:space="preserve">GRUPO L.                      </t>
        </is>
      </c>
      <c r="E1905" t="inlineStr">
        <is>
          <t xml:space="preserve">BAZ001156           </t>
        </is>
      </c>
      <c r="F1905" t="n">
        <v>9003720</v>
      </c>
      <c r="G1905" t="inlineStr">
        <is>
          <t xml:space="preserve">PLA PAN VERBANO RECTO 16 CHEF G    </t>
        </is>
      </c>
      <c r="H1905" t="inlineStr">
        <is>
          <t xml:space="preserve">UNIDAD              </t>
        </is>
      </c>
      <c r="I1905" t="n">
        <v>1020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1020</v>
      </c>
      <c r="P1905" s="96">
        <f>_xlfn.XLOOKUP(Tabla5[[#This Row],[EAN CORREGIDO]],'Tabla Articulos'!B:B,'Tabla Articulos'!D:D)</f>
        <v/>
      </c>
      <c r="Q1905" s="96">
        <f>_xlfn.XLOOKUP(S1905,'Tabla Articulos'!B:B,'Tabla Articulos'!E:E)</f>
        <v/>
      </c>
      <c r="R1905" s="96">
        <f>O1905*Q1905</f>
        <v/>
      </c>
      <c r="S1905" s="97">
        <f>TRIM(E1905)</f>
        <v/>
      </c>
    </row>
    <row r="1906" hidden="1">
      <c r="A1906" s="22" t="n">
        <v>6</v>
      </c>
      <c r="B1906" t="inlineStr">
        <is>
          <t xml:space="preserve">CDM03 - MORENO 3              </t>
        </is>
      </c>
      <c r="C1906" t="inlineStr">
        <is>
          <t xml:space="preserve">GRUPO L.                      </t>
        </is>
      </c>
      <c r="D1906" t="inlineStr">
        <is>
          <t>LIMPIADOR CREMOSO</t>
        </is>
      </c>
      <c r="E1906" t="inlineStr">
        <is>
          <t xml:space="preserve">7798188650164       </t>
        </is>
      </c>
      <c r="F1906" t="n">
        <v>2006519</v>
      </c>
      <c r="G1906" t="inlineStr">
        <is>
          <t xml:space="preserve">LIMPIADOR CREMOSO NARANJA X500ML	  </t>
        </is>
      </c>
      <c r="H1906" t="inlineStr">
        <is>
          <t xml:space="preserve">UNIDAD              </t>
        </is>
      </c>
      <c r="I1906" t="n">
        <v>926</v>
      </c>
      <c r="J1906" t="n">
        <v>2880</v>
      </c>
      <c r="K1906" t="n">
        <v>0</v>
      </c>
      <c r="L1906" t="n">
        <v>0</v>
      </c>
      <c r="M1906" t="n">
        <v>0</v>
      </c>
      <c r="N1906" t="n">
        <v>0</v>
      </c>
      <c r="O1906" t="n">
        <v>3806</v>
      </c>
      <c r="P1906" s="96">
        <f>_xlfn.XLOOKUP(Tabla5[[#This Row],[EAN CORREGIDO]],'Tabla Articulos'!B:B,'Tabla Articulos'!D:D)</f>
        <v/>
      </c>
      <c r="Q1906" s="96">
        <f>_xlfn.XLOOKUP(S1906,'Tabla Articulos'!B:B,'Tabla Articulos'!E:E)</f>
        <v/>
      </c>
      <c r="R1906" s="96">
        <f>O1906*Q1906</f>
        <v/>
      </c>
      <c r="S1906" s="97">
        <f>TRIM(E1906)</f>
        <v/>
      </c>
    </row>
    <row r="1907" hidden="1">
      <c r="A1907" s="22" t="n">
        <v>6</v>
      </c>
      <c r="B1907" t="inlineStr">
        <is>
          <t xml:space="preserve">CDM03 - MORENO 3              </t>
        </is>
      </c>
      <c r="C1907" t="inlineStr">
        <is>
          <t xml:space="preserve">GRUPO L.                      </t>
        </is>
      </c>
      <c r="D1907" t="inlineStr">
        <is>
          <t>BOLSAS RESIDUO 30 MICRO ROJAS</t>
        </is>
      </c>
      <c r="E1907" t="inlineStr">
        <is>
          <t xml:space="preserve">LIM000510           </t>
        </is>
      </c>
      <c r="F1907" t="n">
        <v>2006276</v>
      </c>
      <c r="G1907" t="inlineStr">
        <is>
          <t xml:space="preserve">BOLSA RESIDUO ROJA 90X110X50U      </t>
        </is>
      </c>
      <c r="H1907" t="inlineStr">
        <is>
          <t xml:space="preserve">UNIDAD              </t>
        </is>
      </c>
      <c r="I1907" t="n">
        <v>100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100</v>
      </c>
      <c r="P1907" s="96">
        <f>_xlfn.XLOOKUP(Tabla5[[#This Row],[EAN CORREGIDO]],'Tabla Articulos'!B:B,'Tabla Articulos'!D:D)</f>
        <v/>
      </c>
      <c r="Q1907" s="96">
        <f>_xlfn.XLOOKUP(S1907,'Tabla Articulos'!B:B,'Tabla Articulos'!E:E)</f>
        <v/>
      </c>
      <c r="R1907" s="96">
        <f>O1907*Q1907</f>
        <v/>
      </c>
      <c r="S1907" s="97">
        <f>TRIM(E1907)</f>
        <v/>
      </c>
    </row>
    <row r="1908" hidden="1">
      <c r="A1908" s="22" t="n">
        <v>6</v>
      </c>
      <c r="B1908" t="inlineStr">
        <is>
          <t xml:space="preserve">CDM03 - MORENO 3              </t>
        </is>
      </c>
      <c r="C1908" t="inlineStr">
        <is>
          <t xml:space="preserve">GRUPO L.                      </t>
        </is>
      </c>
      <c r="D1908" t="inlineStr">
        <is>
          <t>ALCOHOL EN GEL</t>
        </is>
      </c>
      <c r="E1908" t="inlineStr">
        <is>
          <t xml:space="preserve">7798188650362       </t>
        </is>
      </c>
      <c r="F1908" t="n">
        <v>2006364</v>
      </c>
      <c r="G1908" t="inlineStr">
        <is>
          <t xml:space="preserve">ALCOHOL EN GEL X 5 LT THAMES       </t>
        </is>
      </c>
      <c r="H1908" t="inlineStr">
        <is>
          <t xml:space="preserve">UNIDAD              </t>
        </is>
      </c>
      <c r="I1908" t="n">
        <v>469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469</v>
      </c>
      <c r="P1908" s="96">
        <f>_xlfn.XLOOKUP(Tabla5[[#This Row],[EAN CORREGIDO]],'Tabla Articulos'!B:B,'Tabla Articulos'!D:D)</f>
        <v/>
      </c>
      <c r="Q1908" s="96">
        <f>_xlfn.XLOOKUP(S1908,'Tabla Articulos'!B:B,'Tabla Articulos'!E:E)</f>
        <v/>
      </c>
      <c r="R1908" s="96">
        <f>O1908*Q1908</f>
        <v/>
      </c>
      <c r="S1908" s="97">
        <f>TRIM(E1908)</f>
        <v/>
      </c>
    </row>
    <row r="1909" hidden="1">
      <c r="A1909" s="22" t="n">
        <v>5</v>
      </c>
      <c r="B1909" t="inlineStr">
        <is>
          <t xml:space="preserve">CDM02 - MORENO 2              </t>
        </is>
      </c>
      <c r="C1909" t="inlineStr">
        <is>
          <t xml:space="preserve">GRUPO L.                      </t>
        </is>
      </c>
      <c r="D1909" t="inlineStr">
        <is>
          <t>LECHE CONDENSADA</t>
        </is>
      </c>
      <c r="E1909" t="inlineStr">
        <is>
          <t xml:space="preserve">8445290900654       </t>
        </is>
      </c>
      <c r="F1909" t="n">
        <v>4021353</v>
      </c>
      <c r="G1909" t="inlineStr">
        <is>
          <t xml:space="preserve">LECHE CONDENSADA X395G NESTLE      </t>
        </is>
      </c>
      <c r="H1909" t="inlineStr">
        <is>
          <t xml:space="preserve">UNIDAD              </t>
        </is>
      </c>
      <c r="I1909" t="n">
        <v>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5</v>
      </c>
      <c r="P1909" s="96">
        <f>_xlfn.XLOOKUP(Tabla5[[#This Row],[EAN CORREGIDO]],'Tabla Articulos'!B:B,'Tabla Articulos'!D:D)</f>
        <v/>
      </c>
      <c r="Q1909" s="96">
        <f>_xlfn.XLOOKUP(S1909,'Tabla Articulos'!B:B,'Tabla Articulos'!E:E)</f>
        <v/>
      </c>
      <c r="R1909" s="96">
        <f>O1909*Q1909</f>
        <v/>
      </c>
      <c r="S1909" s="97">
        <f>TRIM(E1909)</f>
        <v/>
      </c>
    </row>
    <row r="1910" hidden="1">
      <c r="A1910" s="22" t="n">
        <v>1</v>
      </c>
      <c r="B1910" t="inlineStr">
        <is>
          <t xml:space="preserve">CD MORENO                     </t>
        </is>
      </c>
      <c r="C1910" t="inlineStr">
        <is>
          <t xml:space="preserve">GRUPO L.                      </t>
        </is>
      </c>
      <c r="D1910" t="inlineStr">
        <is>
          <t>COCO RALLADO</t>
        </is>
      </c>
      <c r="E1910" t="inlineStr">
        <is>
          <t xml:space="preserve">7790530900248       </t>
        </is>
      </c>
      <c r="F1910" t="n">
        <v>4019488</v>
      </c>
      <c r="G1910" t="inlineStr">
        <is>
          <t xml:space="preserve">COCO RALLADO BEDIAL X 1 KG         </t>
        </is>
      </c>
      <c r="H1910" t="inlineStr">
        <is>
          <t xml:space="preserve">UNIDAD              </t>
        </is>
      </c>
      <c r="I1910" t="n">
        <v>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4</v>
      </c>
      <c r="P1910" s="96">
        <f>_xlfn.XLOOKUP(Tabla5[[#This Row],[EAN CORREGIDO]],'Tabla Articulos'!B:B,'Tabla Articulos'!D:D)</f>
        <v/>
      </c>
      <c r="Q1910" s="96">
        <f>_xlfn.XLOOKUP(S1910,'Tabla Articulos'!B:B,'Tabla Articulos'!E:E)</f>
        <v/>
      </c>
      <c r="R1910" s="96">
        <f>O1910*Q1910</f>
        <v/>
      </c>
      <c r="S1910" s="97">
        <f>TRIM(E1910)</f>
        <v/>
      </c>
    </row>
    <row r="1911" hidden="1">
      <c r="A1911" s="22" t="n">
        <v>5</v>
      </c>
      <c r="B1911" t="inlineStr">
        <is>
          <t xml:space="preserve">CDM02 - MORENO 2              </t>
        </is>
      </c>
      <c r="C1911" t="inlineStr">
        <is>
          <t xml:space="preserve">GRUPO L.                      </t>
        </is>
      </c>
      <c r="D1911" t="inlineStr">
        <is>
          <t>COCO RALLADO</t>
        </is>
      </c>
      <c r="E1911" t="inlineStr">
        <is>
          <t xml:space="preserve">7790530900248       </t>
        </is>
      </c>
      <c r="F1911" t="n">
        <v>4019488</v>
      </c>
      <c r="G1911" t="inlineStr">
        <is>
          <t xml:space="preserve">COCO RALLADO BEDIAL X 1 KG         </t>
        </is>
      </c>
      <c r="H1911" t="inlineStr">
        <is>
          <t xml:space="preserve">UNIDAD              </t>
        </is>
      </c>
      <c r="I1911" t="n">
        <v>12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12</v>
      </c>
      <c r="P1911" s="96">
        <f>_xlfn.XLOOKUP(Tabla5[[#This Row],[EAN CORREGIDO]],'Tabla Articulos'!B:B,'Tabla Articulos'!D:D)</f>
        <v/>
      </c>
      <c r="Q1911" s="96">
        <f>_xlfn.XLOOKUP(S1911,'Tabla Articulos'!B:B,'Tabla Articulos'!E:E)</f>
        <v/>
      </c>
      <c r="R1911" s="96">
        <f>O1911*Q1911</f>
        <v/>
      </c>
      <c r="S1911" s="97">
        <f>TRIM(E1911)</f>
        <v/>
      </c>
    </row>
    <row r="1912" hidden="1">
      <c r="A1912" s="22" t="n">
        <v>6</v>
      </c>
      <c r="B1912" t="inlineStr">
        <is>
          <t xml:space="preserve">CDM03 - MORENO 3              </t>
        </is>
      </c>
      <c r="C1912" t="inlineStr">
        <is>
          <t xml:space="preserve">GRUPO L.                      </t>
        </is>
      </c>
      <c r="D1912" t="inlineStr">
        <is>
          <t>BOLSAS ARRANQUE</t>
        </is>
      </c>
      <c r="E1912" t="inlineStr">
        <is>
          <t xml:space="preserve">16204006A           </t>
        </is>
      </c>
      <c r="F1912" s="11" t="n">
        <v>2006407</v>
      </c>
      <c r="G1912" t="inlineStr">
        <is>
          <t xml:space="preserve">ROLLO BOLSA ARRANQUE 60 X 90       </t>
        </is>
      </c>
      <c r="H1912" t="inlineStr">
        <is>
          <t xml:space="preserve">UNIDAD              </t>
        </is>
      </c>
      <c r="I1912" t="n">
        <v>1516</v>
      </c>
      <c r="J1912" t="n">
        <v>0</v>
      </c>
      <c r="K1912" t="n">
        <v>0</v>
      </c>
      <c r="L1912" t="n">
        <v>10</v>
      </c>
      <c r="M1912" t="n">
        <v>10</v>
      </c>
      <c r="N1912" t="n">
        <v>0</v>
      </c>
      <c r="O1912" t="n">
        <v>1496</v>
      </c>
      <c r="P1912" s="96">
        <f>_xlfn.XLOOKUP(Tabla5[[#This Row],[EAN CORREGIDO]],'Tabla Articulos'!B:B,'Tabla Articulos'!D:D)</f>
        <v/>
      </c>
      <c r="Q1912" s="96">
        <f>_xlfn.XLOOKUP(S1912,'Tabla Articulos'!B:B,'Tabla Articulos'!E:E)</f>
        <v/>
      </c>
      <c r="R1912" s="96">
        <f>O1912*Q1912</f>
        <v/>
      </c>
      <c r="S1912" s="97">
        <f>TRIM(E1912)</f>
        <v/>
      </c>
    </row>
    <row r="1913" hidden="1">
      <c r="A1913" s="22" t="n">
        <v>1</v>
      </c>
      <c r="B1913" t="inlineStr">
        <is>
          <t xml:space="preserve">CD MORENO                     </t>
        </is>
      </c>
      <c r="C1913" t="inlineStr">
        <is>
          <t xml:space="preserve">GRUPO L.                      </t>
        </is>
      </c>
      <c r="D1913" s="11" t="inlineStr">
        <is>
          <t>BOLSAS ARRANQUE</t>
        </is>
      </c>
      <c r="E1913" t="inlineStr">
        <is>
          <t xml:space="preserve">16204006A           </t>
        </is>
      </c>
      <c r="F1913" s="11" t="n">
        <v>2006407</v>
      </c>
      <c r="G1913" t="inlineStr">
        <is>
          <t xml:space="preserve">ROLLO BOLSA ARRANQUE 60 X 90       </t>
        </is>
      </c>
      <c r="H1913" t="inlineStr">
        <is>
          <t xml:space="preserve">UNIDAD              </t>
        </is>
      </c>
      <c r="I1913" t="n">
        <v>360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360</v>
      </c>
      <c r="P1913" s="96">
        <f>_xlfn.XLOOKUP(Tabla5[[#This Row],[EAN CORREGIDO]],'Tabla Articulos'!B:B,'Tabla Articulos'!D:D)</f>
        <v/>
      </c>
      <c r="Q1913" s="96">
        <f>_xlfn.XLOOKUP(S1913,'Tabla Articulos'!B:B,'Tabla Articulos'!E:E)</f>
        <v/>
      </c>
      <c r="R1913" s="96">
        <f>O1913*Q1913</f>
        <v/>
      </c>
      <c r="S1913" s="97">
        <f>TRIM(E1913)</f>
        <v/>
      </c>
    </row>
    <row r="1914" hidden="1">
      <c r="A1914" s="22" t="n">
        <v>6</v>
      </c>
      <c r="B1914" t="inlineStr">
        <is>
          <t xml:space="preserve">CDM03 - MORENO 3              </t>
        </is>
      </c>
      <c r="C1914" t="inlineStr">
        <is>
          <t xml:space="preserve">GRUPO L.                      </t>
        </is>
      </c>
      <c r="D1914" s="11" t="inlineStr">
        <is>
          <t>PAPEL MANTECA</t>
        </is>
      </c>
      <c r="E1914" t="inlineStr">
        <is>
          <t xml:space="preserve">14044013A           </t>
        </is>
      </c>
      <c r="F1914" s="11" t="n">
        <v>2006209</v>
      </c>
      <c r="G1914" t="inlineStr">
        <is>
          <t xml:space="preserve">ROLLO PAPEL MANTECA                </t>
        </is>
      </c>
      <c r="H1914" t="inlineStr">
        <is>
          <t xml:space="preserve">UNIDAD              </t>
        </is>
      </c>
      <c r="I1914" t="n">
        <v>100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100</v>
      </c>
      <c r="P1914" s="96">
        <f>_xlfn.XLOOKUP(Tabla5[[#This Row],[EAN CORREGIDO]],'Tabla Articulos'!B:B,'Tabla Articulos'!D:D)</f>
        <v/>
      </c>
      <c r="Q1914" s="96">
        <f>_xlfn.XLOOKUP(S1914,'Tabla Articulos'!B:B,'Tabla Articulos'!E:E)</f>
        <v/>
      </c>
      <c r="R1914" s="96">
        <f>O1914*Q1914</f>
        <v/>
      </c>
      <c r="S1914" s="97">
        <f>TRIM(E1914)</f>
        <v/>
      </c>
    </row>
    <row r="1915" hidden="1">
      <c r="A1915" s="22" t="n">
        <v>6</v>
      </c>
      <c r="B1915" t="inlineStr">
        <is>
          <t xml:space="preserve">CDM03 - MORENO 3              </t>
        </is>
      </c>
      <c r="C1915" t="inlineStr">
        <is>
          <t xml:space="preserve">GRUPO L.                      </t>
        </is>
      </c>
      <c r="D1915" s="11" t="n"/>
      <c r="E1915" t="inlineStr">
        <is>
          <t xml:space="preserve">7790000000275       </t>
        </is>
      </c>
      <c r="F1915" s="11" t="n">
        <v>2007229</v>
      </c>
      <c r="G1915" t="inlineStr">
        <is>
          <t xml:space="preserve">CABO MADERA 1.8MT MPROPIA          </t>
        </is>
      </c>
      <c r="H1915" t="inlineStr">
        <is>
          <t xml:space="preserve">BULTOS              </t>
        </is>
      </c>
      <c r="I1915" t="n">
        <v>3670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3670</v>
      </c>
      <c r="P1915" s="96">
        <f>_xlfn.XLOOKUP(Tabla5[[#This Row],[EAN CORREGIDO]],'Tabla Articulos'!B:B,'Tabla Articulos'!D:D)</f>
        <v/>
      </c>
      <c r="Q1915" s="96">
        <f>_xlfn.XLOOKUP(S1915,'Tabla Articulos'!B:B,'Tabla Articulos'!E:E)</f>
        <v/>
      </c>
      <c r="R1915" s="96">
        <f>O1915*Q1915</f>
        <v/>
      </c>
      <c r="S1915" s="97">
        <f>TRIM(E1915)</f>
        <v/>
      </c>
    </row>
    <row r="1916" hidden="1">
      <c r="A1916" s="22" t="n">
        <v>6</v>
      </c>
      <c r="B1916" t="inlineStr">
        <is>
          <t xml:space="preserve">CDM03 - MORENO 3              </t>
        </is>
      </c>
      <c r="C1916" t="inlineStr">
        <is>
          <t xml:space="preserve">GRUPO L.                      </t>
        </is>
      </c>
      <c r="E1916" t="inlineStr">
        <is>
          <t xml:space="preserve">BAZ001200           </t>
        </is>
      </c>
      <c r="F1916" t="n">
        <v>9003781</v>
      </c>
      <c r="G1916" t="inlineStr">
        <is>
          <t xml:space="preserve">CUCHI BCO ERG 174/100MM 4" INOX    </t>
        </is>
      </c>
      <c r="H1916" t="inlineStr">
        <is>
          <t xml:space="preserve">UNIDAD              </t>
        </is>
      </c>
      <c r="I1916" t="n">
        <v>17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17</v>
      </c>
      <c r="P1916" s="96">
        <f>_xlfn.XLOOKUP(Tabla5[[#This Row],[EAN CORREGIDO]],'Tabla Articulos'!B:B,'Tabla Articulos'!D:D)</f>
        <v/>
      </c>
      <c r="Q1916" s="96">
        <f>_xlfn.XLOOKUP(S1916,'Tabla Articulos'!B:B,'Tabla Articulos'!E:E)</f>
        <v/>
      </c>
      <c r="R1916" s="96">
        <f>O1916*Q1916</f>
        <v/>
      </c>
      <c r="S1916" s="97">
        <f>TRIM(E1916)</f>
        <v/>
      </c>
    </row>
    <row r="1917" hidden="1">
      <c r="A1917" s="22" t="n">
        <v>6</v>
      </c>
      <c r="B1917" t="inlineStr">
        <is>
          <t xml:space="preserve">CDM03 - MORENO 3              </t>
        </is>
      </c>
      <c r="C1917" t="inlineStr">
        <is>
          <t xml:space="preserve">GRUPO L.                      </t>
        </is>
      </c>
      <c r="D1917" t="inlineStr">
        <is>
          <t>BOLSA PAPEL MADERA</t>
        </is>
      </c>
      <c r="E1917" t="inlineStr">
        <is>
          <t xml:space="preserve">EMB000042           </t>
        </is>
      </c>
      <c r="F1917" t="n">
        <v>2006644</v>
      </c>
      <c r="G1917" t="inlineStr">
        <is>
          <t xml:space="preserve">BOLSA PAPEL MADERA X100U 15X35     </t>
        </is>
      </c>
      <c r="H1917" t="inlineStr">
        <is>
          <t xml:space="preserve">UNIDAD              </t>
        </is>
      </c>
      <c r="I1917" t="n">
        <v>230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230</v>
      </c>
      <c r="P1917" s="96">
        <f>_xlfn.XLOOKUP(Tabla5[[#This Row],[EAN CORREGIDO]],'Tabla Articulos'!B:B,'Tabla Articulos'!D:D)</f>
        <v/>
      </c>
      <c r="Q1917" s="96">
        <f>_xlfn.XLOOKUP(S1917,'Tabla Articulos'!B:B,'Tabla Articulos'!E:E)</f>
        <v/>
      </c>
      <c r="R1917" s="96">
        <f>O1917*Q1917</f>
        <v/>
      </c>
      <c r="S1917" s="97">
        <f>TRIM(E1917)</f>
        <v/>
      </c>
    </row>
    <row r="1918" hidden="1">
      <c r="A1918" s="22" t="n">
        <v>6</v>
      </c>
      <c r="B1918" t="inlineStr">
        <is>
          <t xml:space="preserve">CDM03 - MORENO 3              </t>
        </is>
      </c>
      <c r="C1918" t="inlineStr">
        <is>
          <t xml:space="preserve">GRUPO L.                      </t>
        </is>
      </c>
      <c r="E1918" t="inlineStr">
        <is>
          <t xml:space="preserve">UNIF000594          </t>
        </is>
      </c>
      <c r="F1918" t="n">
        <v>9003132</v>
      </c>
      <c r="G1918" t="inlineStr">
        <is>
          <t xml:space="preserve">CHAQUETA CUELLO MAO T2 C GOURM     </t>
        </is>
      </c>
      <c r="H1918" t="inlineStr">
        <is>
          <t xml:space="preserve">UNIDAD              </t>
        </is>
      </c>
      <c r="I1918" t="n">
        <v>71</v>
      </c>
      <c r="J1918" t="n">
        <v>500</v>
      </c>
      <c r="K1918" t="n">
        <v>0</v>
      </c>
      <c r="L1918" t="n">
        <v>6</v>
      </c>
      <c r="M1918" t="n">
        <v>6</v>
      </c>
      <c r="N1918" t="n">
        <v>0</v>
      </c>
      <c r="O1918" t="n">
        <v>559</v>
      </c>
      <c r="P1918" s="96">
        <f>_xlfn.XLOOKUP(Tabla5[[#This Row],[EAN CORREGIDO]],'Tabla Articulos'!B:B,'Tabla Articulos'!D:D)</f>
        <v/>
      </c>
      <c r="Q1918" s="96">
        <f>_xlfn.XLOOKUP(S1918,'Tabla Articulos'!B:B,'Tabla Articulos'!E:E)</f>
        <v/>
      </c>
      <c r="R1918" s="96">
        <f>O1918*Q1918</f>
        <v/>
      </c>
      <c r="S1918" s="97">
        <f>TRIM(E1918)</f>
        <v/>
      </c>
    </row>
    <row r="1919" hidden="1">
      <c r="A1919" s="22" t="n">
        <v>6</v>
      </c>
      <c r="B1919" t="inlineStr">
        <is>
          <t xml:space="preserve">CDM03 - MORENO 3              </t>
        </is>
      </c>
      <c r="C1919" t="inlineStr">
        <is>
          <t xml:space="preserve">GRUPO L.                      </t>
        </is>
      </c>
      <c r="D1919" s="11" t="n"/>
      <c r="E1919" t="inlineStr">
        <is>
          <t xml:space="preserve">UNIF000574          </t>
        </is>
      </c>
      <c r="F1919" t="n">
        <v>9003112</v>
      </c>
      <c r="G1919" t="inlineStr">
        <is>
          <t xml:space="preserve">CAMISA GRIS T46                    </t>
        </is>
      </c>
      <c r="H1919" t="inlineStr">
        <is>
          <t xml:space="preserve">UNIDAD              </t>
        </is>
      </c>
      <c r="I1919" t="n">
        <v>16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16</v>
      </c>
      <c r="P1919" s="96">
        <f>_xlfn.XLOOKUP(Tabla5[[#This Row],[EAN CORREGIDO]],'Tabla Articulos'!B:B,'Tabla Articulos'!D:D)</f>
        <v/>
      </c>
      <c r="Q1919" s="96">
        <f>_xlfn.XLOOKUP(S1919,'Tabla Articulos'!B:B,'Tabla Articulos'!E:E)</f>
        <v/>
      </c>
      <c r="R1919" s="96">
        <f>O1919*Q1919</f>
        <v/>
      </c>
      <c r="S1919" s="97">
        <f>TRIM(E1919)</f>
        <v/>
      </c>
    </row>
    <row r="1920" hidden="1">
      <c r="A1920" s="22" t="n">
        <v>5</v>
      </c>
      <c r="B1920" t="inlineStr">
        <is>
          <t xml:space="preserve">CDM02 - MORENO 2              </t>
        </is>
      </c>
      <c r="C1920" t="inlineStr">
        <is>
          <t xml:space="preserve">GRUPO L.                      </t>
        </is>
      </c>
      <c r="D1920" t="inlineStr">
        <is>
          <t>LECHE LV ENTERA</t>
        </is>
      </c>
      <c r="E1920" t="inlineStr">
        <is>
          <t xml:space="preserve">7794820903100       </t>
        </is>
      </c>
      <c r="F1920" t="n">
        <v>4018198</v>
      </c>
      <c r="G1920" t="inlineStr">
        <is>
          <t xml:space="preserve">LECHE ENTERA LV X1L MILKAUT        </t>
        </is>
      </c>
      <c r="H1920" t="inlineStr">
        <is>
          <t xml:space="preserve">UNIDAD              </t>
        </is>
      </c>
      <c r="I1920" t="n">
        <v>14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14</v>
      </c>
      <c r="P1920" s="96">
        <f>_xlfn.XLOOKUP(Tabla5[[#This Row],[EAN CORREGIDO]],'Tabla Articulos'!B:B,'Tabla Articulos'!D:D)</f>
        <v/>
      </c>
      <c r="Q1920" s="96">
        <f>_xlfn.XLOOKUP(S1920,'Tabla Articulos'!B:B,'Tabla Articulos'!E:E)</f>
        <v/>
      </c>
      <c r="R1920" s="96">
        <f>O1920*Q1920</f>
        <v/>
      </c>
      <c r="S1920" s="97">
        <f>TRIM(E1920)</f>
        <v/>
      </c>
    </row>
    <row r="1921" hidden="1">
      <c r="A1921" s="22" t="n">
        <v>1</v>
      </c>
      <c r="B1921" t="inlineStr">
        <is>
          <t xml:space="preserve">CD MORENO                     </t>
        </is>
      </c>
      <c r="C1921" t="inlineStr">
        <is>
          <t xml:space="preserve">GRUPO L.                      </t>
        </is>
      </c>
      <c r="D1921" t="inlineStr">
        <is>
          <t>LECHE LV ENTERA</t>
        </is>
      </c>
      <c r="E1921" t="inlineStr">
        <is>
          <t xml:space="preserve">7794820903100       </t>
        </is>
      </c>
      <c r="F1921" t="n">
        <v>4018198</v>
      </c>
      <c r="G1921" t="inlineStr">
        <is>
          <t xml:space="preserve">LECHE ENTERA LV X1L MILKAUT        </t>
        </is>
      </c>
      <c r="H1921" t="inlineStr">
        <is>
          <t xml:space="preserve">UNIDAD              </t>
        </is>
      </c>
      <c r="I1921" t="n">
        <v>7956</v>
      </c>
      <c r="J1921" t="n">
        <v>0</v>
      </c>
      <c r="K1921" t="n">
        <v>0</v>
      </c>
      <c r="L1921" t="n">
        <v>1105</v>
      </c>
      <c r="M1921" t="n">
        <v>1105</v>
      </c>
      <c r="N1921" t="n">
        <v>0</v>
      </c>
      <c r="O1921" t="n">
        <v>5746</v>
      </c>
      <c r="P1921" s="96">
        <f>_xlfn.XLOOKUP(Tabla5[[#This Row],[EAN CORREGIDO]],'Tabla Articulos'!B:B,'Tabla Articulos'!D:D)</f>
        <v/>
      </c>
      <c r="Q1921" s="96">
        <f>_xlfn.XLOOKUP(S1921,'Tabla Articulos'!B:B,'Tabla Articulos'!E:E)</f>
        <v/>
      </c>
      <c r="R1921" s="96">
        <f>O1921*Q1921</f>
        <v/>
      </c>
      <c r="S1921" s="97">
        <f>TRIM(E1921)</f>
        <v/>
      </c>
    </row>
    <row r="1922" hidden="1">
      <c r="A1922" s="22" t="n">
        <v>5</v>
      </c>
      <c r="B1922" t="inlineStr">
        <is>
          <t xml:space="preserve">CDM02 - MORENO 2              </t>
        </is>
      </c>
      <c r="C1922" t="inlineStr">
        <is>
          <t xml:space="preserve">GRUPO L.                      </t>
        </is>
      </c>
      <c r="D1922" t="inlineStr">
        <is>
          <t>SERVILLETA DESC S/LOGO</t>
        </is>
      </c>
      <c r="E1922" t="inlineStr">
        <is>
          <t xml:space="preserve">9992016801782       </t>
        </is>
      </c>
      <c r="F1922" t="n">
        <v>2007114</v>
      </c>
      <c r="G1922" t="inlineStr">
        <is>
          <t xml:space="preserve">SERVILLETAS BARMAN 24X24 CM        </t>
        </is>
      </c>
      <c r="H1922" t="inlineStr">
        <is>
          <t xml:space="preserve">UNIDAD              </t>
        </is>
      </c>
      <c r="I1922" t="n">
        <v>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1</v>
      </c>
      <c r="P1922" s="96">
        <f>_xlfn.XLOOKUP(Tabla5[[#This Row],[EAN CORREGIDO]],'Tabla Articulos'!B:B,'Tabla Articulos'!D:D)</f>
        <v/>
      </c>
      <c r="Q1922" s="96">
        <f>_xlfn.XLOOKUP(S1922,'Tabla Articulos'!B:B,'Tabla Articulos'!E:E)</f>
        <v/>
      </c>
      <c r="R1922" s="96">
        <f>O1922*Q1922</f>
        <v/>
      </c>
      <c r="S1922" s="97">
        <f>TRIM(E1922)</f>
        <v/>
      </c>
    </row>
    <row r="1923" hidden="1">
      <c r="A1923" s="22" t="n">
        <v>6</v>
      </c>
      <c r="B1923" t="inlineStr">
        <is>
          <t xml:space="preserve">CDM03 - MORENO 3              </t>
        </is>
      </c>
      <c r="C1923" t="inlineStr">
        <is>
          <t xml:space="preserve">GRUPO L.                      </t>
        </is>
      </c>
      <c r="E1923" t="inlineStr">
        <is>
          <t xml:space="preserve">UNIF000105          </t>
        </is>
      </c>
      <c r="F1923" t="n">
        <v>9003418</v>
      </c>
      <c r="G1923" t="inlineStr">
        <is>
          <t xml:space="preserve">PANTALON CARGO A. MARINO 58        </t>
        </is>
      </c>
      <c r="H1923" t="inlineStr">
        <is>
          <t xml:space="preserve">UNIDAD              </t>
        </is>
      </c>
      <c r="I1923" t="n">
        <v>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7</v>
      </c>
      <c r="P1923" s="96">
        <f>_xlfn.XLOOKUP(Tabla5[[#This Row],[EAN CORREGIDO]],'Tabla Articulos'!B:B,'Tabla Articulos'!D:D)</f>
        <v/>
      </c>
      <c r="Q1923" s="96">
        <f>_xlfn.XLOOKUP(S1923,'Tabla Articulos'!B:B,'Tabla Articulos'!E:E)</f>
        <v/>
      </c>
      <c r="R1923" s="96">
        <f>O1923*Q1923</f>
        <v/>
      </c>
      <c r="S1923" s="97">
        <f>TRIM(E1923)</f>
        <v/>
      </c>
    </row>
    <row r="1924" hidden="1">
      <c r="A1924" s="22" t="n">
        <v>6</v>
      </c>
      <c r="B1924" t="inlineStr">
        <is>
          <t xml:space="preserve">CDM03 - MORENO 3              </t>
        </is>
      </c>
      <c r="C1924" t="inlineStr">
        <is>
          <t xml:space="preserve">GRUPO L.                      </t>
        </is>
      </c>
      <c r="E1924" t="inlineStr">
        <is>
          <t xml:space="preserve">BAZ001134           </t>
        </is>
      </c>
      <c r="F1924" t="n">
        <v>5004131</v>
      </c>
      <c r="G1924" t="inlineStr">
        <is>
          <t xml:space="preserve">VERTED HER TRANSP MODTOPF 850ML    </t>
        </is>
      </c>
      <c r="H1924" t="inlineStr">
        <is>
          <t xml:space="preserve">UNIDAD              </t>
        </is>
      </c>
      <c r="I1924" t="n">
        <v>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6</v>
      </c>
      <c r="P1924" s="96">
        <f>_xlfn.XLOOKUP(Tabla5[[#This Row],[EAN CORREGIDO]],'Tabla Articulos'!B:B,'Tabla Articulos'!D:D)</f>
        <v/>
      </c>
      <c r="Q1924" s="96">
        <f>_xlfn.XLOOKUP(S1924,'Tabla Articulos'!B:B,'Tabla Articulos'!E:E)</f>
        <v/>
      </c>
      <c r="R1924" s="96">
        <f>O1924*Q1924</f>
        <v/>
      </c>
      <c r="S1924" s="97">
        <f>TRIM(E1924)</f>
        <v/>
      </c>
    </row>
    <row r="1925" hidden="1">
      <c r="A1925" s="22" t="n">
        <v>6</v>
      </c>
      <c r="B1925" t="inlineStr">
        <is>
          <t xml:space="preserve">CDM03 - MORENO 3              </t>
        </is>
      </c>
      <c r="C1925" t="inlineStr">
        <is>
          <t xml:space="preserve">GRUPO L.                      </t>
        </is>
      </c>
      <c r="E1925" t="inlineStr">
        <is>
          <t xml:space="preserve">UNIF000465          </t>
        </is>
      </c>
      <c r="F1925" s="11" t="n">
        <v>9003237</v>
      </c>
      <c r="G1925" t="inlineStr">
        <is>
          <t xml:space="preserve">PANTALON GRAF S. LOGO VERD 46      </t>
        </is>
      </c>
      <c r="H1925" t="inlineStr">
        <is>
          <t xml:space="preserve">UNIDAD              </t>
        </is>
      </c>
      <c r="I1925" t="n">
        <v>18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18</v>
      </c>
      <c r="P1925" s="96">
        <f>_xlfn.XLOOKUP(Tabla5[[#This Row],[EAN CORREGIDO]],'Tabla Articulos'!B:B,'Tabla Articulos'!D:D)</f>
        <v/>
      </c>
      <c r="Q1925" s="96">
        <f>_xlfn.XLOOKUP(S1925,'Tabla Articulos'!B:B,'Tabla Articulos'!E:E)</f>
        <v/>
      </c>
      <c r="R1925" s="96">
        <f>O1925*Q1925</f>
        <v/>
      </c>
      <c r="S1925" s="97">
        <f>TRIM(E1925)</f>
        <v/>
      </c>
    </row>
    <row r="1926" hidden="1">
      <c r="A1926" s="22" t="n">
        <v>5</v>
      </c>
      <c r="B1926" t="inlineStr">
        <is>
          <t xml:space="preserve">CDM02 - MORENO 2              </t>
        </is>
      </c>
      <c r="C1926" t="inlineStr">
        <is>
          <t xml:space="preserve">GRUPO L.                      </t>
        </is>
      </c>
      <c r="D1926" s="11" t="inlineStr">
        <is>
          <t>GARBANZOS SECOS</t>
        </is>
      </c>
      <c r="E1926" t="inlineStr">
        <is>
          <t xml:space="preserve">7798016190060       </t>
        </is>
      </c>
      <c r="F1926" s="11" t="n">
        <v>4023342</v>
      </c>
      <c r="G1926" t="inlineStr">
        <is>
          <t xml:space="preserve">GARBANZO X 400 G AGROMAR           </t>
        </is>
      </c>
      <c r="H1926" t="inlineStr">
        <is>
          <t xml:space="preserve">UNIDAD              </t>
        </is>
      </c>
      <c r="I1926" t="n">
        <v>82193</v>
      </c>
      <c r="J1926" t="n">
        <v>0</v>
      </c>
      <c r="K1926" t="n">
        <v>0</v>
      </c>
      <c r="L1926" t="n">
        <v>13</v>
      </c>
      <c r="M1926" t="n">
        <v>13</v>
      </c>
      <c r="N1926" t="n">
        <v>0</v>
      </c>
      <c r="O1926" t="n">
        <v>82167</v>
      </c>
      <c r="P1926" s="96">
        <f>_xlfn.XLOOKUP(Tabla5[[#This Row],[EAN CORREGIDO]],'Tabla Articulos'!B:B,'Tabla Articulos'!D:D)</f>
        <v/>
      </c>
      <c r="Q1926" s="96">
        <f>_xlfn.XLOOKUP(S1926,'Tabla Articulos'!B:B,'Tabla Articulos'!E:E)</f>
        <v/>
      </c>
      <c r="R1926" s="96">
        <f>O1926*Q1926</f>
        <v/>
      </c>
      <c r="S1926" s="97">
        <f>TRIM(E1926)</f>
        <v/>
      </c>
    </row>
    <row r="1927" hidden="1">
      <c r="A1927" s="22" t="n">
        <v>1</v>
      </c>
      <c r="B1927" t="inlineStr">
        <is>
          <t xml:space="preserve">CD MORENO                     </t>
        </is>
      </c>
      <c r="C1927" t="inlineStr">
        <is>
          <t xml:space="preserve">GRUPO L.                      </t>
        </is>
      </c>
      <c r="D1927" t="inlineStr">
        <is>
          <t>MERMELADA CIRUELA VIDRIO</t>
        </is>
      </c>
      <c r="E1927" t="inlineStr">
        <is>
          <t xml:space="preserve">7790580123437       </t>
        </is>
      </c>
      <c r="F1927" s="11" t="n">
        <v>4019847</v>
      </c>
      <c r="G1927" t="inlineStr">
        <is>
          <t xml:space="preserve">MERM CIRUELA VID X454G ARCOR       </t>
        </is>
      </c>
      <c r="H1927" t="inlineStr">
        <is>
          <t xml:space="preserve">UNIDAD              </t>
        </is>
      </c>
      <c r="I1927" t="n">
        <v>48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48</v>
      </c>
      <c r="P1927" s="96">
        <f>_xlfn.XLOOKUP(Tabla5[[#This Row],[EAN CORREGIDO]],'Tabla Articulos'!B:B,'Tabla Articulos'!D:D)</f>
        <v/>
      </c>
      <c r="Q1927" s="96">
        <f>_xlfn.XLOOKUP(S1927,'Tabla Articulos'!B:B,'Tabla Articulos'!E:E)</f>
        <v/>
      </c>
      <c r="R1927" s="96">
        <f>O1927*Q1927</f>
        <v/>
      </c>
      <c r="S1927" s="97">
        <f>TRIM(E1927)</f>
        <v/>
      </c>
    </row>
    <row r="1928" hidden="1">
      <c r="A1928" s="22" t="n">
        <v>1</v>
      </c>
      <c r="B1928" t="inlineStr">
        <is>
          <t xml:space="preserve">CD MORENO                     </t>
        </is>
      </c>
      <c r="C1928" t="inlineStr">
        <is>
          <t xml:space="preserve">GRUPO L.                      </t>
        </is>
      </c>
      <c r="D1928" t="inlineStr">
        <is>
          <t>AJI COLORADO</t>
        </is>
      </c>
      <c r="E1928" t="inlineStr">
        <is>
          <t xml:space="preserve">7790216012613       </t>
        </is>
      </c>
      <c r="F1928" s="11" t="n">
        <v>4017962</v>
      </c>
      <c r="G1928" t="inlineStr">
        <is>
          <t xml:space="preserve">MORRON COLORADO X KG               </t>
        </is>
      </c>
      <c r="H1928" t="inlineStr">
        <is>
          <t xml:space="preserve">Kgs                 </t>
        </is>
      </c>
      <c r="I1928" t="n">
        <v>101.563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101.563</v>
      </c>
      <c r="P1928" s="96">
        <f>_xlfn.XLOOKUP(Tabla5[[#This Row],[EAN CORREGIDO]],'Tabla Articulos'!B:B,'Tabla Articulos'!D:D)</f>
        <v/>
      </c>
      <c r="Q1928" s="96">
        <f>_xlfn.XLOOKUP(S1928,'Tabla Articulos'!B:B,'Tabla Articulos'!E:E)</f>
        <v/>
      </c>
      <c r="R1928" s="96">
        <f>O1928*Q1928</f>
        <v/>
      </c>
      <c r="S1928" s="97">
        <f>TRIM(E1928)</f>
        <v/>
      </c>
    </row>
    <row r="1929" hidden="1">
      <c r="A1929" s="22" t="n">
        <v>6</v>
      </c>
      <c r="B1929" t="inlineStr">
        <is>
          <t xml:space="preserve">CDM03 - MORENO 3              </t>
        </is>
      </c>
      <c r="C1929" t="inlineStr">
        <is>
          <t xml:space="preserve">GRUPO L.                      </t>
        </is>
      </c>
      <c r="D1929" s="11" t="n"/>
      <c r="E1929" t="inlineStr">
        <is>
          <t xml:space="preserve">UNIF000556          </t>
        </is>
      </c>
      <c r="F1929" s="11" t="n">
        <v>9003094</v>
      </c>
      <c r="G1929" t="inlineStr">
        <is>
          <t xml:space="preserve">PANTALON JEAN 48                   </t>
        </is>
      </c>
      <c r="H1929" t="inlineStr">
        <is>
          <t xml:space="preserve">UNIDAD              </t>
        </is>
      </c>
      <c r="I1929" t="n">
        <v>19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19</v>
      </c>
      <c r="P1929" s="96">
        <f>_xlfn.XLOOKUP(Tabla5[[#This Row],[EAN CORREGIDO]],'Tabla Articulos'!B:B,'Tabla Articulos'!D:D)</f>
        <v/>
      </c>
      <c r="Q1929" s="96">
        <f>_xlfn.XLOOKUP(S1929,'Tabla Articulos'!B:B,'Tabla Articulos'!E:E)</f>
        <v/>
      </c>
      <c r="R1929" s="96">
        <f>O1929*Q1929</f>
        <v/>
      </c>
      <c r="S1929" s="97">
        <f>TRIM(E1929)</f>
        <v/>
      </c>
    </row>
    <row r="1930" hidden="1">
      <c r="A1930" s="22" t="n">
        <v>5</v>
      </c>
      <c r="B1930" t="inlineStr">
        <is>
          <t xml:space="preserve">CDM02 - MORENO 2              </t>
        </is>
      </c>
      <c r="C1930" t="inlineStr">
        <is>
          <t xml:space="preserve">GRUPO L.                      </t>
        </is>
      </c>
      <c r="D1930" s="11" t="inlineStr">
        <is>
          <t>ESPUMANTES</t>
        </is>
      </c>
      <c r="E1930" t="inlineStr">
        <is>
          <t xml:space="preserve">7790154000027       </t>
        </is>
      </c>
      <c r="F1930" s="11" t="n">
        <v>4017305</v>
      </c>
      <c r="G1930" t="inlineStr">
        <is>
          <t xml:space="preserve">ANANA FIZZ X720ML DEL VALLE        </t>
        </is>
      </c>
      <c r="H1930" t="inlineStr">
        <is>
          <t xml:space="preserve">UNIDAD              </t>
        </is>
      </c>
      <c r="I1930" t="n">
        <v>79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79</v>
      </c>
      <c r="P1930" s="96">
        <f>_xlfn.XLOOKUP(Tabla5[[#This Row],[EAN CORREGIDO]],'Tabla Articulos'!B:B,'Tabla Articulos'!D:D)</f>
        <v/>
      </c>
      <c r="Q1930" s="96">
        <f>_xlfn.XLOOKUP(S1930,'Tabla Articulos'!B:B,'Tabla Articulos'!E:E)</f>
        <v/>
      </c>
      <c r="R1930" s="96">
        <f>O1930*Q1930</f>
        <v/>
      </c>
      <c r="S1930" s="97">
        <f>TRIM(E1930)</f>
        <v/>
      </c>
    </row>
    <row r="1931" hidden="1">
      <c r="A1931" s="22" t="n">
        <v>1</v>
      </c>
      <c r="B1931" t="inlineStr">
        <is>
          <t xml:space="preserve">CD MORENO                     </t>
        </is>
      </c>
      <c r="C1931" t="inlineStr">
        <is>
          <t xml:space="preserve">GRUPO L.                      </t>
        </is>
      </c>
      <c r="D1931" s="11" t="inlineStr">
        <is>
          <t>ATUN A/N ENTERO</t>
        </is>
      </c>
      <c r="E1931" t="inlineStr">
        <is>
          <t xml:space="preserve">7795933101186       </t>
        </is>
      </c>
      <c r="F1931" s="11" t="n">
        <v>4077191</v>
      </c>
      <c r="G1931" t="inlineStr">
        <is>
          <t xml:space="preserve">ATUN LOMITO NAT STACC 170GR BAHIA  </t>
        </is>
      </c>
      <c r="H1931" t="inlineStr">
        <is>
          <t xml:space="preserve">UNIDAD              </t>
        </is>
      </c>
      <c r="I1931" t="n">
        <v>1629</v>
      </c>
      <c r="J1931" t="n">
        <v>0</v>
      </c>
      <c r="K1931" t="n">
        <v>0</v>
      </c>
      <c r="L1931" t="n">
        <v>96</v>
      </c>
      <c r="M1931" t="n">
        <v>96</v>
      </c>
      <c r="N1931" t="n">
        <v>0</v>
      </c>
      <c r="O1931" t="n">
        <v>1437</v>
      </c>
      <c r="P1931" s="96">
        <f>_xlfn.XLOOKUP(Tabla5[[#This Row],[EAN CORREGIDO]],'Tabla Articulos'!B:B,'Tabla Articulos'!D:D)</f>
        <v/>
      </c>
      <c r="Q1931" s="96">
        <f>_xlfn.XLOOKUP(S1931,'Tabla Articulos'!B:B,'Tabla Articulos'!E:E)</f>
        <v/>
      </c>
      <c r="R1931" s="96">
        <f>O1931*Q1931</f>
        <v/>
      </c>
      <c r="S1931" s="97">
        <f>TRIM(E1931)</f>
        <v/>
      </c>
    </row>
    <row r="1932" hidden="1">
      <c r="A1932" s="22" t="n">
        <v>5</v>
      </c>
      <c r="B1932" t="inlineStr">
        <is>
          <t xml:space="preserve">CDM02 - MORENO 2              </t>
        </is>
      </c>
      <c r="C1932" t="inlineStr">
        <is>
          <t xml:space="preserve">GRUPO L.                      </t>
        </is>
      </c>
      <c r="D1932" t="inlineStr">
        <is>
          <t>ATUN A/N ENTERO</t>
        </is>
      </c>
      <c r="E1932" t="inlineStr">
        <is>
          <t xml:space="preserve">7795933101186       </t>
        </is>
      </c>
      <c r="F1932" s="11" t="n">
        <v>4077191</v>
      </c>
      <c r="G1932" t="inlineStr">
        <is>
          <t xml:space="preserve">ATUN LOMITO NAT STACC 170GR BAHIA  </t>
        </is>
      </c>
      <c r="H1932" t="inlineStr">
        <is>
          <t xml:space="preserve">UNIDAD              </t>
        </is>
      </c>
      <c r="I1932" t="n">
        <v>5688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5688</v>
      </c>
      <c r="P1932" s="96">
        <f>_xlfn.XLOOKUP(Tabla5[[#This Row],[EAN CORREGIDO]],'Tabla Articulos'!B:B,'Tabla Articulos'!D:D)</f>
        <v/>
      </c>
      <c r="Q1932" s="96">
        <f>_xlfn.XLOOKUP(S1932,'Tabla Articulos'!B:B,'Tabla Articulos'!E:E)</f>
        <v/>
      </c>
      <c r="R1932" s="96">
        <f>O1932*Q1932</f>
        <v/>
      </c>
      <c r="S1932" s="97">
        <f>TRIM(E1932)</f>
        <v/>
      </c>
    </row>
    <row r="1933" hidden="1">
      <c r="A1933" s="22" t="n">
        <v>6</v>
      </c>
      <c r="B1933" t="inlineStr">
        <is>
          <t xml:space="preserve">CDM03 - MORENO 3              </t>
        </is>
      </c>
      <c r="C1933" t="inlineStr">
        <is>
          <t xml:space="preserve">GRUPO L.                      </t>
        </is>
      </c>
      <c r="D1933" s="11" t="n"/>
      <c r="E1933" t="inlineStr">
        <is>
          <t xml:space="preserve">BAZ001162           </t>
        </is>
      </c>
      <c r="F1933" s="11" t="n">
        <v>9003735</v>
      </c>
      <c r="G1933" t="inlineStr">
        <is>
          <t xml:space="preserve">VASO OCTOGONAL POLICARB 300CC      </t>
        </is>
      </c>
      <c r="H1933" t="inlineStr">
        <is>
          <t xml:space="preserve">UNIDAD              </t>
        </is>
      </c>
      <c r="I1933" t="n">
        <v>5838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5838</v>
      </c>
      <c r="P1933" s="96">
        <f>_xlfn.XLOOKUP(Tabla5[[#This Row],[EAN CORREGIDO]],'Tabla Articulos'!B:B,'Tabla Articulos'!D:D)</f>
        <v/>
      </c>
      <c r="Q1933" s="96">
        <f>_xlfn.XLOOKUP(S1933,'Tabla Articulos'!B:B,'Tabla Articulos'!E:E)</f>
        <v/>
      </c>
      <c r="R1933" s="96">
        <f>O1933*Q1933</f>
        <v/>
      </c>
      <c r="S1933" s="97">
        <f>TRIM(E1933)</f>
        <v/>
      </c>
    </row>
    <row r="1934" hidden="1">
      <c r="A1934" s="22" t="n">
        <v>1</v>
      </c>
      <c r="B1934" t="inlineStr">
        <is>
          <t xml:space="preserve">CD MORENO                     </t>
        </is>
      </c>
      <c r="C1934" t="inlineStr">
        <is>
          <t xml:space="preserve">GRUPO L.                      </t>
        </is>
      </c>
      <c r="D1934" s="11" t="inlineStr">
        <is>
          <t>CARNE FETEADA</t>
        </is>
      </c>
      <c r="E1934" t="inlineStr">
        <is>
          <t xml:space="preserve">7790212030042       </t>
        </is>
      </c>
      <c r="F1934" s="11" t="n">
        <v>4017743</v>
      </c>
      <c r="G1934" t="inlineStr">
        <is>
          <t xml:space="preserve">CUADRADA FETEADA X KG              </t>
        </is>
      </c>
      <c r="H1934" t="inlineStr">
        <is>
          <t xml:space="preserve">Kgs                 </t>
        </is>
      </c>
      <c r="I1934" t="n">
        <v>6882.75</v>
      </c>
      <c r="J1934" t="n">
        <v>0</v>
      </c>
      <c r="K1934" t="n">
        <v>0</v>
      </c>
      <c r="L1934" t="n">
        <v>41.46</v>
      </c>
      <c r="M1934" t="n">
        <v>90.45999999999999</v>
      </c>
      <c r="N1934" t="n">
        <v>0</v>
      </c>
      <c r="O1934" t="n">
        <v>6750.83</v>
      </c>
      <c r="P1934" s="96">
        <f>_xlfn.XLOOKUP(Tabla5[[#This Row],[EAN CORREGIDO]],'Tabla Articulos'!B:B,'Tabla Articulos'!D:D)</f>
        <v/>
      </c>
      <c r="Q1934" s="96">
        <f>_xlfn.XLOOKUP(S1934,'Tabla Articulos'!B:B,'Tabla Articulos'!E:E)</f>
        <v/>
      </c>
      <c r="R1934" s="96">
        <f>O1934*Q1934</f>
        <v/>
      </c>
      <c r="S1934" s="97">
        <f>TRIM(E1934)</f>
        <v/>
      </c>
    </row>
    <row r="1935" hidden="1">
      <c r="A1935" s="22" t="n">
        <v>6</v>
      </c>
      <c r="B1935" t="inlineStr">
        <is>
          <t xml:space="preserve">CDM03 - MORENO 3              </t>
        </is>
      </c>
      <c r="C1935" t="inlineStr">
        <is>
          <t xml:space="preserve">GRUPO L.                      </t>
        </is>
      </c>
      <c r="D1935" s="11" t="n"/>
      <c r="E1935" t="inlineStr">
        <is>
          <t xml:space="preserve">BUM306              </t>
        </is>
      </c>
      <c r="F1935" s="11" t="n">
        <v>1000139</v>
      </c>
      <c r="G1935" t="inlineStr">
        <is>
          <t xml:space="preserve">TUBOS LED  LARGOS                  </t>
        </is>
      </c>
      <c r="H1935" t="inlineStr">
        <is>
          <t xml:space="preserve">UNIDAD              </t>
        </is>
      </c>
      <c r="I1935" t="n">
        <v>92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92</v>
      </c>
      <c r="P1935" s="96">
        <f>_xlfn.XLOOKUP(Tabla5[[#This Row],[EAN CORREGIDO]],'Tabla Articulos'!B:B,'Tabla Articulos'!D:D)</f>
        <v/>
      </c>
      <c r="Q1935" s="96">
        <f>_xlfn.XLOOKUP(S1935,'Tabla Articulos'!B:B,'Tabla Articulos'!E:E)</f>
        <v/>
      </c>
      <c r="R1935" s="96">
        <f>O1935*Q1935</f>
        <v/>
      </c>
      <c r="S1935" s="97">
        <f>TRIM(E1935)</f>
        <v/>
      </c>
    </row>
    <row r="1936" hidden="1">
      <c r="A1936" s="22" t="n">
        <v>6</v>
      </c>
      <c r="B1936" t="inlineStr">
        <is>
          <t xml:space="preserve">CDM03 - MORENO 3              </t>
        </is>
      </c>
      <c r="C1936" t="inlineStr">
        <is>
          <t xml:space="preserve">GRUPO L.                      </t>
        </is>
      </c>
      <c r="D1936" s="11" t="n"/>
      <c r="E1936" t="inlineStr">
        <is>
          <t xml:space="preserve">UNIF000739          </t>
        </is>
      </c>
      <c r="F1936" s="11" t="n">
        <v>9004193</v>
      </c>
      <c r="G1936" t="inlineStr">
        <is>
          <t xml:space="preserve">CHAQUETA CHEF BLUE CAFÉ L          </t>
        </is>
      </c>
      <c r="H1936" t="inlineStr">
        <is>
          <t xml:space="preserve">UNIDAD              </t>
        </is>
      </c>
      <c r="I1936" t="n">
        <v>24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24</v>
      </c>
      <c r="P1936" s="96">
        <f>_xlfn.XLOOKUP(Tabla5[[#This Row],[EAN CORREGIDO]],'Tabla Articulos'!B:B,'Tabla Articulos'!D:D)</f>
        <v/>
      </c>
      <c r="Q1936" s="96">
        <f>_xlfn.XLOOKUP(S1936,'Tabla Articulos'!B:B,'Tabla Articulos'!E:E)</f>
        <v/>
      </c>
      <c r="R1936" s="96">
        <f>O1936*Q1936</f>
        <v/>
      </c>
      <c r="S1936" s="97">
        <f>TRIM(E1936)</f>
        <v/>
      </c>
    </row>
    <row r="1937" hidden="1">
      <c r="A1937" s="22" t="n">
        <v>1</v>
      </c>
      <c r="B1937" t="inlineStr">
        <is>
          <t xml:space="preserve">CD MORENO                     </t>
        </is>
      </c>
      <c r="C1937" t="inlineStr">
        <is>
          <t xml:space="preserve">GRUPO L.                      </t>
        </is>
      </c>
      <c r="D1937" s="11" t="inlineStr">
        <is>
          <t>CONDIM P/PIZZA</t>
        </is>
      </c>
      <c r="E1937" t="inlineStr">
        <is>
          <t xml:space="preserve">7793875360104       </t>
        </is>
      </c>
      <c r="F1937" s="11" t="n">
        <v>4020628</v>
      </c>
      <c r="G1937" t="inlineStr">
        <is>
          <t xml:space="preserve">CONDIMENTO P/PIZZA X 25G AROMAS    </t>
        </is>
      </c>
      <c r="H1937" t="inlineStr">
        <is>
          <t xml:space="preserve">UNIDAD              </t>
        </is>
      </c>
      <c r="I1937" t="n">
        <v>600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600</v>
      </c>
      <c r="P1937" s="96">
        <f>_xlfn.XLOOKUP(Tabla5[[#This Row],[EAN CORREGIDO]],'Tabla Articulos'!B:B,'Tabla Articulos'!D:D)</f>
        <v/>
      </c>
      <c r="Q1937" s="96">
        <f>_xlfn.XLOOKUP(S1937,'Tabla Articulos'!B:B,'Tabla Articulos'!E:E)</f>
        <v/>
      </c>
      <c r="R1937" s="96">
        <f>O1937*Q1937</f>
        <v/>
      </c>
      <c r="S1937" s="97">
        <f>TRIM(E1937)</f>
        <v/>
      </c>
    </row>
    <row r="1938" hidden="1">
      <c r="A1938" s="22" t="n">
        <v>1</v>
      </c>
      <c r="B1938" t="inlineStr">
        <is>
          <t xml:space="preserve">CD MORENO                     </t>
        </is>
      </c>
      <c r="C1938" t="inlineStr">
        <is>
          <t xml:space="preserve">GRUPO L.                      </t>
        </is>
      </c>
      <c r="D1938" t="inlineStr">
        <is>
          <t>CHAUCHA CONGELADA</t>
        </is>
      </c>
      <c r="E1938" t="inlineStr">
        <is>
          <t xml:space="preserve">7798184272728       </t>
        </is>
      </c>
      <c r="F1938" s="11" t="n">
        <v>4048950</v>
      </c>
      <c r="G1938" t="inlineStr">
        <is>
          <t xml:space="preserve">CHAUCHA TROZ CONG X500GR BIOMAC    </t>
        </is>
      </c>
      <c r="H1938" t="inlineStr">
        <is>
          <t xml:space="preserve">UNIDAD              </t>
        </is>
      </c>
      <c r="I1938" t="n">
        <v>16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16</v>
      </c>
      <c r="P1938" s="96">
        <f>_xlfn.XLOOKUP(Tabla5[[#This Row],[EAN CORREGIDO]],'Tabla Articulos'!B:B,'Tabla Articulos'!D:D)</f>
        <v/>
      </c>
      <c r="Q1938" s="96">
        <f>_xlfn.XLOOKUP(S1938,'Tabla Articulos'!B:B,'Tabla Articulos'!E:E)</f>
        <v/>
      </c>
      <c r="R1938" s="96">
        <f>O1938*Q1938</f>
        <v/>
      </c>
      <c r="S1938" s="97">
        <f>TRIM(E1938)</f>
        <v/>
      </c>
    </row>
    <row r="1939" hidden="1">
      <c r="A1939" s="22" t="n">
        <v>5</v>
      </c>
      <c r="B1939" t="inlineStr">
        <is>
          <t xml:space="preserve">CDM02 - MORENO 2              </t>
        </is>
      </c>
      <c r="C1939" t="inlineStr">
        <is>
          <t xml:space="preserve">GRUPO L.                      </t>
        </is>
      </c>
      <c r="D1939" t="inlineStr">
        <is>
          <t>CAJA NAVIDEÑA</t>
        </is>
      </c>
      <c r="E1939" t="inlineStr">
        <is>
          <t xml:space="preserve">7798094535580       </t>
        </is>
      </c>
      <c r="F1939" s="11" t="n">
        <v>2006677</v>
      </c>
      <c r="G1939" t="inlineStr">
        <is>
          <t xml:space="preserve">CAJA NAVIDEÑA 300X160X340XU        </t>
        </is>
      </c>
      <c r="H1939" t="inlineStr">
        <is>
          <t xml:space="preserve">UNIDAD              </t>
        </is>
      </c>
      <c r="I1939" t="n">
        <v>9655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9655</v>
      </c>
      <c r="P1939" s="96">
        <f>_xlfn.XLOOKUP(Tabla5[[#This Row],[EAN CORREGIDO]],'Tabla Articulos'!B:B,'Tabla Articulos'!D:D)</f>
        <v/>
      </c>
      <c r="Q1939" s="96">
        <f>_xlfn.XLOOKUP(S1939,'Tabla Articulos'!B:B,'Tabla Articulos'!E:E)</f>
        <v/>
      </c>
      <c r="R1939" s="96">
        <f>O1939*Q1939</f>
        <v/>
      </c>
      <c r="S1939" s="97">
        <f>TRIM(E1939)</f>
        <v/>
      </c>
    </row>
    <row r="1940" hidden="1">
      <c r="A1940" s="22" t="n">
        <v>6</v>
      </c>
      <c r="B1940" t="inlineStr">
        <is>
          <t xml:space="preserve">CDM03 - MORENO 3              </t>
        </is>
      </c>
      <c r="C1940" t="inlineStr">
        <is>
          <t xml:space="preserve">GRUPO L.                      </t>
        </is>
      </c>
      <c r="D1940" t="inlineStr">
        <is>
          <t>PALA CON CABO</t>
        </is>
      </c>
      <c r="E1940" t="inlineStr">
        <is>
          <t xml:space="preserve">7798065720102       </t>
        </is>
      </c>
      <c r="F1940" s="11" t="n">
        <v>2006311</v>
      </c>
      <c r="G1940" t="inlineStr">
        <is>
          <t xml:space="preserve">PALA PLASTICA C/ CABO X U          </t>
        </is>
      </c>
      <c r="H1940" t="inlineStr">
        <is>
          <t xml:space="preserve">UNIDAD              </t>
        </is>
      </c>
      <c r="I1940" t="n">
        <v>7366</v>
      </c>
      <c r="J1940" t="n">
        <v>480</v>
      </c>
      <c r="K1940" t="n">
        <v>0</v>
      </c>
      <c r="L1940" t="n">
        <v>147</v>
      </c>
      <c r="M1940" t="n">
        <v>147</v>
      </c>
      <c r="N1940" t="n">
        <v>0</v>
      </c>
      <c r="O1940" t="n">
        <v>7552</v>
      </c>
      <c r="P1940" s="96">
        <f>_xlfn.XLOOKUP(Tabla5[[#This Row],[EAN CORREGIDO]],'Tabla Articulos'!B:B,'Tabla Articulos'!D:D)</f>
        <v/>
      </c>
      <c r="Q1940" s="96">
        <f>_xlfn.XLOOKUP(S1940,'Tabla Articulos'!B:B,'Tabla Articulos'!E:E)</f>
        <v/>
      </c>
      <c r="R1940" s="96">
        <f>O1940*Q1940</f>
        <v/>
      </c>
      <c r="S1940" s="97">
        <f>TRIM(E1940)</f>
        <v/>
      </c>
    </row>
    <row r="1941" hidden="1">
      <c r="A1941" s="22" t="n">
        <v>6</v>
      </c>
      <c r="B1941" t="inlineStr">
        <is>
          <t xml:space="preserve">CDM03 - MORENO 3              </t>
        </is>
      </c>
      <c r="C1941" t="inlineStr">
        <is>
          <t xml:space="preserve">GRUPO L.                      </t>
        </is>
      </c>
      <c r="D1941" s="11" t="n"/>
      <c r="E1941" t="inlineStr">
        <is>
          <t xml:space="preserve">A1607C25T71         </t>
        </is>
      </c>
      <c r="F1941" s="11" t="n">
        <v>9003025</v>
      </c>
      <c r="G1941" t="inlineStr">
        <is>
          <t>GL ZAPATO SEG.NEG. 35/36 ATT CHUBUT</t>
        </is>
      </c>
      <c r="H1941" t="inlineStr">
        <is>
          <t xml:space="preserve">UNIDAD              </t>
        </is>
      </c>
      <c r="I1941" t="n">
        <v>104</v>
      </c>
      <c r="J1941" t="n">
        <v>0</v>
      </c>
      <c r="K1941" t="n">
        <v>0</v>
      </c>
      <c r="L1941" t="n">
        <v>12</v>
      </c>
      <c r="M1941" t="n">
        <v>12</v>
      </c>
      <c r="N1941" t="n">
        <v>0</v>
      </c>
      <c r="O1941" t="n">
        <v>80</v>
      </c>
      <c r="P1941" s="96">
        <f>_xlfn.XLOOKUP(Tabla5[[#This Row],[EAN CORREGIDO]],'Tabla Articulos'!B:B,'Tabla Articulos'!D:D)</f>
        <v/>
      </c>
      <c r="Q1941" s="96">
        <f>_xlfn.XLOOKUP(S1941,'Tabla Articulos'!B:B,'Tabla Articulos'!E:E)</f>
        <v/>
      </c>
      <c r="R1941" s="96">
        <f>O1941*Q1941</f>
        <v/>
      </c>
      <c r="S1941" s="97">
        <f>TRIM(E1941)</f>
        <v/>
      </c>
    </row>
    <row r="1942" hidden="1">
      <c r="A1942" s="22" t="n">
        <v>6</v>
      </c>
      <c r="B1942" t="inlineStr">
        <is>
          <t xml:space="preserve">CDM03 - MORENO 3              </t>
        </is>
      </c>
      <c r="C1942" t="inlineStr">
        <is>
          <t xml:space="preserve">GRUPO L.                      </t>
        </is>
      </c>
      <c r="D1942" s="11" t="inlineStr">
        <is>
          <t>LIMPIADOR VIDRIOS</t>
        </is>
      </c>
      <c r="E1942" t="inlineStr">
        <is>
          <t xml:space="preserve">7798057869604       </t>
        </is>
      </c>
      <c r="F1942" s="11" t="n">
        <v>2007411</v>
      </c>
      <c r="G1942" t="inlineStr">
        <is>
          <t xml:space="preserve">LIMPIAVIDRIOS VIEW 5L X4U JOHNSO   </t>
        </is>
      </c>
      <c r="H1942" t="inlineStr">
        <is>
          <t xml:space="preserve">UNIDAD              </t>
        </is>
      </c>
      <c r="I1942" t="n">
        <v>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6</v>
      </c>
      <c r="P1942" s="96">
        <f>_xlfn.XLOOKUP(Tabla5[[#This Row],[EAN CORREGIDO]],'Tabla Articulos'!B:B,'Tabla Articulos'!D:D)</f>
        <v/>
      </c>
      <c r="Q1942" s="96">
        <f>_xlfn.XLOOKUP(S1942,'Tabla Articulos'!B:B,'Tabla Articulos'!E:E)</f>
        <v/>
      </c>
      <c r="R1942" s="96">
        <f>O1942*Q1942</f>
        <v/>
      </c>
      <c r="S1942" s="97">
        <f>TRIM(E1942)</f>
        <v/>
      </c>
    </row>
    <row r="1943" hidden="1">
      <c r="A1943" s="22" t="n">
        <v>6</v>
      </c>
      <c r="B1943" t="inlineStr">
        <is>
          <t xml:space="preserve">CDM03 - MORENO 3              </t>
        </is>
      </c>
      <c r="C1943" t="inlineStr">
        <is>
          <t xml:space="preserve">GRUPO L.                      </t>
        </is>
      </c>
      <c r="D1943" s="11" t="inlineStr">
        <is>
          <t>CEPILLOS LIMPIEZA</t>
        </is>
      </c>
      <c r="E1943" t="inlineStr">
        <is>
          <t xml:space="preserve">7790411001366       </t>
        </is>
      </c>
      <c r="F1943" s="11" t="n">
        <v>2006870</v>
      </c>
      <c r="G1943" t="inlineStr">
        <is>
          <t xml:space="preserve">PANO PELO CHANCH TOSTAD P/PIS 20   </t>
        </is>
      </c>
      <c r="H1943" t="inlineStr">
        <is>
          <t xml:space="preserve">UNIDAD              </t>
        </is>
      </c>
      <c r="I1943" t="n">
        <v>32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32</v>
      </c>
      <c r="P1943" s="96">
        <f>_xlfn.XLOOKUP(Tabla5[[#This Row],[EAN CORREGIDO]],'Tabla Articulos'!B:B,'Tabla Articulos'!D:D)</f>
        <v/>
      </c>
      <c r="Q1943" s="96">
        <f>_xlfn.XLOOKUP(S1943,'Tabla Articulos'!B:B,'Tabla Articulos'!E:E)</f>
        <v/>
      </c>
      <c r="R1943" s="96">
        <f>O1943*Q1943</f>
        <v/>
      </c>
      <c r="S1943" s="97">
        <f>TRIM(E1943)</f>
        <v/>
      </c>
    </row>
    <row r="1944" hidden="1">
      <c r="A1944" s="22" t="n">
        <v>6</v>
      </c>
      <c r="B1944" t="inlineStr">
        <is>
          <t xml:space="preserve">CDM03 - MORENO 3              </t>
        </is>
      </c>
      <c r="C1944" t="inlineStr">
        <is>
          <t xml:space="preserve">GRUPO L.                      </t>
        </is>
      </c>
      <c r="D1944" s="11" t="n"/>
      <c r="E1944" t="inlineStr">
        <is>
          <t xml:space="preserve">BAZ001280           </t>
        </is>
      </c>
      <c r="F1944" s="11" t="n">
        <v>9003868</v>
      </c>
      <c r="G1944" t="inlineStr">
        <is>
          <t xml:space="preserve">COMPOTERA MELAMINA SOPA            </t>
        </is>
      </c>
      <c r="H1944" t="inlineStr">
        <is>
          <t xml:space="preserve">UNIDAD              </t>
        </is>
      </c>
      <c r="I1944" t="n">
        <v>498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498</v>
      </c>
      <c r="P1944" s="96">
        <f>_xlfn.XLOOKUP(Tabla5[[#This Row],[EAN CORREGIDO]],'Tabla Articulos'!B:B,'Tabla Articulos'!D:D)</f>
        <v/>
      </c>
      <c r="Q1944" s="96">
        <f>_xlfn.XLOOKUP(S1944,'Tabla Articulos'!B:B,'Tabla Articulos'!E:E)</f>
        <v/>
      </c>
      <c r="R1944" s="96">
        <f>O1944*Q1944</f>
        <v/>
      </c>
      <c r="S1944" s="97">
        <f>TRIM(E1944)</f>
        <v/>
      </c>
    </row>
    <row r="1945" hidden="1">
      <c r="A1945" s="22" t="n">
        <v>6</v>
      </c>
      <c r="B1945" t="inlineStr">
        <is>
          <t xml:space="preserve">CDM03 - MORENO 3              </t>
        </is>
      </c>
      <c r="C1945" t="inlineStr">
        <is>
          <t xml:space="preserve">GRUPO L.                      </t>
        </is>
      </c>
      <c r="D1945" s="11" t="n"/>
      <c r="E1945" t="inlineStr">
        <is>
          <t xml:space="preserve">BUSAT000861         </t>
        </is>
      </c>
      <c r="F1945" s="11" t="n"/>
      <c r="G1945" t="inlineStr">
        <is>
          <t xml:space="preserve">CARRO BANDEJERO PLASTICO           </t>
        </is>
      </c>
      <c r="H1945" t="inlineStr">
        <is>
          <t xml:space="preserve">UNIDAD              </t>
        </is>
      </c>
      <c r="I1945" t="n">
        <v>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1</v>
      </c>
      <c r="P1945" s="96">
        <f>_xlfn.XLOOKUP(Tabla5[[#This Row],[EAN CORREGIDO]],'Tabla Articulos'!B:B,'Tabla Articulos'!D:D)</f>
        <v/>
      </c>
      <c r="Q1945" s="96">
        <f>_xlfn.XLOOKUP(S1945,'Tabla Articulos'!B:B,'Tabla Articulos'!E:E)</f>
        <v/>
      </c>
      <c r="R1945" s="96">
        <f>O1945*Q1945</f>
        <v/>
      </c>
      <c r="S1945" s="97">
        <f>TRIM(E1945)</f>
        <v/>
      </c>
    </row>
    <row r="1946" hidden="1">
      <c r="A1946" s="22" t="n">
        <v>6</v>
      </c>
      <c r="B1946" t="inlineStr">
        <is>
          <t xml:space="preserve">CDM03 - MORENO 3              </t>
        </is>
      </c>
      <c r="C1946" t="inlineStr">
        <is>
          <t xml:space="preserve">GRUPO L.                      </t>
        </is>
      </c>
      <c r="D1946" s="11" t="n"/>
      <c r="E1946" t="inlineStr">
        <is>
          <t xml:space="preserve">BUSAT000644         </t>
        </is>
      </c>
      <c r="F1946" s="11" t="n"/>
      <c r="G1946" t="inlineStr">
        <is>
          <t xml:space="preserve">CINTA DE CAPITAN                   </t>
        </is>
      </c>
      <c r="H1946" t="inlineStr">
        <is>
          <t xml:space="preserve">UNIDAD              </t>
        </is>
      </c>
      <c r="I1946" t="n">
        <v>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4</v>
      </c>
      <c r="P1946" s="96">
        <f>_xlfn.XLOOKUP(Tabla5[[#This Row],[EAN CORREGIDO]],'Tabla Articulos'!B:B,'Tabla Articulos'!D:D)</f>
        <v/>
      </c>
      <c r="Q1946" s="96">
        <f>_xlfn.XLOOKUP(S1946,'Tabla Articulos'!B:B,'Tabla Articulos'!E:E)</f>
        <v/>
      </c>
      <c r="R1946" s="96">
        <f>O1946*Q1946</f>
        <v/>
      </c>
      <c r="S1946" s="97">
        <f>TRIM(E1946)</f>
        <v/>
      </c>
    </row>
    <row r="1947" hidden="1">
      <c r="A1947" s="22" t="n">
        <v>6</v>
      </c>
      <c r="B1947" t="inlineStr">
        <is>
          <t xml:space="preserve">CDM03 - MORENO 3              </t>
        </is>
      </c>
      <c r="C1947" t="inlineStr">
        <is>
          <t xml:space="preserve">GRUPO L.                      </t>
        </is>
      </c>
      <c r="E1947" t="inlineStr">
        <is>
          <t xml:space="preserve">BUSAT000185         </t>
        </is>
      </c>
      <c r="F1947" s="11" t="n"/>
      <c r="G1947" t="inlineStr">
        <is>
          <t>CARROS CAZUELA 04 (EXPERENCIAS Y SA</t>
        </is>
      </c>
      <c r="H1947" t="inlineStr">
        <is>
          <t xml:space="preserve">UNIDAD              </t>
        </is>
      </c>
      <c r="I1947" t="n">
        <v>0</v>
      </c>
      <c r="J1947" t="n">
        <v>1</v>
      </c>
      <c r="K1947" t="n">
        <v>0</v>
      </c>
      <c r="L1947" t="n">
        <v>0</v>
      </c>
      <c r="M1947" t="n">
        <v>0</v>
      </c>
      <c r="N1947" t="n">
        <v>0</v>
      </c>
      <c r="O1947" t="n">
        <v>1</v>
      </c>
      <c r="P1947" s="96">
        <f>_xlfn.XLOOKUP(Tabla5[[#This Row],[EAN CORREGIDO]],'Tabla Articulos'!B:B,'Tabla Articulos'!D:D)</f>
        <v/>
      </c>
      <c r="Q1947" s="96">
        <f>_xlfn.XLOOKUP(S1947,'Tabla Articulos'!B:B,'Tabla Articulos'!E:E)</f>
        <v/>
      </c>
      <c r="R1947" s="96">
        <f>O1947*Q1947</f>
        <v/>
      </c>
      <c r="S1947" s="97">
        <f>TRIM(E1947)</f>
        <v/>
      </c>
    </row>
    <row r="1948" hidden="1">
      <c r="A1948" s="22" t="n">
        <v>6</v>
      </c>
      <c r="B1948" t="inlineStr">
        <is>
          <t xml:space="preserve">CDM03 - MORENO 3              </t>
        </is>
      </c>
      <c r="C1948" t="inlineStr">
        <is>
          <t xml:space="preserve">GRUPO L.                      </t>
        </is>
      </c>
      <c r="D1948" s="11" t="n"/>
      <c r="E1948" t="inlineStr">
        <is>
          <t xml:space="preserve">BUSAT000120         </t>
        </is>
      </c>
      <c r="F1948" s="11" t="n"/>
      <c r="G1948" t="inlineStr">
        <is>
          <t xml:space="preserve">BOWL ACERO INOXIDABLE MEADIANO     </t>
        </is>
      </c>
      <c r="H1948" t="inlineStr">
        <is>
          <t xml:space="preserve">UNIDAD              </t>
        </is>
      </c>
      <c r="I1948" t="n">
        <v>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4</v>
      </c>
      <c r="P1948" s="96">
        <f>_xlfn.XLOOKUP(Tabla5[[#This Row],[EAN CORREGIDO]],'Tabla Articulos'!B:B,'Tabla Articulos'!D:D)</f>
        <v/>
      </c>
      <c r="Q1948" s="96">
        <f>_xlfn.XLOOKUP(S1948,'Tabla Articulos'!B:B,'Tabla Articulos'!E:E)</f>
        <v/>
      </c>
      <c r="R1948" s="96">
        <f>O1948*Q1948</f>
        <v/>
      </c>
      <c r="S1948" s="97">
        <f>TRIM(E1948)</f>
        <v/>
      </c>
    </row>
    <row r="1949" hidden="1">
      <c r="A1949" s="22" t="n">
        <v>6</v>
      </c>
      <c r="B1949" t="inlineStr">
        <is>
          <t xml:space="preserve">CDM03 - MORENO 3              </t>
        </is>
      </c>
      <c r="C1949" t="inlineStr">
        <is>
          <t xml:space="preserve">GRUPO L.                      </t>
        </is>
      </c>
      <c r="D1949" s="11" t="n"/>
      <c r="E1949" t="inlineStr">
        <is>
          <t xml:space="preserve">BUE00257            </t>
        </is>
      </c>
      <c r="F1949" s="11" t="n"/>
      <c r="G1949" t="inlineStr">
        <is>
          <t xml:space="preserve">HELADERA MOSTRADOR M 4200 1,80 MTS </t>
        </is>
      </c>
      <c r="H1949" t="inlineStr">
        <is>
          <t xml:space="preserve">UNIDAD              </t>
        </is>
      </c>
      <c r="I1949" t="n">
        <v>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1</v>
      </c>
      <c r="P1949" s="96">
        <f>_xlfn.XLOOKUP(Tabla5[[#This Row],[EAN CORREGIDO]],'Tabla Articulos'!B:B,'Tabla Articulos'!D:D)</f>
        <v/>
      </c>
      <c r="Q1949" s="96">
        <f>_xlfn.XLOOKUP(S1949,'Tabla Articulos'!B:B,'Tabla Articulos'!E:E)</f>
        <v/>
      </c>
      <c r="R1949" s="96">
        <f>O1949*Q1949</f>
        <v/>
      </c>
      <c r="S1949" s="97">
        <f>TRIM(E1949)</f>
        <v/>
      </c>
    </row>
    <row r="1950" hidden="1">
      <c r="A1950" s="22" t="n">
        <v>6</v>
      </c>
      <c r="B1950" t="inlineStr">
        <is>
          <t xml:space="preserve">CDM03 - MORENO 3              </t>
        </is>
      </c>
      <c r="C1950" t="inlineStr">
        <is>
          <t xml:space="preserve">GRUPO L.                      </t>
        </is>
      </c>
      <c r="D1950" s="11" t="n"/>
      <c r="E1950" t="inlineStr">
        <is>
          <t xml:space="preserve">BUSAT000016         </t>
        </is>
      </c>
      <c r="F1950" s="11" t="n"/>
      <c r="G1950" t="inlineStr">
        <is>
          <t xml:space="preserve">RAYADOR CURVO ACERO INOXIDABLE X U </t>
        </is>
      </c>
      <c r="H1950" t="inlineStr">
        <is>
          <t xml:space="preserve">UNIDAD              </t>
        </is>
      </c>
      <c r="I1950" t="n">
        <v>2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2</v>
      </c>
      <c r="P1950" s="96">
        <f>_xlfn.XLOOKUP(Tabla5[[#This Row],[EAN CORREGIDO]],'Tabla Articulos'!B:B,'Tabla Articulos'!D:D)</f>
        <v/>
      </c>
      <c r="Q1950" s="96">
        <f>_xlfn.XLOOKUP(S1950,'Tabla Articulos'!B:B,'Tabla Articulos'!E:E)</f>
        <v/>
      </c>
      <c r="R1950" s="96">
        <f>O1950*Q1950</f>
        <v/>
      </c>
      <c r="S1950" s="97">
        <f>TRIM(E1950)</f>
        <v/>
      </c>
    </row>
    <row r="1951" hidden="1">
      <c r="A1951" s="22" t="n">
        <v>6</v>
      </c>
      <c r="B1951" t="inlineStr">
        <is>
          <t xml:space="preserve">CDM03 - MORENO 3              </t>
        </is>
      </c>
      <c r="C1951" t="inlineStr">
        <is>
          <t xml:space="preserve">GRUPO L.                      </t>
        </is>
      </c>
      <c r="D1951" s="11" t="n"/>
      <c r="E1951" t="inlineStr">
        <is>
          <t xml:space="preserve">BUSAT000885         </t>
        </is>
      </c>
      <c r="F1951" s="11" t="n"/>
      <c r="G1951" t="inlineStr">
        <is>
          <t xml:space="preserve">CILINDRO ACERO INOX MEADIANO       </t>
        </is>
      </c>
      <c r="H1951" t="inlineStr">
        <is>
          <t xml:space="preserve">UNIDAD              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1</v>
      </c>
      <c r="P1951" s="96">
        <f>_xlfn.XLOOKUP(Tabla5[[#This Row],[EAN CORREGIDO]],'Tabla Articulos'!B:B,'Tabla Articulos'!D:D)</f>
        <v/>
      </c>
      <c r="Q1951" s="96">
        <f>_xlfn.XLOOKUP(S1951,'Tabla Articulos'!B:B,'Tabla Articulos'!E:E)</f>
        <v/>
      </c>
      <c r="R1951" s="96">
        <f>O1951*Q1951</f>
        <v/>
      </c>
      <c r="S1951" s="97">
        <f>TRIM(E1951)</f>
        <v/>
      </c>
    </row>
    <row r="1952" hidden="1">
      <c r="A1952" s="22" t="n">
        <v>6</v>
      </c>
      <c r="B1952" t="inlineStr">
        <is>
          <t xml:space="preserve">CDM03 - MORENO 3              </t>
        </is>
      </c>
      <c r="C1952" t="inlineStr">
        <is>
          <t xml:space="preserve">GRUPO L.                      </t>
        </is>
      </c>
      <c r="D1952" s="11" t="n"/>
      <c r="E1952" t="inlineStr">
        <is>
          <t xml:space="preserve">BUSAT000991         </t>
        </is>
      </c>
      <c r="F1952" s="11" t="n"/>
      <c r="G1952" t="inlineStr">
        <is>
          <t xml:space="preserve">C TASLAN C/MANGA DESMONTABLE L     </t>
        </is>
      </c>
      <c r="H1952" t="inlineStr">
        <is>
          <t xml:space="preserve">UNIDAD              </t>
        </is>
      </c>
      <c r="I1952" t="n">
        <v>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6</v>
      </c>
      <c r="P1952" s="96">
        <f>_xlfn.XLOOKUP(Tabla5[[#This Row],[EAN CORREGIDO]],'Tabla Articulos'!B:B,'Tabla Articulos'!D:D)</f>
        <v/>
      </c>
      <c r="Q1952" s="96">
        <f>_xlfn.XLOOKUP(S1952,'Tabla Articulos'!B:B,'Tabla Articulos'!E:E)</f>
        <v/>
      </c>
      <c r="R1952" s="96">
        <f>O1952*Q1952</f>
        <v/>
      </c>
      <c r="S1952" s="97">
        <f>TRIM(E1952)</f>
        <v/>
      </c>
    </row>
    <row r="1953" hidden="1">
      <c r="A1953" s="22" t="n">
        <v>6</v>
      </c>
      <c r="B1953" t="inlineStr">
        <is>
          <t xml:space="preserve">CDM03 - MORENO 3              </t>
        </is>
      </c>
      <c r="C1953" t="inlineStr">
        <is>
          <t xml:space="preserve">GRUPO L.                      </t>
        </is>
      </c>
      <c r="D1953" s="11" t="n"/>
      <c r="E1953" t="inlineStr">
        <is>
          <t xml:space="preserve">BUSAT000945         </t>
        </is>
      </c>
      <c r="F1953" s="11" t="n"/>
      <c r="G1953" t="inlineStr">
        <is>
          <t xml:space="preserve">ZAPATOS OMBU TALLE 48              </t>
        </is>
      </c>
      <c r="H1953" t="inlineStr">
        <is>
          <t xml:space="preserve">UNIDAD              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1</v>
      </c>
      <c r="P1953" s="96">
        <f>_xlfn.XLOOKUP(Tabla5[[#This Row],[EAN CORREGIDO]],'Tabla Articulos'!B:B,'Tabla Articulos'!D:D)</f>
        <v/>
      </c>
      <c r="Q1953" s="96">
        <f>_xlfn.XLOOKUP(S1953,'Tabla Articulos'!B:B,'Tabla Articulos'!E:E)</f>
        <v/>
      </c>
      <c r="R1953" s="96">
        <f>O1953*Q1953</f>
        <v/>
      </c>
      <c r="S1953" s="97">
        <f>TRIM(E1953)</f>
        <v/>
      </c>
    </row>
    <row r="1954" hidden="1">
      <c r="A1954" s="22" t="n">
        <v>1</v>
      </c>
      <c r="B1954" t="inlineStr">
        <is>
          <t xml:space="preserve">CD MORENO                     </t>
        </is>
      </c>
      <c r="C1954" t="inlineStr">
        <is>
          <t xml:space="preserve">GRUPO L.                      </t>
        </is>
      </c>
      <c r="D1954" s="11" t="n"/>
      <c r="E1954" t="inlineStr">
        <is>
          <t xml:space="preserve">0754697522108       </t>
        </is>
      </c>
      <c r="F1954" s="11" t="n"/>
      <c r="G1954" t="inlineStr">
        <is>
          <t>VO PIMIENTA BLANCA MOLX250 LA PARME</t>
        </is>
      </c>
      <c r="H1954" t="inlineStr">
        <is>
          <t xml:space="preserve">UNIDAD              </t>
        </is>
      </c>
      <c r="I1954" t="n">
        <v>36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36</v>
      </c>
      <c r="P1954" s="96">
        <f>_xlfn.XLOOKUP(Tabla5[[#This Row],[EAN CORREGIDO]],'Tabla Articulos'!B:B,'Tabla Articulos'!D:D)</f>
        <v/>
      </c>
      <c r="Q1954" s="96">
        <f>_xlfn.XLOOKUP(S1954,'Tabla Articulos'!B:B,'Tabla Articulos'!E:E)</f>
        <v/>
      </c>
      <c r="R1954" s="96">
        <f>O1954*Q1954</f>
        <v/>
      </c>
      <c r="S1954" s="97">
        <f>TRIM(E1954)</f>
        <v/>
      </c>
    </row>
    <row r="1955" hidden="1">
      <c r="A1955" s="22" t="n">
        <v>6</v>
      </c>
      <c r="B1955" t="inlineStr">
        <is>
          <t xml:space="preserve">CDM03 - MORENO 3              </t>
        </is>
      </c>
      <c r="C1955" t="inlineStr">
        <is>
          <t xml:space="preserve">GRUPO L.                      </t>
        </is>
      </c>
      <c r="E1955" t="inlineStr">
        <is>
          <t xml:space="preserve">BUSAT000911         </t>
        </is>
      </c>
      <c r="F1955" s="11" t="n"/>
      <c r="G1955" t="inlineStr">
        <is>
          <t xml:space="preserve">BOWL BATIDOR PEABODY               </t>
        </is>
      </c>
      <c r="H1955" t="inlineStr">
        <is>
          <t xml:space="preserve">UNIDAD              </t>
        </is>
      </c>
      <c r="I1955" t="n">
        <v>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2</v>
      </c>
      <c r="P1955" s="96">
        <f>_xlfn.XLOOKUP(Tabla5[[#This Row],[EAN CORREGIDO]],'Tabla Articulos'!B:B,'Tabla Articulos'!D:D)</f>
        <v/>
      </c>
      <c r="Q1955" s="96">
        <f>_xlfn.XLOOKUP(S1955,'Tabla Articulos'!B:B,'Tabla Articulos'!E:E)</f>
        <v/>
      </c>
      <c r="R1955" s="96">
        <f>O1955*Q1955</f>
        <v/>
      </c>
      <c r="S1955" s="97">
        <f>TRIM(E1955)</f>
        <v/>
      </c>
    </row>
    <row r="1956" hidden="1">
      <c r="A1956" s="22" t="n">
        <v>1</v>
      </c>
      <c r="B1956" t="inlineStr">
        <is>
          <t xml:space="preserve">CD MORENO                     </t>
        </is>
      </c>
      <c r="C1956" t="inlineStr">
        <is>
          <t xml:space="preserve">GRUPO L.                      </t>
        </is>
      </c>
      <c r="D1956" t="inlineStr">
        <is>
          <t>MATE COCIDO SAQ S/TACC</t>
        </is>
      </c>
      <c r="E1956" t="inlineStr">
        <is>
          <t xml:space="preserve">7792198006638       </t>
        </is>
      </c>
      <c r="F1956" s="11" t="n">
        <v>4022289</v>
      </c>
      <c r="G1956" t="inlineStr">
        <is>
          <t xml:space="preserve">MATE COC EN SAQ X25U NATURA	       </t>
        </is>
      </c>
      <c r="H1956" t="inlineStr">
        <is>
          <t xml:space="preserve">UNIDAD              </t>
        </is>
      </c>
      <c r="I1956" t="n">
        <v>7649</v>
      </c>
      <c r="J1956" t="n">
        <v>0</v>
      </c>
      <c r="K1956" t="n">
        <v>0</v>
      </c>
      <c r="L1956" t="n">
        <v>0</v>
      </c>
      <c r="M1956" t="n">
        <v>0</v>
      </c>
      <c r="N1956" t="n">
        <v>502</v>
      </c>
      <c r="O1956" t="n">
        <v>7147</v>
      </c>
      <c r="P1956" s="96">
        <f>_xlfn.XLOOKUP(Tabla5[[#This Row],[EAN CORREGIDO]],'Tabla Articulos'!B:B,'Tabla Articulos'!D:D)</f>
        <v/>
      </c>
      <c r="Q1956" s="96">
        <f>_xlfn.XLOOKUP(S1956,'Tabla Articulos'!B:B,'Tabla Articulos'!E:E)</f>
        <v/>
      </c>
      <c r="R1956" s="96">
        <f>O1956*Q1956</f>
        <v/>
      </c>
      <c r="S1956" s="97">
        <f>TRIM(E1956)</f>
        <v/>
      </c>
    </row>
    <row r="1957" hidden="1">
      <c r="A1957" s="22" t="n">
        <v>5</v>
      </c>
      <c r="B1957" t="inlineStr">
        <is>
          <t xml:space="preserve">CDM02 - MORENO 2              </t>
        </is>
      </c>
      <c r="C1957" t="inlineStr">
        <is>
          <t xml:space="preserve">GRUPO L.                      </t>
        </is>
      </c>
      <c r="D1957" t="inlineStr">
        <is>
          <t>MATE COCIDO SAQ S/TACC</t>
        </is>
      </c>
      <c r="E1957" t="inlineStr">
        <is>
          <t xml:space="preserve">7792198006638       </t>
        </is>
      </c>
      <c r="F1957" s="11" t="n">
        <v>4022289</v>
      </c>
      <c r="G1957" t="inlineStr">
        <is>
          <t xml:space="preserve">MATE COC EN SAQ X25U NATURA	       </t>
        </is>
      </c>
      <c r="H1957" t="inlineStr">
        <is>
          <t xml:space="preserve">UNIDAD              </t>
        </is>
      </c>
      <c r="I1957" t="n">
        <v>60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60</v>
      </c>
      <c r="P1957" s="96">
        <f>_xlfn.XLOOKUP(Tabla5[[#This Row],[EAN CORREGIDO]],'Tabla Articulos'!B:B,'Tabla Articulos'!D:D)</f>
        <v/>
      </c>
      <c r="Q1957" s="96">
        <f>_xlfn.XLOOKUP(S1957,'Tabla Articulos'!B:B,'Tabla Articulos'!E:E)</f>
        <v/>
      </c>
      <c r="R1957" s="96">
        <f>O1957*Q1957</f>
        <v/>
      </c>
      <c r="S1957" s="97">
        <f>TRIM(E1957)</f>
        <v/>
      </c>
    </row>
    <row r="1958" hidden="1">
      <c r="A1958" s="22" t="n">
        <v>6</v>
      </c>
      <c r="B1958" t="inlineStr">
        <is>
          <t xml:space="preserve">CDM03 - MORENO 3              </t>
        </is>
      </c>
      <c r="C1958" t="inlineStr">
        <is>
          <t xml:space="preserve">GRUPO L.                      </t>
        </is>
      </c>
      <c r="D1958" s="11" t="inlineStr">
        <is>
          <t>SECADORES PISO</t>
        </is>
      </c>
      <c r="E1958" t="inlineStr">
        <is>
          <t xml:space="preserve">LIM000239           </t>
        </is>
      </c>
      <c r="F1958" s="11" t="n">
        <v>2006559</v>
      </c>
      <c r="G1958" t="inlineStr">
        <is>
          <t xml:space="preserve">SECADOR DE PISO X 40 CM            </t>
        </is>
      </c>
      <c r="H1958" t="inlineStr">
        <is>
          <t xml:space="preserve">UNIDAD              </t>
        </is>
      </c>
      <c r="I1958" t="n">
        <v>3138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3138</v>
      </c>
      <c r="P1958" s="96">
        <f>_xlfn.XLOOKUP(Tabla5[[#This Row],[EAN CORREGIDO]],'Tabla Articulos'!B:B,'Tabla Articulos'!D:D)</f>
        <v/>
      </c>
      <c r="Q1958" s="96">
        <f>_xlfn.XLOOKUP(S1958,'Tabla Articulos'!B:B,'Tabla Articulos'!E:E)</f>
        <v/>
      </c>
      <c r="R1958" s="96">
        <f>O1958*Q1958</f>
        <v/>
      </c>
      <c r="S1958" s="97">
        <f>TRIM(E1958)</f>
        <v/>
      </c>
    </row>
    <row r="1959" hidden="1">
      <c r="A1959" s="22" t="n">
        <v>5</v>
      </c>
      <c r="B1959" t="inlineStr">
        <is>
          <t xml:space="preserve">CDM02 - MORENO 2              </t>
        </is>
      </c>
      <c r="C1959" t="inlineStr">
        <is>
          <t xml:space="preserve">GRUPO L.                      </t>
        </is>
      </c>
      <c r="D1959" s="11" t="inlineStr">
        <is>
          <t>TE SAQUITO</t>
        </is>
      </c>
      <c r="E1959" t="inlineStr">
        <is>
          <t xml:space="preserve">7796244000052       </t>
        </is>
      </c>
      <c r="F1959" s="11" t="n">
        <v>4020236</v>
      </c>
      <c r="G1959" t="inlineStr">
        <is>
          <t xml:space="preserve">TE EN SAQ X25U NORY                </t>
        </is>
      </c>
      <c r="H1959" t="inlineStr">
        <is>
          <t xml:space="preserve">UNIDAD              </t>
        </is>
      </c>
      <c r="I1959" t="n">
        <v>72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72</v>
      </c>
      <c r="P1959" s="96">
        <f>_xlfn.XLOOKUP(Tabla5[[#This Row],[EAN CORREGIDO]],'Tabla Articulos'!B:B,'Tabla Articulos'!D:D)</f>
        <v/>
      </c>
      <c r="Q1959" s="96">
        <f>_xlfn.XLOOKUP(S1959,'Tabla Articulos'!B:B,'Tabla Articulos'!E:E)</f>
        <v/>
      </c>
      <c r="R1959" s="96">
        <f>O1959*Q1959</f>
        <v/>
      </c>
      <c r="S1959" s="97">
        <f>TRIM(E1959)</f>
        <v/>
      </c>
    </row>
    <row r="1960" hidden="1">
      <c r="A1960" s="22" t="n">
        <v>6</v>
      </c>
      <c r="B1960" t="inlineStr">
        <is>
          <t xml:space="preserve">CDM03 - MORENO 3              </t>
        </is>
      </c>
      <c r="C1960" t="inlineStr">
        <is>
          <t xml:space="preserve">GRUPO L.                      </t>
        </is>
      </c>
      <c r="D1960" s="11" t="n"/>
      <c r="E1960" t="inlineStr">
        <is>
          <t xml:space="preserve">UNIF000741          </t>
        </is>
      </c>
      <c r="F1960" s="11" t="n">
        <v>9004195</v>
      </c>
      <c r="G1960" t="inlineStr">
        <is>
          <t xml:space="preserve">CHAQUETA CHEF BLUE CAFÉ XXL        </t>
        </is>
      </c>
      <c r="H1960" t="inlineStr">
        <is>
          <t xml:space="preserve">UNIDAD              </t>
        </is>
      </c>
      <c r="I1960" t="n">
        <v>10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10</v>
      </c>
      <c r="P1960" s="96">
        <f>_xlfn.XLOOKUP(Tabla5[[#This Row],[EAN CORREGIDO]],'Tabla Articulos'!B:B,'Tabla Articulos'!D:D)</f>
        <v/>
      </c>
      <c r="Q1960" s="96">
        <f>_xlfn.XLOOKUP(S1960,'Tabla Articulos'!B:B,'Tabla Articulos'!E:E)</f>
        <v/>
      </c>
      <c r="R1960" s="96">
        <f>O1960*Q1960</f>
        <v/>
      </c>
      <c r="S1960" s="97">
        <f>TRIM(E1960)</f>
        <v/>
      </c>
    </row>
    <row r="1961" hidden="1">
      <c r="A1961" s="22" t="n">
        <v>6</v>
      </c>
      <c r="B1961" t="inlineStr">
        <is>
          <t xml:space="preserve">CDM03 - MORENO 3              </t>
        </is>
      </c>
      <c r="C1961" t="inlineStr">
        <is>
          <t xml:space="preserve">GRUPO L.                      </t>
        </is>
      </c>
      <c r="D1961" s="11" t="n"/>
      <c r="E1961" t="inlineStr">
        <is>
          <t xml:space="preserve">7790320000000       </t>
        </is>
      </c>
      <c r="F1961" s="11" t="n">
        <v>2006967</v>
      </c>
      <c r="G1961" t="inlineStr">
        <is>
          <t xml:space="preserve">BOLSA RESID 45X60X50 ROJA 70MIC    </t>
        </is>
      </c>
      <c r="H1961" t="inlineStr">
        <is>
          <t xml:space="preserve">UNIDAD              </t>
        </is>
      </c>
      <c r="I1961" t="n">
        <v>2243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2243</v>
      </c>
      <c r="P1961" s="96">
        <f>_xlfn.XLOOKUP(Tabla5[[#This Row],[EAN CORREGIDO]],'Tabla Articulos'!B:B,'Tabla Articulos'!D:D)</f>
        <v/>
      </c>
      <c r="Q1961" s="96">
        <f>_xlfn.XLOOKUP(S1961,'Tabla Articulos'!B:B,'Tabla Articulos'!E:E)</f>
        <v/>
      </c>
      <c r="R1961" s="96">
        <f>O1961*Q1961</f>
        <v/>
      </c>
      <c r="S1961" s="97">
        <f>TRIM(E1961)</f>
        <v/>
      </c>
    </row>
    <row r="1962" hidden="1">
      <c r="A1962" s="22" t="n">
        <v>5</v>
      </c>
      <c r="B1962" t="inlineStr">
        <is>
          <t xml:space="preserve">CDM02 - MORENO 2              </t>
        </is>
      </c>
      <c r="C1962" t="inlineStr">
        <is>
          <t xml:space="preserve">GRUPO L.                      </t>
        </is>
      </c>
      <c r="D1962" s="11" t="inlineStr">
        <is>
          <t>PAN DULCE S FRUTA</t>
        </is>
      </c>
      <c r="E1962" t="inlineStr">
        <is>
          <t xml:space="preserve">7798355480181       </t>
        </is>
      </c>
      <c r="F1962" s="11" t="n">
        <v>4076372</v>
      </c>
      <c r="G1962" t="inlineStr">
        <is>
          <t xml:space="preserve">PAN DULCE S/FRUTA X400G DELI PAN   </t>
        </is>
      </c>
      <c r="H1962" t="inlineStr">
        <is>
          <t xml:space="preserve">UNIDAD              </t>
        </is>
      </c>
      <c r="I1962" t="n">
        <v>332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332</v>
      </c>
      <c r="P1962" s="96">
        <f>_xlfn.XLOOKUP(Tabla5[[#This Row],[EAN CORREGIDO]],'Tabla Articulos'!B:B,'Tabla Articulos'!D:D)</f>
        <v/>
      </c>
      <c r="Q1962" s="96">
        <f>_xlfn.XLOOKUP(S1962,'Tabla Articulos'!B:B,'Tabla Articulos'!E:E)</f>
        <v/>
      </c>
      <c r="R1962" s="96">
        <f>O1962*Q1962</f>
        <v/>
      </c>
      <c r="S1962" s="97">
        <f>TRIM(E1962)</f>
        <v/>
      </c>
    </row>
    <row r="1963" hidden="1">
      <c r="A1963" s="22" t="n">
        <v>1</v>
      </c>
      <c r="B1963" t="inlineStr">
        <is>
          <t xml:space="preserve">CD MORENO                     </t>
        </is>
      </c>
      <c r="C1963" t="inlineStr">
        <is>
          <t xml:space="preserve">GRUPO L.                      </t>
        </is>
      </c>
      <c r="D1963" s="11" t="inlineStr">
        <is>
          <t>PAN DULCE S FRUTA</t>
        </is>
      </c>
      <c r="E1963" t="inlineStr">
        <is>
          <t xml:space="preserve">7798355480181       </t>
        </is>
      </c>
      <c r="F1963" s="11" t="n">
        <v>4076372</v>
      </c>
      <c r="G1963" t="inlineStr">
        <is>
          <t xml:space="preserve">PAN DULCE S/FRUTA X400G DELI PAN   </t>
        </is>
      </c>
      <c r="H1963" t="inlineStr">
        <is>
          <t xml:space="preserve">UNIDAD              </t>
        </is>
      </c>
      <c r="I1963" t="n">
        <v>1973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1973</v>
      </c>
      <c r="P1963" s="96">
        <f>_xlfn.XLOOKUP(Tabla5[[#This Row],[EAN CORREGIDO]],'Tabla Articulos'!B:B,'Tabla Articulos'!D:D)</f>
        <v/>
      </c>
      <c r="Q1963" s="96">
        <f>_xlfn.XLOOKUP(S1963,'Tabla Articulos'!B:B,'Tabla Articulos'!E:E)</f>
        <v/>
      </c>
      <c r="R1963" s="96">
        <f>O1963*Q1963</f>
        <v/>
      </c>
      <c r="S1963" s="97">
        <f>TRIM(E1963)</f>
        <v/>
      </c>
    </row>
    <row r="1964" hidden="1">
      <c r="A1964" s="22" t="n">
        <v>5</v>
      </c>
      <c r="B1964" t="inlineStr">
        <is>
          <t xml:space="preserve">CDM02 - MORENO 2              </t>
        </is>
      </c>
      <c r="C1964" t="inlineStr">
        <is>
          <t xml:space="preserve">GRUPO L.                      </t>
        </is>
      </c>
      <c r="D1964" t="inlineStr">
        <is>
          <t>MERMELADA FRUTILLA</t>
        </is>
      </c>
      <c r="E1964" t="inlineStr">
        <is>
          <t xml:space="preserve">7792260640227       </t>
        </is>
      </c>
      <c r="F1964" s="11" t="n">
        <v>4023830</v>
      </c>
      <c r="G1964" t="inlineStr">
        <is>
          <t xml:space="preserve">MERME FRUTI 420GR ORIETA           </t>
        </is>
      </c>
      <c r="H1964" t="inlineStr">
        <is>
          <t xml:space="preserve">UNIDAD              </t>
        </is>
      </c>
      <c r="I1964" t="n">
        <v>94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94</v>
      </c>
      <c r="P1964" s="96">
        <f>_xlfn.XLOOKUP(Tabla5[[#This Row],[EAN CORREGIDO]],'Tabla Articulos'!B:B,'Tabla Articulos'!D:D)</f>
        <v/>
      </c>
      <c r="Q1964" s="96">
        <f>_xlfn.XLOOKUP(S1964,'Tabla Articulos'!B:B,'Tabla Articulos'!E:E)</f>
        <v/>
      </c>
      <c r="R1964" s="96">
        <f>O1964*Q1964</f>
        <v/>
      </c>
      <c r="S1964" s="97">
        <f>TRIM(E1964)</f>
        <v/>
      </c>
    </row>
    <row r="1965" hidden="1">
      <c r="A1965" s="22" t="n">
        <v>6</v>
      </c>
      <c r="B1965" t="inlineStr">
        <is>
          <t xml:space="preserve">CDM03 - MORENO 3              </t>
        </is>
      </c>
      <c r="C1965" t="inlineStr">
        <is>
          <t xml:space="preserve">GRUPO L.                      </t>
        </is>
      </c>
      <c r="D1965" s="11" t="n"/>
      <c r="E1965" t="inlineStr">
        <is>
          <t xml:space="preserve">UNIF000624          </t>
        </is>
      </c>
      <c r="F1965" s="11" t="n">
        <v>9003162</v>
      </c>
      <c r="G1965" t="inlineStr">
        <is>
          <t xml:space="preserve">PANTALON NAUTICO NEG S LOGO T3     </t>
        </is>
      </c>
      <c r="H1965" t="inlineStr">
        <is>
          <t xml:space="preserve">UNIDAD              </t>
        </is>
      </c>
      <c r="I1965" t="n">
        <v>12</v>
      </c>
      <c r="J1965" t="n">
        <v>900</v>
      </c>
      <c r="K1965" t="n">
        <v>0</v>
      </c>
      <c r="L1965" t="n">
        <v>16</v>
      </c>
      <c r="M1965" t="n">
        <v>16</v>
      </c>
      <c r="N1965" t="n">
        <v>0</v>
      </c>
      <c r="O1965" t="n">
        <v>880</v>
      </c>
      <c r="P1965" s="96">
        <f>_xlfn.XLOOKUP(Tabla5[[#This Row],[EAN CORREGIDO]],'Tabla Articulos'!B:B,'Tabla Articulos'!D:D)</f>
        <v/>
      </c>
      <c r="Q1965" s="96">
        <f>_xlfn.XLOOKUP(S1965,'Tabla Articulos'!B:B,'Tabla Articulos'!E:E)</f>
        <v/>
      </c>
      <c r="R1965" s="96">
        <f>O1965*Q1965</f>
        <v/>
      </c>
      <c r="S1965" s="97">
        <f>TRIM(E1965)</f>
        <v/>
      </c>
    </row>
    <row r="1966" hidden="1">
      <c r="A1966" s="22" t="n">
        <v>5</v>
      </c>
      <c r="B1966" t="inlineStr">
        <is>
          <t xml:space="preserve">CDM02 - MORENO 2              </t>
        </is>
      </c>
      <c r="C1966" t="inlineStr">
        <is>
          <t xml:space="preserve">GRUPO L.                      </t>
        </is>
      </c>
      <c r="D1966" t="inlineStr">
        <is>
          <t>PROVENZAL</t>
        </is>
      </c>
      <c r="E1966" t="inlineStr">
        <is>
          <t xml:space="preserve">7790530900767       </t>
        </is>
      </c>
      <c r="F1966" t="n">
        <v>4019878</v>
      </c>
      <c r="G1966" t="inlineStr">
        <is>
          <t xml:space="preserve">PROVENZAL x 1 KG BEDIAL            </t>
        </is>
      </c>
      <c r="H1966" t="inlineStr">
        <is>
          <t xml:space="preserve">UNIDAD              </t>
        </is>
      </c>
      <c r="I1966" t="n">
        <v>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8</v>
      </c>
      <c r="P1966" s="96">
        <f>_xlfn.XLOOKUP(Tabla5[[#This Row],[EAN CORREGIDO]],'Tabla Articulos'!B:B,'Tabla Articulos'!D:D)</f>
        <v/>
      </c>
      <c r="Q1966" s="96">
        <f>_xlfn.XLOOKUP(S1966,'Tabla Articulos'!B:B,'Tabla Articulos'!E:E)</f>
        <v/>
      </c>
      <c r="R1966" s="96">
        <f>O1966*Q1966</f>
        <v/>
      </c>
      <c r="S1966" s="97">
        <f>TRIM(E1966)</f>
        <v/>
      </c>
    </row>
    <row r="1967" hidden="1">
      <c r="A1967" s="22" t="n">
        <v>1</v>
      </c>
      <c r="B1967" t="inlineStr">
        <is>
          <t xml:space="preserve">CD MORENO                     </t>
        </is>
      </c>
      <c r="C1967" t="inlineStr">
        <is>
          <t xml:space="preserve">GRUPO L.                      </t>
        </is>
      </c>
      <c r="D1967" t="inlineStr">
        <is>
          <t>PROVENZAL</t>
        </is>
      </c>
      <c r="E1967" t="inlineStr">
        <is>
          <t xml:space="preserve">7790530900767       </t>
        </is>
      </c>
      <c r="F1967" t="n">
        <v>4019878</v>
      </c>
      <c r="G1967" t="inlineStr">
        <is>
          <t xml:space="preserve">PROVENZAL x 1 KG BEDIAL            </t>
        </is>
      </c>
      <c r="H1967" t="inlineStr">
        <is>
          <t xml:space="preserve">UNIDAD              </t>
        </is>
      </c>
      <c r="I1967" t="n">
        <v>81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81</v>
      </c>
      <c r="P1967" s="96">
        <f>_xlfn.XLOOKUP(Tabla5[[#This Row],[EAN CORREGIDO]],'Tabla Articulos'!B:B,'Tabla Articulos'!D:D)</f>
        <v/>
      </c>
      <c r="Q1967" s="96">
        <f>_xlfn.XLOOKUP(S1967,'Tabla Articulos'!B:B,'Tabla Articulos'!E:E)</f>
        <v/>
      </c>
      <c r="R1967" s="96">
        <f>O1967*Q1967</f>
        <v/>
      </c>
      <c r="S1967" s="97">
        <f>TRIM(E1967)</f>
        <v/>
      </c>
    </row>
    <row r="1968" hidden="1">
      <c r="A1968" s="22" t="n">
        <v>6</v>
      </c>
      <c r="B1968" t="inlineStr">
        <is>
          <t xml:space="preserve">CDM03 - MORENO 3              </t>
        </is>
      </c>
      <c r="C1968" t="inlineStr">
        <is>
          <t xml:space="preserve">GRUPO L.                      </t>
        </is>
      </c>
      <c r="D1968" t="inlineStr">
        <is>
          <t>DESENGRASANTE</t>
        </is>
      </c>
      <c r="E1968" t="inlineStr">
        <is>
          <t xml:space="preserve">7798188650706       </t>
        </is>
      </c>
      <c r="F1968" t="n">
        <v>2006292</v>
      </c>
      <c r="G1968" t="inlineStr">
        <is>
          <t>DESENGRASANTE RAPID PLUS X5L CLORAD</t>
        </is>
      </c>
      <c r="H1968" t="inlineStr">
        <is>
          <t xml:space="preserve">UNIDAD              </t>
        </is>
      </c>
      <c r="I1968" t="n">
        <v>318</v>
      </c>
      <c r="J1968" t="n">
        <v>180</v>
      </c>
      <c r="K1968" t="n">
        <v>0</v>
      </c>
      <c r="L1968" t="n">
        <v>0</v>
      </c>
      <c r="M1968" t="n">
        <v>0</v>
      </c>
      <c r="N1968" t="n">
        <v>0</v>
      </c>
      <c r="O1968" t="n">
        <v>498</v>
      </c>
      <c r="P1968" s="96">
        <f>_xlfn.XLOOKUP(Tabla5[[#This Row],[EAN CORREGIDO]],'Tabla Articulos'!B:B,'Tabla Articulos'!D:D)</f>
        <v/>
      </c>
      <c r="Q1968" s="96">
        <f>_xlfn.XLOOKUP(S1968,'Tabla Articulos'!B:B,'Tabla Articulos'!E:E)</f>
        <v/>
      </c>
      <c r="R1968" s="96">
        <f>O1968*Q1968</f>
        <v/>
      </c>
      <c r="S1968" s="97">
        <f>TRIM(E1968)</f>
        <v/>
      </c>
    </row>
    <row r="1969" hidden="1">
      <c r="A1969" s="22" t="n">
        <v>6</v>
      </c>
      <c r="B1969" t="inlineStr">
        <is>
          <t xml:space="preserve">CDM03 - MORENO 3              </t>
        </is>
      </c>
      <c r="C1969" t="inlineStr">
        <is>
          <t xml:space="preserve">GRUPO L.                      </t>
        </is>
      </c>
      <c r="E1969" t="inlineStr">
        <is>
          <t xml:space="preserve">UNIF000188          </t>
        </is>
      </c>
      <c r="F1969" t="n">
        <v>9003428</v>
      </c>
      <c r="G1969" t="inlineStr">
        <is>
          <t xml:space="preserve">PANTA. CARGO A.MAR 50 GL SUPPORT   </t>
        </is>
      </c>
      <c r="H1969" t="inlineStr">
        <is>
          <t xml:space="preserve">UNIDAD              </t>
        </is>
      </c>
      <c r="I1969" t="n">
        <v>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4</v>
      </c>
      <c r="P1969" s="96">
        <f>_xlfn.XLOOKUP(Tabla5[[#This Row],[EAN CORREGIDO]],'Tabla Articulos'!B:B,'Tabla Articulos'!D:D)</f>
        <v/>
      </c>
      <c r="Q1969" s="96">
        <f>_xlfn.XLOOKUP(S1969,'Tabla Articulos'!B:B,'Tabla Articulos'!E:E)</f>
        <v/>
      </c>
      <c r="R1969" s="96">
        <f>O1969*Q1969</f>
        <v/>
      </c>
      <c r="S1969" s="97">
        <f>TRIM(E1969)</f>
        <v/>
      </c>
    </row>
    <row r="1970" hidden="1">
      <c r="A1970" s="22" t="n">
        <v>1</v>
      </c>
      <c r="B1970" t="inlineStr">
        <is>
          <t xml:space="preserve">CD MORENO                     </t>
        </is>
      </c>
      <c r="C1970" t="inlineStr">
        <is>
          <t xml:space="preserve">GRUPO L.                      </t>
        </is>
      </c>
      <c r="D1970" t="inlineStr">
        <is>
          <t>ATUN A/N DESMEN</t>
        </is>
      </c>
      <c r="E1970" t="inlineStr">
        <is>
          <t xml:space="preserve">7790645002363       </t>
        </is>
      </c>
      <c r="F1970" t="n">
        <v>4019886</v>
      </c>
      <c r="G1970" t="inlineStr">
        <is>
          <t xml:space="preserve">ATUN A/N DESM X170 CARACAS         </t>
        </is>
      </c>
      <c r="H1970" t="inlineStr">
        <is>
          <t xml:space="preserve">UNIDAD              </t>
        </is>
      </c>
      <c r="I1970" t="n">
        <v>364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364</v>
      </c>
      <c r="P1970" s="96">
        <f>_xlfn.XLOOKUP(Tabla5[[#This Row],[EAN CORREGIDO]],'Tabla Articulos'!B:B,'Tabla Articulos'!D:D)</f>
        <v/>
      </c>
      <c r="Q1970" s="96">
        <f>_xlfn.XLOOKUP(S1970,'Tabla Articulos'!B:B,'Tabla Articulos'!E:E)</f>
        <v/>
      </c>
      <c r="R1970" s="96">
        <f>O1970*Q1970</f>
        <v/>
      </c>
      <c r="S1970" s="97">
        <f>TRIM(E1970)</f>
        <v/>
      </c>
    </row>
    <row r="1971" hidden="1">
      <c r="A1971" s="22" t="n">
        <v>6</v>
      </c>
      <c r="B1971" t="inlineStr">
        <is>
          <t xml:space="preserve">CDM03 - MORENO 3              </t>
        </is>
      </c>
      <c r="C1971" t="inlineStr">
        <is>
          <t xml:space="preserve">GRUPO L.                      </t>
        </is>
      </c>
      <c r="E1971" t="inlineStr">
        <is>
          <t xml:space="preserve">UNIF000456          </t>
        </is>
      </c>
      <c r="F1971" t="n">
        <v>9003617</v>
      </c>
      <c r="G1971" t="inlineStr">
        <is>
          <t xml:space="preserve">CAMPE. BLANCO TRUCKER NUTRIRE S    </t>
        </is>
      </c>
      <c r="H1971" t="inlineStr">
        <is>
          <t xml:space="preserve">UNIDAD              </t>
        </is>
      </c>
      <c r="I1971" t="n">
        <v>43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43</v>
      </c>
      <c r="P1971" s="96">
        <f>_xlfn.XLOOKUP(Tabla5[[#This Row],[EAN CORREGIDO]],'Tabla Articulos'!B:B,'Tabla Articulos'!D:D)</f>
        <v/>
      </c>
      <c r="Q1971" s="96">
        <f>_xlfn.XLOOKUP(S1971,'Tabla Articulos'!B:B,'Tabla Articulos'!E:E)</f>
        <v/>
      </c>
      <c r="R1971" s="96">
        <f>O1971*Q1971</f>
        <v/>
      </c>
      <c r="S1971" s="97">
        <f>TRIM(E1971)</f>
        <v/>
      </c>
    </row>
    <row r="1972" hidden="1">
      <c r="A1972" s="22" t="n">
        <v>1</v>
      </c>
      <c r="B1972" t="inlineStr">
        <is>
          <t xml:space="preserve">CD MORENO                     </t>
        </is>
      </c>
      <c r="C1972" t="inlineStr">
        <is>
          <t xml:space="preserve">GRUPO L.                      </t>
        </is>
      </c>
      <c r="D1972" t="inlineStr">
        <is>
          <t>ALFAJOR SIMPLE NEGRO</t>
        </is>
      </c>
      <c r="E1972" t="inlineStr">
        <is>
          <t xml:space="preserve">77908193            </t>
        </is>
      </c>
      <c r="F1972" t="n">
        <v>4019016</v>
      </c>
      <c r="G1972" t="inlineStr">
        <is>
          <t xml:space="preserve">ALFAJOR NEGRO X45G NEVARES	        </t>
        </is>
      </c>
      <c r="H1972" t="inlineStr">
        <is>
          <t xml:space="preserve">UNIDAD              </t>
        </is>
      </c>
      <c r="I1972" t="n">
        <v>1920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1920</v>
      </c>
      <c r="P1972" s="96">
        <f>_xlfn.XLOOKUP(Tabla5[[#This Row],[EAN CORREGIDO]],'Tabla Articulos'!B:B,'Tabla Articulos'!D:D)</f>
        <v/>
      </c>
      <c r="Q1972" s="96">
        <f>_xlfn.XLOOKUP(S1972,'Tabla Articulos'!B:B,'Tabla Articulos'!E:E)</f>
        <v/>
      </c>
      <c r="R1972" s="96">
        <f>O1972*Q1972</f>
        <v/>
      </c>
      <c r="S1972" s="97">
        <f>TRIM(E1972)</f>
        <v/>
      </c>
    </row>
    <row r="1973" hidden="1">
      <c r="A1973" s="22" t="n">
        <v>5</v>
      </c>
      <c r="B1973" t="inlineStr">
        <is>
          <t xml:space="preserve">CDM02 - MORENO 2              </t>
        </is>
      </c>
      <c r="C1973" t="inlineStr">
        <is>
          <t xml:space="preserve">GRUPO L.                      </t>
        </is>
      </c>
      <c r="D1973" s="11" t="inlineStr">
        <is>
          <t>ALFAJOR SIMPLE NEGRO</t>
        </is>
      </c>
      <c r="E1973" t="inlineStr">
        <is>
          <t xml:space="preserve">77908193            </t>
        </is>
      </c>
      <c r="F1973" t="n">
        <v>4019016</v>
      </c>
      <c r="G1973" t="inlineStr">
        <is>
          <t xml:space="preserve">ALFAJOR NEGRO X45G NEVARES	        </t>
        </is>
      </c>
      <c r="H1973" t="inlineStr">
        <is>
          <t xml:space="preserve">UNIDAD              </t>
        </is>
      </c>
      <c r="I1973" t="n">
        <v>17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17</v>
      </c>
      <c r="P1973" s="96">
        <f>_xlfn.XLOOKUP(Tabla5[[#This Row],[EAN CORREGIDO]],'Tabla Articulos'!B:B,'Tabla Articulos'!D:D)</f>
        <v/>
      </c>
      <c r="Q1973" s="96">
        <f>_xlfn.XLOOKUP(S1973,'Tabla Articulos'!B:B,'Tabla Articulos'!E:E)</f>
        <v/>
      </c>
      <c r="R1973" s="96">
        <f>O1973*Q1973</f>
        <v/>
      </c>
      <c r="S1973" s="97">
        <f>TRIM(E1973)</f>
        <v/>
      </c>
    </row>
    <row r="1974" hidden="1">
      <c r="A1974" s="22" t="n">
        <v>6</v>
      </c>
      <c r="B1974" t="inlineStr">
        <is>
          <t xml:space="preserve">CDM03 - MORENO 3              </t>
        </is>
      </c>
      <c r="C1974" t="inlineStr">
        <is>
          <t xml:space="preserve">GRUPO L.                      </t>
        </is>
      </c>
      <c r="D1974" t="inlineStr">
        <is>
          <t>BALDE 10 LT</t>
        </is>
      </c>
      <c r="E1974" t="inlineStr">
        <is>
          <t xml:space="preserve">7798126371595       </t>
        </is>
      </c>
      <c r="F1974" t="n">
        <v>2007340</v>
      </c>
      <c r="G1974" t="inlineStr">
        <is>
          <t xml:space="preserve">BALDE PLAST 10LTXUN LA PORTE#A     </t>
        </is>
      </c>
      <c r="H1974" t="inlineStr">
        <is>
          <t xml:space="preserve">UNIDAD              </t>
        </is>
      </c>
      <c r="I1974" t="n">
        <v>240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240</v>
      </c>
      <c r="P1974" s="96">
        <f>_xlfn.XLOOKUP(Tabla5[[#This Row],[EAN CORREGIDO]],'Tabla Articulos'!B:B,'Tabla Articulos'!D:D)</f>
        <v/>
      </c>
      <c r="Q1974" s="96">
        <f>_xlfn.XLOOKUP(S1974,'Tabla Articulos'!B:B,'Tabla Articulos'!E:E)</f>
        <v/>
      </c>
      <c r="R1974" s="96">
        <f>O1974*Q1974</f>
        <v/>
      </c>
      <c r="S1974" s="97">
        <f>TRIM(E1974)</f>
        <v/>
      </c>
    </row>
    <row r="1975" hidden="1">
      <c r="A1975" s="22" t="n">
        <v>5</v>
      </c>
      <c r="B1975" t="inlineStr">
        <is>
          <t xml:space="preserve">CDM02 - MORENO 2              </t>
        </is>
      </c>
      <c r="C1975" t="inlineStr">
        <is>
          <t xml:space="preserve">GRUPO L.                      </t>
        </is>
      </c>
      <c r="D1975" t="inlineStr">
        <is>
          <t>GALLE MIEL</t>
        </is>
      </c>
      <c r="E1975" t="inlineStr">
        <is>
          <t xml:space="preserve">7790726120023       </t>
        </is>
      </c>
      <c r="F1975" t="n">
        <v>4018838</v>
      </c>
      <c r="G1975" t="inlineStr">
        <is>
          <t xml:space="preserve">GALLET.MIEL X 200G DULCYPAS        </t>
        </is>
      </c>
      <c r="H1975" t="inlineStr">
        <is>
          <t xml:space="preserve">UNIDAD              </t>
        </is>
      </c>
      <c r="I1975" t="n">
        <v>15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15</v>
      </c>
      <c r="P1975" s="96">
        <f>_xlfn.XLOOKUP(Tabla5[[#This Row],[EAN CORREGIDO]],'Tabla Articulos'!B:B,'Tabla Articulos'!D:D)</f>
        <v/>
      </c>
      <c r="Q1975" s="96">
        <f>_xlfn.XLOOKUP(S1975,'Tabla Articulos'!B:B,'Tabla Articulos'!E:E)</f>
        <v/>
      </c>
      <c r="R1975" s="96">
        <f>O1975*Q1975</f>
        <v/>
      </c>
      <c r="S1975" s="97">
        <f>TRIM(E1975)</f>
        <v/>
      </c>
    </row>
    <row r="1976" hidden="1">
      <c r="A1976" s="22" t="n">
        <v>6</v>
      </c>
      <c r="B1976" t="inlineStr">
        <is>
          <t xml:space="preserve">CDM03 - MORENO 3              </t>
        </is>
      </c>
      <c r="C1976" t="inlineStr">
        <is>
          <t xml:space="preserve">GRUPO L.                      </t>
        </is>
      </c>
      <c r="D1976" t="inlineStr">
        <is>
          <t>LIMPIADOR DESINFECTANTE</t>
        </is>
      </c>
      <c r="E1976" t="inlineStr">
        <is>
          <t xml:space="preserve">7798188650904       </t>
        </is>
      </c>
      <c r="F1976" t="n">
        <v>2006704</v>
      </c>
      <c r="G1976" t="inlineStr">
        <is>
          <t>DESINFECTANTE DE SUPERFICIES BACTER</t>
        </is>
      </c>
      <c r="H1976" t="inlineStr">
        <is>
          <t xml:space="preserve">UNIDAD              </t>
        </is>
      </c>
      <c r="I1976" t="n">
        <v>194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194</v>
      </c>
      <c r="P1976" s="96">
        <f>_xlfn.XLOOKUP(Tabla5[[#This Row],[EAN CORREGIDO]],'Tabla Articulos'!B:B,'Tabla Articulos'!D:D)</f>
        <v/>
      </c>
      <c r="Q1976" s="96">
        <f>_xlfn.XLOOKUP(S1976,'Tabla Articulos'!B:B,'Tabla Articulos'!E:E)</f>
        <v/>
      </c>
      <c r="R1976" s="96">
        <f>O1976*Q1976</f>
        <v/>
      </c>
      <c r="S1976" s="97">
        <f>TRIM(E1976)</f>
        <v/>
      </c>
    </row>
    <row r="1977" hidden="1">
      <c r="A1977" s="22" t="n">
        <v>6</v>
      </c>
      <c r="B1977" t="inlineStr">
        <is>
          <t xml:space="preserve">CDM03 - MORENO 3              </t>
        </is>
      </c>
      <c r="C1977" t="inlineStr">
        <is>
          <t xml:space="preserve">GRUPO L.                      </t>
        </is>
      </c>
      <c r="E1977" t="inlineStr">
        <is>
          <t xml:space="preserve">BUSAT000026         </t>
        </is>
      </c>
      <c r="G1977" t="inlineStr">
        <is>
          <t xml:space="preserve">CUCHARA PARA SERVIR                </t>
        </is>
      </c>
      <c r="H1977" t="inlineStr">
        <is>
          <t xml:space="preserve">UNIDAD              </t>
        </is>
      </c>
      <c r="I1977" t="n">
        <v>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2</v>
      </c>
      <c r="P1977" s="96">
        <f>_xlfn.XLOOKUP(Tabla5[[#This Row],[EAN CORREGIDO]],'Tabla Articulos'!B:B,'Tabla Articulos'!D:D)</f>
        <v/>
      </c>
      <c r="Q1977" s="96">
        <f>_xlfn.XLOOKUP(S1977,'Tabla Articulos'!B:B,'Tabla Articulos'!E:E)</f>
        <v/>
      </c>
      <c r="R1977" s="96">
        <f>O1977*Q1977</f>
        <v/>
      </c>
      <c r="S1977" s="97">
        <f>TRIM(E1977)</f>
        <v/>
      </c>
    </row>
    <row r="1978" hidden="1">
      <c r="A1978" s="22" t="n">
        <v>6</v>
      </c>
      <c r="B1978" t="inlineStr">
        <is>
          <t xml:space="preserve">CDM03 - MORENO 3              </t>
        </is>
      </c>
      <c r="C1978" t="inlineStr">
        <is>
          <t xml:space="preserve">GRUPO L.                      </t>
        </is>
      </c>
      <c r="E1978" t="inlineStr">
        <is>
          <t xml:space="preserve">BUSAT000048         </t>
        </is>
      </c>
      <c r="G1978" t="inlineStr">
        <is>
          <t xml:space="preserve">HIELERAS                           </t>
        </is>
      </c>
      <c r="H1978" t="inlineStr">
        <is>
          <t xml:space="preserve">UNIDAD              </t>
        </is>
      </c>
      <c r="I1978" t="n">
        <v>97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97</v>
      </c>
      <c r="P1978" s="96">
        <f>_xlfn.XLOOKUP(Tabla5[[#This Row],[EAN CORREGIDO]],'Tabla Articulos'!B:B,'Tabla Articulos'!D:D)</f>
        <v/>
      </c>
      <c r="Q1978" s="96">
        <f>_xlfn.XLOOKUP(S1978,'Tabla Articulos'!B:B,'Tabla Articulos'!E:E)</f>
        <v/>
      </c>
      <c r="R1978" s="96">
        <f>O1978*Q1978</f>
        <v/>
      </c>
      <c r="S1978" s="97">
        <f>TRIM(E1978)</f>
        <v/>
      </c>
    </row>
    <row r="1979" hidden="1">
      <c r="A1979" s="22" t="n">
        <v>6</v>
      </c>
      <c r="B1979" t="inlineStr">
        <is>
          <t xml:space="preserve">CDM03 - MORENO 3              </t>
        </is>
      </c>
      <c r="C1979" t="inlineStr">
        <is>
          <t xml:space="preserve">GRUPO L.                      </t>
        </is>
      </c>
      <c r="E1979" t="inlineStr">
        <is>
          <t xml:space="preserve">BUSAT000369         </t>
        </is>
      </c>
      <c r="G1979" t="inlineStr">
        <is>
          <t xml:space="preserve">DELANTAL DE E Y S / SAND 01        </t>
        </is>
      </c>
      <c r="H1979" t="inlineStr">
        <is>
          <t xml:space="preserve">UNIDAD              </t>
        </is>
      </c>
      <c r="I1979" t="n">
        <v>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7</v>
      </c>
      <c r="P1979" s="96">
        <f>_xlfn.XLOOKUP(Tabla5[[#This Row],[EAN CORREGIDO]],'Tabla Articulos'!B:B,'Tabla Articulos'!D:D)</f>
        <v/>
      </c>
      <c r="Q1979" s="96">
        <f>_xlfn.XLOOKUP(S1979,'Tabla Articulos'!B:B,'Tabla Articulos'!E:E)</f>
        <v/>
      </c>
      <c r="R1979" s="96">
        <f>O1979*Q1979</f>
        <v/>
      </c>
      <c r="S1979" s="97">
        <f>TRIM(E1979)</f>
        <v/>
      </c>
    </row>
    <row r="1980" hidden="1">
      <c r="A1980" s="22" t="n">
        <v>5</v>
      </c>
      <c r="B1980" t="inlineStr">
        <is>
          <t xml:space="preserve">CDM02 - MORENO 2              </t>
        </is>
      </c>
      <c r="C1980" t="inlineStr">
        <is>
          <t xml:space="preserve">GRUPO L.                      </t>
        </is>
      </c>
      <c r="D1980" t="inlineStr">
        <is>
          <t>ADEREZOS CESAR INDIV</t>
        </is>
      </c>
      <c r="E1980" t="inlineStr">
        <is>
          <t xml:space="preserve">7798011970063       </t>
        </is>
      </c>
      <c r="F1980" t="n">
        <v>4020343</v>
      </c>
      <c r="G1980" t="inlineStr">
        <is>
          <t xml:space="preserve">ADEREZO CESAR X15CCX120U ABEDUL    </t>
        </is>
      </c>
      <c r="H1980" t="inlineStr">
        <is>
          <t xml:space="preserve">UNIDAD              </t>
        </is>
      </c>
      <c r="I1980" t="n">
        <v>30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30</v>
      </c>
      <c r="P1980" s="96">
        <f>_xlfn.XLOOKUP(Tabla5[[#This Row],[EAN CORREGIDO]],'Tabla Articulos'!B:B,'Tabla Articulos'!D:D)</f>
        <v/>
      </c>
      <c r="Q1980" s="96">
        <f>_xlfn.XLOOKUP(S1980,'Tabla Articulos'!B:B,'Tabla Articulos'!E:E)</f>
        <v/>
      </c>
      <c r="R1980" s="96">
        <f>O1980*Q1980</f>
        <v/>
      </c>
      <c r="S1980" s="97">
        <f>TRIM(E1980)</f>
        <v/>
      </c>
    </row>
    <row r="1981" hidden="1">
      <c r="A1981" s="22" t="n">
        <v>1</v>
      </c>
      <c r="B1981" t="inlineStr">
        <is>
          <t xml:space="preserve">CD MORENO                     </t>
        </is>
      </c>
      <c r="C1981" t="inlineStr">
        <is>
          <t xml:space="preserve">GRUPO L.                      </t>
        </is>
      </c>
      <c r="D1981" s="11" t="inlineStr">
        <is>
          <t>ADEREZOS CESAR INDIV</t>
        </is>
      </c>
      <c r="E1981" t="inlineStr">
        <is>
          <t xml:space="preserve">7798011970063       </t>
        </is>
      </c>
      <c r="F1981" t="n">
        <v>4020343</v>
      </c>
      <c r="G1981" t="inlineStr">
        <is>
          <t xml:space="preserve">ADEREZO CESAR X15CCX120U ABEDUL    </t>
        </is>
      </c>
      <c r="H1981" t="inlineStr">
        <is>
          <t xml:space="preserve">UNIDAD              </t>
        </is>
      </c>
      <c r="I1981" t="n">
        <v>10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10</v>
      </c>
      <c r="P1981" s="96">
        <f>_xlfn.XLOOKUP(Tabla5[[#This Row],[EAN CORREGIDO]],'Tabla Articulos'!B:B,'Tabla Articulos'!D:D)</f>
        <v/>
      </c>
      <c r="Q1981" s="96">
        <f>_xlfn.XLOOKUP(S1981,'Tabla Articulos'!B:B,'Tabla Articulos'!E:E)</f>
        <v/>
      </c>
      <c r="R1981" s="96">
        <f>O1981*Q1981</f>
        <v/>
      </c>
      <c r="S1981" s="97">
        <f>TRIM(E1981)</f>
        <v/>
      </c>
    </row>
    <row r="1982" hidden="1">
      <c r="A1982" s="22" t="n">
        <v>5</v>
      </c>
      <c r="B1982" t="inlineStr">
        <is>
          <t xml:space="preserve">CDM02 - MORENO 2              </t>
        </is>
      </c>
      <c r="C1982" t="inlineStr">
        <is>
          <t xml:space="preserve">GRUPO L.                      </t>
        </is>
      </c>
      <c r="D1982" s="11" t="inlineStr">
        <is>
          <t>ARROZ 00000</t>
        </is>
      </c>
      <c r="E1982" t="inlineStr">
        <is>
          <t xml:space="preserve">7793650000027       </t>
        </is>
      </c>
      <c r="F1982" t="n">
        <v>4049076</v>
      </c>
      <c r="G1982" t="inlineStr">
        <is>
          <t xml:space="preserve">ARROZ 00000 S/TACC X500G CAROGRAN  </t>
        </is>
      </c>
      <c r="H1982" t="inlineStr">
        <is>
          <t xml:space="preserve">UNIDAD              </t>
        </is>
      </c>
      <c r="I1982" t="n">
        <v>60488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60488</v>
      </c>
      <c r="P1982" s="96">
        <f>_xlfn.XLOOKUP(Tabla5[[#This Row],[EAN CORREGIDO]],'Tabla Articulos'!B:B,'Tabla Articulos'!D:D)</f>
        <v/>
      </c>
      <c r="Q1982" s="96">
        <f>_xlfn.XLOOKUP(S1982,'Tabla Articulos'!B:B,'Tabla Articulos'!E:E)</f>
        <v/>
      </c>
      <c r="R1982" s="96">
        <f>O1982*Q1982</f>
        <v/>
      </c>
      <c r="S1982" s="97">
        <f>TRIM(E1982)</f>
        <v/>
      </c>
    </row>
    <row r="1983" hidden="1">
      <c r="A1983" s="22" t="n">
        <v>6</v>
      </c>
      <c r="B1983" t="inlineStr">
        <is>
          <t xml:space="preserve">CDM03 - MORENO 3              </t>
        </is>
      </c>
      <c r="C1983" t="inlineStr">
        <is>
          <t xml:space="preserve">GRUPO L.                      </t>
        </is>
      </c>
      <c r="D1983" t="inlineStr">
        <is>
          <t>BOLSAS RESIDUO 120 MICRO ROJAS</t>
        </is>
      </c>
      <c r="E1983" t="inlineStr">
        <is>
          <t xml:space="preserve">779032100039        </t>
        </is>
      </c>
      <c r="F1983" t="n">
        <v>2006864</v>
      </c>
      <c r="G1983" t="inlineStr">
        <is>
          <t xml:space="preserve">BOLSA RESID 90X110X50 ROJA 120M    </t>
        </is>
      </c>
      <c r="H1983" t="inlineStr">
        <is>
          <t xml:space="preserve">UNIDAD              </t>
        </is>
      </c>
      <c r="I1983" t="n">
        <v>834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834</v>
      </c>
      <c r="P1983" s="96">
        <f>_xlfn.XLOOKUP(Tabla5[[#This Row],[EAN CORREGIDO]],'Tabla Articulos'!B:B,'Tabla Articulos'!D:D)</f>
        <v/>
      </c>
      <c r="Q1983" s="96">
        <f>_xlfn.XLOOKUP(S1983,'Tabla Articulos'!B:B,'Tabla Articulos'!E:E)</f>
        <v/>
      </c>
      <c r="R1983" s="96">
        <f>O1983*Q1983</f>
        <v/>
      </c>
      <c r="S1983" s="97">
        <f>TRIM(E1983)</f>
        <v/>
      </c>
    </row>
    <row r="1984" hidden="1">
      <c r="A1984" s="22" t="n">
        <v>1</v>
      </c>
      <c r="B1984" t="inlineStr">
        <is>
          <t xml:space="preserve">CD MORENO                     </t>
        </is>
      </c>
      <c r="C1984" t="inlineStr">
        <is>
          <t xml:space="preserve">GRUPO L.                      </t>
        </is>
      </c>
      <c r="D1984" s="11" t="inlineStr">
        <is>
          <t>MIX FRUTAS SECAS</t>
        </is>
      </c>
      <c r="E1984" t="inlineStr">
        <is>
          <t xml:space="preserve">7798186161235       </t>
        </is>
      </c>
      <c r="F1984" t="n">
        <v>4076914</v>
      </c>
      <c r="G1984" t="inlineStr">
        <is>
          <t xml:space="preserve">MIX FRUTOS SECOS B X1KG NOGALES    </t>
        </is>
      </c>
      <c r="H1984" t="inlineStr">
        <is>
          <t xml:space="preserve">UNIDAD              </t>
        </is>
      </c>
      <c r="I1984" t="n">
        <v>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8</v>
      </c>
      <c r="P1984" s="96">
        <f>_xlfn.XLOOKUP(Tabla5[[#This Row],[EAN CORREGIDO]],'Tabla Articulos'!B:B,'Tabla Articulos'!D:D)</f>
        <v/>
      </c>
      <c r="Q1984" s="96">
        <f>_xlfn.XLOOKUP(S1984,'Tabla Articulos'!B:B,'Tabla Articulos'!E:E)</f>
        <v/>
      </c>
      <c r="R1984" s="96">
        <f>O1984*Q1984</f>
        <v/>
      </c>
      <c r="S1984" s="97">
        <f>TRIM(E1984)</f>
        <v/>
      </c>
    </row>
    <row r="1985" hidden="1">
      <c r="A1985" s="22" t="n">
        <v>6</v>
      </c>
      <c r="B1985" t="inlineStr">
        <is>
          <t xml:space="preserve">CDM03 - MORENO 3              </t>
        </is>
      </c>
      <c r="C1985" t="inlineStr">
        <is>
          <t xml:space="preserve">GRUPO L.                      </t>
        </is>
      </c>
      <c r="E1985" t="inlineStr">
        <is>
          <t xml:space="preserve">7798287511014       </t>
        </is>
      </c>
      <c r="F1985" t="n">
        <v>2016645</v>
      </c>
      <c r="G1985" t="inlineStr">
        <is>
          <t xml:space="preserve">REPUESTO P/MOPA 60 CM              </t>
        </is>
      </c>
      <c r="H1985" t="inlineStr">
        <is>
          <t xml:space="preserve">UNIDAD              </t>
        </is>
      </c>
      <c r="I1985" t="n">
        <v>59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59</v>
      </c>
      <c r="P1985" s="96">
        <f>_xlfn.XLOOKUP(Tabla5[[#This Row],[EAN CORREGIDO]],'Tabla Articulos'!B:B,'Tabla Articulos'!D:D)</f>
        <v/>
      </c>
      <c r="Q1985" s="96">
        <f>_xlfn.XLOOKUP(S1985,'Tabla Articulos'!B:B,'Tabla Articulos'!E:E)</f>
        <v/>
      </c>
      <c r="R1985" s="96">
        <f>O1985*Q1985</f>
        <v/>
      </c>
      <c r="S1985" s="97">
        <f>TRIM(E1985)</f>
        <v/>
      </c>
    </row>
    <row r="1986" hidden="1">
      <c r="A1986" s="22" t="n">
        <v>6</v>
      </c>
      <c r="B1986" t="inlineStr">
        <is>
          <t xml:space="preserve">CDM03 - MORENO 3              </t>
        </is>
      </c>
      <c r="C1986" t="inlineStr">
        <is>
          <t xml:space="preserve">GRUPO L.                      </t>
        </is>
      </c>
      <c r="E1986" t="inlineStr">
        <is>
          <t xml:space="preserve">UNIF000445          </t>
        </is>
      </c>
      <c r="F1986" t="n">
        <v>9003606</v>
      </c>
      <c r="G1986" t="inlineStr">
        <is>
          <t xml:space="preserve">CAMP. TRUCKER A. MAR GRUPO L XL    </t>
        </is>
      </c>
      <c r="H1986" t="inlineStr">
        <is>
          <t xml:space="preserve">UNIDAD              </t>
        </is>
      </c>
      <c r="I1986" t="n">
        <v>55</v>
      </c>
      <c r="J1986" t="n">
        <v>80</v>
      </c>
      <c r="K1986" t="n">
        <v>0</v>
      </c>
      <c r="L1986" t="n">
        <v>0</v>
      </c>
      <c r="M1986" t="n">
        <v>0</v>
      </c>
      <c r="N1986" t="n">
        <v>0</v>
      </c>
      <c r="O1986" t="n">
        <v>135</v>
      </c>
      <c r="P1986" s="96">
        <f>_xlfn.XLOOKUP(Tabla5[[#This Row],[EAN CORREGIDO]],'Tabla Articulos'!B:B,'Tabla Articulos'!D:D)</f>
        <v/>
      </c>
      <c r="Q1986" s="96">
        <f>_xlfn.XLOOKUP(S1986,'Tabla Articulos'!B:B,'Tabla Articulos'!E:E)</f>
        <v/>
      </c>
      <c r="R1986" s="96">
        <f>O1986*Q1986</f>
        <v/>
      </c>
      <c r="S1986" s="97">
        <f>TRIM(E1986)</f>
        <v/>
      </c>
    </row>
    <row r="1987" hidden="1">
      <c r="A1987" s="22" t="n">
        <v>5</v>
      </c>
      <c r="B1987" t="inlineStr">
        <is>
          <t xml:space="preserve">CDM02 - MORENO 2              </t>
        </is>
      </c>
      <c r="C1987" t="inlineStr">
        <is>
          <t xml:space="preserve">GRUPO L.                      </t>
        </is>
      </c>
      <c r="E1987" t="inlineStr">
        <is>
          <t xml:space="preserve">7798011977413       </t>
        </is>
      </c>
      <c r="F1987" t="n">
        <v>4022179</v>
      </c>
      <c r="G1987" t="inlineStr">
        <is>
          <t xml:space="preserve">SAL SOB 5GR CHEF GOURMET 1000U     </t>
        </is>
      </c>
      <c r="H1987" t="inlineStr">
        <is>
          <t xml:space="preserve">UNIDAD              </t>
        </is>
      </c>
      <c r="I1987" t="n">
        <v>200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200</v>
      </c>
      <c r="P1987" s="96">
        <f>_xlfn.XLOOKUP(Tabla5[[#This Row],[EAN CORREGIDO]],'Tabla Articulos'!B:B,'Tabla Articulos'!D:D)</f>
        <v/>
      </c>
      <c r="Q1987" s="96">
        <f>_xlfn.XLOOKUP(S1987,'Tabla Articulos'!B:B,'Tabla Articulos'!E:E)</f>
        <v/>
      </c>
      <c r="R1987" s="96">
        <f>O1987*Q1987</f>
        <v/>
      </c>
      <c r="S1987" s="97">
        <f>TRIM(E1987)</f>
        <v/>
      </c>
    </row>
    <row r="1988" hidden="1">
      <c r="A1988" s="22" t="n">
        <v>5</v>
      </c>
      <c r="B1988" t="inlineStr">
        <is>
          <t xml:space="preserve">CDM02 - MORENO 2              </t>
        </is>
      </c>
      <c r="C1988" t="inlineStr">
        <is>
          <t xml:space="preserve">GRUPO L.                      </t>
        </is>
      </c>
      <c r="D1988" t="inlineStr">
        <is>
          <t>CHOCOLATE TAZA IND</t>
        </is>
      </c>
      <c r="E1988" t="inlineStr">
        <is>
          <t xml:space="preserve">7790580315405       </t>
        </is>
      </c>
      <c r="F1988" t="n">
        <v>4019848</v>
      </c>
      <c r="G1988" t="inlineStr">
        <is>
          <t xml:space="preserve">BARRA CHOCOLATE X24U AGUILA        </t>
        </is>
      </c>
      <c r="H1988" t="inlineStr">
        <is>
          <t xml:space="preserve">UNIDAD              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1</v>
      </c>
      <c r="P1988" s="96">
        <f>_xlfn.XLOOKUP(Tabla5[[#This Row],[EAN CORREGIDO]],'Tabla Articulos'!B:B,'Tabla Articulos'!D:D)</f>
        <v/>
      </c>
      <c r="Q1988" s="96">
        <f>_xlfn.XLOOKUP(S1988,'Tabla Articulos'!B:B,'Tabla Articulos'!E:E)</f>
        <v/>
      </c>
      <c r="R1988" s="96">
        <f>O1988*Q1988</f>
        <v/>
      </c>
      <c r="S1988" s="97">
        <f>TRIM(E1988)</f>
        <v/>
      </c>
    </row>
    <row r="1989" hidden="1">
      <c r="A1989" s="22" t="n">
        <v>6</v>
      </c>
      <c r="B1989" t="inlineStr">
        <is>
          <t xml:space="preserve">CDM03 - MORENO 3              </t>
        </is>
      </c>
      <c r="C1989" t="inlineStr">
        <is>
          <t xml:space="preserve">GRUPO L.                      </t>
        </is>
      </c>
      <c r="E1989" t="inlineStr">
        <is>
          <t xml:space="preserve">UNIF000005          </t>
        </is>
      </c>
      <c r="F1989" t="n">
        <v>9003036</v>
      </c>
      <c r="G1989" t="inlineStr">
        <is>
          <t xml:space="preserve">AMBO A. MAR. ESCO.-V 2XL PULCRUS   </t>
        </is>
      </c>
      <c r="H1989" t="inlineStr">
        <is>
          <t xml:space="preserve">UNIDAD              </t>
        </is>
      </c>
      <c r="I1989" t="n">
        <v>89</v>
      </c>
      <c r="J1989" t="n">
        <v>240</v>
      </c>
      <c r="K1989" t="n">
        <v>0</v>
      </c>
      <c r="L1989" t="n">
        <v>6</v>
      </c>
      <c r="M1989" t="n">
        <v>6</v>
      </c>
      <c r="N1989" t="n">
        <v>0</v>
      </c>
      <c r="O1989" t="n">
        <v>317</v>
      </c>
      <c r="P1989" s="96">
        <f>_xlfn.XLOOKUP(Tabla5[[#This Row],[EAN CORREGIDO]],'Tabla Articulos'!B:B,'Tabla Articulos'!D:D)</f>
        <v/>
      </c>
      <c r="Q1989" s="96">
        <f>_xlfn.XLOOKUP(S1989,'Tabla Articulos'!B:B,'Tabla Articulos'!E:E)</f>
        <v/>
      </c>
      <c r="R1989" s="96">
        <f>O1989*Q1989</f>
        <v/>
      </c>
      <c r="S1989" s="97">
        <f>TRIM(E1989)</f>
        <v/>
      </c>
    </row>
    <row r="1990" hidden="1">
      <c r="A1990" s="22" t="n">
        <v>6</v>
      </c>
      <c r="B1990" t="inlineStr">
        <is>
          <t xml:space="preserve">CDM03 - MORENO 3              </t>
        </is>
      </c>
      <c r="C1990" t="inlineStr">
        <is>
          <t xml:space="preserve">GRUPO L.                      </t>
        </is>
      </c>
      <c r="E1990" t="inlineStr">
        <is>
          <t xml:space="preserve">UNIF000120          </t>
        </is>
      </c>
      <c r="F1990" t="n">
        <v>9003220</v>
      </c>
      <c r="G1990" t="inlineStr">
        <is>
          <t xml:space="preserve">PANTALON NAUTICO BLANCO 2          </t>
        </is>
      </c>
      <c r="H1990" t="inlineStr">
        <is>
          <t xml:space="preserve">UNIDAD              </t>
        </is>
      </c>
      <c r="I1990" t="n">
        <v>0</v>
      </c>
      <c r="J1990" t="n">
        <v>530</v>
      </c>
      <c r="K1990" t="n">
        <v>0</v>
      </c>
      <c r="L1990" t="n">
        <v>0</v>
      </c>
      <c r="M1990" t="n">
        <v>0</v>
      </c>
      <c r="N1990" t="n">
        <v>0</v>
      </c>
      <c r="O1990" t="n">
        <v>530</v>
      </c>
      <c r="P1990" s="96">
        <f>_xlfn.XLOOKUP(Tabla5[[#This Row],[EAN CORREGIDO]],'Tabla Articulos'!B:B,'Tabla Articulos'!D:D)</f>
        <v/>
      </c>
      <c r="Q1990" s="96">
        <f>_xlfn.XLOOKUP(S1990,'Tabla Articulos'!B:B,'Tabla Articulos'!E:E)</f>
        <v/>
      </c>
      <c r="R1990" s="96">
        <f>O1990*Q1990</f>
        <v/>
      </c>
      <c r="S1990" s="97">
        <f>TRIM(E1990)</f>
        <v/>
      </c>
    </row>
    <row r="1991" hidden="1">
      <c r="A1991" s="22" t="n">
        <v>1</v>
      </c>
      <c r="B1991" t="inlineStr">
        <is>
          <t xml:space="preserve">CD MORENO                     </t>
        </is>
      </c>
      <c r="C1991" t="inlineStr">
        <is>
          <t xml:space="preserve">GRUPO L.                      </t>
        </is>
      </c>
      <c r="D1991" t="inlineStr">
        <is>
          <t>LECHE NUT CONFORT</t>
        </is>
      </c>
      <c r="E1991" t="inlineStr">
        <is>
          <t xml:space="preserve">7795323776093       </t>
        </is>
      </c>
      <c r="F1991" t="n">
        <v>4022976</v>
      </c>
      <c r="G1991" t="inlineStr">
        <is>
          <t xml:space="preserve">LECHE LAT 400GR NUTRILON CONFORT   </t>
        </is>
      </c>
      <c r="H1991" t="inlineStr">
        <is>
          <t xml:space="preserve">UNIDAD              </t>
        </is>
      </c>
      <c r="I1991" t="n">
        <v>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2</v>
      </c>
      <c r="P1991" s="96">
        <f>_xlfn.XLOOKUP(Tabla5[[#This Row],[EAN CORREGIDO]],'Tabla Articulos'!B:B,'Tabla Articulos'!D:D)</f>
        <v/>
      </c>
      <c r="Q1991" s="96">
        <f>_xlfn.XLOOKUP(S1991,'Tabla Articulos'!B:B,'Tabla Articulos'!E:E)</f>
        <v/>
      </c>
      <c r="R1991" s="96">
        <f>O1991*Q1991</f>
        <v/>
      </c>
      <c r="S1991" s="97">
        <f>TRIM(E1991)</f>
        <v/>
      </c>
    </row>
    <row r="1992" hidden="1">
      <c r="A1992" s="22" t="n">
        <v>1</v>
      </c>
      <c r="B1992" t="inlineStr">
        <is>
          <t xml:space="preserve">CD MORENO                     </t>
        </is>
      </c>
      <c r="C1992" t="inlineStr">
        <is>
          <t xml:space="preserve">GRUPO L.                      </t>
        </is>
      </c>
      <c r="D1992" s="11" t="inlineStr">
        <is>
          <t>MADALENA INDIVIDUAL</t>
        </is>
      </c>
      <c r="E1992" t="inlineStr">
        <is>
          <t xml:space="preserve">47790726000392      </t>
        </is>
      </c>
      <c r="F1992" t="n">
        <v>4019413</v>
      </c>
      <c r="G1992" t="inlineStr">
        <is>
          <t xml:space="preserve">MADALENA X 25 G DULCYPAS           </t>
        </is>
      </c>
      <c r="H1992" t="inlineStr">
        <is>
          <t xml:space="preserve">UNIDAD              </t>
        </is>
      </c>
      <c r="I1992" t="n">
        <v>4041</v>
      </c>
      <c r="J1992" t="n">
        <v>4800</v>
      </c>
      <c r="K1992" t="n">
        <v>0</v>
      </c>
      <c r="L1992" t="n">
        <v>1440</v>
      </c>
      <c r="M1992" t="n">
        <v>1440</v>
      </c>
      <c r="N1992" t="n">
        <v>0</v>
      </c>
      <c r="O1992" t="n">
        <v>5961</v>
      </c>
      <c r="P1992" s="96">
        <f>_xlfn.XLOOKUP(Tabla5[[#This Row],[EAN CORREGIDO]],'Tabla Articulos'!B:B,'Tabla Articulos'!D:D)</f>
        <v/>
      </c>
      <c r="Q1992" s="96">
        <f>_xlfn.XLOOKUP(S1992,'Tabla Articulos'!B:B,'Tabla Articulos'!E:E)</f>
        <v/>
      </c>
      <c r="R1992" s="96">
        <f>O1992*Q1992</f>
        <v/>
      </c>
      <c r="S1992" s="97">
        <f>TRIM(E1992)</f>
        <v/>
      </c>
    </row>
    <row r="1993" hidden="1">
      <c r="A1993" s="22" t="n">
        <v>5</v>
      </c>
      <c r="B1993" t="inlineStr">
        <is>
          <t xml:space="preserve">CDM02 - MORENO 2              </t>
        </is>
      </c>
      <c r="C1993" t="inlineStr">
        <is>
          <t xml:space="preserve">GRUPO L.                      </t>
        </is>
      </c>
      <c r="D1993" t="inlineStr">
        <is>
          <t>MADALENA INDIVIDUAL</t>
        </is>
      </c>
      <c r="E1993" t="inlineStr">
        <is>
          <t xml:space="preserve">47790726000392      </t>
        </is>
      </c>
      <c r="F1993" t="n">
        <v>4019413</v>
      </c>
      <c r="G1993" t="inlineStr">
        <is>
          <t xml:space="preserve">MADALENA X 25 G DULCYPAS           </t>
        </is>
      </c>
      <c r="H1993" t="inlineStr">
        <is>
          <t xml:space="preserve">UNIDAD              </t>
        </is>
      </c>
      <c r="I1993" t="n">
        <v>650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650</v>
      </c>
      <c r="P1993" s="96">
        <f>_xlfn.XLOOKUP(Tabla5[[#This Row],[EAN CORREGIDO]],'Tabla Articulos'!B:B,'Tabla Articulos'!D:D)</f>
        <v/>
      </c>
      <c r="Q1993" s="96">
        <f>_xlfn.XLOOKUP(S1993,'Tabla Articulos'!B:B,'Tabla Articulos'!E:E)</f>
        <v/>
      </c>
      <c r="R1993" s="96">
        <f>O1993*Q1993</f>
        <v/>
      </c>
      <c r="S1993" s="97">
        <f>TRIM(E1993)</f>
        <v/>
      </c>
    </row>
    <row r="1994" hidden="1">
      <c r="A1994" s="22" t="n">
        <v>1</v>
      </c>
      <c r="B1994" t="inlineStr">
        <is>
          <t xml:space="preserve">CD MORENO                     </t>
        </is>
      </c>
      <c r="C1994" t="inlineStr">
        <is>
          <t xml:space="preserve">GRUPO L.                      </t>
        </is>
      </c>
      <c r="D1994" t="inlineStr">
        <is>
          <t>TE SAQUITO S/TACC</t>
        </is>
      </c>
      <c r="E1994" t="inlineStr">
        <is>
          <t xml:space="preserve">7792198006652       </t>
        </is>
      </c>
      <c r="F1994" t="n">
        <v>4020211</v>
      </c>
      <c r="G1994" t="inlineStr">
        <is>
          <t xml:space="preserve">TE SAQUITO X25U HURLINGHAM         </t>
        </is>
      </c>
      <c r="H1994" t="inlineStr">
        <is>
          <t xml:space="preserve">UNIDAD              </t>
        </is>
      </c>
      <c r="I1994" t="n">
        <v>8345</v>
      </c>
      <c r="J1994" t="n">
        <v>0</v>
      </c>
      <c r="K1994" t="n">
        <v>0</v>
      </c>
      <c r="L1994" t="n">
        <v>1</v>
      </c>
      <c r="M1994" t="n">
        <v>1</v>
      </c>
      <c r="N1994" t="n">
        <v>0</v>
      </c>
      <c r="O1994" t="n">
        <v>8343</v>
      </c>
      <c r="P1994" s="96">
        <f>_xlfn.XLOOKUP(Tabla5[[#This Row],[EAN CORREGIDO]],'Tabla Articulos'!B:B,'Tabla Articulos'!D:D)</f>
        <v/>
      </c>
      <c r="Q1994" s="96">
        <f>_xlfn.XLOOKUP(S1994,'Tabla Articulos'!B:B,'Tabla Articulos'!E:E)</f>
        <v/>
      </c>
      <c r="R1994" s="96">
        <f>O1994*Q1994</f>
        <v/>
      </c>
      <c r="S1994" s="97">
        <f>TRIM(E1994)</f>
        <v/>
      </c>
    </row>
    <row r="1995" hidden="1">
      <c r="A1995" s="22" t="n">
        <v>6</v>
      </c>
      <c r="B1995" t="inlineStr">
        <is>
          <t xml:space="preserve">CDM03 - MORENO 3              </t>
        </is>
      </c>
      <c r="C1995" t="inlineStr">
        <is>
          <t xml:space="preserve">GRUPO L.                      </t>
        </is>
      </c>
      <c r="E1995" t="inlineStr">
        <is>
          <t xml:space="preserve">BUSAT000879         </t>
        </is>
      </c>
      <c r="F1995" s="11" t="n"/>
      <c r="G1995" t="inlineStr">
        <is>
          <t xml:space="preserve">TACHO BASURA RECTANGULAR NEGRO     </t>
        </is>
      </c>
      <c r="H1995" t="inlineStr">
        <is>
          <t xml:space="preserve">UNIDAD              </t>
        </is>
      </c>
      <c r="I1995" t="n">
        <v>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3</v>
      </c>
      <c r="P1995" s="96">
        <f>_xlfn.XLOOKUP(Tabla5[[#This Row],[EAN CORREGIDO]],'Tabla Articulos'!B:B,'Tabla Articulos'!D:D)</f>
        <v/>
      </c>
      <c r="Q1995" s="96">
        <f>_xlfn.XLOOKUP(S1995,'Tabla Articulos'!B:B,'Tabla Articulos'!E:E)</f>
        <v/>
      </c>
      <c r="R1995" s="96">
        <f>O1995*Q1995</f>
        <v/>
      </c>
      <c r="S1995" s="97">
        <f>TRIM(E1995)</f>
        <v/>
      </c>
    </row>
    <row r="1996" hidden="1">
      <c r="A1996" s="22" t="n">
        <v>6</v>
      </c>
      <c r="B1996" t="inlineStr">
        <is>
          <t xml:space="preserve">CDM03 - MORENO 3              </t>
        </is>
      </c>
      <c r="C1996" t="inlineStr">
        <is>
          <t xml:space="preserve">GRUPO L.                      </t>
        </is>
      </c>
      <c r="E1996" t="inlineStr">
        <is>
          <t xml:space="preserve">BUSAT001109         </t>
        </is>
      </c>
      <c r="F1996" s="11" t="n"/>
      <c r="G1996" t="inlineStr">
        <is>
          <t xml:space="preserve">BOMBA DE ADEREZOS                  </t>
        </is>
      </c>
      <c r="H1996" t="inlineStr">
        <is>
          <t xml:space="preserve">UNIDAD              </t>
        </is>
      </c>
      <c r="I1996" t="n">
        <v>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1</v>
      </c>
      <c r="P1996" s="96">
        <f>_xlfn.XLOOKUP(Tabla5[[#This Row],[EAN CORREGIDO]],'Tabla Articulos'!B:B,'Tabla Articulos'!D:D)</f>
        <v/>
      </c>
      <c r="Q1996" s="96">
        <f>_xlfn.XLOOKUP(S1996,'Tabla Articulos'!B:B,'Tabla Articulos'!E:E)</f>
        <v/>
      </c>
      <c r="R1996" s="96">
        <f>O1996*Q1996</f>
        <v/>
      </c>
      <c r="S1996" s="97">
        <f>TRIM(E1996)</f>
        <v/>
      </c>
    </row>
    <row r="1997" hidden="1">
      <c r="A1997" s="22" t="n">
        <v>6</v>
      </c>
      <c r="B1997" t="inlineStr">
        <is>
          <t xml:space="preserve">CDM03 - MORENO 3              </t>
        </is>
      </c>
      <c r="C1997" t="inlineStr">
        <is>
          <t xml:space="preserve">GRUPO L.                      </t>
        </is>
      </c>
      <c r="D1997" s="11" t="n"/>
      <c r="E1997" t="inlineStr">
        <is>
          <t xml:space="preserve">BUSAT000046         </t>
        </is>
      </c>
      <c r="F1997" s="11" t="n"/>
      <c r="G1997" t="inlineStr">
        <is>
          <t xml:space="preserve">MOLDE DE EMPANADA 11CM             </t>
        </is>
      </c>
      <c r="H1997" t="inlineStr">
        <is>
          <t xml:space="preserve">UNIDAD              </t>
        </is>
      </c>
      <c r="I1997" t="n">
        <v>18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18</v>
      </c>
      <c r="P1997" s="96">
        <f>_xlfn.XLOOKUP(Tabla5[[#This Row],[EAN CORREGIDO]],'Tabla Articulos'!B:B,'Tabla Articulos'!D:D)</f>
        <v/>
      </c>
      <c r="Q1997" s="96">
        <f>_xlfn.XLOOKUP(S1997,'Tabla Articulos'!B:B,'Tabla Articulos'!E:E)</f>
        <v/>
      </c>
      <c r="R1997" s="96">
        <f>O1997*Q1997</f>
        <v/>
      </c>
      <c r="S1997" s="97">
        <f>TRIM(E1997)</f>
        <v/>
      </c>
    </row>
    <row r="1998" hidden="1">
      <c r="A1998" s="22" t="n">
        <v>6</v>
      </c>
      <c r="B1998" t="inlineStr">
        <is>
          <t xml:space="preserve">CDM03 - MORENO 3              </t>
        </is>
      </c>
      <c r="C1998" t="inlineStr">
        <is>
          <t xml:space="preserve">GRUPO L.                      </t>
        </is>
      </c>
      <c r="E1998" t="inlineStr">
        <is>
          <t xml:space="preserve">BUSAT0011013        </t>
        </is>
      </c>
      <c r="F1998" s="11" t="n"/>
      <c r="G1998" t="inlineStr">
        <is>
          <t xml:space="preserve">PORTA SERVILLETA CHICO             </t>
        </is>
      </c>
      <c r="H1998" t="inlineStr">
        <is>
          <t xml:space="preserve">UNIDAD              </t>
        </is>
      </c>
      <c r="I1998" t="n">
        <v>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1</v>
      </c>
      <c r="P1998" s="96">
        <f>_xlfn.XLOOKUP(Tabla5[[#This Row],[EAN CORREGIDO]],'Tabla Articulos'!B:B,'Tabla Articulos'!D:D)</f>
        <v/>
      </c>
      <c r="Q1998" s="96">
        <f>_xlfn.XLOOKUP(S1998,'Tabla Articulos'!B:B,'Tabla Articulos'!E:E)</f>
        <v/>
      </c>
      <c r="R1998" s="96">
        <f>O1998*Q1998</f>
        <v/>
      </c>
      <c r="S1998" s="97">
        <f>TRIM(E1998)</f>
        <v/>
      </c>
    </row>
    <row r="1999" hidden="1">
      <c r="A1999" s="22" t="n">
        <v>6</v>
      </c>
      <c r="B1999" t="inlineStr">
        <is>
          <t xml:space="preserve">CDM03 - MORENO 3              </t>
        </is>
      </c>
      <c r="C1999" t="inlineStr">
        <is>
          <t xml:space="preserve">GRUPO L.                      </t>
        </is>
      </c>
      <c r="D1999" s="11" t="inlineStr">
        <is>
          <t>LIMPIA VIDRIO ESPONJA Y CABO</t>
        </is>
      </c>
      <c r="E1999" t="inlineStr">
        <is>
          <t xml:space="preserve">LIM000076           </t>
        </is>
      </c>
      <c r="F1999" s="11" t="n"/>
      <c r="G1999" t="inlineStr">
        <is>
          <t>LIMPIA VIDRIOS CON ESPONJA Y CABO 3</t>
        </is>
      </c>
      <c r="H1999" t="inlineStr">
        <is>
          <t xml:space="preserve">UNIDAD              </t>
        </is>
      </c>
      <c r="I1999" t="n">
        <v>120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120</v>
      </c>
      <c r="P1999" s="96">
        <f>_xlfn.XLOOKUP(Tabla5[[#This Row],[EAN CORREGIDO]],'Tabla Articulos'!B:B,'Tabla Articulos'!D:D)</f>
        <v/>
      </c>
      <c r="Q1999" s="96">
        <f>_xlfn.XLOOKUP(S1999,'Tabla Articulos'!B:B,'Tabla Articulos'!E:E)</f>
        <v/>
      </c>
      <c r="R1999" s="96">
        <f>O1999*Q1999</f>
        <v/>
      </c>
      <c r="S1999" s="97">
        <f>TRIM(E1999)</f>
        <v/>
      </c>
    </row>
    <row r="2000" hidden="1">
      <c r="A2000" s="22" t="n">
        <v>6</v>
      </c>
      <c r="B2000" t="inlineStr">
        <is>
          <t xml:space="preserve">CDM03 - MORENO 3              </t>
        </is>
      </c>
      <c r="C2000" t="inlineStr">
        <is>
          <t xml:space="preserve">GRUPO L.                      </t>
        </is>
      </c>
      <c r="D2000" s="11" t="n"/>
      <c r="E2000" t="inlineStr">
        <is>
          <t xml:space="preserve">BUSAT000054         </t>
        </is>
      </c>
      <c r="F2000" s="11" t="n"/>
      <c r="G2000" t="inlineStr">
        <is>
          <t xml:space="preserve">PORTA SERVILLETRO ACERO INOX.      </t>
        </is>
      </c>
      <c r="H2000" t="inlineStr">
        <is>
          <t xml:space="preserve">UNIDAD              </t>
        </is>
      </c>
      <c r="I2000" t="n">
        <v>18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18</v>
      </c>
      <c r="P2000" s="96">
        <f>_xlfn.XLOOKUP(Tabla5[[#This Row],[EAN CORREGIDO]],'Tabla Articulos'!B:B,'Tabla Articulos'!D:D)</f>
        <v/>
      </c>
      <c r="Q2000" s="96">
        <f>_xlfn.XLOOKUP(S2000,'Tabla Articulos'!B:B,'Tabla Articulos'!E:E)</f>
        <v/>
      </c>
      <c r="R2000" s="96">
        <f>O2000*Q2000</f>
        <v/>
      </c>
      <c r="S2000" s="97">
        <f>TRIM(E2000)</f>
        <v/>
      </c>
    </row>
    <row r="2001" hidden="1">
      <c r="A2001" s="22" t="n">
        <v>1</v>
      </c>
      <c r="B2001" t="inlineStr">
        <is>
          <t xml:space="preserve">CD MORENO                     </t>
        </is>
      </c>
      <c r="C2001" t="inlineStr">
        <is>
          <t xml:space="preserve">GRUPO L.                      </t>
        </is>
      </c>
      <c r="D2001" s="11" t="inlineStr">
        <is>
          <t>BOLSA CAMISETA REFORZADA</t>
        </is>
      </c>
      <c r="E2001" t="inlineStr">
        <is>
          <t xml:space="preserve">7790000000386       </t>
        </is>
      </c>
      <c r="F2001" s="11" t="n">
        <v>2007329</v>
      </c>
      <c r="G2001" t="inlineStr">
        <is>
          <t xml:space="preserve">BOLSA CAM NEGR REF 50X60X100U EV   </t>
        </is>
      </c>
      <c r="H2001" t="inlineStr">
        <is>
          <t xml:space="preserve">UNIDAD              </t>
        </is>
      </c>
      <c r="I2001" t="n">
        <v>579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579</v>
      </c>
      <c r="P2001" s="96">
        <f>_xlfn.XLOOKUP(Tabla5[[#This Row],[EAN CORREGIDO]],'Tabla Articulos'!B:B,'Tabla Articulos'!D:D)</f>
        <v/>
      </c>
      <c r="Q2001" s="96">
        <f>_xlfn.XLOOKUP(S2001,'Tabla Articulos'!B:B,'Tabla Articulos'!E:E)</f>
        <v/>
      </c>
      <c r="R2001" s="96">
        <f>O2001*Q2001</f>
        <v/>
      </c>
      <c r="S2001" s="97">
        <f>TRIM(E2001)</f>
        <v/>
      </c>
    </row>
    <row r="2002" hidden="1">
      <c r="A2002" s="22" t="n">
        <v>1</v>
      </c>
      <c r="B2002" t="inlineStr">
        <is>
          <t xml:space="preserve">CD MORENO                     </t>
        </is>
      </c>
      <c r="C2002" t="inlineStr">
        <is>
          <t xml:space="preserve">GRUPO L.                      </t>
        </is>
      </c>
      <c r="D2002" s="11" t="inlineStr">
        <is>
          <t>VINAGRE ALCOHOL</t>
        </is>
      </c>
      <c r="E2002" t="inlineStr">
        <is>
          <t xml:space="preserve">7792378001477       </t>
        </is>
      </c>
      <c r="F2002" s="11" t="n">
        <v>4019917</v>
      </c>
      <c r="G2002" t="inlineStr">
        <is>
          <t xml:space="preserve">VINAGRE ALCOHOL X5LT GUSTOSO       </t>
        </is>
      </c>
      <c r="H2002" t="inlineStr">
        <is>
          <t xml:space="preserve">UNIDAD              </t>
        </is>
      </c>
      <c r="I2002" t="n">
        <v>53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53</v>
      </c>
      <c r="P2002" s="96">
        <f>_xlfn.XLOOKUP(Tabla5[[#This Row],[EAN CORREGIDO]],'Tabla Articulos'!B:B,'Tabla Articulos'!D:D)</f>
        <v/>
      </c>
      <c r="Q2002" s="96">
        <f>_xlfn.XLOOKUP(S2002,'Tabla Articulos'!B:B,'Tabla Articulos'!E:E)</f>
        <v/>
      </c>
      <c r="R2002" s="96">
        <f>O2002*Q2002</f>
        <v/>
      </c>
      <c r="S2002" s="97">
        <f>TRIM(E2002)</f>
        <v/>
      </c>
    </row>
    <row r="2003" hidden="1">
      <c r="A2003" s="22" t="n">
        <v>1</v>
      </c>
      <c r="B2003" t="inlineStr">
        <is>
          <t xml:space="preserve">CD MORENO                     </t>
        </is>
      </c>
      <c r="C2003" t="inlineStr">
        <is>
          <t xml:space="preserve">GRUPO L.                      </t>
        </is>
      </c>
      <c r="D2003" s="11" t="inlineStr">
        <is>
          <t>PAPA</t>
        </is>
      </c>
      <c r="E2003" t="inlineStr">
        <is>
          <t xml:space="preserve">7790216010052       </t>
        </is>
      </c>
      <c r="F2003" s="11" t="n">
        <v>4018027</v>
      </c>
      <c r="G2003" t="inlineStr">
        <is>
          <t xml:space="preserve">PAPA X KG                          </t>
        </is>
      </c>
      <c r="H2003" t="inlineStr">
        <is>
          <t xml:space="preserve">Kgs                 </t>
        </is>
      </c>
      <c r="I2003" t="n">
        <v>3475.397</v>
      </c>
      <c r="J2003" t="n">
        <v>0</v>
      </c>
      <c r="K2003" t="n">
        <v>0</v>
      </c>
      <c r="L2003" t="n">
        <v>1596.75</v>
      </c>
      <c r="M2003" t="n">
        <v>1596.75</v>
      </c>
      <c r="N2003" t="n">
        <v>0</v>
      </c>
      <c r="O2003" t="n">
        <v>281.897</v>
      </c>
      <c r="P2003" s="96">
        <f>_xlfn.XLOOKUP(Tabla5[[#This Row],[EAN CORREGIDO]],'Tabla Articulos'!B:B,'Tabla Articulos'!D:D)</f>
        <v/>
      </c>
      <c r="Q2003" s="96">
        <f>_xlfn.XLOOKUP(S2003,'Tabla Articulos'!B:B,'Tabla Articulos'!E:E)</f>
        <v/>
      </c>
      <c r="R2003" s="96">
        <f>O2003*Q2003</f>
        <v/>
      </c>
      <c r="S2003" s="97">
        <f>TRIM(E2003)</f>
        <v/>
      </c>
    </row>
    <row r="2004" hidden="1">
      <c r="A2004" s="22" t="n">
        <v>6</v>
      </c>
      <c r="B2004" t="inlineStr">
        <is>
          <t xml:space="preserve">CDM03 - MORENO 3              </t>
        </is>
      </c>
      <c r="C2004" t="inlineStr">
        <is>
          <t xml:space="preserve">GRUPO L.                      </t>
        </is>
      </c>
      <c r="E2004" t="inlineStr">
        <is>
          <t xml:space="preserve">UNIF000656          </t>
        </is>
      </c>
      <c r="F2004" s="11" t="n">
        <v>9003992</v>
      </c>
      <c r="G2004" t="inlineStr">
        <is>
          <t xml:space="preserve">PANTALON CARGO A. MARINO 48        </t>
        </is>
      </c>
      <c r="H2004" t="inlineStr">
        <is>
          <t xml:space="preserve">UNIDAD              </t>
        </is>
      </c>
      <c r="I2004" t="n">
        <v>20</v>
      </c>
      <c r="J2004" t="n">
        <v>0</v>
      </c>
      <c r="K2004" t="n">
        <v>0</v>
      </c>
      <c r="L2004" t="n">
        <v>8</v>
      </c>
      <c r="M2004" t="n">
        <v>8</v>
      </c>
      <c r="N2004" t="n">
        <v>0</v>
      </c>
      <c r="O2004" t="n">
        <v>4</v>
      </c>
      <c r="P2004" s="96">
        <f>_xlfn.XLOOKUP(Tabla5[[#This Row],[EAN CORREGIDO]],'Tabla Articulos'!B:B,'Tabla Articulos'!D:D)</f>
        <v/>
      </c>
      <c r="Q2004" s="96">
        <f>_xlfn.XLOOKUP(S2004,'Tabla Articulos'!B:B,'Tabla Articulos'!E:E)</f>
        <v/>
      </c>
      <c r="R2004" s="96">
        <f>O2004*Q2004</f>
        <v/>
      </c>
      <c r="S2004" s="97">
        <f>TRIM(E2004)</f>
        <v/>
      </c>
    </row>
    <row r="2005" hidden="1">
      <c r="A2005" s="22" t="n">
        <v>5</v>
      </c>
      <c r="B2005" t="inlineStr">
        <is>
          <t xml:space="preserve">CDM02 - MORENO 2              </t>
        </is>
      </c>
      <c r="C2005" t="inlineStr">
        <is>
          <t xml:space="preserve">GRUPO L.                      </t>
        </is>
      </c>
      <c r="D2005" s="11" t="inlineStr">
        <is>
          <t>YERBA MATE</t>
        </is>
      </c>
      <c r="E2005" t="inlineStr">
        <is>
          <t xml:space="preserve">7798028021598       </t>
        </is>
      </c>
      <c r="F2005" s="11" t="n">
        <v>4020783</v>
      </c>
      <c r="G2005" t="inlineStr">
        <is>
          <t>YERBA MATE SUAVE X 500GR LA POSADEÑ</t>
        </is>
      </c>
      <c r="H2005" t="inlineStr">
        <is>
          <t xml:space="preserve">UNIDAD              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2</v>
      </c>
      <c r="P2005" s="96">
        <f>_xlfn.XLOOKUP(Tabla5[[#This Row],[EAN CORREGIDO]],'Tabla Articulos'!B:B,'Tabla Articulos'!D:D)</f>
        <v/>
      </c>
      <c r="Q2005" s="96">
        <f>_xlfn.XLOOKUP(S2005,'Tabla Articulos'!B:B,'Tabla Articulos'!E:E)</f>
        <v/>
      </c>
      <c r="R2005" s="96">
        <f>O2005*Q2005</f>
        <v/>
      </c>
      <c r="S2005" s="97">
        <f>TRIM(E2005)</f>
        <v/>
      </c>
    </row>
    <row r="2006" hidden="1">
      <c r="A2006" s="22" t="n">
        <v>1</v>
      </c>
      <c r="B2006" t="inlineStr">
        <is>
          <t xml:space="preserve">CD MORENO                     </t>
        </is>
      </c>
      <c r="C2006" t="inlineStr">
        <is>
          <t xml:space="preserve">GRUPO L.                      </t>
        </is>
      </c>
      <c r="D2006" s="11" t="inlineStr">
        <is>
          <t>YERBA MATE</t>
        </is>
      </c>
      <c r="E2006" t="inlineStr">
        <is>
          <t xml:space="preserve">7798028021598       </t>
        </is>
      </c>
      <c r="F2006" s="11" t="n">
        <v>4020783</v>
      </c>
      <c r="G2006" t="inlineStr">
        <is>
          <t>YERBA MATE SUAVE X 500GR LA POSADEÑ</t>
        </is>
      </c>
      <c r="H2006" t="inlineStr">
        <is>
          <t xml:space="preserve">UNIDAD              </t>
        </is>
      </c>
      <c r="I2006" t="n">
        <v>2008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2008</v>
      </c>
      <c r="P2006" s="96">
        <f>_xlfn.XLOOKUP(Tabla5[[#This Row],[EAN CORREGIDO]],'Tabla Articulos'!B:B,'Tabla Articulos'!D:D)</f>
        <v/>
      </c>
      <c r="Q2006" s="96">
        <f>_xlfn.XLOOKUP(S2006,'Tabla Articulos'!B:B,'Tabla Articulos'!E:E)</f>
        <v/>
      </c>
      <c r="R2006" s="96">
        <f>O2006*Q2006</f>
        <v/>
      </c>
      <c r="S2006" s="97">
        <f>TRIM(E2006)</f>
        <v/>
      </c>
    </row>
    <row r="2007" hidden="1">
      <c r="A2007" s="22" t="n">
        <v>6</v>
      </c>
      <c r="B2007" t="inlineStr">
        <is>
          <t xml:space="preserve">CDM03 - MORENO 3              </t>
        </is>
      </c>
      <c r="C2007" t="inlineStr">
        <is>
          <t xml:space="preserve">GRUPO L.                      </t>
        </is>
      </c>
      <c r="E2007" t="inlineStr">
        <is>
          <t xml:space="preserve">UNIF000480          </t>
        </is>
      </c>
      <c r="F2007" s="11" t="n">
        <v>9003252</v>
      </c>
      <c r="G2007" t="inlineStr">
        <is>
          <t xml:space="preserve">PANTAL. GRAFA S. LOGO A. MAR 58    </t>
        </is>
      </c>
      <c r="H2007" t="inlineStr">
        <is>
          <t xml:space="preserve">UNIDAD              </t>
        </is>
      </c>
      <c r="I2007" t="n">
        <v>132</v>
      </c>
      <c r="J2007" t="n">
        <v>0</v>
      </c>
      <c r="K2007" t="n">
        <v>0</v>
      </c>
      <c r="L2007" t="n">
        <v>1</v>
      </c>
      <c r="M2007" t="n">
        <v>1</v>
      </c>
      <c r="N2007" t="n">
        <v>0</v>
      </c>
      <c r="O2007" t="n">
        <v>130</v>
      </c>
      <c r="P2007" s="96">
        <f>_xlfn.XLOOKUP(Tabla5[[#This Row],[EAN CORREGIDO]],'Tabla Articulos'!B:B,'Tabla Articulos'!D:D)</f>
        <v/>
      </c>
      <c r="Q2007" s="96">
        <f>_xlfn.XLOOKUP(S2007,'Tabla Articulos'!B:B,'Tabla Articulos'!E:E)</f>
        <v/>
      </c>
      <c r="R2007" s="96">
        <f>O2007*Q2007</f>
        <v/>
      </c>
      <c r="S2007" s="97">
        <f>TRIM(E2007)</f>
        <v/>
      </c>
    </row>
    <row r="2008" hidden="1">
      <c r="A2008" s="22" t="n">
        <v>6</v>
      </c>
      <c r="B2008" t="inlineStr">
        <is>
          <t xml:space="preserve">CDM03 - MORENO 3              </t>
        </is>
      </c>
      <c r="C2008" t="inlineStr">
        <is>
          <t xml:space="preserve">GRUPO L.                      </t>
        </is>
      </c>
      <c r="D2008" s="11" t="n"/>
      <c r="E2008" t="inlineStr">
        <is>
          <t xml:space="preserve">UNIF000157          </t>
        </is>
      </c>
      <c r="F2008" s="11" t="n">
        <v>9003574</v>
      </c>
      <c r="G2008" t="inlineStr">
        <is>
          <t xml:space="preserve">CAMI. BLAN.M. LARG 44 GL SUP       </t>
        </is>
      </c>
      <c r="H2008" t="inlineStr">
        <is>
          <t xml:space="preserve">UNIDAD              </t>
        </is>
      </c>
      <c r="I2008" t="n">
        <v>25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25</v>
      </c>
      <c r="P2008" s="96">
        <f>_xlfn.XLOOKUP(Tabla5[[#This Row],[EAN CORREGIDO]],'Tabla Articulos'!B:B,'Tabla Articulos'!D:D)</f>
        <v/>
      </c>
      <c r="Q2008" s="96">
        <f>_xlfn.XLOOKUP(S2008,'Tabla Articulos'!B:B,'Tabla Articulos'!E:E)</f>
        <v/>
      </c>
      <c r="R2008" s="96">
        <f>O2008*Q2008</f>
        <v/>
      </c>
      <c r="S2008" s="97">
        <f>TRIM(E2008)</f>
        <v/>
      </c>
    </row>
    <row r="2009" hidden="1">
      <c r="A2009" s="22" t="n">
        <v>6</v>
      </c>
      <c r="B2009" t="inlineStr">
        <is>
          <t xml:space="preserve">CDM03 - MORENO 3              </t>
        </is>
      </c>
      <c r="C2009" t="inlineStr">
        <is>
          <t xml:space="preserve">GRUPO L.                      </t>
        </is>
      </c>
      <c r="D2009" s="11" t="inlineStr">
        <is>
          <t>BOLSAS RESIDUO 30 MICRO VERDES</t>
        </is>
      </c>
      <c r="E2009" t="inlineStr">
        <is>
          <t xml:space="preserve">7790321000042       </t>
        </is>
      </c>
      <c r="F2009" s="11" t="n">
        <v>2006221</v>
      </c>
      <c r="G2009" t="inlineStr">
        <is>
          <t>BOLSA RESIDUO 45X60 VERDE 30MICRONE</t>
        </is>
      </c>
      <c r="H2009" t="inlineStr">
        <is>
          <t xml:space="preserve">UNIDAD              </t>
        </is>
      </c>
      <c r="I2009" t="n">
        <v>218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218</v>
      </c>
      <c r="P2009" s="96">
        <f>_xlfn.XLOOKUP(Tabla5[[#This Row],[EAN CORREGIDO]],'Tabla Articulos'!B:B,'Tabla Articulos'!D:D)</f>
        <v/>
      </c>
      <c r="Q2009" s="96">
        <f>_xlfn.XLOOKUP(S2009,'Tabla Articulos'!B:B,'Tabla Articulos'!E:E)</f>
        <v/>
      </c>
      <c r="R2009" s="96">
        <f>O2009*Q2009</f>
        <v/>
      </c>
      <c r="S2009" s="97">
        <f>TRIM(E2009)</f>
        <v/>
      </c>
    </row>
    <row r="2010" hidden="1">
      <c r="A2010" s="22" t="n">
        <v>5</v>
      </c>
      <c r="B2010" t="inlineStr">
        <is>
          <t xml:space="preserve">CDM02 - MORENO 2              </t>
        </is>
      </c>
      <c r="C2010" t="inlineStr">
        <is>
          <t xml:space="preserve">GRUPO L.                      </t>
        </is>
      </c>
      <c r="D2010" s="11" t="inlineStr">
        <is>
          <t>ARROZ 00000</t>
        </is>
      </c>
      <c r="E2010" t="inlineStr">
        <is>
          <t xml:space="preserve">7790503199082       </t>
        </is>
      </c>
      <c r="F2010" s="11" t="n">
        <v>4019486</v>
      </c>
      <c r="G2010" t="inlineStr">
        <is>
          <t>ARROZ LARGO FINO X 1 KG DOS HERMANO</t>
        </is>
      </c>
      <c r="H2010" t="inlineStr">
        <is>
          <t xml:space="preserve">UNIDAD              </t>
        </is>
      </c>
      <c r="I2010" t="n">
        <v>182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182</v>
      </c>
      <c r="P2010" s="96">
        <f>_xlfn.XLOOKUP(Tabla5[[#This Row],[EAN CORREGIDO]],'Tabla Articulos'!B:B,'Tabla Articulos'!D:D)</f>
        <v/>
      </c>
      <c r="Q2010" s="96">
        <f>_xlfn.XLOOKUP(S2010,'Tabla Articulos'!B:B,'Tabla Articulos'!E:E)</f>
        <v/>
      </c>
      <c r="R2010" s="96">
        <f>O2010*Q2010</f>
        <v/>
      </c>
      <c r="S2010" s="97">
        <f>TRIM(E2010)</f>
        <v/>
      </c>
    </row>
    <row r="2011" hidden="1">
      <c r="A2011" s="22" t="n">
        <v>6</v>
      </c>
      <c r="B2011" t="inlineStr">
        <is>
          <t xml:space="preserve">CDM03 - MORENO 3              </t>
        </is>
      </c>
      <c r="C2011" t="inlineStr">
        <is>
          <t xml:space="preserve">GRUPO L.                      </t>
        </is>
      </c>
      <c r="E2011" t="inlineStr">
        <is>
          <t xml:space="preserve">UNIF000054          </t>
        </is>
      </c>
      <c r="F2011" s="11" t="n">
        <v>9003307</v>
      </c>
      <c r="G2011" t="inlineStr">
        <is>
          <t xml:space="preserve">BUZO A. MAR. FRISA GL SUP M        </t>
        </is>
      </c>
      <c r="H2011" t="inlineStr">
        <is>
          <t xml:space="preserve">UNIDAD              </t>
        </is>
      </c>
      <c r="I2011" t="n">
        <v>0</v>
      </c>
      <c r="J2011" t="n">
        <v>100</v>
      </c>
      <c r="K2011" t="n">
        <v>0</v>
      </c>
      <c r="L2011" t="n">
        <v>1</v>
      </c>
      <c r="M2011" t="n">
        <v>1</v>
      </c>
      <c r="N2011" t="n">
        <v>0</v>
      </c>
      <c r="O2011" t="n">
        <v>98</v>
      </c>
      <c r="P2011" s="96">
        <f>_xlfn.XLOOKUP(Tabla5[[#This Row],[EAN CORREGIDO]],'Tabla Articulos'!B:B,'Tabla Articulos'!D:D)</f>
        <v/>
      </c>
      <c r="Q2011" s="96">
        <f>_xlfn.XLOOKUP(S2011,'Tabla Articulos'!B:B,'Tabla Articulos'!E:E)</f>
        <v/>
      </c>
      <c r="R2011" s="96">
        <f>O2011*Q2011</f>
        <v/>
      </c>
      <c r="S2011" s="97">
        <f>TRIM(E2011)</f>
        <v/>
      </c>
    </row>
    <row r="2012" hidden="1">
      <c r="A2012" s="22" t="n">
        <v>6</v>
      </c>
      <c r="B2012" t="inlineStr">
        <is>
          <t xml:space="preserve">CDM03 - MORENO 3              </t>
        </is>
      </c>
      <c r="C2012" t="inlineStr">
        <is>
          <t xml:space="preserve">GRUPO L.                      </t>
        </is>
      </c>
      <c r="E2012" t="inlineStr">
        <is>
          <t xml:space="preserve">BAZ001264           </t>
        </is>
      </c>
      <c r="F2012" s="11" t="n">
        <v>9003863</v>
      </c>
      <c r="G2012" t="inlineStr">
        <is>
          <t xml:space="preserve">OLLA ALUM C/TAP HOTEL N°32 26L     </t>
        </is>
      </c>
      <c r="H2012" t="inlineStr">
        <is>
          <t xml:space="preserve">UNIDAD              </t>
        </is>
      </c>
      <c r="I2012" t="n">
        <v>21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21</v>
      </c>
      <c r="P2012" s="96">
        <f>_xlfn.XLOOKUP(Tabla5[[#This Row],[EAN CORREGIDO]],'Tabla Articulos'!B:B,'Tabla Articulos'!D:D)</f>
        <v/>
      </c>
      <c r="Q2012" s="96">
        <f>_xlfn.XLOOKUP(S2012,'Tabla Articulos'!B:B,'Tabla Articulos'!E:E)</f>
        <v/>
      </c>
      <c r="R2012" s="96">
        <f>O2012*Q2012</f>
        <v/>
      </c>
      <c r="S2012" s="97">
        <f>TRIM(E2012)</f>
        <v/>
      </c>
    </row>
    <row r="2013" hidden="1">
      <c r="A2013" s="22" t="n">
        <v>5</v>
      </c>
      <c r="B2013" t="inlineStr">
        <is>
          <t xml:space="preserve">CDM02 - MORENO 2              </t>
        </is>
      </c>
      <c r="C2013" t="inlineStr">
        <is>
          <t xml:space="preserve">GRUPO L.                      </t>
        </is>
      </c>
      <c r="D2013" s="11" t="inlineStr">
        <is>
          <t>CAJAS CARTON</t>
        </is>
      </c>
      <c r="E2013" t="inlineStr">
        <is>
          <t xml:space="preserve">7790321719168       </t>
        </is>
      </c>
      <c r="F2013" s="11" t="n">
        <v>2006166</v>
      </c>
      <c r="G2013" t="inlineStr">
        <is>
          <t xml:space="preserve">CAJA DOBLE BASE 40X30X27 LANUS	    </t>
        </is>
      </c>
      <c r="H2013" t="inlineStr">
        <is>
          <t xml:space="preserve">UNIDAD              </t>
        </is>
      </c>
      <c r="I2013" t="n">
        <v>2872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2872</v>
      </c>
      <c r="P2013" s="96">
        <f>_xlfn.XLOOKUP(Tabla5[[#This Row],[EAN CORREGIDO]],'Tabla Articulos'!B:B,'Tabla Articulos'!D:D)</f>
        <v/>
      </c>
      <c r="Q2013" s="96">
        <f>_xlfn.XLOOKUP(S2013,'Tabla Articulos'!B:B,'Tabla Articulos'!E:E)</f>
        <v/>
      </c>
      <c r="R2013" s="96">
        <f>O2013*Q2013</f>
        <v/>
      </c>
      <c r="S2013" s="97">
        <f>TRIM(E2013)</f>
        <v/>
      </c>
    </row>
    <row r="2014" hidden="1">
      <c r="A2014" s="22" t="n">
        <v>6</v>
      </c>
      <c r="B2014" t="inlineStr">
        <is>
          <t xml:space="preserve">CDM03 - MORENO 3              </t>
        </is>
      </c>
      <c r="C2014" t="inlineStr">
        <is>
          <t xml:space="preserve">GRUPO L.                      </t>
        </is>
      </c>
      <c r="D2014" s="11" t="n"/>
      <c r="E2014" t="inlineStr">
        <is>
          <t xml:space="preserve">UNIF000446          </t>
        </is>
      </c>
      <c r="F2014" s="11" t="n">
        <v>9003607</v>
      </c>
      <c r="G2014" t="inlineStr">
        <is>
          <t xml:space="preserve">CAMPERA TRUCK A. MAR. 2XL GL       </t>
        </is>
      </c>
      <c r="H2014" t="inlineStr">
        <is>
          <t xml:space="preserve">UNIDAD              </t>
        </is>
      </c>
      <c r="I2014" t="n">
        <v>62</v>
      </c>
      <c r="J2014" t="n">
        <v>80</v>
      </c>
      <c r="K2014" t="n">
        <v>0</v>
      </c>
      <c r="L2014" t="n">
        <v>0</v>
      </c>
      <c r="M2014" t="n">
        <v>0</v>
      </c>
      <c r="N2014" t="n">
        <v>0</v>
      </c>
      <c r="O2014" t="n">
        <v>142</v>
      </c>
      <c r="P2014" s="96">
        <f>_xlfn.XLOOKUP(Tabla5[[#This Row],[EAN CORREGIDO]],'Tabla Articulos'!B:B,'Tabla Articulos'!D:D)</f>
        <v/>
      </c>
      <c r="Q2014" s="96">
        <f>_xlfn.XLOOKUP(S2014,'Tabla Articulos'!B:B,'Tabla Articulos'!E:E)</f>
        <v/>
      </c>
      <c r="R2014" s="96">
        <f>O2014*Q2014</f>
        <v/>
      </c>
      <c r="S2014" s="97">
        <f>TRIM(E2014)</f>
        <v/>
      </c>
    </row>
    <row r="2015" hidden="1">
      <c r="A2015" s="22" t="n">
        <v>6</v>
      </c>
      <c r="B2015" t="inlineStr">
        <is>
          <t xml:space="preserve">CDM03 - MORENO 3              </t>
        </is>
      </c>
      <c r="C2015" t="inlineStr">
        <is>
          <t xml:space="preserve">GRUPO L.                      </t>
        </is>
      </c>
      <c r="D2015" s="11" t="n"/>
      <c r="E2015" t="inlineStr">
        <is>
          <t xml:space="preserve">UNIF000420          </t>
        </is>
      </c>
      <c r="F2015" s="11" t="n">
        <v>9003263</v>
      </c>
      <c r="G2015" t="inlineStr">
        <is>
          <t xml:space="preserve">CAMISA GRAFA-AZUL MARINO 44 ELEV   </t>
        </is>
      </c>
      <c r="H2015" t="inlineStr">
        <is>
          <t xml:space="preserve">UNIDAD              </t>
        </is>
      </c>
      <c r="I2015" t="n">
        <v>24</v>
      </c>
      <c r="J2015" t="n">
        <v>0</v>
      </c>
      <c r="K2015" t="n">
        <v>0</v>
      </c>
      <c r="L2015" t="n">
        <v>7</v>
      </c>
      <c r="M2015" t="n">
        <v>7</v>
      </c>
      <c r="N2015" t="n">
        <v>0</v>
      </c>
      <c r="O2015" t="n">
        <v>10</v>
      </c>
      <c r="P2015" s="96">
        <f>_xlfn.XLOOKUP(Tabla5[[#This Row],[EAN CORREGIDO]],'Tabla Articulos'!B:B,'Tabla Articulos'!D:D)</f>
        <v/>
      </c>
      <c r="Q2015" s="96">
        <f>_xlfn.XLOOKUP(S2015,'Tabla Articulos'!B:B,'Tabla Articulos'!E:E)</f>
        <v/>
      </c>
      <c r="R2015" s="96">
        <f>O2015*Q2015</f>
        <v/>
      </c>
      <c r="S2015" s="97">
        <f>TRIM(E2015)</f>
        <v/>
      </c>
    </row>
    <row r="2016" hidden="1">
      <c r="A2016" s="22" t="n">
        <v>5</v>
      </c>
      <c r="B2016" t="inlineStr">
        <is>
          <t xml:space="preserve">CDM02 - MORENO 2              </t>
        </is>
      </c>
      <c r="C2016" t="inlineStr">
        <is>
          <t xml:space="preserve">GRUPO L.                      </t>
        </is>
      </c>
      <c r="D2016" s="11" t="inlineStr">
        <is>
          <t>JUGO POLVO MANZANA LIGHT</t>
        </is>
      </c>
      <c r="E2016" t="inlineStr">
        <is>
          <t xml:space="preserve">7790580129972       </t>
        </is>
      </c>
      <c r="F2016" s="11" t="n">
        <v>4021665</v>
      </c>
      <c r="G2016" t="inlineStr">
        <is>
          <t xml:space="preserve">JUGO POLVO MANZ LIGHT X7G BC       </t>
        </is>
      </c>
      <c r="H2016" t="inlineStr">
        <is>
          <t xml:space="preserve">UNIDAD              </t>
        </is>
      </c>
      <c r="I2016" t="n">
        <v>41</v>
      </c>
      <c r="J2016" t="n">
        <v>150</v>
      </c>
      <c r="K2016" t="n">
        <v>0</v>
      </c>
      <c r="L2016" t="n">
        <v>0</v>
      </c>
      <c r="M2016" t="n">
        <v>0</v>
      </c>
      <c r="N2016" t="n">
        <v>0</v>
      </c>
      <c r="O2016" t="n">
        <v>191</v>
      </c>
      <c r="P2016" s="96">
        <f>_xlfn.XLOOKUP(Tabla5[[#This Row],[EAN CORREGIDO]],'Tabla Articulos'!B:B,'Tabla Articulos'!D:D)</f>
        <v/>
      </c>
      <c r="Q2016" s="96">
        <f>_xlfn.XLOOKUP(S2016,'Tabla Articulos'!B:B,'Tabla Articulos'!E:E)</f>
        <v/>
      </c>
      <c r="R2016" s="96">
        <f>O2016*Q2016</f>
        <v/>
      </c>
      <c r="S2016" s="97">
        <f>TRIM(E2016)</f>
        <v/>
      </c>
    </row>
    <row r="2017" hidden="1">
      <c r="A2017" s="22" t="n">
        <v>5</v>
      </c>
      <c r="B2017" t="inlineStr">
        <is>
          <t xml:space="preserve">CDM02 - MORENO 2              </t>
        </is>
      </c>
      <c r="C2017" t="inlineStr">
        <is>
          <t xml:space="preserve">GRUPO L.                      </t>
        </is>
      </c>
      <c r="D2017" s="11" t="inlineStr">
        <is>
          <t>COPOS CEREAL S/AZUCAR</t>
        </is>
      </c>
      <c r="E2017" t="inlineStr">
        <is>
          <t xml:space="preserve">7790045001591       </t>
        </is>
      </c>
      <c r="F2017" s="11" t="n">
        <v>4019327</v>
      </c>
      <c r="G2017" t="inlineStr">
        <is>
          <t xml:space="preserve">COPOS MAIZ S/AZUCAR X400G GRANIX   </t>
        </is>
      </c>
      <c r="H2017" t="inlineStr">
        <is>
          <t xml:space="preserve">UNIDAD              </t>
        </is>
      </c>
      <c r="I2017" t="n">
        <v>619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619</v>
      </c>
      <c r="P2017" s="96">
        <f>_xlfn.XLOOKUP(Tabla5[[#This Row],[EAN CORREGIDO]],'Tabla Articulos'!B:B,'Tabla Articulos'!D:D)</f>
        <v/>
      </c>
      <c r="Q2017" s="96">
        <f>_xlfn.XLOOKUP(S2017,'Tabla Articulos'!B:B,'Tabla Articulos'!E:E)</f>
        <v/>
      </c>
      <c r="R2017" s="96">
        <f>O2017*Q2017</f>
        <v/>
      </c>
      <c r="S2017" s="97">
        <f>TRIM(E2017)</f>
        <v/>
      </c>
    </row>
    <row r="2018" hidden="1">
      <c r="A2018" s="22" t="n">
        <v>1</v>
      </c>
      <c r="B2018" t="inlineStr">
        <is>
          <t xml:space="preserve">CD MORENO                     </t>
        </is>
      </c>
      <c r="C2018" t="inlineStr">
        <is>
          <t xml:space="preserve">GRUPO L.                      </t>
        </is>
      </c>
      <c r="D2018" t="inlineStr">
        <is>
          <t>COPOS CEREAL S/AZUCAR</t>
        </is>
      </c>
      <c r="E2018" t="inlineStr">
        <is>
          <t xml:space="preserve">7790045001591       </t>
        </is>
      </c>
      <c r="F2018" s="11" t="n">
        <v>4019327</v>
      </c>
      <c r="G2018" t="inlineStr">
        <is>
          <t xml:space="preserve">COPOS MAIZ S/AZUCAR X400G GRANIX   </t>
        </is>
      </c>
      <c r="H2018" t="inlineStr">
        <is>
          <t xml:space="preserve">UNIDAD              </t>
        </is>
      </c>
      <c r="I2018" t="n">
        <v>12710</v>
      </c>
      <c r="J2018" t="n">
        <v>1</v>
      </c>
      <c r="K2018" t="n">
        <v>0</v>
      </c>
      <c r="L2018" t="n">
        <v>559</v>
      </c>
      <c r="M2018" t="n">
        <v>559</v>
      </c>
      <c r="N2018" t="n">
        <v>0</v>
      </c>
      <c r="O2018" t="n">
        <v>11593</v>
      </c>
      <c r="P2018" s="96">
        <f>_xlfn.XLOOKUP(Tabla5[[#This Row],[EAN CORREGIDO]],'Tabla Articulos'!B:B,'Tabla Articulos'!D:D)</f>
        <v/>
      </c>
      <c r="Q2018" s="96">
        <f>_xlfn.XLOOKUP(S2018,'Tabla Articulos'!B:B,'Tabla Articulos'!E:E)</f>
        <v/>
      </c>
      <c r="R2018" s="96">
        <f>O2018*Q2018</f>
        <v/>
      </c>
      <c r="S2018" s="97">
        <f>TRIM(E2018)</f>
        <v/>
      </c>
    </row>
    <row r="2019" hidden="1">
      <c r="A2019" s="22" t="n">
        <v>1</v>
      </c>
      <c r="B2019" t="inlineStr">
        <is>
          <t xml:space="preserve">CD MORENO                     </t>
        </is>
      </c>
      <c r="C2019" t="inlineStr">
        <is>
          <t xml:space="preserve">GRUPO L.                      </t>
        </is>
      </c>
      <c r="D2019" t="inlineStr">
        <is>
          <t>PURE PAPA INSTANTANEO</t>
        </is>
      </c>
      <c r="E2019" t="inlineStr">
        <is>
          <t xml:space="preserve">7798451390018       </t>
        </is>
      </c>
      <c r="F2019" s="11" t="n">
        <v>4076533</v>
      </c>
      <c r="G2019" t="inlineStr">
        <is>
          <t>PURE PAPA E/ESCAMAS X2KG LE BURGUET</t>
        </is>
      </c>
      <c r="H2019" t="inlineStr">
        <is>
          <t xml:space="preserve">UNIDAD              </t>
        </is>
      </c>
      <c r="I2019" t="n">
        <v>199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199</v>
      </c>
      <c r="P2019" s="96">
        <f>_xlfn.XLOOKUP(Tabla5[[#This Row],[EAN CORREGIDO]],'Tabla Articulos'!B:B,'Tabla Articulos'!D:D)</f>
        <v/>
      </c>
      <c r="Q2019" s="96">
        <f>_xlfn.XLOOKUP(S2019,'Tabla Articulos'!B:B,'Tabla Articulos'!E:E)</f>
        <v/>
      </c>
      <c r="R2019" s="96">
        <f>O2019*Q2019</f>
        <v/>
      </c>
      <c r="S2019" s="97">
        <f>TRIM(E2019)</f>
        <v/>
      </c>
    </row>
    <row r="2020" hidden="1">
      <c r="A2020" s="22" t="n">
        <v>6</v>
      </c>
      <c r="B2020" t="inlineStr">
        <is>
          <t xml:space="preserve">CDM03 - MORENO 3              </t>
        </is>
      </c>
      <c r="C2020" t="inlineStr">
        <is>
          <t xml:space="preserve">GRUPO L.                      </t>
        </is>
      </c>
      <c r="D2020" s="11" t="n"/>
      <c r="E2020" t="inlineStr">
        <is>
          <t xml:space="preserve">UNIF000201          </t>
        </is>
      </c>
      <c r="F2020" s="11" t="n">
        <v>9003441</v>
      </c>
      <c r="G2020" t="inlineStr">
        <is>
          <t xml:space="preserve">PANTA. CARGO NEGRO 56 GL SUPPORT   </t>
        </is>
      </c>
      <c r="H2020" t="inlineStr">
        <is>
          <t xml:space="preserve">UNIDAD              </t>
        </is>
      </c>
      <c r="I2020" t="n">
        <v>25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25</v>
      </c>
      <c r="P2020" s="96">
        <f>_xlfn.XLOOKUP(Tabla5[[#This Row],[EAN CORREGIDO]],'Tabla Articulos'!B:B,'Tabla Articulos'!D:D)</f>
        <v/>
      </c>
      <c r="Q2020" s="96">
        <f>_xlfn.XLOOKUP(S2020,'Tabla Articulos'!B:B,'Tabla Articulos'!E:E)</f>
        <v/>
      </c>
      <c r="R2020" s="96">
        <f>O2020*Q2020</f>
        <v/>
      </c>
      <c r="S2020" s="97">
        <f>TRIM(E2020)</f>
        <v/>
      </c>
    </row>
    <row r="2021" hidden="1">
      <c r="A2021" s="22" t="n">
        <v>1</v>
      </c>
      <c r="B2021" t="inlineStr">
        <is>
          <t xml:space="preserve">CD MORENO                     </t>
        </is>
      </c>
      <c r="C2021" t="inlineStr">
        <is>
          <t xml:space="preserve">GRUPO L.                      </t>
        </is>
      </c>
      <c r="D2021" s="11" t="inlineStr">
        <is>
          <t>FIDEOS SOPEROS</t>
        </is>
      </c>
      <c r="E2021" t="inlineStr">
        <is>
          <t xml:space="preserve">7797470006986       </t>
        </is>
      </c>
      <c r="F2021" s="11" t="n">
        <v>4020706</v>
      </c>
      <c r="G2021" t="inlineStr">
        <is>
          <t xml:space="preserve">FIDEO SOP CAB ANG X500G MAROLIO    </t>
        </is>
      </c>
      <c r="H2021" t="inlineStr">
        <is>
          <t xml:space="preserve">UNIDAD              </t>
        </is>
      </c>
      <c r="I2021" t="n">
        <v>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1</v>
      </c>
      <c r="P2021" s="96">
        <f>_xlfn.XLOOKUP(Tabla5[[#This Row],[EAN CORREGIDO]],'Tabla Articulos'!B:B,'Tabla Articulos'!D:D)</f>
        <v/>
      </c>
      <c r="Q2021" s="96">
        <f>_xlfn.XLOOKUP(S2021,'Tabla Articulos'!B:B,'Tabla Articulos'!E:E)</f>
        <v/>
      </c>
      <c r="R2021" s="96">
        <f>O2021*Q2021</f>
        <v/>
      </c>
      <c r="S2021" s="97">
        <f>TRIM(E2021)</f>
        <v/>
      </c>
    </row>
    <row r="2022" hidden="1">
      <c r="A2022" s="22" t="n">
        <v>6</v>
      </c>
      <c r="B2022" t="inlineStr">
        <is>
          <t xml:space="preserve">CDM03 - MORENO 3              </t>
        </is>
      </c>
      <c r="C2022" t="inlineStr">
        <is>
          <t xml:space="preserve">GRUPO L.                      </t>
        </is>
      </c>
      <c r="E2022" t="inlineStr">
        <is>
          <t xml:space="preserve">7798035492039       </t>
        </is>
      </c>
      <c r="F2022" s="11" t="n">
        <v>2011445</v>
      </c>
      <c r="G2022" t="inlineStr">
        <is>
          <t xml:space="preserve">GL REJILLA GRUESA XU               </t>
        </is>
      </c>
      <c r="H2022" t="inlineStr">
        <is>
          <t xml:space="preserve">UNIDAD              </t>
        </is>
      </c>
      <c r="I2022" t="n">
        <v>540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540</v>
      </c>
      <c r="P2022" s="96">
        <f>_xlfn.XLOOKUP(Tabla5[[#This Row],[EAN CORREGIDO]],'Tabla Articulos'!B:B,'Tabla Articulos'!D:D)</f>
        <v/>
      </c>
      <c r="Q2022" s="96">
        <f>_xlfn.XLOOKUP(S2022,'Tabla Articulos'!B:B,'Tabla Articulos'!E:E)</f>
        <v/>
      </c>
      <c r="R2022" s="96">
        <f>O2022*Q2022</f>
        <v/>
      </c>
      <c r="S2022" s="97">
        <f>TRIM(E2022)</f>
        <v/>
      </c>
    </row>
    <row r="2023" hidden="1">
      <c r="A2023" s="22" t="n">
        <v>6</v>
      </c>
      <c r="B2023" t="inlineStr">
        <is>
          <t xml:space="preserve">CDM03 - MORENO 3              </t>
        </is>
      </c>
      <c r="C2023" t="inlineStr">
        <is>
          <t xml:space="preserve">GRUPO L.                      </t>
        </is>
      </c>
      <c r="D2023" s="11" t="n"/>
      <c r="E2023" t="inlineStr">
        <is>
          <t xml:space="preserve">UNIF000194          </t>
        </is>
      </c>
      <c r="F2023" s="11" t="n">
        <v>9003434</v>
      </c>
      <c r="G2023" t="inlineStr">
        <is>
          <t xml:space="preserve">PANTA. CARGO NEGRO 42 GL SUPPORT   </t>
        </is>
      </c>
      <c r="H2023" t="inlineStr">
        <is>
          <t xml:space="preserve">UNIDAD              </t>
        </is>
      </c>
      <c r="I2023" t="n">
        <v>31</v>
      </c>
      <c r="J2023" t="n">
        <v>0</v>
      </c>
      <c r="K2023" t="n">
        <v>0</v>
      </c>
      <c r="L2023" t="n">
        <v>4</v>
      </c>
      <c r="M2023" t="n">
        <v>4</v>
      </c>
      <c r="N2023" t="n">
        <v>0</v>
      </c>
      <c r="O2023" t="n">
        <v>23</v>
      </c>
      <c r="P2023" s="96">
        <f>_xlfn.XLOOKUP(Tabla5[[#This Row],[EAN CORREGIDO]],'Tabla Articulos'!B:B,'Tabla Articulos'!D:D)</f>
        <v/>
      </c>
      <c r="Q2023" s="96">
        <f>_xlfn.XLOOKUP(S2023,'Tabla Articulos'!B:B,'Tabla Articulos'!E:E)</f>
        <v/>
      </c>
      <c r="R2023" s="96">
        <f>O2023*Q2023</f>
        <v/>
      </c>
      <c r="S2023" s="97">
        <f>TRIM(E2023)</f>
        <v/>
      </c>
    </row>
    <row r="2024" hidden="1">
      <c r="A2024" s="22" t="n">
        <v>6</v>
      </c>
      <c r="B2024" t="inlineStr">
        <is>
          <t xml:space="preserve">CDM03 - MORENO 3              </t>
        </is>
      </c>
      <c r="C2024" t="inlineStr">
        <is>
          <t xml:space="preserve">GRUPO L.                      </t>
        </is>
      </c>
      <c r="E2024" t="inlineStr">
        <is>
          <t xml:space="preserve">MOD20298            </t>
        </is>
      </c>
      <c r="F2024" t="n">
        <v>4021016</v>
      </c>
      <c r="G2024" t="inlineStr">
        <is>
          <t xml:space="preserve">REGALO VINO STATE MALBEC           </t>
        </is>
      </c>
      <c r="H2024" t="inlineStr">
        <is>
          <t xml:space="preserve">UNIDAD              </t>
        </is>
      </c>
      <c r="I2024" t="n">
        <v>42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42</v>
      </c>
      <c r="P2024" s="96">
        <f>_xlfn.XLOOKUP(Tabla5[[#This Row],[EAN CORREGIDO]],'Tabla Articulos'!B:B,'Tabla Articulos'!D:D)</f>
        <v/>
      </c>
      <c r="Q2024" s="96">
        <f>_xlfn.XLOOKUP(S2024,'Tabla Articulos'!B:B,'Tabla Articulos'!E:E)</f>
        <v/>
      </c>
      <c r="R2024" s="96">
        <f>O2024*Q2024</f>
        <v/>
      </c>
      <c r="S2024" s="97">
        <f>TRIM(E2024)</f>
        <v/>
      </c>
    </row>
    <row r="2025" hidden="1">
      <c r="A2025" s="22" t="n">
        <v>6</v>
      </c>
      <c r="B2025" t="inlineStr">
        <is>
          <t xml:space="preserve">CDM03 - MORENO 3              </t>
        </is>
      </c>
      <c r="C2025" t="inlineStr">
        <is>
          <t xml:space="preserve">GRUPO L.                      </t>
        </is>
      </c>
      <c r="E2025" t="inlineStr">
        <is>
          <t xml:space="preserve">UNIF000316          </t>
        </is>
      </c>
      <c r="F2025" t="n">
        <v>9003190</v>
      </c>
      <c r="G2025" t="inlineStr">
        <is>
          <t xml:space="preserve">REM CUELLO RED A. MAR. ELEVA. M    </t>
        </is>
      </c>
      <c r="H2025" t="inlineStr">
        <is>
          <t xml:space="preserve">UNIDAD              </t>
        </is>
      </c>
      <c r="I2025" t="n">
        <v>27</v>
      </c>
      <c r="J2025" t="n">
        <v>0</v>
      </c>
      <c r="K2025" t="n">
        <v>0</v>
      </c>
      <c r="L2025" t="n">
        <v>3</v>
      </c>
      <c r="M2025" t="n">
        <v>3</v>
      </c>
      <c r="N2025" t="n">
        <v>0</v>
      </c>
      <c r="O2025" t="n">
        <v>21</v>
      </c>
      <c r="P2025" s="96">
        <f>_xlfn.XLOOKUP(Tabla5[[#This Row],[EAN CORREGIDO]],'Tabla Articulos'!B:B,'Tabla Articulos'!D:D)</f>
        <v/>
      </c>
      <c r="Q2025" s="96">
        <f>_xlfn.XLOOKUP(S2025,'Tabla Articulos'!B:B,'Tabla Articulos'!E:E)</f>
        <v/>
      </c>
      <c r="R2025" s="96">
        <f>O2025*Q2025</f>
        <v/>
      </c>
      <c r="S2025" s="97">
        <f>TRIM(E2025)</f>
        <v/>
      </c>
    </row>
    <row r="2026" hidden="1">
      <c r="A2026" s="22" t="n">
        <v>6</v>
      </c>
      <c r="B2026" t="inlineStr">
        <is>
          <t xml:space="preserve">CDM03 - MORENO 3              </t>
        </is>
      </c>
      <c r="C2026" t="inlineStr">
        <is>
          <t xml:space="preserve">GRUPO L.                      </t>
        </is>
      </c>
      <c r="D2026" s="11" t="n"/>
      <c r="E2026" t="inlineStr">
        <is>
          <t xml:space="preserve">UNIF000536          </t>
        </is>
      </c>
      <c r="F2026" t="n">
        <v>9003073</v>
      </c>
      <c r="G2026" t="inlineStr">
        <is>
          <t xml:space="preserve">ROMPEVIENTOS-AZUL MARINO 2XL       </t>
        </is>
      </c>
      <c r="H2026" t="inlineStr">
        <is>
          <t xml:space="preserve">UNIDAD              </t>
        </is>
      </c>
      <c r="I2026" t="n">
        <v>186</v>
      </c>
      <c r="J2026" t="n">
        <v>0</v>
      </c>
      <c r="K2026" t="n">
        <v>0</v>
      </c>
      <c r="L2026" t="n">
        <v>5</v>
      </c>
      <c r="M2026" t="n">
        <v>5</v>
      </c>
      <c r="N2026" t="n">
        <v>0</v>
      </c>
      <c r="O2026" t="n">
        <v>176</v>
      </c>
      <c r="P2026" s="96">
        <f>_xlfn.XLOOKUP(Tabla5[[#This Row],[EAN CORREGIDO]],'Tabla Articulos'!B:B,'Tabla Articulos'!D:D)</f>
        <v/>
      </c>
      <c r="Q2026" s="96">
        <f>_xlfn.XLOOKUP(S2026,'Tabla Articulos'!B:B,'Tabla Articulos'!E:E)</f>
        <v/>
      </c>
      <c r="R2026" s="96">
        <f>O2026*Q2026</f>
        <v/>
      </c>
      <c r="S2026" s="97">
        <f>TRIM(E2026)</f>
        <v/>
      </c>
    </row>
    <row r="2027" hidden="1">
      <c r="A2027" s="22" t="n">
        <v>5</v>
      </c>
      <c r="B2027" t="inlineStr">
        <is>
          <t xml:space="preserve">CDM02 - MORENO 2              </t>
        </is>
      </c>
      <c r="C2027" t="inlineStr">
        <is>
          <t xml:space="preserve">GRUPO L.                      </t>
        </is>
      </c>
      <c r="D2027" s="11" t="inlineStr">
        <is>
          <t>POSTRE DDL</t>
        </is>
      </c>
      <c r="E2027" t="inlineStr">
        <is>
          <t xml:space="preserve">714604058533        </t>
        </is>
      </c>
      <c r="F2027" t="n">
        <v>4022537</v>
      </c>
      <c r="G2027" t="inlineStr">
        <is>
          <t xml:space="preserve">POSTRE DULCE DE LECHE 1KG POREC    </t>
        </is>
      </c>
      <c r="H2027" t="inlineStr">
        <is>
          <t xml:space="preserve">UNIDAD              </t>
        </is>
      </c>
      <c r="I2027" t="n">
        <v>50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50</v>
      </c>
      <c r="P2027" s="96">
        <f>_xlfn.XLOOKUP(Tabla5[[#This Row],[EAN CORREGIDO]],'Tabla Articulos'!B:B,'Tabla Articulos'!D:D)</f>
        <v/>
      </c>
      <c r="Q2027" s="96">
        <f>_xlfn.XLOOKUP(S2027,'Tabla Articulos'!B:B,'Tabla Articulos'!E:E)</f>
        <v/>
      </c>
      <c r="R2027" s="96">
        <f>O2027*Q2027</f>
        <v/>
      </c>
      <c r="S2027" s="97">
        <f>TRIM(E2027)</f>
        <v/>
      </c>
    </row>
    <row r="2028" hidden="1">
      <c r="A2028" s="22" t="n">
        <v>1</v>
      </c>
      <c r="B2028" t="inlineStr">
        <is>
          <t xml:space="preserve">CD MORENO                     </t>
        </is>
      </c>
      <c r="C2028" t="inlineStr">
        <is>
          <t xml:space="preserve">GRUPO L.                      </t>
        </is>
      </c>
      <c r="D2028" t="inlineStr">
        <is>
          <t>POSTRE DDL</t>
        </is>
      </c>
      <c r="E2028" t="inlineStr">
        <is>
          <t xml:space="preserve">714604058533        </t>
        </is>
      </c>
      <c r="F2028" t="n">
        <v>4022537</v>
      </c>
      <c r="G2028" t="inlineStr">
        <is>
          <t xml:space="preserve">POSTRE DULCE DE LECHE 1KG POREC    </t>
        </is>
      </c>
      <c r="H2028" t="inlineStr">
        <is>
          <t xml:space="preserve">UNIDAD              </t>
        </is>
      </c>
      <c r="I2028" t="n">
        <v>145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145</v>
      </c>
      <c r="P2028" s="96">
        <f>_xlfn.XLOOKUP(Tabla5[[#This Row],[EAN CORREGIDO]],'Tabla Articulos'!B:B,'Tabla Articulos'!D:D)</f>
        <v/>
      </c>
      <c r="Q2028" s="96">
        <f>_xlfn.XLOOKUP(S2028,'Tabla Articulos'!B:B,'Tabla Articulos'!E:E)</f>
        <v/>
      </c>
      <c r="R2028" s="96">
        <f>O2028*Q2028</f>
        <v/>
      </c>
      <c r="S2028" s="97">
        <f>TRIM(E2028)</f>
        <v/>
      </c>
    </row>
    <row r="2029" hidden="1">
      <c r="A2029" s="22" t="n">
        <v>6</v>
      </c>
      <c r="B2029" t="inlineStr">
        <is>
          <t xml:space="preserve">CDM03 - MORENO 3              </t>
        </is>
      </c>
      <c r="C2029" t="inlineStr">
        <is>
          <t xml:space="preserve">GRUPO L.                      </t>
        </is>
      </c>
      <c r="D2029" t="inlineStr">
        <is>
          <t>TRAPOS DE PISO</t>
        </is>
      </c>
      <c r="E2029" t="inlineStr">
        <is>
          <t xml:space="preserve">7798011944128       </t>
        </is>
      </c>
      <c r="F2029" t="n">
        <v>2006609</v>
      </c>
      <c r="G2029" t="inlineStr">
        <is>
          <t xml:space="preserve">PAÑO DIAMANTADO P/PISO 20¨XU       </t>
        </is>
      </c>
      <c r="H2029" t="inlineStr">
        <is>
          <t xml:space="preserve">BULTOS              </t>
        </is>
      </c>
      <c r="I2029" t="n">
        <v>34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34</v>
      </c>
      <c r="P2029" s="96">
        <f>_xlfn.XLOOKUP(Tabla5[[#This Row],[EAN CORREGIDO]],'Tabla Articulos'!B:B,'Tabla Articulos'!D:D)</f>
        <v/>
      </c>
      <c r="Q2029" s="96">
        <f>_xlfn.XLOOKUP(S2029,'Tabla Articulos'!B:B,'Tabla Articulos'!E:E)</f>
        <v/>
      </c>
      <c r="R2029" s="96">
        <f>O2029*Q2029</f>
        <v/>
      </c>
      <c r="S2029" s="97">
        <f>TRIM(E2029)</f>
        <v/>
      </c>
    </row>
    <row r="2030" hidden="1">
      <c r="A2030" s="22" t="n">
        <v>6</v>
      </c>
      <c r="B2030" t="inlineStr">
        <is>
          <t xml:space="preserve">CDM03 - MORENO 3              </t>
        </is>
      </c>
      <c r="C2030" t="inlineStr">
        <is>
          <t xml:space="preserve">GRUPO L.                      </t>
        </is>
      </c>
      <c r="D2030" s="11" t="inlineStr">
        <is>
          <t>PAPEL HIGIENICO</t>
        </is>
      </c>
      <c r="E2030" t="inlineStr">
        <is>
          <t xml:space="preserve">LIM000453           </t>
        </is>
      </c>
      <c r="F2030" t="n">
        <v>2006216</v>
      </c>
      <c r="G2030" t="inlineStr">
        <is>
          <t xml:space="preserve">PAPEL HIGIEN X300MX8U CONO 3.5KG   </t>
        </is>
      </c>
      <c r="H2030" t="inlineStr">
        <is>
          <t xml:space="preserve">UNIDAD              </t>
        </is>
      </c>
      <c r="I2030" t="n">
        <v>2691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2691</v>
      </c>
      <c r="P2030" s="96">
        <f>_xlfn.XLOOKUP(Tabla5[[#This Row],[EAN CORREGIDO]],'Tabla Articulos'!B:B,'Tabla Articulos'!D:D)</f>
        <v/>
      </c>
      <c r="Q2030" s="96">
        <f>_xlfn.XLOOKUP(S2030,'Tabla Articulos'!B:B,'Tabla Articulos'!E:E)</f>
        <v/>
      </c>
      <c r="R2030" s="96">
        <f>O2030*Q2030</f>
        <v/>
      </c>
      <c r="S2030" s="97">
        <f>TRIM(E2030)</f>
        <v/>
      </c>
    </row>
    <row r="2031" hidden="1">
      <c r="A2031" s="22" t="n">
        <v>1</v>
      </c>
      <c r="B2031" t="inlineStr">
        <is>
          <t xml:space="preserve">CD MORENO                     </t>
        </is>
      </c>
      <c r="C2031" t="inlineStr">
        <is>
          <t xml:space="preserve">GRUPO L.                      </t>
        </is>
      </c>
      <c r="D2031" s="11" t="inlineStr">
        <is>
          <t>POLLO GOURMET CONGE T10</t>
        </is>
      </c>
      <c r="E2031" t="inlineStr">
        <is>
          <t xml:space="preserve">7790212031281       </t>
        </is>
      </c>
      <c r="F2031" t="n">
        <v>4021327</v>
      </c>
      <c r="G2031" t="inlineStr">
        <is>
          <t xml:space="preserve">POLLO GOURMET T10 CONG XU          </t>
        </is>
      </c>
      <c r="H2031" t="inlineStr">
        <is>
          <t xml:space="preserve">Kgs                 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90</v>
      </c>
      <c r="O2031" t="n">
        <v>-89</v>
      </c>
      <c r="P2031" s="96">
        <f>_xlfn.XLOOKUP(Tabla5[[#This Row],[EAN CORREGIDO]],'Tabla Articulos'!B:B,'Tabla Articulos'!D:D)</f>
        <v/>
      </c>
      <c r="Q2031" s="96">
        <f>_xlfn.XLOOKUP(S2031,'Tabla Articulos'!B:B,'Tabla Articulos'!E:E)</f>
        <v/>
      </c>
      <c r="R2031" s="96">
        <f>O2031*Q2031</f>
        <v/>
      </c>
      <c r="S2031" s="97">
        <f>TRIM(E2031)</f>
        <v/>
      </c>
    </row>
    <row r="2032" hidden="1">
      <c r="A2032" s="22" t="n">
        <v>6</v>
      </c>
      <c r="B2032" t="inlineStr">
        <is>
          <t xml:space="preserve">CDM03 - MORENO 3              </t>
        </is>
      </c>
      <c r="C2032" t="inlineStr">
        <is>
          <t xml:space="preserve">GRUPO L.                      </t>
        </is>
      </c>
      <c r="D2032" t="inlineStr">
        <is>
          <t>BOLSAS CAMISETA NEGRAS</t>
        </is>
      </c>
      <c r="E2032" t="inlineStr">
        <is>
          <t xml:space="preserve">7790321020147       </t>
        </is>
      </c>
      <c r="F2032" t="n">
        <v>2006140</v>
      </c>
      <c r="G2032" t="inlineStr">
        <is>
          <t xml:space="preserve">BOLSA CAMISETA NEG 40X50X60U       </t>
        </is>
      </c>
      <c r="H2032" t="inlineStr">
        <is>
          <t xml:space="preserve">UNIDAD              </t>
        </is>
      </c>
      <c r="I2032" t="n">
        <v>876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876</v>
      </c>
      <c r="P2032" s="96">
        <f>_xlfn.XLOOKUP(Tabla5[[#This Row],[EAN CORREGIDO]],'Tabla Articulos'!B:B,'Tabla Articulos'!D:D)</f>
        <v/>
      </c>
      <c r="Q2032" s="96">
        <f>_xlfn.XLOOKUP(S2032,'Tabla Articulos'!B:B,'Tabla Articulos'!E:E)</f>
        <v/>
      </c>
      <c r="R2032" s="96">
        <f>O2032*Q2032</f>
        <v/>
      </c>
      <c r="S2032" s="97">
        <f>TRIM(E2032)</f>
        <v/>
      </c>
    </row>
    <row r="2033" hidden="1">
      <c r="A2033" s="22" t="n">
        <v>6</v>
      </c>
      <c r="B2033" t="inlineStr">
        <is>
          <t xml:space="preserve">CDM03 - MORENO 3              </t>
        </is>
      </c>
      <c r="C2033" t="inlineStr">
        <is>
          <t xml:space="preserve">GRUPO L.                      </t>
        </is>
      </c>
      <c r="D2033" s="11" t="inlineStr">
        <is>
          <t>DISPEMSER ROLLO</t>
        </is>
      </c>
      <c r="E2033" t="inlineStr">
        <is>
          <t xml:space="preserve">BAZ000398           </t>
        </is>
      </c>
      <c r="F2033" t="n">
        <v>5002861</v>
      </c>
      <c r="G2033" t="inlineStr">
        <is>
          <t>DISPENSER ROLLO COCINA INDUSTRIAL X</t>
        </is>
      </c>
      <c r="H2033" t="inlineStr">
        <is>
          <t xml:space="preserve">BULTOS              </t>
        </is>
      </c>
      <c r="I2033" t="n">
        <v>29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29</v>
      </c>
      <c r="P2033" s="96">
        <f>_xlfn.XLOOKUP(Tabla5[[#This Row],[EAN CORREGIDO]],'Tabla Articulos'!B:B,'Tabla Articulos'!D:D)</f>
        <v/>
      </c>
      <c r="Q2033" s="96">
        <f>_xlfn.XLOOKUP(S2033,'Tabla Articulos'!B:B,'Tabla Articulos'!E:E)</f>
        <v/>
      </c>
      <c r="R2033" s="96">
        <f>O2033*Q2033</f>
        <v/>
      </c>
      <c r="S2033" s="97">
        <f>TRIM(E2033)</f>
        <v/>
      </c>
    </row>
    <row r="2034" hidden="1">
      <c r="A2034" s="22" t="n">
        <v>1</v>
      </c>
      <c r="B2034" t="inlineStr">
        <is>
          <t xml:space="preserve">CD MORENO                     </t>
        </is>
      </c>
      <c r="C2034" t="inlineStr">
        <is>
          <t xml:space="preserve">GRUPO L.                      </t>
        </is>
      </c>
      <c r="D2034" s="11" t="inlineStr">
        <is>
          <t xml:space="preserve">REMOLACHA  </t>
        </is>
      </c>
      <c r="E2034" t="inlineStr">
        <is>
          <t xml:space="preserve">7790216012625       </t>
        </is>
      </c>
      <c r="F2034" t="n">
        <v>4017999</v>
      </c>
      <c r="G2034" t="inlineStr">
        <is>
          <t xml:space="preserve">REMOLACHA X KG                     </t>
        </is>
      </c>
      <c r="H2034" t="inlineStr">
        <is>
          <t xml:space="preserve">Kgs                 </t>
        </is>
      </c>
      <c r="I2034" t="n">
        <v>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5</v>
      </c>
      <c r="P2034" s="96">
        <f>_xlfn.XLOOKUP(Tabla5[[#This Row],[EAN CORREGIDO]],'Tabla Articulos'!B:B,'Tabla Articulos'!D:D)</f>
        <v/>
      </c>
      <c r="Q2034" s="96">
        <f>_xlfn.XLOOKUP(S2034,'Tabla Articulos'!B:B,'Tabla Articulos'!E:E)</f>
        <v/>
      </c>
      <c r="R2034" s="96">
        <f>O2034*Q2034</f>
        <v/>
      </c>
      <c r="S2034" s="97">
        <f>TRIM(E2034)</f>
        <v/>
      </c>
    </row>
    <row r="2035" hidden="1">
      <c r="A2035" s="22" t="n">
        <v>6</v>
      </c>
      <c r="B2035" t="inlineStr">
        <is>
          <t xml:space="preserve">CDM03 - MORENO 3              </t>
        </is>
      </c>
      <c r="C2035" t="inlineStr">
        <is>
          <t xml:space="preserve">GRUPO L.                      </t>
        </is>
      </c>
      <c r="E2035" t="inlineStr">
        <is>
          <t xml:space="preserve">100ND40             </t>
        </is>
      </c>
      <c r="F2035" t="n">
        <v>9004407</v>
      </c>
      <c r="G2035" t="inlineStr">
        <is>
          <t xml:space="preserve">GL ZAPATO SEG. NEG. 40 GAMAX       </t>
        </is>
      </c>
      <c r="H2035" t="inlineStr">
        <is>
          <t xml:space="preserve">UNIDAD              </t>
        </is>
      </c>
      <c r="I2035" t="n">
        <v>0</v>
      </c>
      <c r="J2035" t="n">
        <v>110</v>
      </c>
      <c r="K2035" t="n">
        <v>0</v>
      </c>
      <c r="L2035" t="n">
        <v>16</v>
      </c>
      <c r="M2035" t="n">
        <v>16</v>
      </c>
      <c r="N2035" t="n">
        <v>0</v>
      </c>
      <c r="O2035" t="n">
        <v>78</v>
      </c>
      <c r="P2035" s="96">
        <f>_xlfn.XLOOKUP(Tabla5[[#This Row],[EAN CORREGIDO]],'Tabla Articulos'!B:B,'Tabla Articulos'!D:D)</f>
        <v/>
      </c>
      <c r="Q2035" s="96">
        <f>_xlfn.XLOOKUP(S2035,'Tabla Articulos'!B:B,'Tabla Articulos'!E:E)</f>
        <v/>
      </c>
      <c r="R2035" s="96">
        <f>O2035*Q2035</f>
        <v/>
      </c>
      <c r="S2035" s="97">
        <f>TRIM(E2035)</f>
        <v/>
      </c>
    </row>
    <row r="2036" hidden="1">
      <c r="A2036" s="22" t="n">
        <v>1</v>
      </c>
      <c r="B2036" t="inlineStr">
        <is>
          <t xml:space="preserve">CD MORENO                     </t>
        </is>
      </c>
      <c r="C2036" t="inlineStr">
        <is>
          <t xml:space="preserve">GRUPO L.                      </t>
        </is>
      </c>
      <c r="D2036" s="11" t="inlineStr">
        <is>
          <t>LENTEJAS S/TACC</t>
        </is>
      </c>
      <c r="E2036" t="inlineStr">
        <is>
          <t xml:space="preserve">7792350067064       </t>
        </is>
      </c>
      <c r="F2036" t="n">
        <v>4020084</v>
      </c>
      <c r="G2036" t="inlineStr">
        <is>
          <t xml:space="preserve">LENTEJAS REMOJADAS X300G INALPA    </t>
        </is>
      </c>
      <c r="H2036" t="inlineStr">
        <is>
          <t xml:space="preserve">UNIDAD              </t>
        </is>
      </c>
      <c r="I2036" t="n">
        <v>77</v>
      </c>
      <c r="J2036" t="n">
        <v>0</v>
      </c>
      <c r="K2036" t="n">
        <v>0</v>
      </c>
      <c r="L2036" t="n">
        <v>1</v>
      </c>
      <c r="M2036" t="n">
        <v>1</v>
      </c>
      <c r="N2036" t="n">
        <v>0</v>
      </c>
      <c r="O2036" t="n">
        <v>75</v>
      </c>
      <c r="P2036" s="96">
        <f>_xlfn.XLOOKUP(Tabla5[[#This Row],[EAN CORREGIDO]],'Tabla Articulos'!B:B,'Tabla Articulos'!D:D)</f>
        <v/>
      </c>
      <c r="Q2036" s="96">
        <f>_xlfn.XLOOKUP(S2036,'Tabla Articulos'!B:B,'Tabla Articulos'!E:E)</f>
        <v/>
      </c>
      <c r="R2036" s="96">
        <f>O2036*Q2036</f>
        <v/>
      </c>
      <c r="S2036" s="97">
        <f>TRIM(E2036)</f>
        <v/>
      </c>
    </row>
    <row r="2037" hidden="1">
      <c r="A2037" s="22" t="n">
        <v>1</v>
      </c>
      <c r="B2037" t="inlineStr">
        <is>
          <t xml:space="preserve">CD MORENO                     </t>
        </is>
      </c>
      <c r="C2037" t="inlineStr">
        <is>
          <t xml:space="preserve">GRUPO L.                      </t>
        </is>
      </c>
      <c r="D2037" t="inlineStr">
        <is>
          <t>PIMIENTA NEGRA</t>
        </is>
      </c>
      <c r="E2037" t="inlineStr">
        <is>
          <t xml:space="preserve">7793875316958       </t>
        </is>
      </c>
      <c r="F2037" t="n">
        <v>4023660</v>
      </c>
      <c r="G2037" t="inlineStr">
        <is>
          <t xml:space="preserve">PIMIENTA NEGRA MOLIDA X1KG ARO     </t>
        </is>
      </c>
      <c r="H2037" t="inlineStr">
        <is>
          <t xml:space="preserve">UNIDAD              </t>
        </is>
      </c>
      <c r="I2037" t="n">
        <v>10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10</v>
      </c>
      <c r="P2037" s="96">
        <f>_xlfn.XLOOKUP(Tabla5[[#This Row],[EAN CORREGIDO]],'Tabla Articulos'!B:B,'Tabla Articulos'!D:D)</f>
        <v/>
      </c>
      <c r="Q2037" s="96">
        <f>_xlfn.XLOOKUP(S2037,'Tabla Articulos'!B:B,'Tabla Articulos'!E:E)</f>
        <v/>
      </c>
      <c r="R2037" s="96">
        <f>O2037*Q2037</f>
        <v/>
      </c>
      <c r="S2037" s="97">
        <f>TRIM(E2037)</f>
        <v/>
      </c>
    </row>
    <row r="2038" hidden="1">
      <c r="A2038" s="22" t="n">
        <v>5</v>
      </c>
      <c r="B2038" t="inlineStr">
        <is>
          <t xml:space="preserve">CDM02 - MORENO 2              </t>
        </is>
      </c>
      <c r="C2038" t="inlineStr">
        <is>
          <t xml:space="preserve">GRUPO L.                      </t>
        </is>
      </c>
      <c r="D2038" s="11" t="inlineStr">
        <is>
          <t>FIDEOS GUISEROS</t>
        </is>
      </c>
      <c r="E2038" t="inlineStr">
        <is>
          <t xml:space="preserve">7790070336026       </t>
        </is>
      </c>
      <c r="F2038" t="n">
        <v>4019467</v>
      </c>
      <c r="G2038" t="inlineStr">
        <is>
          <t xml:space="preserve">FIDEOS GUIS TIRAB X500G LUCCHE     </t>
        </is>
      </c>
      <c r="H2038" t="inlineStr">
        <is>
          <t xml:space="preserve">UNIDAD              </t>
        </is>
      </c>
      <c r="I2038" t="n">
        <v>45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45</v>
      </c>
      <c r="P2038" s="96">
        <f>_xlfn.XLOOKUP(Tabla5[[#This Row],[EAN CORREGIDO]],'Tabla Articulos'!B:B,'Tabla Articulos'!D:D)</f>
        <v/>
      </c>
      <c r="Q2038" s="96">
        <f>_xlfn.XLOOKUP(S2038,'Tabla Articulos'!B:B,'Tabla Articulos'!E:E)</f>
        <v/>
      </c>
      <c r="R2038" s="96">
        <f>O2038*Q2038</f>
        <v/>
      </c>
      <c r="S2038" s="97">
        <f>TRIM(E2038)</f>
        <v/>
      </c>
    </row>
    <row r="2039" hidden="1">
      <c r="A2039" s="22" t="n">
        <v>1</v>
      </c>
      <c r="B2039" t="inlineStr">
        <is>
          <t xml:space="preserve">CD MORENO                     </t>
        </is>
      </c>
      <c r="C2039" t="inlineStr">
        <is>
          <t xml:space="preserve">GRUPO L.                      </t>
        </is>
      </c>
      <c r="D2039" t="inlineStr">
        <is>
          <t>FIDEOS GUISEROS</t>
        </is>
      </c>
      <c r="E2039" t="inlineStr">
        <is>
          <t xml:space="preserve">7790070336026       </t>
        </is>
      </c>
      <c r="F2039" t="n">
        <v>4019467</v>
      </c>
      <c r="G2039" t="inlineStr">
        <is>
          <t xml:space="preserve">FIDEOS GUIS TIRAB X500G LUCCHE     </t>
        </is>
      </c>
      <c r="H2039" t="inlineStr">
        <is>
          <t xml:space="preserve">UNIDAD              </t>
        </is>
      </c>
      <c r="I2039" t="n">
        <v>50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50</v>
      </c>
      <c r="P2039" s="96">
        <f>_xlfn.XLOOKUP(Tabla5[[#This Row],[EAN CORREGIDO]],'Tabla Articulos'!B:B,'Tabla Articulos'!D:D)</f>
        <v/>
      </c>
      <c r="Q2039" s="96">
        <f>_xlfn.XLOOKUP(S2039,'Tabla Articulos'!B:B,'Tabla Articulos'!E:E)</f>
        <v/>
      </c>
      <c r="R2039" s="96">
        <f>O2039*Q2039</f>
        <v/>
      </c>
      <c r="S2039" s="97">
        <f>TRIM(E2039)</f>
        <v/>
      </c>
    </row>
    <row r="2040" hidden="1">
      <c r="A2040" s="22" t="n">
        <v>6</v>
      </c>
      <c r="B2040" t="inlineStr">
        <is>
          <t xml:space="preserve">CDM03 - MORENO 3              </t>
        </is>
      </c>
      <c r="C2040" t="inlineStr">
        <is>
          <t xml:space="preserve">GRUPO L.                      </t>
        </is>
      </c>
      <c r="D2040" t="inlineStr">
        <is>
          <t xml:space="preserve">ESCOBILLON  </t>
        </is>
      </c>
      <c r="E2040" t="inlineStr">
        <is>
          <t xml:space="preserve">7798152430297       </t>
        </is>
      </c>
      <c r="F2040" t="n">
        <v>2011470</v>
      </c>
      <c r="G2040" t="inlineStr">
        <is>
          <t xml:space="preserve"> ESCOBILLON VINILICO 80CM XUN      </t>
        </is>
      </c>
      <c r="H2040" t="inlineStr">
        <is>
          <t xml:space="preserve">UNIDAD              </t>
        </is>
      </c>
      <c r="I2040" t="n">
        <v>399</v>
      </c>
      <c r="J2040" t="n">
        <v>0</v>
      </c>
      <c r="K2040" t="n">
        <v>0</v>
      </c>
      <c r="L2040" t="n">
        <v>147</v>
      </c>
      <c r="M2040" t="n">
        <v>147</v>
      </c>
      <c r="N2040" t="n">
        <v>0</v>
      </c>
      <c r="O2040" t="n">
        <v>105</v>
      </c>
      <c r="P2040" s="96">
        <f>_xlfn.XLOOKUP(Tabla5[[#This Row],[EAN CORREGIDO]],'Tabla Articulos'!B:B,'Tabla Articulos'!D:D)</f>
        <v/>
      </c>
      <c r="Q2040" s="96">
        <f>_xlfn.XLOOKUP(S2040,'Tabla Articulos'!B:B,'Tabla Articulos'!E:E)</f>
        <v/>
      </c>
      <c r="R2040" s="96">
        <f>O2040*Q2040</f>
        <v/>
      </c>
      <c r="S2040" s="97">
        <f>TRIM(E2040)</f>
        <v/>
      </c>
    </row>
    <row r="2041" hidden="1">
      <c r="A2041" s="22" t="n">
        <v>6</v>
      </c>
      <c r="B2041" t="inlineStr">
        <is>
          <t xml:space="preserve">CDM03 - MORENO 3              </t>
        </is>
      </c>
      <c r="C2041" t="inlineStr">
        <is>
          <t xml:space="preserve">GRUPO L.                      </t>
        </is>
      </c>
      <c r="E2041" t="inlineStr">
        <is>
          <t xml:space="preserve">UNIF000512          </t>
        </is>
      </c>
      <c r="F2041" t="n">
        <v>9003395</v>
      </c>
      <c r="G2041" t="inlineStr">
        <is>
          <t xml:space="preserve">CAMPERA POLAR NEGRA L GL. SUP      </t>
        </is>
      </c>
      <c r="H2041" t="inlineStr">
        <is>
          <t xml:space="preserve">UNIDAD              </t>
        </is>
      </c>
      <c r="I2041" t="n">
        <v>0</v>
      </c>
      <c r="J2041" t="n">
        <v>65</v>
      </c>
      <c r="K2041" t="n">
        <v>0</v>
      </c>
      <c r="L2041" t="n">
        <v>11</v>
      </c>
      <c r="M2041" t="n">
        <v>11</v>
      </c>
      <c r="N2041" t="n">
        <v>0</v>
      </c>
      <c r="O2041" t="n">
        <v>43</v>
      </c>
      <c r="P2041" s="96">
        <f>_xlfn.XLOOKUP(Tabla5[[#This Row],[EAN CORREGIDO]],'Tabla Articulos'!B:B,'Tabla Articulos'!D:D)</f>
        <v/>
      </c>
      <c r="Q2041" s="96">
        <f>_xlfn.XLOOKUP(S2041,'Tabla Articulos'!B:B,'Tabla Articulos'!E:E)</f>
        <v/>
      </c>
      <c r="R2041" s="96">
        <f>O2041*Q2041</f>
        <v/>
      </c>
      <c r="S2041" s="97">
        <f>TRIM(E2041)</f>
        <v/>
      </c>
    </row>
    <row r="2042" hidden="1">
      <c r="A2042" s="22" t="n">
        <v>6</v>
      </c>
      <c r="B2042" t="inlineStr">
        <is>
          <t xml:space="preserve">CDM03 - MORENO 3              </t>
        </is>
      </c>
      <c r="C2042" t="inlineStr">
        <is>
          <t xml:space="preserve">GRUPO L.                      </t>
        </is>
      </c>
      <c r="E2042" t="inlineStr">
        <is>
          <t xml:space="preserve">UNIF000606          </t>
        </is>
      </c>
      <c r="F2042" t="n">
        <v>9003144</v>
      </c>
      <c r="G2042" t="inlineStr">
        <is>
          <t xml:space="preserve">DELENTERO GR C. GOURMET            </t>
        </is>
      </c>
      <c r="H2042" t="inlineStr">
        <is>
          <t xml:space="preserve">UNIDAD              </t>
        </is>
      </c>
      <c r="I2042" t="n">
        <v>412</v>
      </c>
      <c r="J2042" t="n">
        <v>0</v>
      </c>
      <c r="K2042" t="n">
        <v>0</v>
      </c>
      <c r="L2042" t="n">
        <v>39</v>
      </c>
      <c r="M2042" t="n">
        <v>39</v>
      </c>
      <c r="N2042" t="n">
        <v>0</v>
      </c>
      <c r="O2042" t="n">
        <v>334</v>
      </c>
      <c r="P2042" s="96">
        <f>_xlfn.XLOOKUP(Tabla5[[#This Row],[EAN CORREGIDO]],'Tabla Articulos'!B:B,'Tabla Articulos'!D:D)</f>
        <v/>
      </c>
      <c r="Q2042" s="96">
        <f>_xlfn.XLOOKUP(S2042,'Tabla Articulos'!B:B,'Tabla Articulos'!E:E)</f>
        <v/>
      </c>
      <c r="R2042" s="96">
        <f>O2042*Q2042</f>
        <v/>
      </c>
      <c r="S2042" s="97">
        <f>TRIM(E2042)</f>
        <v/>
      </c>
    </row>
    <row r="2043" hidden="1">
      <c r="A2043" s="22" t="n">
        <v>6</v>
      </c>
      <c r="B2043" t="inlineStr">
        <is>
          <t xml:space="preserve">CDM03 - MORENO 3              </t>
        </is>
      </c>
      <c r="C2043" t="inlineStr">
        <is>
          <t xml:space="preserve">GRUPO L.                      </t>
        </is>
      </c>
      <c r="E2043" t="inlineStr">
        <is>
          <t xml:space="preserve">UNIF000030          </t>
        </is>
      </c>
      <c r="F2043" t="n">
        <v>9003061</v>
      </c>
      <c r="G2043" t="inlineStr">
        <is>
          <t xml:space="preserve">AMBO GRIS ESCO.V RIVER 2XL         </t>
        </is>
      </c>
      <c r="H2043" t="inlineStr">
        <is>
          <t xml:space="preserve">UNIDAD              </t>
        </is>
      </c>
      <c r="I2043" t="n">
        <v>33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33</v>
      </c>
      <c r="P2043" s="96">
        <f>_xlfn.XLOOKUP(Tabla5[[#This Row],[EAN CORREGIDO]],'Tabla Articulos'!B:B,'Tabla Articulos'!D:D)</f>
        <v/>
      </c>
      <c r="Q2043" s="96">
        <f>_xlfn.XLOOKUP(S2043,'Tabla Articulos'!B:B,'Tabla Articulos'!E:E)</f>
        <v/>
      </c>
      <c r="R2043" s="96">
        <f>O2043*Q2043</f>
        <v/>
      </c>
      <c r="S2043" s="97">
        <f>TRIM(E2043)</f>
        <v/>
      </c>
    </row>
    <row r="2044" hidden="1">
      <c r="A2044" s="22" t="n">
        <v>5</v>
      </c>
      <c r="B2044" t="inlineStr">
        <is>
          <t xml:space="preserve">CDM02 - MORENO 2              </t>
        </is>
      </c>
      <c r="C2044" t="inlineStr">
        <is>
          <t xml:space="preserve">GRUPO L.                      </t>
        </is>
      </c>
      <c r="D2044" s="11" t="inlineStr">
        <is>
          <t>CAJAS CARTON</t>
        </is>
      </c>
      <c r="E2044" t="inlineStr">
        <is>
          <t xml:space="preserve">7798072299620       </t>
        </is>
      </c>
      <c r="F2044" t="n">
        <v>2006806</v>
      </c>
      <c r="G2044" t="inlineStr">
        <is>
          <t xml:space="preserve">CAJA 300X180X280XU LOGO LANUS 2    </t>
        </is>
      </c>
      <c r="H2044" t="inlineStr">
        <is>
          <t xml:space="preserve">UNIDAD              </t>
        </is>
      </c>
      <c r="I2044" t="n">
        <v>2950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2950</v>
      </c>
      <c r="P2044" s="96">
        <f>_xlfn.XLOOKUP(Tabla5[[#This Row],[EAN CORREGIDO]],'Tabla Articulos'!B:B,'Tabla Articulos'!D:D)</f>
        <v/>
      </c>
      <c r="Q2044" s="96">
        <f>_xlfn.XLOOKUP(S2044,'Tabla Articulos'!B:B,'Tabla Articulos'!E:E)</f>
        <v/>
      </c>
      <c r="R2044" s="96">
        <f>O2044*Q2044</f>
        <v/>
      </c>
      <c r="S2044" s="97">
        <f>TRIM(E2044)</f>
        <v/>
      </c>
    </row>
    <row r="2045" hidden="1">
      <c r="A2045" s="22" t="n">
        <v>1</v>
      </c>
      <c r="B2045" t="inlineStr">
        <is>
          <t xml:space="preserve">CD MORENO                     </t>
        </is>
      </c>
      <c r="C2045" t="inlineStr">
        <is>
          <t xml:space="preserve">GRUPO L.                      </t>
        </is>
      </c>
      <c r="D2045" s="11" t="inlineStr">
        <is>
          <t>ACEITE OLIVA</t>
        </is>
      </c>
      <c r="E2045" t="inlineStr">
        <is>
          <t xml:space="preserve">7790070231833       </t>
        </is>
      </c>
      <c r="F2045" t="n">
        <v>4022358</v>
      </c>
      <c r="G2045" t="inlineStr">
        <is>
          <t xml:space="preserve">ACEITE DE OLIVA LIRA PET 500ML     </t>
        </is>
      </c>
      <c r="H2045" t="inlineStr">
        <is>
          <t xml:space="preserve">UNIDAD              </t>
        </is>
      </c>
      <c r="I2045" t="n">
        <v>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2</v>
      </c>
      <c r="P2045" s="96">
        <f>_xlfn.XLOOKUP(Tabla5[[#This Row],[EAN CORREGIDO]],'Tabla Articulos'!B:B,'Tabla Articulos'!D:D)</f>
        <v/>
      </c>
      <c r="Q2045" s="96">
        <f>_xlfn.XLOOKUP(S2045,'Tabla Articulos'!B:B,'Tabla Articulos'!E:E)</f>
        <v/>
      </c>
      <c r="R2045" s="96">
        <f>O2045*Q2045</f>
        <v/>
      </c>
      <c r="S2045" s="97">
        <f>TRIM(E2045)</f>
        <v/>
      </c>
    </row>
    <row r="2046" hidden="1">
      <c r="A2046" s="22" t="n">
        <v>6</v>
      </c>
      <c r="B2046" t="inlineStr">
        <is>
          <t xml:space="preserve">CDM03 - MORENO 3              </t>
        </is>
      </c>
      <c r="C2046" t="inlineStr">
        <is>
          <t xml:space="preserve">GRUPO L.                      </t>
        </is>
      </c>
      <c r="E2046" t="inlineStr">
        <is>
          <t xml:space="preserve">UNIF000729          </t>
        </is>
      </c>
      <c r="F2046" t="n">
        <v>9004183</v>
      </c>
      <c r="G2046" t="inlineStr">
        <is>
          <t xml:space="preserve">FALDON VERDE BLUE CAFÉ U           </t>
        </is>
      </c>
      <c r="H2046" t="inlineStr">
        <is>
          <t xml:space="preserve">UNIDAD              </t>
        </is>
      </c>
      <c r="I2046" t="n">
        <v>100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100</v>
      </c>
      <c r="P2046" s="96">
        <f>_xlfn.XLOOKUP(Tabla5[[#This Row],[EAN CORREGIDO]],'Tabla Articulos'!B:B,'Tabla Articulos'!D:D)</f>
        <v/>
      </c>
      <c r="Q2046" s="96">
        <f>_xlfn.XLOOKUP(S2046,'Tabla Articulos'!B:B,'Tabla Articulos'!E:E)</f>
        <v/>
      </c>
      <c r="R2046" s="96">
        <f>O2046*Q2046</f>
        <v/>
      </c>
      <c r="S2046" s="97">
        <f>TRIM(E2046)</f>
        <v/>
      </c>
    </row>
    <row r="2047" hidden="1">
      <c r="A2047" s="22" t="n">
        <v>1</v>
      </c>
      <c r="B2047" t="inlineStr">
        <is>
          <t xml:space="preserve">CD MORENO                     </t>
        </is>
      </c>
      <c r="C2047" t="inlineStr">
        <is>
          <t xml:space="preserve">GRUPO L.                      </t>
        </is>
      </c>
      <c r="D2047" t="inlineStr">
        <is>
          <t>CERDO DESHUESADO</t>
        </is>
      </c>
      <c r="E2047" t="inlineStr">
        <is>
          <t xml:space="preserve">7790000000598       </t>
        </is>
      </c>
      <c r="F2047" t="n">
        <v>4001105</v>
      </c>
      <c r="G2047" t="inlineStr">
        <is>
          <t xml:space="preserve">CARRE CERDO DESH CONG XKG          </t>
        </is>
      </c>
      <c r="H2047" t="inlineStr">
        <is>
          <t xml:space="preserve">Kgs                 </t>
        </is>
      </c>
      <c r="I2047" t="n">
        <v>1841.88</v>
      </c>
      <c r="J2047" t="n">
        <v>0</v>
      </c>
      <c r="K2047" t="n">
        <v>0</v>
      </c>
      <c r="L2047" t="n">
        <v>160</v>
      </c>
      <c r="M2047" t="n">
        <v>160</v>
      </c>
      <c r="N2047" t="n">
        <v>0</v>
      </c>
      <c r="O2047" t="n">
        <v>1521.88</v>
      </c>
      <c r="P2047" s="96">
        <f>_xlfn.XLOOKUP(Tabla5[[#This Row],[EAN CORREGIDO]],'Tabla Articulos'!B:B,'Tabla Articulos'!D:D)</f>
        <v/>
      </c>
      <c r="Q2047" s="96">
        <f>_xlfn.XLOOKUP(S2047,'Tabla Articulos'!B:B,'Tabla Articulos'!E:E)</f>
        <v/>
      </c>
      <c r="R2047" s="96">
        <f>O2047*Q2047</f>
        <v/>
      </c>
      <c r="S2047" s="97">
        <f>TRIM(E2047)</f>
        <v/>
      </c>
    </row>
    <row r="2048" hidden="1">
      <c r="A2048" s="22" t="n">
        <v>6</v>
      </c>
      <c r="B2048" t="inlineStr">
        <is>
          <t xml:space="preserve">CDM03 - MORENO 3              </t>
        </is>
      </c>
      <c r="C2048" t="inlineStr">
        <is>
          <t xml:space="preserve">GRUPO L.                      </t>
        </is>
      </c>
      <c r="D2048" t="inlineStr">
        <is>
          <t>JABON LIQUIDO</t>
        </is>
      </c>
      <c r="E2048" t="inlineStr">
        <is>
          <t xml:space="preserve">7798160835022       </t>
        </is>
      </c>
      <c r="F2048" t="n">
        <v>2007620</v>
      </c>
      <c r="G2048" t="inlineStr">
        <is>
          <t xml:space="preserve">JABON LIQ AROM ROSAS X5LT NEW ZE   </t>
        </is>
      </c>
      <c r="H2048" t="inlineStr">
        <is>
          <t xml:space="preserve">UNIDAD              </t>
        </is>
      </c>
      <c r="I2048" t="n">
        <v>63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63</v>
      </c>
      <c r="P2048" s="96">
        <f>_xlfn.XLOOKUP(Tabla5[[#This Row],[EAN CORREGIDO]],'Tabla Articulos'!B:B,'Tabla Articulos'!D:D)</f>
        <v/>
      </c>
      <c r="Q2048" s="96">
        <f>_xlfn.XLOOKUP(S2048,'Tabla Articulos'!B:B,'Tabla Articulos'!E:E)</f>
        <v/>
      </c>
      <c r="R2048" s="96">
        <f>O2048*Q2048</f>
        <v/>
      </c>
      <c r="S2048" s="97">
        <f>TRIM(E2048)</f>
        <v/>
      </c>
    </row>
    <row r="2049" hidden="1">
      <c r="A2049" s="22" t="n">
        <v>6</v>
      </c>
      <c r="B2049" t="inlineStr">
        <is>
          <t xml:space="preserve">CDM03 - MORENO 3              </t>
        </is>
      </c>
      <c r="C2049" t="inlineStr">
        <is>
          <t xml:space="preserve">GRUPO L.                      </t>
        </is>
      </c>
      <c r="E2049" t="inlineStr">
        <is>
          <t xml:space="preserve">BAZ001214           </t>
        </is>
      </c>
      <c r="F2049" t="n">
        <v>9003743</v>
      </c>
      <c r="G2049" t="inlineStr">
        <is>
          <t xml:space="preserve">PELAPAPA AC INOX.MANG PLAST.PRE    </t>
        </is>
      </c>
      <c r="H2049" t="inlineStr">
        <is>
          <t xml:space="preserve">UNIDAD              </t>
        </is>
      </c>
      <c r="I2049" t="n">
        <v>78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78</v>
      </c>
      <c r="P2049" s="96">
        <f>_xlfn.XLOOKUP(Tabla5[[#This Row],[EAN CORREGIDO]],'Tabla Articulos'!B:B,'Tabla Articulos'!D:D)</f>
        <v/>
      </c>
      <c r="Q2049" s="96">
        <f>_xlfn.XLOOKUP(S2049,'Tabla Articulos'!B:B,'Tabla Articulos'!E:E)</f>
        <v/>
      </c>
      <c r="R2049" s="96">
        <f>O2049*Q2049</f>
        <v/>
      </c>
      <c r="S2049" s="97">
        <f>TRIM(E2049)</f>
        <v/>
      </c>
    </row>
    <row r="2050" hidden="1">
      <c r="A2050" s="22" t="n">
        <v>5</v>
      </c>
      <c r="B2050" t="inlineStr">
        <is>
          <t xml:space="preserve">CDM02 - MORENO 2              </t>
        </is>
      </c>
      <c r="C2050" t="inlineStr">
        <is>
          <t xml:space="preserve">GRUPO L.                      </t>
        </is>
      </c>
      <c r="D2050" t="inlineStr">
        <is>
          <t>JENGIBRE</t>
        </is>
      </c>
      <c r="E2050" t="inlineStr">
        <is>
          <t xml:space="preserve">7790216020092       </t>
        </is>
      </c>
      <c r="F2050" t="n">
        <v>4021346</v>
      </c>
      <c r="G2050" t="inlineStr">
        <is>
          <t xml:space="preserve">JENGIBREX KG                       </t>
        </is>
      </c>
      <c r="H2050" t="inlineStr">
        <is>
          <t xml:space="preserve">Kgs                 </t>
        </is>
      </c>
      <c r="I2050" t="n">
        <v>0.21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0.21</v>
      </c>
      <c r="P2050" s="96">
        <f>_xlfn.XLOOKUP(Tabla5[[#This Row],[EAN CORREGIDO]],'Tabla Articulos'!B:B,'Tabla Articulos'!D:D)</f>
        <v/>
      </c>
      <c r="Q2050" s="96">
        <f>_xlfn.XLOOKUP(S2050,'Tabla Articulos'!B:B,'Tabla Articulos'!E:E)</f>
        <v/>
      </c>
      <c r="R2050" s="96">
        <f>O2050*Q2050</f>
        <v/>
      </c>
      <c r="S2050" s="97">
        <f>TRIM(E2050)</f>
        <v/>
      </c>
    </row>
    <row r="2051" hidden="1">
      <c r="A2051" s="22" t="n">
        <v>6</v>
      </c>
      <c r="B2051" t="inlineStr">
        <is>
          <t xml:space="preserve">CDM03 - MORENO 3              </t>
        </is>
      </c>
      <c r="C2051" t="inlineStr">
        <is>
          <t xml:space="preserve">GRUPO L.                      </t>
        </is>
      </c>
      <c r="D2051" s="11" t="n"/>
      <c r="E2051" t="inlineStr">
        <is>
          <t xml:space="preserve">BAZ001209           </t>
        </is>
      </c>
      <c r="F2051" t="n">
        <v>9003807</v>
      </c>
      <c r="G2051" t="inlineStr">
        <is>
          <t xml:space="preserve">MANGAS DES 20X40CM ROLLO X50UN     </t>
        </is>
      </c>
      <c r="H2051" t="inlineStr">
        <is>
          <t xml:space="preserve">UNIDAD              </t>
        </is>
      </c>
      <c r="I2051" t="n">
        <v>72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72</v>
      </c>
      <c r="P2051" s="96">
        <f>_xlfn.XLOOKUP(Tabla5[[#This Row],[EAN CORREGIDO]],'Tabla Articulos'!B:B,'Tabla Articulos'!D:D)</f>
        <v/>
      </c>
      <c r="Q2051" s="96">
        <f>_xlfn.XLOOKUP(S2051,'Tabla Articulos'!B:B,'Tabla Articulos'!E:E)</f>
        <v/>
      </c>
      <c r="R2051" s="96">
        <f>O2051*Q2051</f>
        <v/>
      </c>
      <c r="S2051" s="97">
        <f>TRIM(E2051)</f>
        <v/>
      </c>
    </row>
    <row r="2052" hidden="1">
      <c r="A2052" s="22" t="n">
        <v>6</v>
      </c>
      <c r="B2052" t="inlineStr">
        <is>
          <t xml:space="preserve">CDM03 - MORENO 3              </t>
        </is>
      </c>
      <c r="C2052" t="inlineStr">
        <is>
          <t xml:space="preserve">GRUPO L.                      </t>
        </is>
      </c>
      <c r="E2052" t="inlineStr">
        <is>
          <t xml:space="preserve">LIM000129           </t>
        </is>
      </c>
      <c r="F2052" t="n">
        <v>2006877</v>
      </c>
      <c r="G2052" t="inlineStr">
        <is>
          <t xml:space="preserve">MEDIDOR DE CLORO X U               </t>
        </is>
      </c>
      <c r="H2052" t="inlineStr">
        <is>
          <t xml:space="preserve">UNIDAD              </t>
        </is>
      </c>
      <c r="I2052" t="n">
        <v>62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62</v>
      </c>
      <c r="P2052" s="96">
        <f>_xlfn.XLOOKUP(Tabla5[[#This Row],[EAN CORREGIDO]],'Tabla Articulos'!B:B,'Tabla Articulos'!D:D)</f>
        <v/>
      </c>
      <c r="Q2052" s="96">
        <f>_xlfn.XLOOKUP(S2052,'Tabla Articulos'!B:B,'Tabla Articulos'!E:E)</f>
        <v/>
      </c>
      <c r="R2052" s="96">
        <f>O2052*Q2052</f>
        <v/>
      </c>
      <c r="S2052" s="97">
        <f>TRIM(E2052)</f>
        <v/>
      </c>
    </row>
    <row r="2053" hidden="1">
      <c r="A2053" s="22" t="n">
        <v>6</v>
      </c>
      <c r="B2053" t="inlineStr">
        <is>
          <t xml:space="preserve">CDM03 - MORENO 3              </t>
        </is>
      </c>
      <c r="C2053" t="inlineStr">
        <is>
          <t xml:space="preserve">GRUPO L.                      </t>
        </is>
      </c>
      <c r="D2053" s="11" t="n"/>
      <c r="E2053" t="inlineStr">
        <is>
          <t xml:space="preserve">BAZ001382           </t>
        </is>
      </c>
      <c r="F2053" t="n">
        <v>9003710</v>
      </c>
      <c r="G2053" t="inlineStr">
        <is>
          <t xml:space="preserve">BAND FAST FOOD 45X35CM VERD NU     </t>
        </is>
      </c>
      <c r="H2053" t="inlineStr">
        <is>
          <t xml:space="preserve">UNIDAD              </t>
        </is>
      </c>
      <c r="I2053" t="n">
        <v>240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240</v>
      </c>
      <c r="P2053" s="96">
        <f>_xlfn.XLOOKUP(Tabla5[[#This Row],[EAN CORREGIDO]],'Tabla Articulos'!B:B,'Tabla Articulos'!D:D)</f>
        <v/>
      </c>
      <c r="Q2053" s="96">
        <f>_xlfn.XLOOKUP(S2053,'Tabla Articulos'!B:B,'Tabla Articulos'!E:E)</f>
        <v/>
      </c>
      <c r="R2053" s="96">
        <f>O2053*Q2053</f>
        <v/>
      </c>
      <c r="S2053" s="97">
        <f>TRIM(E2053)</f>
        <v/>
      </c>
    </row>
    <row r="2054" hidden="1">
      <c r="A2054" s="22" t="n">
        <v>6</v>
      </c>
      <c r="B2054" t="inlineStr">
        <is>
          <t xml:space="preserve">CDM03 - MORENO 3              </t>
        </is>
      </c>
      <c r="C2054" t="inlineStr">
        <is>
          <t xml:space="preserve">GRUPO L.                      </t>
        </is>
      </c>
      <c r="E2054" t="inlineStr">
        <is>
          <t xml:space="preserve">UNIF000546          </t>
        </is>
      </c>
      <c r="F2054" t="n">
        <v>9003084</v>
      </c>
      <c r="G2054" t="inlineStr">
        <is>
          <t xml:space="preserve">CHOMB GRIS NEG MANG CORTA NAR XL   </t>
        </is>
      </c>
      <c r="H2054" t="inlineStr">
        <is>
          <t xml:space="preserve">UNIDAD              </t>
        </is>
      </c>
      <c r="I2054" t="n">
        <v>27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27</v>
      </c>
      <c r="P2054" s="96">
        <f>_xlfn.XLOOKUP(Tabla5[[#This Row],[EAN CORREGIDO]],'Tabla Articulos'!B:B,'Tabla Articulos'!D:D)</f>
        <v/>
      </c>
      <c r="Q2054" s="96">
        <f>_xlfn.XLOOKUP(S2054,'Tabla Articulos'!B:B,'Tabla Articulos'!E:E)</f>
        <v/>
      </c>
      <c r="R2054" s="96">
        <f>O2054*Q2054</f>
        <v/>
      </c>
      <c r="S2054" s="97">
        <f>TRIM(E2054)</f>
        <v/>
      </c>
    </row>
    <row r="2055" hidden="1">
      <c r="A2055" s="22" t="n">
        <v>5</v>
      </c>
      <c r="B2055" t="inlineStr">
        <is>
          <t xml:space="preserve">CDM02 - MORENO 2              </t>
        </is>
      </c>
      <c r="C2055" t="inlineStr">
        <is>
          <t xml:space="preserve">GRUPO L.                      </t>
        </is>
      </c>
      <c r="D2055" t="inlineStr">
        <is>
          <t>LECHE LV DESLACTOSADA</t>
        </is>
      </c>
      <c r="E2055" t="inlineStr">
        <is>
          <t xml:space="preserve">7790742333605       </t>
        </is>
      </c>
      <c r="F2055" t="n">
        <v>4018130</v>
      </c>
      <c r="G2055" t="inlineStr">
        <is>
          <t xml:space="preserve">LECHE DESLACTOSADA XLT SERENI      </t>
        </is>
      </c>
      <c r="H2055" t="inlineStr">
        <is>
          <t xml:space="preserve">UNIDAD              </t>
        </is>
      </c>
      <c r="I2055" t="n">
        <v>168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168</v>
      </c>
      <c r="P2055" s="96">
        <f>_xlfn.XLOOKUP(Tabla5[[#This Row],[EAN CORREGIDO]],'Tabla Articulos'!B:B,'Tabla Articulos'!D:D)</f>
        <v/>
      </c>
      <c r="Q2055" s="96">
        <f>_xlfn.XLOOKUP(S2055,'Tabla Articulos'!B:B,'Tabla Articulos'!E:E)</f>
        <v/>
      </c>
      <c r="R2055" s="96">
        <f>O2055*Q2055</f>
        <v/>
      </c>
      <c r="S2055" s="97">
        <f>TRIM(E2055)</f>
        <v/>
      </c>
    </row>
    <row r="2056" hidden="1">
      <c r="A2056" s="22" t="n">
        <v>6</v>
      </c>
      <c r="B2056" t="inlineStr">
        <is>
          <t xml:space="preserve">CDM03 - MORENO 3              </t>
        </is>
      </c>
      <c r="C2056" t="inlineStr">
        <is>
          <t xml:space="preserve">GRUPO L.                      </t>
        </is>
      </c>
      <c r="E2056" t="inlineStr">
        <is>
          <t xml:space="preserve">UNIF000566          </t>
        </is>
      </c>
      <c r="F2056" t="n">
        <v>9003104</v>
      </c>
      <c r="G2056" t="inlineStr">
        <is>
          <t xml:space="preserve">REMERA GRIS MANGA CORTA XXL        </t>
        </is>
      </c>
      <c r="H2056" t="inlineStr">
        <is>
          <t xml:space="preserve">UNIDAD              </t>
        </is>
      </c>
      <c r="I2056" t="n">
        <v>10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10</v>
      </c>
      <c r="P2056" s="96">
        <f>_xlfn.XLOOKUP(Tabla5[[#This Row],[EAN CORREGIDO]],'Tabla Articulos'!B:B,'Tabla Articulos'!D:D)</f>
        <v/>
      </c>
      <c r="Q2056" s="96">
        <f>_xlfn.XLOOKUP(S2056,'Tabla Articulos'!B:B,'Tabla Articulos'!E:E)</f>
        <v/>
      </c>
      <c r="R2056" s="96">
        <f>O2056*Q2056</f>
        <v/>
      </c>
      <c r="S2056" s="97">
        <f>TRIM(E2056)</f>
        <v/>
      </c>
    </row>
    <row r="2057" hidden="1">
      <c r="A2057" s="22" t="n">
        <v>6</v>
      </c>
      <c r="B2057" t="inlineStr">
        <is>
          <t xml:space="preserve">CDM03 - MORENO 3              </t>
        </is>
      </c>
      <c r="C2057" t="inlineStr">
        <is>
          <t xml:space="preserve">GRUPO L.                      </t>
        </is>
      </c>
      <c r="E2057" t="inlineStr">
        <is>
          <t xml:space="preserve">BUSAT000619         </t>
        </is>
      </c>
      <c r="G2057" t="inlineStr">
        <is>
          <t xml:space="preserve">SWERTER CARDIGAN                   </t>
        </is>
      </c>
      <c r="H2057" t="inlineStr">
        <is>
          <t xml:space="preserve">UNIDAD              </t>
        </is>
      </c>
      <c r="I2057" t="n">
        <v>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2</v>
      </c>
      <c r="P2057" s="96">
        <f>_xlfn.XLOOKUP(Tabla5[[#This Row],[EAN CORREGIDO]],'Tabla Articulos'!B:B,'Tabla Articulos'!D:D)</f>
        <v/>
      </c>
      <c r="Q2057" s="96">
        <f>_xlfn.XLOOKUP(S2057,'Tabla Articulos'!B:B,'Tabla Articulos'!E:E)</f>
        <v/>
      </c>
      <c r="R2057" s="96">
        <f>O2057*Q2057</f>
        <v/>
      </c>
      <c r="S2057" s="97">
        <f>TRIM(E2057)</f>
        <v/>
      </c>
    </row>
    <row r="2058" hidden="1">
      <c r="A2058" s="22" t="n">
        <v>6</v>
      </c>
      <c r="B2058" t="inlineStr">
        <is>
          <t xml:space="preserve">CDM03 - MORENO 3              </t>
        </is>
      </c>
      <c r="C2058" t="inlineStr">
        <is>
          <t xml:space="preserve">GRUPO L.                      </t>
        </is>
      </c>
      <c r="E2058" t="inlineStr">
        <is>
          <t xml:space="preserve">BUSAT000044         </t>
        </is>
      </c>
      <c r="G2058" t="inlineStr">
        <is>
          <t xml:space="preserve">COPA HELADO                        </t>
        </is>
      </c>
      <c r="H2058" t="inlineStr">
        <is>
          <t xml:space="preserve">UNIDAD              </t>
        </is>
      </c>
      <c r="I2058" t="n">
        <v>24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24</v>
      </c>
      <c r="P2058" s="96">
        <f>_xlfn.XLOOKUP(Tabla5[[#This Row],[EAN CORREGIDO]],'Tabla Articulos'!B:B,'Tabla Articulos'!D:D)</f>
        <v/>
      </c>
      <c r="Q2058" s="96">
        <f>_xlfn.XLOOKUP(S2058,'Tabla Articulos'!B:B,'Tabla Articulos'!E:E)</f>
        <v/>
      </c>
      <c r="R2058" s="96">
        <f>O2058*Q2058</f>
        <v/>
      </c>
      <c r="S2058" s="97">
        <f>TRIM(E2058)</f>
        <v/>
      </c>
    </row>
    <row r="2059" hidden="1">
      <c r="A2059" s="22" t="n">
        <v>6</v>
      </c>
      <c r="B2059" t="inlineStr">
        <is>
          <t xml:space="preserve">CDM03 - MORENO 3              </t>
        </is>
      </c>
      <c r="C2059" t="inlineStr">
        <is>
          <t xml:space="preserve">GRUPO L.                      </t>
        </is>
      </c>
      <c r="E2059" t="inlineStr">
        <is>
          <t xml:space="preserve">BUSAT000008         </t>
        </is>
      </c>
      <c r="G2059" t="inlineStr">
        <is>
          <t xml:space="preserve">TERMO DISPENSER X U                </t>
        </is>
      </c>
      <c r="H2059" t="inlineStr">
        <is>
          <t xml:space="preserve">UNIDAD              </t>
        </is>
      </c>
      <c r="I2059" t="n">
        <v>15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15</v>
      </c>
      <c r="P2059" s="96">
        <f>_xlfn.XLOOKUP(Tabla5[[#This Row],[EAN CORREGIDO]],'Tabla Articulos'!B:B,'Tabla Articulos'!D:D)</f>
        <v/>
      </c>
      <c r="Q2059" s="96">
        <f>_xlfn.XLOOKUP(S2059,'Tabla Articulos'!B:B,'Tabla Articulos'!E:E)</f>
        <v/>
      </c>
      <c r="R2059" s="96">
        <f>O2059*Q2059</f>
        <v/>
      </c>
      <c r="S2059" s="97">
        <f>TRIM(E2059)</f>
        <v/>
      </c>
    </row>
    <row r="2060" hidden="1">
      <c r="A2060" s="22" t="n">
        <v>6</v>
      </c>
      <c r="B2060" t="inlineStr">
        <is>
          <t xml:space="preserve">CDM03 - MORENO 3              </t>
        </is>
      </c>
      <c r="C2060" t="inlineStr">
        <is>
          <t xml:space="preserve">GRUPO L.                      </t>
        </is>
      </c>
      <c r="E2060" t="inlineStr">
        <is>
          <t xml:space="preserve">BUSAT000049         </t>
        </is>
      </c>
      <c r="G2060" t="inlineStr">
        <is>
          <t xml:space="preserve">MANTEL INDIVIDUAL DE CUERO X U     </t>
        </is>
      </c>
      <c r="H2060" t="inlineStr">
        <is>
          <t xml:space="preserve">UNIDAD              </t>
        </is>
      </c>
      <c r="I2060" t="n">
        <v>27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27</v>
      </c>
      <c r="P2060" s="96">
        <f>_xlfn.XLOOKUP(Tabla5[[#This Row],[EAN CORREGIDO]],'Tabla Articulos'!B:B,'Tabla Articulos'!D:D)</f>
        <v/>
      </c>
      <c r="Q2060" s="96">
        <f>_xlfn.XLOOKUP(S2060,'Tabla Articulos'!B:B,'Tabla Articulos'!E:E)</f>
        <v/>
      </c>
      <c r="R2060" s="96">
        <f>O2060*Q2060</f>
        <v/>
      </c>
      <c r="S2060" s="97">
        <f>TRIM(E2060)</f>
        <v/>
      </c>
    </row>
    <row r="2061" hidden="1">
      <c r="A2061" s="22" t="n">
        <v>6</v>
      </c>
      <c r="B2061" t="inlineStr">
        <is>
          <t xml:space="preserve">CDM03 - MORENO 3              </t>
        </is>
      </c>
      <c r="C2061" t="inlineStr">
        <is>
          <t xml:space="preserve">GRUPO L.                      </t>
        </is>
      </c>
      <c r="D2061" s="11" t="n"/>
      <c r="E2061" t="inlineStr">
        <is>
          <t xml:space="preserve">BUSAT000407         </t>
        </is>
      </c>
      <c r="G2061" t="inlineStr">
        <is>
          <t xml:space="preserve">PROTECTOR AUDITIVO ENDOAURAL       </t>
        </is>
      </c>
      <c r="H2061" t="inlineStr">
        <is>
          <t xml:space="preserve">UNIDAD              </t>
        </is>
      </c>
      <c r="I2061" t="n">
        <v>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1</v>
      </c>
      <c r="P2061" s="96">
        <f>_xlfn.XLOOKUP(Tabla5[[#This Row],[EAN CORREGIDO]],'Tabla Articulos'!B:B,'Tabla Articulos'!D:D)</f>
        <v/>
      </c>
      <c r="Q2061" s="96">
        <f>_xlfn.XLOOKUP(S2061,'Tabla Articulos'!B:B,'Tabla Articulos'!E:E)</f>
        <v/>
      </c>
      <c r="R2061" s="96">
        <f>O2061*Q2061</f>
        <v/>
      </c>
      <c r="S2061" s="97">
        <f>TRIM(E2061)</f>
        <v/>
      </c>
    </row>
    <row r="2062" hidden="1">
      <c r="A2062" s="22" t="n">
        <v>6</v>
      </c>
      <c r="B2062" t="inlineStr">
        <is>
          <t xml:space="preserve">CDM03 - MORENO 3              </t>
        </is>
      </c>
      <c r="C2062" t="inlineStr">
        <is>
          <t xml:space="preserve">GRUPO L.                      </t>
        </is>
      </c>
      <c r="E2062" t="inlineStr">
        <is>
          <t xml:space="preserve">BUSAT000730         </t>
        </is>
      </c>
      <c r="G2062" t="inlineStr">
        <is>
          <t xml:space="preserve">BANDEJAS FAST FOOD VERDE  X U      </t>
        </is>
      </c>
      <c r="H2062" t="inlineStr">
        <is>
          <t xml:space="preserve">UNIDAD              </t>
        </is>
      </c>
      <c r="I2062" t="n">
        <v>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1</v>
      </c>
      <c r="P2062" s="96">
        <f>_xlfn.XLOOKUP(Tabla5[[#This Row],[EAN CORREGIDO]],'Tabla Articulos'!B:B,'Tabla Articulos'!D:D)</f>
        <v/>
      </c>
      <c r="Q2062" s="96">
        <f>_xlfn.XLOOKUP(S2062,'Tabla Articulos'!B:B,'Tabla Articulos'!E:E)</f>
        <v/>
      </c>
      <c r="R2062" s="96">
        <f>O2062*Q2062</f>
        <v/>
      </c>
      <c r="S2062" s="97">
        <f>TRIM(E2062)</f>
        <v/>
      </c>
    </row>
    <row r="2063" hidden="1">
      <c r="A2063" s="22" t="n">
        <v>6</v>
      </c>
      <c r="B2063" t="inlineStr">
        <is>
          <t xml:space="preserve">CDM03 - MORENO 3              </t>
        </is>
      </c>
      <c r="C2063" t="inlineStr">
        <is>
          <t xml:space="preserve">GRUPO L.                      </t>
        </is>
      </c>
      <c r="E2063" t="inlineStr">
        <is>
          <t xml:space="preserve">BUSAT000706         </t>
        </is>
      </c>
      <c r="G2063" t="inlineStr">
        <is>
          <t>CAMPERAS TASLAN MANGA COMUN TALLE/M</t>
        </is>
      </c>
      <c r="H2063" t="inlineStr">
        <is>
          <t xml:space="preserve">UNIDAD              </t>
        </is>
      </c>
      <c r="I2063" t="n">
        <v>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2</v>
      </c>
      <c r="P2063" s="96">
        <f>_xlfn.XLOOKUP(Tabla5[[#This Row],[EAN CORREGIDO]],'Tabla Articulos'!B:B,'Tabla Articulos'!D:D)</f>
        <v/>
      </c>
      <c r="Q2063" s="96">
        <f>_xlfn.XLOOKUP(S2063,'Tabla Articulos'!B:B,'Tabla Articulos'!E:E)</f>
        <v/>
      </c>
      <c r="R2063" s="96">
        <f>O2063*Q2063</f>
        <v/>
      </c>
      <c r="S2063" s="97">
        <f>TRIM(E2063)</f>
        <v/>
      </c>
    </row>
    <row r="2064" hidden="1">
      <c r="A2064" s="22" t="n">
        <v>6</v>
      </c>
      <c r="B2064" t="inlineStr">
        <is>
          <t xml:space="preserve">CDM03 - MORENO 3              </t>
        </is>
      </c>
      <c r="C2064" t="inlineStr">
        <is>
          <t xml:space="preserve">GRUPO L.                      </t>
        </is>
      </c>
      <c r="E2064" t="inlineStr">
        <is>
          <t xml:space="preserve">BUSAT000577         </t>
        </is>
      </c>
      <c r="G2064" t="inlineStr">
        <is>
          <t xml:space="preserve">CAMISA AZUL GRAFA T 42             </t>
        </is>
      </c>
      <c r="H2064" t="inlineStr">
        <is>
          <t xml:space="preserve">UNIDAD              </t>
        </is>
      </c>
      <c r="I2064" t="n">
        <v>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2</v>
      </c>
      <c r="P2064" s="96">
        <f>_xlfn.XLOOKUP(Tabla5[[#This Row],[EAN CORREGIDO]],'Tabla Articulos'!B:B,'Tabla Articulos'!D:D)</f>
        <v/>
      </c>
      <c r="Q2064" s="96">
        <f>_xlfn.XLOOKUP(S2064,'Tabla Articulos'!B:B,'Tabla Articulos'!E:E)</f>
        <v/>
      </c>
      <c r="R2064" s="96">
        <f>O2064*Q2064</f>
        <v/>
      </c>
      <c r="S2064" s="97">
        <f>TRIM(E2064)</f>
        <v/>
      </c>
    </row>
    <row r="2065" hidden="1">
      <c r="A2065" s="22" t="n">
        <v>6</v>
      </c>
      <c r="B2065" t="inlineStr">
        <is>
          <t xml:space="preserve">CDM03 - MORENO 3              </t>
        </is>
      </c>
      <c r="C2065" t="inlineStr">
        <is>
          <t xml:space="preserve">GRUPO L.                      </t>
        </is>
      </c>
      <c r="D2065" s="11" t="n"/>
      <c r="E2065" t="inlineStr">
        <is>
          <t xml:space="preserve">BUSAT000729         </t>
        </is>
      </c>
      <c r="F2065" s="11" t="n"/>
      <c r="G2065" t="inlineStr">
        <is>
          <t xml:space="preserve">CHOMBA GRIS C AZUL M/CORTA XXXL    </t>
        </is>
      </c>
      <c r="H2065" t="inlineStr">
        <is>
          <t xml:space="preserve">UNIDAD              </t>
        </is>
      </c>
      <c r="I2065" t="n">
        <v>13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13</v>
      </c>
      <c r="P2065" s="96">
        <f>_xlfn.XLOOKUP(Tabla5[[#This Row],[EAN CORREGIDO]],'Tabla Articulos'!B:B,'Tabla Articulos'!D:D)</f>
        <v/>
      </c>
      <c r="Q2065" s="96">
        <f>_xlfn.XLOOKUP(S2065,'Tabla Articulos'!B:B,'Tabla Articulos'!E:E)</f>
        <v/>
      </c>
      <c r="R2065" s="96">
        <f>O2065*Q2065</f>
        <v/>
      </c>
      <c r="S2065" s="97">
        <f>TRIM(E2065)</f>
        <v/>
      </c>
    </row>
    <row r="2066" hidden="1">
      <c r="A2066" s="22" t="n">
        <v>6</v>
      </c>
      <c r="B2066" t="inlineStr">
        <is>
          <t xml:space="preserve">CDM03 - MORENO 3              </t>
        </is>
      </c>
      <c r="C2066" t="inlineStr">
        <is>
          <t xml:space="preserve">GRUPO L.                      </t>
        </is>
      </c>
      <c r="D2066" s="11" t="n"/>
      <c r="E2066" t="inlineStr">
        <is>
          <t xml:space="preserve">BUSAT000339         </t>
        </is>
      </c>
      <c r="F2066" s="11" t="n"/>
      <c r="G2066" t="inlineStr">
        <is>
          <t xml:space="preserve">BAUL LARGO MIMBRE/SANDWICHES 03    </t>
        </is>
      </c>
      <c r="H2066" t="inlineStr">
        <is>
          <t xml:space="preserve">UNIDAD              </t>
        </is>
      </c>
      <c r="I2066" t="n">
        <v>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1</v>
      </c>
      <c r="P2066" s="96">
        <f>_xlfn.XLOOKUP(Tabla5[[#This Row],[EAN CORREGIDO]],'Tabla Articulos'!B:B,'Tabla Articulos'!D:D)</f>
        <v/>
      </c>
      <c r="Q2066" s="96">
        <f>_xlfn.XLOOKUP(S2066,'Tabla Articulos'!B:B,'Tabla Articulos'!E:E)</f>
        <v/>
      </c>
      <c r="R2066" s="96">
        <f>O2066*Q2066</f>
        <v/>
      </c>
      <c r="S2066" s="97">
        <f>TRIM(E2066)</f>
        <v/>
      </c>
    </row>
    <row r="2067" hidden="1">
      <c r="A2067" s="22" t="n">
        <v>6</v>
      </c>
      <c r="B2067" t="inlineStr">
        <is>
          <t xml:space="preserve">CDM03 - MORENO 3              </t>
        </is>
      </c>
      <c r="C2067" t="inlineStr">
        <is>
          <t xml:space="preserve">GRUPO L.                      </t>
        </is>
      </c>
      <c r="D2067" s="11" t="n"/>
      <c r="E2067" t="inlineStr">
        <is>
          <t xml:space="preserve">BUSAT000052         </t>
        </is>
      </c>
      <c r="F2067" s="11" t="n"/>
      <c r="G2067" t="inlineStr">
        <is>
          <t xml:space="preserve">AZUCARERA DE VIDRIO CON PICO       </t>
        </is>
      </c>
      <c r="H2067" t="inlineStr">
        <is>
          <t xml:space="preserve">UNIDAD              </t>
        </is>
      </c>
      <c r="I2067" t="n">
        <v>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9</v>
      </c>
      <c r="P2067" s="96">
        <f>_xlfn.XLOOKUP(Tabla5[[#This Row],[EAN CORREGIDO]],'Tabla Articulos'!B:B,'Tabla Articulos'!D:D)</f>
        <v/>
      </c>
      <c r="Q2067" s="96">
        <f>_xlfn.XLOOKUP(S2067,'Tabla Articulos'!B:B,'Tabla Articulos'!E:E)</f>
        <v/>
      </c>
      <c r="R2067" s="96">
        <f>O2067*Q2067</f>
        <v/>
      </c>
      <c r="S2067" s="97">
        <f>TRIM(E2067)</f>
        <v/>
      </c>
    </row>
    <row r="2068" hidden="1">
      <c r="A2068" s="22" t="n">
        <v>6</v>
      </c>
      <c r="B2068" t="inlineStr">
        <is>
          <t xml:space="preserve">CDM03 - MORENO 3              </t>
        </is>
      </c>
      <c r="C2068" t="inlineStr">
        <is>
          <t xml:space="preserve">GRUPO L.                      </t>
        </is>
      </c>
      <c r="D2068" s="11" t="n"/>
      <c r="E2068" t="inlineStr">
        <is>
          <t xml:space="preserve">BUSAT000068         </t>
        </is>
      </c>
      <c r="F2068" s="11" t="n"/>
      <c r="G2068" t="inlineStr">
        <is>
          <t xml:space="preserve">AZUCARERO LOZA RENACENTISTA C/TAOA </t>
        </is>
      </c>
      <c r="H2068" t="inlineStr">
        <is>
          <t xml:space="preserve">UNIDAD              </t>
        </is>
      </c>
      <c r="I2068" t="n">
        <v>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4</v>
      </c>
      <c r="P2068" s="96">
        <f>_xlfn.XLOOKUP(Tabla5[[#This Row],[EAN CORREGIDO]],'Tabla Articulos'!B:B,'Tabla Articulos'!D:D)</f>
        <v/>
      </c>
      <c r="Q2068" s="96">
        <f>_xlfn.XLOOKUP(S2068,'Tabla Articulos'!B:B,'Tabla Articulos'!E:E)</f>
        <v/>
      </c>
      <c r="R2068" s="96">
        <f>O2068*Q2068</f>
        <v/>
      </c>
      <c r="S2068" s="97">
        <f>TRIM(E2068)</f>
        <v/>
      </c>
    </row>
    <row r="2069" hidden="1">
      <c r="A2069" s="22" t="n">
        <v>6</v>
      </c>
      <c r="B2069" t="inlineStr">
        <is>
          <t xml:space="preserve">CDM03 - MORENO 3              </t>
        </is>
      </c>
      <c r="C2069" t="inlineStr">
        <is>
          <t xml:space="preserve">GRUPO L.                      </t>
        </is>
      </c>
      <c r="D2069" s="11" t="n"/>
      <c r="E2069" t="inlineStr">
        <is>
          <t xml:space="preserve">BUSAT000338         </t>
        </is>
      </c>
      <c r="F2069" s="11" t="n"/>
      <c r="G2069" t="inlineStr">
        <is>
          <t xml:space="preserve">BAUL CORTO MIMBRE/SANDWICHES 03    </t>
        </is>
      </c>
      <c r="H2069" t="inlineStr">
        <is>
          <t xml:space="preserve">UNIDAD              </t>
        </is>
      </c>
      <c r="I2069" t="n">
        <v>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1</v>
      </c>
      <c r="P2069" s="96">
        <f>_xlfn.XLOOKUP(Tabla5[[#This Row],[EAN CORREGIDO]],'Tabla Articulos'!B:B,'Tabla Articulos'!D:D)</f>
        <v/>
      </c>
      <c r="Q2069" s="96">
        <f>_xlfn.XLOOKUP(S2069,'Tabla Articulos'!B:B,'Tabla Articulos'!E:E)</f>
        <v/>
      </c>
      <c r="R2069" s="96">
        <f>O2069*Q2069</f>
        <v/>
      </c>
      <c r="S2069" s="97">
        <f>TRIM(E2069)</f>
        <v/>
      </c>
    </row>
    <row r="2070" hidden="1">
      <c r="A2070" s="22" t="n">
        <v>6</v>
      </c>
      <c r="B2070" t="inlineStr">
        <is>
          <t xml:space="preserve">CDM03 - MORENO 3              </t>
        </is>
      </c>
      <c r="C2070" t="inlineStr">
        <is>
          <t xml:space="preserve">GRUPO L.                      </t>
        </is>
      </c>
      <c r="D2070" s="11" t="n"/>
      <c r="E2070" t="inlineStr">
        <is>
          <t xml:space="preserve">BUSAT000348         </t>
        </is>
      </c>
      <c r="F2070" s="11" t="n"/>
      <c r="G2070" t="inlineStr">
        <is>
          <t xml:space="preserve">ACRILICOS PARA PASOS 10X15         </t>
        </is>
      </c>
      <c r="H2070" t="inlineStr">
        <is>
          <t xml:space="preserve">UNIDAD              </t>
        </is>
      </c>
      <c r="I2070" t="n">
        <v>20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20</v>
      </c>
      <c r="P2070" s="96">
        <f>_xlfn.XLOOKUP(Tabla5[[#This Row],[EAN CORREGIDO]],'Tabla Articulos'!B:B,'Tabla Articulos'!D:D)</f>
        <v/>
      </c>
      <c r="Q2070" s="96">
        <f>_xlfn.XLOOKUP(S2070,'Tabla Articulos'!B:B,'Tabla Articulos'!E:E)</f>
        <v/>
      </c>
      <c r="R2070" s="96">
        <f>O2070*Q2070</f>
        <v/>
      </c>
      <c r="S2070" s="97">
        <f>TRIM(E2070)</f>
        <v/>
      </c>
    </row>
    <row r="2071" hidden="1">
      <c r="A2071" s="22" t="n">
        <v>6</v>
      </c>
      <c r="B2071" t="inlineStr">
        <is>
          <t xml:space="preserve">CDM03 - MORENO 3              </t>
        </is>
      </c>
      <c r="C2071" t="inlineStr">
        <is>
          <t xml:space="preserve">GRUPO L.                      </t>
        </is>
      </c>
      <c r="D2071" s="11" t="n"/>
      <c r="E2071" t="inlineStr">
        <is>
          <t xml:space="preserve">BUSAT000451         </t>
        </is>
      </c>
      <c r="F2071" s="11" t="n"/>
      <c r="G2071" t="inlineStr">
        <is>
          <t>PANTALON CARGO GRIS FRANJA VERDE	60</t>
        </is>
      </c>
      <c r="H2071" t="inlineStr">
        <is>
          <t xml:space="preserve">UNIDAD              </t>
        </is>
      </c>
      <c r="I2071" t="n">
        <v>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1</v>
      </c>
      <c r="P2071" s="96">
        <f>_xlfn.XLOOKUP(Tabla5[[#This Row],[EAN CORREGIDO]],'Tabla Articulos'!B:B,'Tabla Articulos'!D:D)</f>
        <v/>
      </c>
      <c r="Q2071" s="96">
        <f>_xlfn.XLOOKUP(S2071,'Tabla Articulos'!B:B,'Tabla Articulos'!E:E)</f>
        <v/>
      </c>
      <c r="R2071" s="96">
        <f>O2071*Q2071</f>
        <v/>
      </c>
      <c r="S2071" s="97">
        <f>TRIM(E2071)</f>
        <v/>
      </c>
    </row>
    <row r="2072" hidden="1">
      <c r="A2072" s="22" t="n">
        <v>6</v>
      </c>
      <c r="B2072" t="inlineStr">
        <is>
          <t xml:space="preserve">CDM03 - MORENO 3              </t>
        </is>
      </c>
      <c r="C2072" t="inlineStr">
        <is>
          <t xml:space="preserve">GRUPO L.                      </t>
        </is>
      </c>
      <c r="D2072" s="11" t="n"/>
      <c r="E2072" t="inlineStr">
        <is>
          <t xml:space="preserve">BUSAT000102         </t>
        </is>
      </c>
      <c r="F2072" s="11" t="n"/>
      <c r="G2072" t="inlineStr">
        <is>
          <t xml:space="preserve">POCILLO CUADRATA                   </t>
        </is>
      </c>
      <c r="H2072" t="inlineStr">
        <is>
          <t xml:space="preserve">UNIDAD              </t>
        </is>
      </c>
      <c r="I2072" t="n">
        <v>68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68</v>
      </c>
      <c r="P2072" s="96">
        <f>_xlfn.XLOOKUP(Tabla5[[#This Row],[EAN CORREGIDO]],'Tabla Articulos'!B:B,'Tabla Articulos'!D:D)</f>
        <v/>
      </c>
      <c r="Q2072" s="96">
        <f>_xlfn.XLOOKUP(S2072,'Tabla Articulos'!B:B,'Tabla Articulos'!E:E)</f>
        <v/>
      </c>
      <c r="R2072" s="96">
        <f>O2072*Q2072</f>
        <v/>
      </c>
      <c r="S2072" s="97">
        <f>TRIM(E2072)</f>
        <v/>
      </c>
    </row>
    <row r="2073" hidden="1">
      <c r="A2073" s="22" t="n">
        <v>6</v>
      </c>
      <c r="B2073" t="inlineStr">
        <is>
          <t xml:space="preserve">CDM03 - MORENO 3              </t>
        </is>
      </c>
      <c r="C2073" t="inlineStr">
        <is>
          <t xml:space="preserve">GRUPO L.                      </t>
        </is>
      </c>
      <c r="D2073" s="11" t="n"/>
      <c r="E2073" t="inlineStr">
        <is>
          <t xml:space="preserve">BUSAT000793         </t>
        </is>
      </c>
      <c r="F2073" s="11" t="n"/>
      <c r="G2073" t="inlineStr">
        <is>
          <t xml:space="preserve">DES AER J FRA 0,75 MAÑANA DE CAMPO </t>
        </is>
      </c>
      <c r="H2073" t="inlineStr">
        <is>
          <t xml:space="preserve">UNIDAD              </t>
        </is>
      </c>
      <c r="I2073" t="n">
        <v>16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16</v>
      </c>
      <c r="P2073" s="96">
        <f>_xlfn.XLOOKUP(Tabla5[[#This Row],[EAN CORREGIDO]],'Tabla Articulos'!B:B,'Tabla Articulos'!D:D)</f>
        <v/>
      </c>
      <c r="Q2073" s="96">
        <f>_xlfn.XLOOKUP(S2073,'Tabla Articulos'!B:B,'Tabla Articulos'!E:E)</f>
        <v/>
      </c>
      <c r="R2073" s="96">
        <f>O2073*Q2073</f>
        <v/>
      </c>
      <c r="S2073" s="97">
        <f>TRIM(E2073)</f>
        <v/>
      </c>
    </row>
    <row r="2074" hidden="1">
      <c r="A2074" s="22" t="n">
        <v>6</v>
      </c>
      <c r="B2074" t="inlineStr">
        <is>
          <t xml:space="preserve">CDM03 - MORENO 3              </t>
        </is>
      </c>
      <c r="C2074" t="inlineStr">
        <is>
          <t xml:space="preserve">GRUPO L.                      </t>
        </is>
      </c>
      <c r="D2074" s="11" t="n"/>
      <c r="E2074" t="inlineStr">
        <is>
          <t xml:space="preserve">BUSAT000643         </t>
        </is>
      </c>
      <c r="F2074" s="11" t="n"/>
      <c r="G2074" t="inlineStr">
        <is>
          <t xml:space="preserve">JARRA MEDIDORA 1LT                 </t>
        </is>
      </c>
      <c r="H2074" t="inlineStr">
        <is>
          <t xml:space="preserve">UNIDAD              </t>
        </is>
      </c>
      <c r="I2074" t="n">
        <v>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2</v>
      </c>
      <c r="P2074" s="96">
        <f>_xlfn.XLOOKUP(Tabla5[[#This Row],[EAN CORREGIDO]],'Tabla Articulos'!B:B,'Tabla Articulos'!D:D)</f>
        <v/>
      </c>
      <c r="Q2074" s="96">
        <f>_xlfn.XLOOKUP(S2074,'Tabla Articulos'!B:B,'Tabla Articulos'!E:E)</f>
        <v/>
      </c>
      <c r="R2074" s="96">
        <f>O2074*Q2074</f>
        <v/>
      </c>
      <c r="S2074" s="97">
        <f>TRIM(E2074)</f>
        <v/>
      </c>
    </row>
    <row r="2075" hidden="1">
      <c r="A2075" s="22" t="n">
        <v>6</v>
      </c>
      <c r="B2075" t="inlineStr">
        <is>
          <t xml:space="preserve">CDM03 - MORENO 3              </t>
        </is>
      </c>
      <c r="C2075" t="inlineStr">
        <is>
          <t xml:space="preserve">GRUPO L.                      </t>
        </is>
      </c>
      <c r="E2075" t="inlineStr">
        <is>
          <t xml:space="preserve">BUSAT000271         </t>
        </is>
      </c>
      <c r="G2075" t="inlineStr">
        <is>
          <t xml:space="preserve">GN 1/3 100 MM                      </t>
        </is>
      </c>
      <c r="H2075" t="inlineStr">
        <is>
          <t xml:space="preserve">UNIDAD              </t>
        </is>
      </c>
      <c r="I2075" t="n">
        <v>54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54</v>
      </c>
      <c r="P2075" s="96">
        <f>_xlfn.XLOOKUP(Tabla5[[#This Row],[EAN CORREGIDO]],'Tabla Articulos'!B:B,'Tabla Articulos'!D:D)</f>
        <v/>
      </c>
      <c r="Q2075" s="96">
        <f>_xlfn.XLOOKUP(S2075,'Tabla Articulos'!B:B,'Tabla Articulos'!E:E)</f>
        <v/>
      </c>
      <c r="R2075" s="96">
        <f>O2075*Q2075</f>
        <v/>
      </c>
      <c r="S2075" s="97">
        <f>TRIM(E2075)</f>
        <v/>
      </c>
    </row>
    <row r="2076" hidden="1">
      <c r="A2076" s="22" t="n">
        <v>6</v>
      </c>
      <c r="B2076" t="inlineStr">
        <is>
          <t xml:space="preserve">CDM03 - MORENO 3              </t>
        </is>
      </c>
      <c r="C2076" t="inlineStr">
        <is>
          <t xml:space="preserve">GRUPO L.                      </t>
        </is>
      </c>
      <c r="E2076" t="inlineStr">
        <is>
          <t xml:space="preserve">OBR000132           </t>
        </is>
      </c>
      <c r="G2076" t="inlineStr">
        <is>
          <t xml:space="preserve">MAQUINA DE PINTURA VIAL            </t>
        </is>
      </c>
      <c r="H2076" t="inlineStr">
        <is>
          <t xml:space="preserve">UNIDAD              </t>
        </is>
      </c>
      <c r="I2076" t="n">
        <v>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1</v>
      </c>
      <c r="P2076" s="96">
        <f>_xlfn.XLOOKUP(Tabla5[[#This Row],[EAN CORREGIDO]],'Tabla Articulos'!B:B,'Tabla Articulos'!D:D)</f>
        <v/>
      </c>
      <c r="Q2076" s="96">
        <f>_xlfn.XLOOKUP(S2076,'Tabla Articulos'!B:B,'Tabla Articulos'!E:E)</f>
        <v/>
      </c>
      <c r="R2076" s="96">
        <f>O2076*Q2076</f>
        <v/>
      </c>
      <c r="S2076" s="97">
        <f>TRIM(E2076)</f>
        <v/>
      </c>
    </row>
    <row r="2077" hidden="1">
      <c r="A2077" s="22" t="n">
        <v>6</v>
      </c>
      <c r="B2077" t="inlineStr">
        <is>
          <t xml:space="preserve">CDM03 - MORENO 3              </t>
        </is>
      </c>
      <c r="C2077" t="inlineStr">
        <is>
          <t xml:space="preserve">GRUPO L.                      </t>
        </is>
      </c>
      <c r="E2077" t="inlineStr">
        <is>
          <t xml:space="preserve">BUSAT001102         </t>
        </is>
      </c>
      <c r="G2077" t="inlineStr">
        <is>
          <t xml:space="preserve">TAZA CAFE LOGO GRUPO L             </t>
        </is>
      </c>
      <c r="H2077" t="inlineStr">
        <is>
          <t xml:space="preserve">UNIDAD              </t>
        </is>
      </c>
      <c r="I2077" t="n">
        <v>75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75</v>
      </c>
      <c r="P2077" s="96">
        <f>_xlfn.XLOOKUP(Tabla5[[#This Row],[EAN CORREGIDO]],'Tabla Articulos'!B:B,'Tabla Articulos'!D:D)</f>
        <v/>
      </c>
      <c r="Q2077" s="96">
        <f>_xlfn.XLOOKUP(S2077,'Tabla Articulos'!B:B,'Tabla Articulos'!E:E)</f>
        <v/>
      </c>
      <c r="R2077" s="96">
        <f>O2077*Q2077</f>
        <v/>
      </c>
      <c r="S2077" s="97">
        <f>TRIM(E2077)</f>
        <v/>
      </c>
    </row>
    <row r="2078" hidden="1">
      <c r="A2078" s="22" t="n">
        <v>6</v>
      </c>
      <c r="B2078" t="inlineStr">
        <is>
          <t xml:space="preserve">CDM03 - MORENO 3              </t>
        </is>
      </c>
      <c r="C2078" t="inlineStr">
        <is>
          <t xml:space="preserve">GRUPO L.                      </t>
        </is>
      </c>
      <c r="D2078" s="11" t="n"/>
      <c r="E2078" t="inlineStr">
        <is>
          <t xml:space="preserve">BUSAT000625         </t>
        </is>
      </c>
      <c r="G2078" t="inlineStr">
        <is>
          <t xml:space="preserve">CAMISA GRIS CAFETERIA T5           </t>
        </is>
      </c>
      <c r="H2078" t="inlineStr">
        <is>
          <t xml:space="preserve">UNIDAD              </t>
        </is>
      </c>
      <c r="I2078" t="n">
        <v>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2</v>
      </c>
      <c r="P2078" s="96">
        <f>_xlfn.XLOOKUP(Tabla5[[#This Row],[EAN CORREGIDO]],'Tabla Articulos'!B:B,'Tabla Articulos'!D:D)</f>
        <v/>
      </c>
      <c r="Q2078" s="96">
        <f>_xlfn.XLOOKUP(S2078,'Tabla Articulos'!B:B,'Tabla Articulos'!E:E)</f>
        <v/>
      </c>
      <c r="R2078" s="96">
        <f>O2078*Q2078</f>
        <v/>
      </c>
      <c r="S2078" s="97">
        <f>TRIM(E2078)</f>
        <v/>
      </c>
    </row>
    <row r="2079" hidden="1">
      <c r="A2079" s="22" t="n">
        <v>6</v>
      </c>
      <c r="B2079" t="inlineStr">
        <is>
          <t xml:space="preserve">CDM03 - MORENO 3              </t>
        </is>
      </c>
      <c r="C2079" t="inlineStr">
        <is>
          <t xml:space="preserve">GRUPO L.                      </t>
        </is>
      </c>
      <c r="D2079" s="11" t="n"/>
      <c r="E2079" t="inlineStr">
        <is>
          <t xml:space="preserve">OBR000107           </t>
        </is>
      </c>
      <c r="G2079" t="inlineStr">
        <is>
          <t xml:space="preserve">YESO TRAD                          </t>
        </is>
      </c>
      <c r="H2079" t="inlineStr">
        <is>
          <t xml:space="preserve">BULTOS              </t>
        </is>
      </c>
      <c r="I2079" t="n">
        <v>17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17</v>
      </c>
      <c r="P2079" s="96">
        <f>_xlfn.XLOOKUP(Tabla5[[#This Row],[EAN CORREGIDO]],'Tabla Articulos'!B:B,'Tabla Articulos'!D:D)</f>
        <v/>
      </c>
      <c r="Q2079" s="96">
        <f>_xlfn.XLOOKUP(S2079,'Tabla Articulos'!B:B,'Tabla Articulos'!E:E)</f>
        <v/>
      </c>
      <c r="R2079" s="96">
        <f>O2079*Q2079</f>
        <v/>
      </c>
      <c r="S2079" s="97">
        <f>TRIM(E2079)</f>
        <v/>
      </c>
    </row>
    <row r="2080" hidden="1">
      <c r="A2080" s="22" t="n">
        <v>6</v>
      </c>
      <c r="B2080" t="inlineStr">
        <is>
          <t xml:space="preserve">CDM03 - MORENO 3              </t>
        </is>
      </c>
      <c r="C2080" t="inlineStr">
        <is>
          <t xml:space="preserve">GRUPO L.                      </t>
        </is>
      </c>
      <c r="E2080" t="inlineStr">
        <is>
          <t xml:space="preserve">BUSAT000186         </t>
        </is>
      </c>
      <c r="G2080" t="inlineStr">
        <is>
          <t>CARROS CAZUELA 05 (EXPERENCIAS Y SA</t>
        </is>
      </c>
      <c r="H2080" t="inlineStr">
        <is>
          <t xml:space="preserve">UNIDAD              </t>
        </is>
      </c>
      <c r="I2080" t="n">
        <v>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1</v>
      </c>
      <c r="P2080" s="96">
        <f>_xlfn.XLOOKUP(Tabla5[[#This Row],[EAN CORREGIDO]],'Tabla Articulos'!B:B,'Tabla Articulos'!D:D)</f>
        <v/>
      </c>
      <c r="Q2080" s="96">
        <f>_xlfn.XLOOKUP(S2080,'Tabla Articulos'!B:B,'Tabla Articulos'!E:E)</f>
        <v/>
      </c>
      <c r="R2080" s="96">
        <f>O2080*Q2080</f>
        <v/>
      </c>
      <c r="S2080" s="97">
        <f>TRIM(E2080)</f>
        <v/>
      </c>
    </row>
    <row r="2081" hidden="1">
      <c r="A2081" s="22" t="n">
        <v>6</v>
      </c>
      <c r="B2081" t="inlineStr">
        <is>
          <t xml:space="preserve">CDM03 - MORENO 3              </t>
        </is>
      </c>
      <c r="C2081" t="inlineStr">
        <is>
          <t xml:space="preserve">GRUPO L.                      </t>
        </is>
      </c>
      <c r="E2081" t="inlineStr">
        <is>
          <t xml:space="preserve">BUSAT001099         </t>
        </is>
      </c>
      <c r="G2081" t="inlineStr">
        <is>
          <t xml:space="preserve">PROCESADORA VEGETALES MORETTI      </t>
        </is>
      </c>
      <c r="H2081" t="inlineStr">
        <is>
          <t xml:space="preserve">UNIDAD              </t>
        </is>
      </c>
      <c r="I2081" t="n">
        <v>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1</v>
      </c>
      <c r="P2081" s="96">
        <f>_xlfn.XLOOKUP(Tabla5[[#This Row],[EAN CORREGIDO]],'Tabla Articulos'!B:B,'Tabla Articulos'!D:D)</f>
        <v/>
      </c>
      <c r="Q2081" s="96">
        <f>_xlfn.XLOOKUP(S2081,'Tabla Articulos'!B:B,'Tabla Articulos'!E:E)</f>
        <v/>
      </c>
      <c r="R2081" s="96">
        <f>O2081*Q2081</f>
        <v/>
      </c>
      <c r="S2081" s="97">
        <f>TRIM(E2081)</f>
        <v/>
      </c>
    </row>
    <row r="2082" hidden="1">
      <c r="A2082" s="22" t="n">
        <v>6</v>
      </c>
      <c r="B2082" t="inlineStr">
        <is>
          <t xml:space="preserve">CDM03 - MORENO 3              </t>
        </is>
      </c>
      <c r="C2082" t="inlineStr">
        <is>
          <t xml:space="preserve">GRUPO L.                      </t>
        </is>
      </c>
      <c r="D2082" s="11" t="n"/>
      <c r="E2082" t="inlineStr">
        <is>
          <t xml:space="preserve">BUSAT000070         </t>
        </is>
      </c>
      <c r="G2082" t="inlineStr">
        <is>
          <t xml:space="preserve">AZUCARERO LOZA RENACENTISTA S/TAPA </t>
        </is>
      </c>
      <c r="H2082" t="inlineStr">
        <is>
          <t xml:space="preserve">UNIDAD              </t>
        </is>
      </c>
      <c r="I2082" t="n">
        <v>8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8</v>
      </c>
      <c r="P2082" s="96">
        <f>_xlfn.XLOOKUP(Tabla5[[#This Row],[EAN CORREGIDO]],'Tabla Articulos'!B:B,'Tabla Articulos'!D:D)</f>
        <v/>
      </c>
      <c r="Q2082" s="96">
        <f>_xlfn.XLOOKUP(S2082,'Tabla Articulos'!B:B,'Tabla Articulos'!E:E)</f>
        <v/>
      </c>
      <c r="R2082" s="96">
        <f>O2082*Q2082</f>
        <v/>
      </c>
      <c r="S2082" s="97">
        <f>TRIM(E2082)</f>
        <v/>
      </c>
    </row>
    <row r="2083" hidden="1">
      <c r="A2083" s="22" t="n">
        <v>6</v>
      </c>
      <c r="B2083" t="inlineStr">
        <is>
          <t xml:space="preserve">CDM03 - MORENO 3              </t>
        </is>
      </c>
      <c r="C2083" t="inlineStr">
        <is>
          <t xml:space="preserve">GRUPO L.                      </t>
        </is>
      </c>
      <c r="E2083" t="inlineStr">
        <is>
          <t xml:space="preserve">BUSAT000273         </t>
        </is>
      </c>
      <c r="G2083" t="inlineStr">
        <is>
          <t xml:space="preserve">SEPARADORES LARGOS                 </t>
        </is>
      </c>
      <c r="H2083" t="inlineStr">
        <is>
          <t xml:space="preserve">UNIDAD              </t>
        </is>
      </c>
      <c r="I2083" t="n">
        <v>12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12</v>
      </c>
      <c r="P2083" s="96">
        <f>_xlfn.XLOOKUP(Tabla5[[#This Row],[EAN CORREGIDO]],'Tabla Articulos'!B:B,'Tabla Articulos'!D:D)</f>
        <v/>
      </c>
      <c r="Q2083" s="96">
        <f>_xlfn.XLOOKUP(S2083,'Tabla Articulos'!B:B,'Tabla Articulos'!E:E)</f>
        <v/>
      </c>
      <c r="R2083" s="96">
        <f>O2083*Q2083</f>
        <v/>
      </c>
      <c r="S2083" s="97">
        <f>TRIM(E2083)</f>
        <v/>
      </c>
    </row>
    <row r="2084" hidden="1">
      <c r="A2084" s="22" t="n">
        <v>6</v>
      </c>
      <c r="B2084" t="inlineStr">
        <is>
          <t xml:space="preserve">CDM03 - MORENO 3              </t>
        </is>
      </c>
      <c r="C2084" t="inlineStr">
        <is>
          <t xml:space="preserve">GRUPO L.                      </t>
        </is>
      </c>
      <c r="E2084" t="inlineStr">
        <is>
          <t xml:space="preserve">BUSAT000622         </t>
        </is>
      </c>
      <c r="G2084" t="inlineStr">
        <is>
          <t xml:space="preserve"> SWERTER CARDIGAN T5               </t>
        </is>
      </c>
      <c r="H2084" t="inlineStr">
        <is>
          <t xml:space="preserve">UNIDAD              </t>
        </is>
      </c>
      <c r="I2084" t="n">
        <v>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2</v>
      </c>
      <c r="P2084" s="96">
        <f>_xlfn.XLOOKUP(Tabla5[[#This Row],[EAN CORREGIDO]],'Tabla Articulos'!B:B,'Tabla Articulos'!D:D)</f>
        <v/>
      </c>
      <c r="Q2084" s="96">
        <f>_xlfn.XLOOKUP(S2084,'Tabla Articulos'!B:B,'Tabla Articulos'!E:E)</f>
        <v/>
      </c>
      <c r="R2084" s="96">
        <f>O2084*Q2084</f>
        <v/>
      </c>
      <c r="S2084" s="97">
        <f>TRIM(E2084)</f>
        <v/>
      </c>
    </row>
    <row r="2085" hidden="1">
      <c r="A2085" s="22" t="n">
        <v>6</v>
      </c>
      <c r="B2085" t="inlineStr">
        <is>
          <t xml:space="preserve">CDM03 - MORENO 3              </t>
        </is>
      </c>
      <c r="C2085" t="inlineStr">
        <is>
          <t xml:space="preserve">GRUPO L.                      </t>
        </is>
      </c>
      <c r="E2085" t="inlineStr">
        <is>
          <t xml:space="preserve">BUSAT000368         </t>
        </is>
      </c>
      <c r="G2085" t="inlineStr">
        <is>
          <t xml:space="preserve">GORRAS DE E Y S / SANDWICHES       </t>
        </is>
      </c>
      <c r="H2085" t="inlineStr">
        <is>
          <t xml:space="preserve">UNIDAD              </t>
        </is>
      </c>
      <c r="I2085" t="n">
        <v>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8</v>
      </c>
      <c r="P2085" s="96">
        <f>_xlfn.XLOOKUP(Tabla5[[#This Row],[EAN CORREGIDO]],'Tabla Articulos'!B:B,'Tabla Articulos'!D:D)</f>
        <v/>
      </c>
      <c r="Q2085" s="96">
        <f>_xlfn.XLOOKUP(S2085,'Tabla Articulos'!B:B,'Tabla Articulos'!E:E)</f>
        <v/>
      </c>
      <c r="R2085" s="96">
        <f>O2085*Q2085</f>
        <v/>
      </c>
      <c r="S2085" s="97">
        <f>TRIM(E2085)</f>
        <v/>
      </c>
    </row>
    <row r="2086" hidden="1">
      <c r="A2086" s="22" t="n">
        <v>6</v>
      </c>
      <c r="B2086" t="inlineStr">
        <is>
          <t xml:space="preserve">CDM03 - MORENO 3              </t>
        </is>
      </c>
      <c r="C2086" t="inlineStr">
        <is>
          <t xml:space="preserve">GRUPO L.                      </t>
        </is>
      </c>
      <c r="D2086" s="11" t="n"/>
      <c r="E2086" t="inlineStr">
        <is>
          <t xml:space="preserve">OBR000111           </t>
        </is>
      </c>
      <c r="G2086" t="inlineStr">
        <is>
          <t xml:space="preserve">MEZ CONCRETO                       </t>
        </is>
      </c>
      <c r="H2086" t="inlineStr">
        <is>
          <t xml:space="preserve">UNIDAD              </t>
        </is>
      </c>
      <c r="I2086" t="n">
        <v>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1</v>
      </c>
      <c r="P2086" s="96">
        <f>_xlfn.XLOOKUP(Tabla5[[#This Row],[EAN CORREGIDO]],'Tabla Articulos'!B:B,'Tabla Articulos'!D:D)</f>
        <v/>
      </c>
      <c r="Q2086" s="96">
        <f>_xlfn.XLOOKUP(S2086,'Tabla Articulos'!B:B,'Tabla Articulos'!E:E)</f>
        <v/>
      </c>
      <c r="R2086" s="96">
        <f>O2086*Q2086</f>
        <v/>
      </c>
      <c r="S2086" s="97">
        <f>TRIM(E2086)</f>
        <v/>
      </c>
    </row>
    <row r="2087" hidden="1">
      <c r="A2087" s="22" t="n">
        <v>6</v>
      </c>
      <c r="B2087" t="inlineStr">
        <is>
          <t xml:space="preserve">CDM03 - MORENO 3              </t>
        </is>
      </c>
      <c r="C2087" t="inlineStr">
        <is>
          <t xml:space="preserve">GRUPO L.                      </t>
        </is>
      </c>
      <c r="E2087" t="inlineStr">
        <is>
          <t xml:space="preserve">BUSAT000140         </t>
        </is>
      </c>
      <c r="G2087" t="inlineStr">
        <is>
          <t xml:space="preserve">FARDO (EXPERIENCIA Y SABORES)      </t>
        </is>
      </c>
      <c r="H2087" t="inlineStr">
        <is>
          <t xml:space="preserve">UNIDAD              </t>
        </is>
      </c>
      <c r="I2087" t="n">
        <v>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1</v>
      </c>
      <c r="P2087" s="96">
        <f>_xlfn.XLOOKUP(Tabla5[[#This Row],[EAN CORREGIDO]],'Tabla Articulos'!B:B,'Tabla Articulos'!D:D)</f>
        <v/>
      </c>
      <c r="Q2087" s="96">
        <f>_xlfn.XLOOKUP(S2087,'Tabla Articulos'!B:B,'Tabla Articulos'!E:E)</f>
        <v/>
      </c>
      <c r="R2087" s="96">
        <f>O2087*Q2087</f>
        <v/>
      </c>
      <c r="S2087" s="97">
        <f>TRIM(E2087)</f>
        <v/>
      </c>
    </row>
    <row r="2088" hidden="1">
      <c r="A2088" s="22" t="n">
        <v>6</v>
      </c>
      <c r="B2088" t="inlineStr">
        <is>
          <t xml:space="preserve">CDM03 - MORENO 3              </t>
        </is>
      </c>
      <c r="C2088" t="inlineStr">
        <is>
          <t xml:space="preserve">GRUPO L.                      </t>
        </is>
      </c>
      <c r="E2088" t="inlineStr">
        <is>
          <t xml:space="preserve">BUSAT000060         </t>
        </is>
      </c>
      <c r="G2088" t="inlineStr">
        <is>
          <t xml:space="preserve">FLOREROS DE VIDRIOS                </t>
        </is>
      </c>
      <c r="H2088" t="inlineStr">
        <is>
          <t xml:space="preserve">UNIDAD              </t>
        </is>
      </c>
      <c r="I2088" t="n">
        <v>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2</v>
      </c>
      <c r="P2088" s="96">
        <f>_xlfn.XLOOKUP(Tabla5[[#This Row],[EAN CORREGIDO]],'Tabla Articulos'!B:B,'Tabla Articulos'!D:D)</f>
        <v/>
      </c>
      <c r="Q2088" s="96">
        <f>_xlfn.XLOOKUP(S2088,'Tabla Articulos'!B:B,'Tabla Articulos'!E:E)</f>
        <v/>
      </c>
      <c r="R2088" s="96">
        <f>O2088*Q2088</f>
        <v/>
      </c>
      <c r="S2088" s="97">
        <f>TRIM(E2088)</f>
        <v/>
      </c>
    </row>
    <row r="2089" hidden="1">
      <c r="A2089" s="22" t="n">
        <v>6</v>
      </c>
      <c r="B2089" t="inlineStr">
        <is>
          <t xml:space="preserve">CDM03 - MORENO 3              </t>
        </is>
      </c>
      <c r="C2089" t="inlineStr">
        <is>
          <t xml:space="preserve">GRUPO L.                      </t>
        </is>
      </c>
      <c r="E2089" t="inlineStr">
        <is>
          <t xml:space="preserve">BUSAT000611         </t>
        </is>
      </c>
      <c r="G2089" t="inlineStr">
        <is>
          <t xml:space="preserve">PANTALON CARGO NEGRO CAFETERIA     </t>
        </is>
      </c>
      <c r="H2089" t="inlineStr">
        <is>
          <t xml:space="preserve">UNIDAD              </t>
        </is>
      </c>
      <c r="I2089" t="n">
        <v>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2</v>
      </c>
      <c r="P2089" s="96">
        <f>_xlfn.XLOOKUP(Tabla5[[#This Row],[EAN CORREGIDO]],'Tabla Articulos'!B:B,'Tabla Articulos'!D:D)</f>
        <v/>
      </c>
      <c r="Q2089" s="96">
        <f>_xlfn.XLOOKUP(S2089,'Tabla Articulos'!B:B,'Tabla Articulos'!E:E)</f>
        <v/>
      </c>
      <c r="R2089" s="96">
        <f>O2089*Q2089</f>
        <v/>
      </c>
      <c r="S2089" s="97">
        <f>TRIM(E2089)</f>
        <v/>
      </c>
    </row>
    <row r="2090" hidden="1">
      <c r="A2090" s="22" t="n">
        <v>6</v>
      </c>
      <c r="B2090" t="inlineStr">
        <is>
          <t xml:space="preserve">CDM03 - MORENO 3              </t>
        </is>
      </c>
      <c r="C2090" t="inlineStr">
        <is>
          <t xml:space="preserve">GRUPO L.                      </t>
        </is>
      </c>
      <c r="E2090" t="inlineStr">
        <is>
          <t xml:space="preserve">BUSAT000609         </t>
        </is>
      </c>
      <c r="G2090" t="inlineStr">
        <is>
          <t xml:space="preserve">CHOMBA GRIS  MANGA C XXXL          </t>
        </is>
      </c>
      <c r="H2090" t="inlineStr">
        <is>
          <t xml:space="preserve">UNIDAD              </t>
        </is>
      </c>
      <c r="I2090" t="n">
        <v>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2</v>
      </c>
      <c r="P2090" s="96">
        <f>_xlfn.XLOOKUP(Tabla5[[#This Row],[EAN CORREGIDO]],'Tabla Articulos'!B:B,'Tabla Articulos'!D:D)</f>
        <v/>
      </c>
      <c r="Q2090" s="96">
        <f>_xlfn.XLOOKUP(S2090,'Tabla Articulos'!B:B,'Tabla Articulos'!E:E)</f>
        <v/>
      </c>
      <c r="R2090" s="96">
        <f>O2090*Q2090</f>
        <v/>
      </c>
      <c r="S2090" s="97">
        <f>TRIM(E2090)</f>
        <v/>
      </c>
    </row>
    <row r="2091" hidden="1">
      <c r="A2091" s="22" t="n">
        <v>5</v>
      </c>
      <c r="B2091" t="inlineStr">
        <is>
          <t xml:space="preserve">CDM02 - MORENO 2              </t>
        </is>
      </c>
      <c r="C2091" t="inlineStr">
        <is>
          <t xml:space="preserve">GRUPO L.                      </t>
        </is>
      </c>
      <c r="D2091" s="11" t="inlineStr">
        <is>
          <t>YERBA MATE</t>
        </is>
      </c>
      <c r="E2091" t="inlineStr">
        <is>
          <t xml:space="preserve">7790387013627       </t>
        </is>
      </c>
      <c r="F2091" t="n">
        <v>4048925</v>
      </c>
      <c r="G2091" t="inlineStr">
        <is>
          <t xml:space="preserve">YERBA MATE X500GR TARAGUI          </t>
        </is>
      </c>
      <c r="H2091" t="inlineStr">
        <is>
          <t xml:space="preserve">UNIDAD              </t>
        </is>
      </c>
      <c r="I2091" t="n">
        <v>1540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1540</v>
      </c>
      <c r="P2091" s="96">
        <f>_xlfn.XLOOKUP(Tabla5[[#This Row],[EAN CORREGIDO]],'Tabla Articulos'!B:B,'Tabla Articulos'!D:D)</f>
        <v/>
      </c>
      <c r="Q2091" s="96">
        <f>_xlfn.XLOOKUP(S2091,'Tabla Articulos'!B:B,'Tabla Articulos'!E:E)</f>
        <v/>
      </c>
      <c r="R2091" s="96">
        <f>O2091*Q2091</f>
        <v/>
      </c>
      <c r="S2091" s="97">
        <f>TRIM(E2091)</f>
        <v/>
      </c>
    </row>
    <row r="2092" hidden="1">
      <c r="A2092" s="22" t="n">
        <v>5</v>
      </c>
      <c r="B2092" t="inlineStr">
        <is>
          <t xml:space="preserve">CDM02 - MORENO 2              </t>
        </is>
      </c>
      <c r="C2092" t="inlineStr">
        <is>
          <t xml:space="preserve">GRUPO L.                      </t>
        </is>
      </c>
      <c r="D2092" t="inlineStr">
        <is>
          <t>MERMELADA DAMASCO</t>
        </is>
      </c>
      <c r="E2092" t="inlineStr">
        <is>
          <t xml:space="preserve">7798011976720       </t>
        </is>
      </c>
      <c r="F2092" t="n">
        <v>4024735</v>
      </c>
      <c r="G2092" t="inlineStr">
        <is>
          <t xml:space="preserve">MERM. DAMASCO 2G X108 ABEDUL       </t>
        </is>
      </c>
      <c r="H2092" t="inlineStr">
        <is>
          <t xml:space="preserve">UNIDAD              </t>
        </is>
      </c>
      <c r="I2092" t="n">
        <v>10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10</v>
      </c>
      <c r="P2092" s="96">
        <f>_xlfn.XLOOKUP(Tabla5[[#This Row],[EAN CORREGIDO]],'Tabla Articulos'!B:B,'Tabla Articulos'!D:D)</f>
        <v/>
      </c>
      <c r="Q2092" s="96">
        <f>_xlfn.XLOOKUP(S2092,'Tabla Articulos'!B:B,'Tabla Articulos'!E:E)</f>
        <v/>
      </c>
      <c r="R2092" s="96">
        <f>O2092*Q2092</f>
        <v/>
      </c>
      <c r="S2092" s="97">
        <f>TRIM(E2092)</f>
        <v/>
      </c>
    </row>
    <row r="2093" hidden="1">
      <c r="A2093" s="22" t="n">
        <v>6</v>
      </c>
      <c r="B2093" t="inlineStr">
        <is>
          <t xml:space="preserve">CDM03 - MORENO 3              </t>
        </is>
      </c>
      <c r="C2093" t="inlineStr">
        <is>
          <t xml:space="preserve">GRUPO L.                      </t>
        </is>
      </c>
      <c r="D2093" t="inlineStr">
        <is>
          <t>TOALLAS DE PAPEL</t>
        </is>
      </c>
      <c r="E2093" t="inlineStr">
        <is>
          <t xml:space="preserve">17790250062834      </t>
        </is>
      </c>
      <c r="F2093" t="n">
        <v>2016799</v>
      </c>
      <c r="G2093" t="inlineStr">
        <is>
          <t xml:space="preserve">TOALLA PAPEL INTERC X10U ELITE     </t>
        </is>
      </c>
      <c r="H2093" t="inlineStr">
        <is>
          <t xml:space="preserve">UNIDAD              </t>
        </is>
      </c>
      <c r="I2093" t="n">
        <v>0</v>
      </c>
      <c r="J2093" t="n">
        <v>481</v>
      </c>
      <c r="K2093" t="n">
        <v>0</v>
      </c>
      <c r="L2093" t="n">
        <v>0</v>
      </c>
      <c r="M2093" t="n">
        <v>0</v>
      </c>
      <c r="N2093" t="n">
        <v>0</v>
      </c>
      <c r="O2093" t="n">
        <v>481</v>
      </c>
      <c r="P2093" s="96">
        <f>_xlfn.XLOOKUP(Tabla5[[#This Row],[EAN CORREGIDO]],'Tabla Articulos'!B:B,'Tabla Articulos'!D:D)</f>
        <v/>
      </c>
      <c r="Q2093" s="96">
        <f>_xlfn.XLOOKUP(S2093,'Tabla Articulos'!B:B,'Tabla Articulos'!E:E)</f>
        <v/>
      </c>
      <c r="R2093" s="96">
        <f>O2093*Q2093</f>
        <v/>
      </c>
      <c r="S2093" s="97">
        <f>TRIM(E2093)</f>
        <v/>
      </c>
    </row>
    <row r="2094" hidden="1">
      <c r="A2094" s="22" t="n">
        <v>6</v>
      </c>
      <c r="B2094" t="inlineStr">
        <is>
          <t xml:space="preserve">CDM03 - MORENO 3              </t>
        </is>
      </c>
      <c r="C2094" t="inlineStr">
        <is>
          <t xml:space="preserve">GRUPO L.                      </t>
        </is>
      </c>
      <c r="E2094" t="inlineStr">
        <is>
          <t xml:space="preserve">UNIF000137          </t>
        </is>
      </c>
      <c r="F2094" t="n">
        <v>9003329</v>
      </c>
      <c r="G2094" t="inlineStr">
        <is>
          <t xml:space="preserve">BUZO FRIZA GRIS TALLE 3XL          </t>
        </is>
      </c>
      <c r="H2094" t="inlineStr">
        <is>
          <t xml:space="preserve">UNIDAD              </t>
        </is>
      </c>
      <c r="I2094" t="n">
        <v>42</v>
      </c>
      <c r="J2094" t="n">
        <v>30</v>
      </c>
      <c r="K2094" t="n">
        <v>0</v>
      </c>
      <c r="L2094" t="n">
        <v>0</v>
      </c>
      <c r="M2094" t="n">
        <v>0</v>
      </c>
      <c r="N2094" t="n">
        <v>0</v>
      </c>
      <c r="O2094" t="n">
        <v>72</v>
      </c>
      <c r="P2094" s="96">
        <f>_xlfn.XLOOKUP(Tabla5[[#This Row],[EAN CORREGIDO]],'Tabla Articulos'!B:B,'Tabla Articulos'!D:D)</f>
        <v/>
      </c>
      <c r="Q2094" s="96">
        <f>_xlfn.XLOOKUP(S2094,'Tabla Articulos'!B:B,'Tabla Articulos'!E:E)</f>
        <v/>
      </c>
      <c r="R2094" s="96">
        <f>O2094*Q2094</f>
        <v/>
      </c>
      <c r="S2094" s="97">
        <f>TRIM(E2094)</f>
        <v/>
      </c>
    </row>
    <row r="2095" hidden="1">
      <c r="A2095" s="22" t="n">
        <v>6</v>
      </c>
      <c r="B2095" t="inlineStr">
        <is>
          <t xml:space="preserve">CDM03 - MORENO 3              </t>
        </is>
      </c>
      <c r="C2095" t="inlineStr">
        <is>
          <t xml:space="preserve">GRUPO L.                      </t>
        </is>
      </c>
      <c r="E2095" t="inlineStr">
        <is>
          <t xml:space="preserve">7790000000663       </t>
        </is>
      </c>
      <c r="F2095" t="n">
        <v>2011418</v>
      </c>
      <c r="G2095" t="inlineStr">
        <is>
          <t xml:space="preserve">MOPA MICROFIBRA 80 CM XU           </t>
        </is>
      </c>
      <c r="H2095" t="inlineStr">
        <is>
          <t xml:space="preserve">UNIDAD              </t>
        </is>
      </c>
      <c r="I2095" t="n">
        <v>143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143</v>
      </c>
      <c r="P2095" s="96">
        <f>_xlfn.XLOOKUP(Tabla5[[#This Row],[EAN CORREGIDO]],'Tabla Articulos'!B:B,'Tabla Articulos'!D:D)</f>
        <v/>
      </c>
      <c r="Q2095" s="96">
        <f>_xlfn.XLOOKUP(S2095,'Tabla Articulos'!B:B,'Tabla Articulos'!E:E)</f>
        <v/>
      </c>
      <c r="R2095" s="96">
        <f>O2095*Q2095</f>
        <v/>
      </c>
      <c r="S2095" s="97">
        <f>TRIM(E2095)</f>
        <v/>
      </c>
    </row>
    <row r="2096" hidden="1">
      <c r="A2096" s="22" t="n">
        <v>6</v>
      </c>
      <c r="B2096" t="inlineStr">
        <is>
          <t xml:space="preserve">CDM03 - MORENO 3              </t>
        </is>
      </c>
      <c r="C2096" t="inlineStr">
        <is>
          <t xml:space="preserve">GRUPO L.                      </t>
        </is>
      </c>
      <c r="E2096" t="inlineStr">
        <is>
          <t xml:space="preserve">100ND39             </t>
        </is>
      </c>
      <c r="F2096" t="n">
        <v>9004406</v>
      </c>
      <c r="G2096" t="inlineStr">
        <is>
          <t xml:space="preserve">GL ZAPATO SEG. NEG. 39 GAMAX       </t>
        </is>
      </c>
      <c r="H2096" t="inlineStr">
        <is>
          <t xml:space="preserve">UNIDAD              </t>
        </is>
      </c>
      <c r="I2096" t="n">
        <v>0</v>
      </c>
      <c r="J2096" t="n">
        <v>50</v>
      </c>
      <c r="K2096" t="n">
        <v>0</v>
      </c>
      <c r="L2096" t="n">
        <v>21</v>
      </c>
      <c r="M2096" t="n">
        <v>21</v>
      </c>
      <c r="N2096" t="n">
        <v>0</v>
      </c>
      <c r="O2096" t="n">
        <v>8</v>
      </c>
      <c r="P2096" s="96">
        <f>_xlfn.XLOOKUP(Tabla5[[#This Row],[EAN CORREGIDO]],'Tabla Articulos'!B:B,'Tabla Articulos'!D:D)</f>
        <v/>
      </c>
      <c r="Q2096" s="96">
        <f>_xlfn.XLOOKUP(S2096,'Tabla Articulos'!B:B,'Tabla Articulos'!E:E)</f>
        <v/>
      </c>
      <c r="R2096" s="96">
        <f>O2096*Q2096</f>
        <v/>
      </c>
      <c r="S2096" s="97">
        <f>TRIM(E2096)</f>
        <v/>
      </c>
    </row>
    <row r="2097" hidden="1">
      <c r="A2097" s="22" t="n">
        <v>6</v>
      </c>
      <c r="B2097" t="inlineStr">
        <is>
          <t xml:space="preserve">CDM03 - MORENO 3              </t>
        </is>
      </c>
      <c r="C2097" t="inlineStr">
        <is>
          <t xml:space="preserve">GRUPO L.                      </t>
        </is>
      </c>
      <c r="D2097" t="inlineStr">
        <is>
          <t>LUSTRAMUEBLE</t>
        </is>
      </c>
      <c r="E2097" t="inlineStr">
        <is>
          <t xml:space="preserve">7790520028747       </t>
        </is>
      </c>
      <c r="F2097" t="n">
        <v>2006627</v>
      </c>
      <c r="G2097" t="inlineStr">
        <is>
          <t xml:space="preserve">LUSTRAMUEBLE BLEM CLASICO XU       </t>
        </is>
      </c>
      <c r="H2097" t="inlineStr">
        <is>
          <t xml:space="preserve">UNIDAD              </t>
        </is>
      </c>
      <c r="I2097" t="n">
        <v>339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339</v>
      </c>
      <c r="P2097" s="96">
        <f>_xlfn.XLOOKUP(Tabla5[[#This Row],[EAN CORREGIDO]],'Tabla Articulos'!B:B,'Tabla Articulos'!D:D)</f>
        <v/>
      </c>
      <c r="Q2097" s="96">
        <f>_xlfn.XLOOKUP(S2097,'Tabla Articulos'!B:B,'Tabla Articulos'!E:E)</f>
        <v/>
      </c>
      <c r="R2097" s="96">
        <f>O2097*Q2097</f>
        <v/>
      </c>
      <c r="S2097" s="97">
        <f>TRIM(E2097)</f>
        <v/>
      </c>
    </row>
    <row r="2098" hidden="1">
      <c r="A2098" s="22" t="n">
        <v>1</v>
      </c>
      <c r="B2098" t="inlineStr">
        <is>
          <t xml:space="preserve">CD MORENO                     </t>
        </is>
      </c>
      <c r="C2098" t="inlineStr">
        <is>
          <t xml:space="preserve">GRUPO L.                      </t>
        </is>
      </c>
      <c r="D2098" t="inlineStr">
        <is>
          <t>LECHE POLVO DESCREMADA</t>
        </is>
      </c>
      <c r="E2098" t="inlineStr">
        <is>
          <t xml:space="preserve">7790787201303       </t>
        </is>
      </c>
      <c r="F2098" t="n">
        <v>4023151</v>
      </c>
      <c r="G2098" t="inlineStr">
        <is>
          <t xml:space="preserve">LECHE POLVO DESC 800G ILOLAY       </t>
        </is>
      </c>
      <c r="H2098" t="inlineStr">
        <is>
          <t xml:space="preserve">UNIDAD              </t>
        </is>
      </c>
      <c r="I2098" t="n">
        <v>3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3</v>
      </c>
      <c r="P2098" s="96">
        <f>_xlfn.XLOOKUP(Tabla5[[#This Row],[EAN CORREGIDO]],'Tabla Articulos'!B:B,'Tabla Articulos'!D:D)</f>
        <v/>
      </c>
      <c r="Q2098" s="96">
        <f>_xlfn.XLOOKUP(S2098,'Tabla Articulos'!B:B,'Tabla Articulos'!E:E)</f>
        <v/>
      </c>
      <c r="R2098" s="96">
        <f>O2098*Q2098</f>
        <v/>
      </c>
      <c r="S2098" s="97">
        <f>TRIM(E2098)</f>
        <v/>
      </c>
    </row>
    <row r="2099" hidden="1">
      <c r="A2099" s="22" t="n">
        <v>5</v>
      </c>
      <c r="B2099" t="inlineStr">
        <is>
          <t xml:space="preserve">CDM02 - MORENO 2              </t>
        </is>
      </c>
      <c r="C2099" t="inlineStr">
        <is>
          <t xml:space="preserve">GRUPO L.                      </t>
        </is>
      </c>
      <c r="D2099" s="11" t="inlineStr">
        <is>
          <t>LECHE POLVO DESCREMADA</t>
        </is>
      </c>
      <c r="E2099" t="inlineStr">
        <is>
          <t xml:space="preserve">7790787201303       </t>
        </is>
      </c>
      <c r="F2099" t="n">
        <v>4023151</v>
      </c>
      <c r="G2099" t="inlineStr">
        <is>
          <t xml:space="preserve">LECHE POLVO DESC 800G ILOLAY       </t>
        </is>
      </c>
      <c r="H2099" t="inlineStr">
        <is>
          <t xml:space="preserve">UNIDAD              </t>
        </is>
      </c>
      <c r="I2099" t="n">
        <v>60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60</v>
      </c>
      <c r="P2099" s="96">
        <f>_xlfn.XLOOKUP(Tabla5[[#This Row],[EAN CORREGIDO]],'Tabla Articulos'!B:B,'Tabla Articulos'!D:D)</f>
        <v/>
      </c>
      <c r="Q2099" s="96">
        <f>_xlfn.XLOOKUP(S2099,'Tabla Articulos'!B:B,'Tabla Articulos'!E:E)</f>
        <v/>
      </c>
      <c r="R2099" s="96">
        <f>O2099*Q2099</f>
        <v/>
      </c>
      <c r="S2099" s="97">
        <f>TRIM(E2099)</f>
        <v/>
      </c>
    </row>
    <row r="2100" hidden="1">
      <c r="A2100" s="22" t="n">
        <v>6</v>
      </c>
      <c r="B2100" t="inlineStr">
        <is>
          <t xml:space="preserve">CDM03 - MORENO 3              </t>
        </is>
      </c>
      <c r="C2100" t="inlineStr">
        <is>
          <t xml:space="preserve">GRUPO L.                      </t>
        </is>
      </c>
      <c r="D2100" s="11" t="n"/>
      <c r="E2100" t="inlineStr">
        <is>
          <t xml:space="preserve">BAZ001176           </t>
        </is>
      </c>
      <c r="F2100" t="n">
        <v>9003823</v>
      </c>
      <c r="G2100" t="inlineStr">
        <is>
          <t xml:space="preserve">RECIPI+TAPA POLIPR 26L465X325X20   </t>
        </is>
      </c>
      <c r="H2100" t="inlineStr">
        <is>
          <t xml:space="preserve">UNIDAD              </t>
        </is>
      </c>
      <c r="I2100" t="n">
        <v>55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55</v>
      </c>
      <c r="P2100" s="96">
        <f>_xlfn.XLOOKUP(Tabla5[[#This Row],[EAN CORREGIDO]],'Tabla Articulos'!B:B,'Tabla Articulos'!D:D)</f>
        <v/>
      </c>
      <c r="Q2100" s="96">
        <f>_xlfn.XLOOKUP(S2100,'Tabla Articulos'!B:B,'Tabla Articulos'!E:E)</f>
        <v/>
      </c>
      <c r="R2100" s="96">
        <f>O2100*Q2100</f>
        <v/>
      </c>
      <c r="S2100" s="97">
        <f>TRIM(E2100)</f>
        <v/>
      </c>
    </row>
    <row r="2101" hidden="1">
      <c r="A2101" s="22" t="n">
        <v>6</v>
      </c>
      <c r="B2101" t="inlineStr">
        <is>
          <t xml:space="preserve">CDM03 - MORENO 3              </t>
        </is>
      </c>
      <c r="C2101" t="inlineStr">
        <is>
          <t xml:space="preserve">GRUPO L.                      </t>
        </is>
      </c>
      <c r="D2101" s="11" t="n"/>
      <c r="E2101" t="inlineStr">
        <is>
          <t xml:space="preserve">UNIF000578          </t>
        </is>
      </c>
      <c r="F2101" t="n">
        <v>9003116</v>
      </c>
      <c r="G2101" t="inlineStr">
        <is>
          <t xml:space="preserve">CAMISA GRIS T54                    </t>
        </is>
      </c>
      <c r="H2101" t="inlineStr">
        <is>
          <t xml:space="preserve">UNIDAD              </t>
        </is>
      </c>
      <c r="I2101" t="n">
        <v>14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14</v>
      </c>
      <c r="P2101" s="96">
        <f>_xlfn.XLOOKUP(Tabla5[[#This Row],[EAN CORREGIDO]],'Tabla Articulos'!B:B,'Tabla Articulos'!D:D)</f>
        <v/>
      </c>
      <c r="Q2101" s="96">
        <f>_xlfn.XLOOKUP(S2101,'Tabla Articulos'!B:B,'Tabla Articulos'!E:E)</f>
        <v/>
      </c>
      <c r="R2101" s="96">
        <f>O2101*Q2101</f>
        <v/>
      </c>
      <c r="S2101" s="97">
        <f>TRIM(E2101)</f>
        <v/>
      </c>
    </row>
    <row r="2102" hidden="1">
      <c r="A2102" s="22" t="n">
        <v>6</v>
      </c>
      <c r="B2102" t="inlineStr">
        <is>
          <t xml:space="preserve">CDM03 - MORENO 3              </t>
        </is>
      </c>
      <c r="C2102" t="inlineStr">
        <is>
          <t xml:space="preserve">GRUPO L.                      </t>
        </is>
      </c>
      <c r="D2102" s="11" t="inlineStr">
        <is>
          <t>ENSALADERA CRISTAL</t>
        </is>
      </c>
      <c r="E2102" t="inlineStr">
        <is>
          <t xml:space="preserve">7790321130874       </t>
        </is>
      </c>
      <c r="F2102" t="n">
        <v>2006796</v>
      </c>
      <c r="G2102" t="inlineStr">
        <is>
          <t xml:space="preserve">ENS CRISTAL BASE X100U PLASTIV	    </t>
        </is>
      </c>
      <c r="H2102" t="inlineStr">
        <is>
          <t xml:space="preserve">UNIDAD              </t>
        </is>
      </c>
      <c r="I2102" t="n">
        <v>65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65</v>
      </c>
      <c r="P2102" s="96">
        <f>_xlfn.XLOOKUP(Tabla5[[#This Row],[EAN CORREGIDO]],'Tabla Articulos'!B:B,'Tabla Articulos'!D:D)</f>
        <v/>
      </c>
      <c r="Q2102" s="96">
        <f>_xlfn.XLOOKUP(S2102,'Tabla Articulos'!B:B,'Tabla Articulos'!E:E)</f>
        <v/>
      </c>
      <c r="R2102" s="96">
        <f>O2102*Q2102</f>
        <v/>
      </c>
      <c r="S2102" s="97">
        <f>TRIM(E2102)</f>
        <v/>
      </c>
    </row>
    <row r="2103" hidden="1">
      <c r="A2103" s="22" t="n">
        <v>6</v>
      </c>
      <c r="B2103" t="inlineStr">
        <is>
          <t xml:space="preserve">CDM03 - MORENO 3              </t>
        </is>
      </c>
      <c r="C2103" t="inlineStr">
        <is>
          <t xml:space="preserve">GRUPO L.                      </t>
        </is>
      </c>
      <c r="E2103" t="inlineStr">
        <is>
          <t xml:space="preserve">BUM307              </t>
        </is>
      </c>
      <c r="F2103" t="n">
        <v>1000135</v>
      </c>
      <c r="G2103" t="inlineStr">
        <is>
          <t xml:space="preserve">CAJAS DE LUZ                       </t>
        </is>
      </c>
      <c r="H2103" t="inlineStr">
        <is>
          <t xml:space="preserve">BULTOS              </t>
        </is>
      </c>
      <c r="I2103" t="n">
        <v>68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68</v>
      </c>
      <c r="P2103" s="96">
        <f>_xlfn.XLOOKUP(Tabla5[[#This Row],[EAN CORREGIDO]],'Tabla Articulos'!B:B,'Tabla Articulos'!D:D)</f>
        <v/>
      </c>
      <c r="Q2103" s="96">
        <f>_xlfn.XLOOKUP(S2103,'Tabla Articulos'!B:B,'Tabla Articulos'!E:E)</f>
        <v/>
      </c>
      <c r="R2103" s="96">
        <f>O2103*Q2103</f>
        <v/>
      </c>
      <c r="S2103" s="97">
        <f>TRIM(E2103)</f>
        <v/>
      </c>
    </row>
    <row r="2104" hidden="1">
      <c r="A2104" s="22" t="n">
        <v>6</v>
      </c>
      <c r="B2104" t="inlineStr">
        <is>
          <t xml:space="preserve">CDM03 - MORENO 3              </t>
        </is>
      </c>
      <c r="C2104" t="inlineStr">
        <is>
          <t xml:space="preserve">GRUPO L.                      </t>
        </is>
      </c>
      <c r="E2104" t="inlineStr">
        <is>
          <t xml:space="preserve">UNIF000425          </t>
        </is>
      </c>
      <c r="F2104" t="n">
        <v>9003268</v>
      </c>
      <c r="G2104" t="inlineStr">
        <is>
          <t xml:space="preserve">CAMISA GRAFA-AZUL MARINO 54 ELEV   </t>
        </is>
      </c>
      <c r="H2104" t="inlineStr">
        <is>
          <t xml:space="preserve">UNIDAD              </t>
        </is>
      </c>
      <c r="I2104" t="n">
        <v>86</v>
      </c>
      <c r="J2104" t="n">
        <v>20</v>
      </c>
      <c r="K2104" t="n">
        <v>0</v>
      </c>
      <c r="L2104" t="n">
        <v>2</v>
      </c>
      <c r="M2104" t="n">
        <v>2</v>
      </c>
      <c r="N2104" t="n">
        <v>0</v>
      </c>
      <c r="O2104" t="n">
        <v>102</v>
      </c>
      <c r="P2104" s="96">
        <f>_xlfn.XLOOKUP(Tabla5[[#This Row],[EAN CORREGIDO]],'Tabla Articulos'!B:B,'Tabla Articulos'!D:D)</f>
        <v/>
      </c>
      <c r="Q2104" s="96">
        <f>_xlfn.XLOOKUP(S2104,'Tabla Articulos'!B:B,'Tabla Articulos'!E:E)</f>
        <v/>
      </c>
      <c r="R2104" s="96">
        <f>O2104*Q2104</f>
        <v/>
      </c>
      <c r="S2104" s="97">
        <f>TRIM(E2104)</f>
        <v/>
      </c>
    </row>
    <row r="2105" hidden="1">
      <c r="A2105" s="22" t="n">
        <v>1</v>
      </c>
      <c r="B2105" t="inlineStr">
        <is>
          <t xml:space="preserve">CD MORENO                     </t>
        </is>
      </c>
      <c r="C2105" t="inlineStr">
        <is>
          <t xml:space="preserve">GRUPO L.                      </t>
        </is>
      </c>
      <c r="D2105" t="inlineStr">
        <is>
          <t>CACAO</t>
        </is>
      </c>
      <c r="E2105" t="inlineStr">
        <is>
          <t xml:space="preserve">7790530085303       </t>
        </is>
      </c>
      <c r="F2105" t="n">
        <v>4019384</v>
      </c>
      <c r="G2105" t="inlineStr">
        <is>
          <t xml:space="preserve">CACAO X 180 GRS BEDIAL             </t>
        </is>
      </c>
      <c r="H2105" t="inlineStr">
        <is>
          <t xml:space="preserve">UNIDAD              </t>
        </is>
      </c>
      <c r="I2105" t="n">
        <v>3156</v>
      </c>
      <c r="J2105" t="n">
        <v>3200</v>
      </c>
      <c r="K2105" t="n">
        <v>0</v>
      </c>
      <c r="L2105" t="n">
        <v>620</v>
      </c>
      <c r="M2105" t="n">
        <v>620</v>
      </c>
      <c r="N2105" t="n">
        <v>0</v>
      </c>
      <c r="O2105" t="n">
        <v>5116</v>
      </c>
      <c r="P2105" s="96">
        <f>_xlfn.XLOOKUP(Tabla5[[#This Row],[EAN CORREGIDO]],'Tabla Articulos'!B:B,'Tabla Articulos'!D:D)</f>
        <v/>
      </c>
      <c r="Q2105" s="96">
        <f>_xlfn.XLOOKUP(S2105,'Tabla Articulos'!B:B,'Tabla Articulos'!E:E)</f>
        <v/>
      </c>
      <c r="R2105" s="96">
        <f>O2105*Q2105</f>
        <v/>
      </c>
      <c r="S2105" s="97">
        <f>TRIM(E2105)</f>
        <v/>
      </c>
    </row>
    <row r="2106" hidden="1">
      <c r="A2106" s="22" t="n">
        <v>1</v>
      </c>
      <c r="B2106" t="inlineStr">
        <is>
          <t xml:space="preserve">CD MORENO                     </t>
        </is>
      </c>
      <c r="C2106" t="inlineStr">
        <is>
          <t xml:space="preserve">GRUPO L.                      </t>
        </is>
      </c>
      <c r="D2106" t="inlineStr">
        <is>
          <t>CARNE ENTERA</t>
        </is>
      </c>
      <c r="E2106" t="inlineStr">
        <is>
          <t xml:space="preserve">00213902645824      </t>
        </is>
      </c>
      <c r="F2106" t="n">
        <v>4076854</v>
      </c>
      <c r="G2106" t="inlineStr">
        <is>
          <t xml:space="preserve">PECHO PORCION ENV VAC XKG          </t>
        </is>
      </c>
      <c r="H2106" t="inlineStr">
        <is>
          <t xml:space="preserve">Kgs                 </t>
        </is>
      </c>
      <c r="I2106" t="n">
        <v>42.64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42.64</v>
      </c>
      <c r="P2106" s="96">
        <f>_xlfn.XLOOKUP(Tabla5[[#This Row],[EAN CORREGIDO]],'Tabla Articulos'!B:B,'Tabla Articulos'!D:D)</f>
        <v/>
      </c>
      <c r="Q2106" s="96">
        <f>_xlfn.XLOOKUP(S2106,'Tabla Articulos'!B:B,'Tabla Articulos'!E:E)</f>
        <v/>
      </c>
      <c r="R2106" s="96">
        <f>O2106*Q2106</f>
        <v/>
      </c>
      <c r="S2106" s="97">
        <f>TRIM(E2106)</f>
        <v/>
      </c>
    </row>
    <row r="2107" hidden="1">
      <c r="A2107" s="22" t="n">
        <v>6</v>
      </c>
      <c r="B2107" t="inlineStr">
        <is>
          <t xml:space="preserve">CDM03 - MORENO 3              </t>
        </is>
      </c>
      <c r="C2107" t="inlineStr">
        <is>
          <t xml:space="preserve">GRUPO L.                      </t>
        </is>
      </c>
      <c r="D2107" s="11" t="inlineStr">
        <is>
          <t>DESODORANTE DE PISO</t>
        </is>
      </c>
      <c r="E2107" t="inlineStr">
        <is>
          <t xml:space="preserve">7798188650461       </t>
        </is>
      </c>
      <c r="F2107" t="n">
        <v>2006195</v>
      </c>
      <c r="G2107" t="inlineStr">
        <is>
          <t xml:space="preserve">DESODORANTE P/PISO PINO X5L THAME  </t>
        </is>
      </c>
      <c r="H2107" t="inlineStr">
        <is>
          <t xml:space="preserve">UNIDAD              </t>
        </is>
      </c>
      <c r="I2107" t="n">
        <v>654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654</v>
      </c>
      <c r="P2107" s="96">
        <f>_xlfn.XLOOKUP(Tabla5[[#This Row],[EAN CORREGIDO]],'Tabla Articulos'!B:B,'Tabla Articulos'!D:D)</f>
        <v/>
      </c>
      <c r="Q2107" s="96">
        <f>_xlfn.XLOOKUP(S2107,'Tabla Articulos'!B:B,'Tabla Articulos'!E:E)</f>
        <v/>
      </c>
      <c r="R2107" s="96">
        <f>O2107*Q2107</f>
        <v/>
      </c>
      <c r="S2107" s="97">
        <f>TRIM(E2107)</f>
        <v/>
      </c>
    </row>
    <row r="2108" hidden="1">
      <c r="A2108" s="22" t="n">
        <v>6</v>
      </c>
      <c r="B2108" t="inlineStr">
        <is>
          <t xml:space="preserve">CDM03 - MORENO 3              </t>
        </is>
      </c>
      <c r="C2108" t="inlineStr">
        <is>
          <t xml:space="preserve">GRUPO L.                      </t>
        </is>
      </c>
      <c r="E2108" t="inlineStr">
        <is>
          <t xml:space="preserve">UNIF000034          </t>
        </is>
      </c>
      <c r="F2108" t="n">
        <v>9003281</v>
      </c>
      <c r="G2108" t="inlineStr">
        <is>
          <t xml:space="preserve">BUZO AZUL MARINO GRUPO L L         </t>
        </is>
      </c>
      <c r="H2108" t="inlineStr">
        <is>
          <t xml:space="preserve">UNIDAD              </t>
        </is>
      </c>
      <c r="I2108" t="n">
        <v>0</v>
      </c>
      <c r="J2108" t="n">
        <v>270</v>
      </c>
      <c r="K2108" t="n">
        <v>0</v>
      </c>
      <c r="L2108" t="n">
        <v>0</v>
      </c>
      <c r="M2108" t="n">
        <v>0</v>
      </c>
      <c r="N2108" t="n">
        <v>0</v>
      </c>
      <c r="O2108" t="n">
        <v>270</v>
      </c>
      <c r="P2108" s="96">
        <f>_xlfn.XLOOKUP(Tabla5[[#This Row],[EAN CORREGIDO]],'Tabla Articulos'!B:B,'Tabla Articulos'!D:D)</f>
        <v/>
      </c>
      <c r="Q2108" s="96">
        <f>_xlfn.XLOOKUP(S2108,'Tabla Articulos'!B:B,'Tabla Articulos'!E:E)</f>
        <v/>
      </c>
      <c r="R2108" s="96">
        <f>O2108*Q2108</f>
        <v/>
      </c>
      <c r="S2108" s="97">
        <f>TRIM(E2108)</f>
        <v/>
      </c>
    </row>
    <row r="2109" hidden="1">
      <c r="A2109" s="22" t="n">
        <v>6</v>
      </c>
      <c r="B2109" t="inlineStr">
        <is>
          <t xml:space="preserve">CDM03 - MORENO 3              </t>
        </is>
      </c>
      <c r="C2109" t="inlineStr">
        <is>
          <t xml:space="preserve">GRUPO L.                      </t>
        </is>
      </c>
      <c r="D2109" s="11" t="inlineStr">
        <is>
          <t>SECADORES PISO</t>
        </is>
      </c>
      <c r="E2109" t="inlineStr">
        <is>
          <t xml:space="preserve">7792066003547       </t>
        </is>
      </c>
      <c r="F2109" t="n">
        <v>2007297</v>
      </c>
      <c r="G2109" t="inlineStr">
        <is>
          <t xml:space="preserve">SECADOR PISO BCO X50CM DILON       </t>
        </is>
      </c>
      <c r="H2109" t="inlineStr">
        <is>
          <t xml:space="preserve">UNIDAD              </t>
        </is>
      </c>
      <c r="I2109" t="n">
        <v>265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265</v>
      </c>
      <c r="P2109" s="96">
        <f>_xlfn.XLOOKUP(Tabla5[[#This Row],[EAN CORREGIDO]],'Tabla Articulos'!B:B,'Tabla Articulos'!D:D)</f>
        <v/>
      </c>
      <c r="Q2109" s="96">
        <f>_xlfn.XLOOKUP(S2109,'Tabla Articulos'!B:B,'Tabla Articulos'!E:E)</f>
        <v/>
      </c>
      <c r="R2109" s="96">
        <f>O2109*Q2109</f>
        <v/>
      </c>
      <c r="S2109" s="97">
        <f>TRIM(E2109)</f>
        <v/>
      </c>
    </row>
    <row r="2110" hidden="1">
      <c r="A2110" s="22" t="n">
        <v>1</v>
      </c>
      <c r="B2110" t="inlineStr">
        <is>
          <t xml:space="preserve">CD MORENO                     </t>
        </is>
      </c>
      <c r="C2110" t="inlineStr">
        <is>
          <t xml:space="preserve">GRUPO L.                      </t>
        </is>
      </c>
      <c r="D2110" t="inlineStr">
        <is>
          <t>GUISO LENTEJAS</t>
        </is>
      </c>
      <c r="E2110" t="inlineStr">
        <is>
          <t xml:space="preserve">7798156760987       </t>
        </is>
      </c>
      <c r="F2110" t="n">
        <v>4020532</v>
      </c>
      <c r="G2110" t="inlineStr">
        <is>
          <t>GUISO LENTEJAS X500GR SABORES DEL V</t>
        </is>
      </c>
      <c r="H2110" t="inlineStr">
        <is>
          <t xml:space="preserve">UNIDAD              </t>
        </is>
      </c>
      <c r="I2110" t="n">
        <v>360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360</v>
      </c>
      <c r="P2110" s="96">
        <f>_xlfn.XLOOKUP(Tabla5[[#This Row],[EAN CORREGIDO]],'Tabla Articulos'!B:B,'Tabla Articulos'!D:D)</f>
        <v/>
      </c>
      <c r="Q2110" s="96">
        <f>_xlfn.XLOOKUP(S2110,'Tabla Articulos'!B:B,'Tabla Articulos'!E:E)</f>
        <v/>
      </c>
      <c r="R2110" s="96">
        <f>O2110*Q2110</f>
        <v/>
      </c>
      <c r="S2110" s="97">
        <f>TRIM(E2110)</f>
        <v/>
      </c>
    </row>
    <row r="2111" hidden="1">
      <c r="A2111" s="22" t="n">
        <v>1</v>
      </c>
      <c r="B2111" t="inlineStr">
        <is>
          <t xml:space="preserve">CD MORENO                     </t>
        </is>
      </c>
      <c r="C2111" t="inlineStr">
        <is>
          <t xml:space="preserve">GRUPO L.                      </t>
        </is>
      </c>
      <c r="D2111" t="inlineStr">
        <is>
          <t>SAL GRUESA</t>
        </is>
      </c>
      <c r="E2111" t="inlineStr">
        <is>
          <t xml:space="preserve">7792900092720       </t>
        </is>
      </c>
      <c r="F2111" t="n">
        <v>4020612</v>
      </c>
      <c r="G2111" t="inlineStr">
        <is>
          <t xml:space="preserve">SAL GRUESA X 1 KG 2 ESTRELLAS      </t>
        </is>
      </c>
      <c r="H2111" t="inlineStr">
        <is>
          <t xml:space="preserve">UNIDAD              </t>
        </is>
      </c>
      <c r="I2111" t="n">
        <v>28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28</v>
      </c>
      <c r="P2111" s="96">
        <f>_xlfn.XLOOKUP(Tabla5[[#This Row],[EAN CORREGIDO]],'Tabla Articulos'!B:B,'Tabla Articulos'!D:D)</f>
        <v/>
      </c>
      <c r="Q2111" s="96">
        <f>_xlfn.XLOOKUP(S2111,'Tabla Articulos'!B:B,'Tabla Articulos'!E:E)</f>
        <v/>
      </c>
      <c r="R2111" s="96">
        <f>O2111*Q2111</f>
        <v/>
      </c>
      <c r="S2111" s="97">
        <f>TRIM(E2111)</f>
        <v/>
      </c>
    </row>
    <row r="2112" hidden="1">
      <c r="A2112" s="22" t="n">
        <v>6</v>
      </c>
      <c r="B2112" t="inlineStr">
        <is>
          <t xml:space="preserve">CDM03 - MORENO 3              </t>
        </is>
      </c>
      <c r="C2112" t="inlineStr">
        <is>
          <t xml:space="preserve">GRUPO L.                      </t>
        </is>
      </c>
      <c r="E2112" t="inlineStr">
        <is>
          <t xml:space="preserve">UNIF000134          </t>
        </is>
      </c>
      <c r="F2112" t="n">
        <v>9003326</v>
      </c>
      <c r="G2112" t="inlineStr">
        <is>
          <t xml:space="preserve">BUZO GRIS FRISA GL SUPPORT L       </t>
        </is>
      </c>
      <c r="H2112" t="inlineStr">
        <is>
          <t xml:space="preserve">UNIDAD              </t>
        </is>
      </c>
      <c r="I2112" t="n">
        <v>244</v>
      </c>
      <c r="J2112" t="n">
        <v>100</v>
      </c>
      <c r="K2112" t="n">
        <v>0</v>
      </c>
      <c r="L2112" t="n">
        <v>0</v>
      </c>
      <c r="M2112" t="n">
        <v>0</v>
      </c>
      <c r="N2112" t="n">
        <v>0</v>
      </c>
      <c r="O2112" t="n">
        <v>344</v>
      </c>
      <c r="P2112" s="96">
        <f>_xlfn.XLOOKUP(Tabla5[[#This Row],[EAN CORREGIDO]],'Tabla Articulos'!B:B,'Tabla Articulos'!D:D)</f>
        <v/>
      </c>
      <c r="Q2112" s="96">
        <f>_xlfn.XLOOKUP(S2112,'Tabla Articulos'!B:B,'Tabla Articulos'!E:E)</f>
        <v/>
      </c>
      <c r="R2112" s="96">
        <f>O2112*Q2112</f>
        <v/>
      </c>
      <c r="S2112" s="97">
        <f>TRIM(E2112)</f>
        <v/>
      </c>
    </row>
    <row r="2113" hidden="1">
      <c r="A2113" s="22" t="n">
        <v>6</v>
      </c>
      <c r="B2113" t="inlineStr">
        <is>
          <t xml:space="preserve">CDM03 - MORENO 3              </t>
        </is>
      </c>
      <c r="C2113" t="inlineStr">
        <is>
          <t xml:space="preserve">GRUPO L.                      </t>
        </is>
      </c>
      <c r="E2113" t="inlineStr">
        <is>
          <t xml:space="preserve">UNIF000300          </t>
        </is>
      </c>
      <c r="F2113" t="n">
        <v>9003174</v>
      </c>
      <c r="G2113" t="inlineStr">
        <is>
          <t xml:space="preserve">REMERA VERDE M CR GL SUP LIMP S    </t>
        </is>
      </c>
      <c r="H2113" t="inlineStr">
        <is>
          <t xml:space="preserve">UNIDAD              </t>
        </is>
      </c>
      <c r="I2113" t="n">
        <v>17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17</v>
      </c>
      <c r="P2113" s="96">
        <f>_xlfn.XLOOKUP(Tabla5[[#This Row],[EAN CORREGIDO]],'Tabla Articulos'!B:B,'Tabla Articulos'!D:D)</f>
        <v/>
      </c>
      <c r="Q2113" s="96">
        <f>_xlfn.XLOOKUP(S2113,'Tabla Articulos'!B:B,'Tabla Articulos'!E:E)</f>
        <v/>
      </c>
      <c r="R2113" s="96">
        <f>O2113*Q2113</f>
        <v/>
      </c>
      <c r="S2113" s="97">
        <f>TRIM(E2113)</f>
        <v/>
      </c>
    </row>
    <row r="2114" hidden="1">
      <c r="A2114" s="22" t="n">
        <v>1</v>
      </c>
      <c r="B2114" t="inlineStr">
        <is>
          <t xml:space="preserve">CD MORENO                     </t>
        </is>
      </c>
      <c r="C2114" t="inlineStr">
        <is>
          <t xml:space="preserve">GRUPO L.                      </t>
        </is>
      </c>
      <c r="D2114" t="inlineStr">
        <is>
          <t>CARNE PICADA VACUNA</t>
        </is>
      </c>
      <c r="E2114" t="inlineStr">
        <is>
          <t xml:space="preserve">7790212031240       </t>
        </is>
      </c>
      <c r="F2114" t="n">
        <v>4017738</v>
      </c>
      <c r="G2114" t="inlineStr">
        <is>
          <t xml:space="preserve">CARNE PICADA X KG                  </t>
        </is>
      </c>
      <c r="H2114" t="inlineStr">
        <is>
          <t xml:space="preserve">Kgs                 </t>
        </is>
      </c>
      <c r="I2114" t="n">
        <v>265.71</v>
      </c>
      <c r="J2114" t="n">
        <v>0</v>
      </c>
      <c r="K2114" t="n">
        <v>0</v>
      </c>
      <c r="L2114" t="n">
        <v>65</v>
      </c>
      <c r="M2114" t="n">
        <v>65</v>
      </c>
      <c r="N2114" t="n">
        <v>0</v>
      </c>
      <c r="O2114" t="n">
        <v>135.71</v>
      </c>
      <c r="P2114" s="96">
        <f>_xlfn.XLOOKUP(Tabla5[[#This Row],[EAN CORREGIDO]],'Tabla Articulos'!B:B,'Tabla Articulos'!D:D)</f>
        <v/>
      </c>
      <c r="Q2114" s="96">
        <f>_xlfn.XLOOKUP(S2114,'Tabla Articulos'!B:B,'Tabla Articulos'!E:E)</f>
        <v/>
      </c>
      <c r="R2114" s="96">
        <f>O2114*Q2114</f>
        <v/>
      </c>
      <c r="S2114" s="97">
        <f>TRIM(E2114)</f>
        <v/>
      </c>
    </row>
    <row r="2115" hidden="1">
      <c r="A2115" s="22" t="n">
        <v>6</v>
      </c>
      <c r="B2115" t="inlineStr">
        <is>
          <t xml:space="preserve">CDM03 - MORENO 3              </t>
        </is>
      </c>
      <c r="C2115" t="inlineStr">
        <is>
          <t xml:space="preserve">GRUPO L.                      </t>
        </is>
      </c>
      <c r="E2115" t="inlineStr">
        <is>
          <t xml:space="preserve">UNIF000473          </t>
        </is>
      </c>
      <c r="F2115" t="n">
        <v>9003245</v>
      </c>
      <c r="G2115" t="inlineStr">
        <is>
          <t xml:space="preserve">PANTAL. GRAFA S. LOGO A. MAR 44    </t>
        </is>
      </c>
      <c r="H2115" t="inlineStr">
        <is>
          <t xml:space="preserve">UNIDAD              </t>
        </is>
      </c>
      <c r="I2115" t="n">
        <v>22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22</v>
      </c>
      <c r="P2115" s="96">
        <f>_xlfn.XLOOKUP(Tabla5[[#This Row],[EAN CORREGIDO]],'Tabla Articulos'!B:B,'Tabla Articulos'!D:D)</f>
        <v/>
      </c>
      <c r="Q2115" s="96">
        <f>_xlfn.XLOOKUP(S2115,'Tabla Articulos'!B:B,'Tabla Articulos'!E:E)</f>
        <v/>
      </c>
      <c r="R2115" s="96">
        <f>O2115*Q2115</f>
        <v/>
      </c>
      <c r="S2115" s="97">
        <f>TRIM(E2115)</f>
        <v/>
      </c>
    </row>
    <row r="2116" hidden="1">
      <c r="A2116" s="22" t="n">
        <v>6</v>
      </c>
      <c r="B2116" t="inlineStr">
        <is>
          <t xml:space="preserve">CDM03 - MORENO 3              </t>
        </is>
      </c>
      <c r="C2116" t="inlineStr">
        <is>
          <t xml:space="preserve">GRUPO L.                      </t>
        </is>
      </c>
      <c r="D2116" t="inlineStr">
        <is>
          <t>PAPEL HIGIENICO</t>
        </is>
      </c>
      <c r="E2116" t="inlineStr">
        <is>
          <t xml:space="preserve">7790250066163       </t>
        </is>
      </c>
      <c r="F2116" t="n">
        <v>2007408</v>
      </c>
      <c r="G2116" t="inlineStr">
        <is>
          <t xml:space="preserve">PAPEL HIG DH 30MTX4U ELITE         </t>
        </is>
      </c>
      <c r="H2116" t="inlineStr">
        <is>
          <t xml:space="preserve">UNIDAD              </t>
        </is>
      </c>
      <c r="I2116" t="n">
        <v>288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288</v>
      </c>
      <c r="P2116" s="96">
        <f>_xlfn.XLOOKUP(Tabla5[[#This Row],[EAN CORREGIDO]],'Tabla Articulos'!B:B,'Tabla Articulos'!D:D)</f>
        <v/>
      </c>
      <c r="Q2116" s="96">
        <f>_xlfn.XLOOKUP(S2116,'Tabla Articulos'!B:B,'Tabla Articulos'!E:E)</f>
        <v/>
      </c>
      <c r="R2116" s="96">
        <f>O2116*Q2116</f>
        <v/>
      </c>
      <c r="S2116" s="97">
        <f>TRIM(E2116)</f>
        <v/>
      </c>
    </row>
    <row r="2117" hidden="1">
      <c r="A2117" s="22" t="n">
        <v>5</v>
      </c>
      <c r="B2117" t="inlineStr">
        <is>
          <t xml:space="preserve">CDM02 - MORENO 2              </t>
        </is>
      </c>
      <c r="C2117" t="inlineStr">
        <is>
          <t xml:space="preserve">GRUPO L.                      </t>
        </is>
      </c>
      <c r="D2117" t="inlineStr">
        <is>
          <t>ACEITE GIRASOL</t>
        </is>
      </c>
      <c r="E2117" t="inlineStr">
        <is>
          <t xml:space="preserve">7798366740298       </t>
        </is>
      </c>
      <c r="F2117" t="n">
        <v>4020598</v>
      </c>
      <c r="G2117" t="inlineStr">
        <is>
          <t xml:space="preserve">ACEITE GIR STACC X900CC LA MANCE   </t>
        </is>
      </c>
      <c r="H2117" t="inlineStr">
        <is>
          <t xml:space="preserve">UNIDAD              </t>
        </is>
      </c>
      <c r="I2117" t="n">
        <v>266125</v>
      </c>
      <c r="J2117" t="n">
        <v>0</v>
      </c>
      <c r="K2117" t="n">
        <v>0</v>
      </c>
      <c r="L2117" t="n">
        <v>11</v>
      </c>
      <c r="M2117" t="n">
        <v>11</v>
      </c>
      <c r="N2117" t="n">
        <v>0</v>
      </c>
      <c r="O2117" t="n">
        <v>266103</v>
      </c>
      <c r="P2117" s="96">
        <f>_xlfn.XLOOKUP(Tabla5[[#This Row],[EAN CORREGIDO]],'Tabla Articulos'!B:B,'Tabla Articulos'!D:D)</f>
        <v/>
      </c>
      <c r="Q2117" s="96">
        <f>_xlfn.XLOOKUP(S2117,'Tabla Articulos'!B:B,'Tabla Articulos'!E:E)</f>
        <v/>
      </c>
      <c r="R2117" s="96">
        <f>O2117*Q2117</f>
        <v/>
      </c>
      <c r="S2117" s="97">
        <f>TRIM(E2117)</f>
        <v/>
      </c>
    </row>
    <row r="2118" hidden="1">
      <c r="A2118" s="22" t="n">
        <v>5</v>
      </c>
      <c r="B2118" t="inlineStr">
        <is>
          <t xml:space="preserve">CDM02 - MORENO 2              </t>
        </is>
      </c>
      <c r="C2118" t="inlineStr">
        <is>
          <t xml:space="preserve">GRUPO L.                      </t>
        </is>
      </c>
      <c r="D2118" t="inlineStr">
        <is>
          <t>TOSTADA ARROZ IND S/S</t>
        </is>
      </c>
      <c r="E2118" t="inlineStr">
        <is>
          <t xml:space="preserve">7790412000417       </t>
        </is>
      </c>
      <c r="F2118" t="n">
        <v>4018836</v>
      </c>
      <c r="G2118" t="inlineStr">
        <is>
          <t xml:space="preserve">TOSTADA ARROZ S/SAL X17G LEIVA     </t>
        </is>
      </c>
      <c r="H2118" t="inlineStr">
        <is>
          <t xml:space="preserve">UNIDAD              </t>
        </is>
      </c>
      <c r="I2118" t="n">
        <v>64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64</v>
      </c>
      <c r="P2118" s="96">
        <f>_xlfn.XLOOKUP(Tabla5[[#This Row],[EAN CORREGIDO]],'Tabla Articulos'!B:B,'Tabla Articulos'!D:D)</f>
        <v/>
      </c>
      <c r="Q2118" s="96">
        <f>_xlfn.XLOOKUP(S2118,'Tabla Articulos'!B:B,'Tabla Articulos'!E:E)</f>
        <v/>
      </c>
      <c r="R2118" s="96">
        <f>O2118*Q2118</f>
        <v/>
      </c>
      <c r="S2118" s="97">
        <f>TRIM(E2118)</f>
        <v/>
      </c>
    </row>
    <row r="2119" hidden="1">
      <c r="A2119" s="22" t="n">
        <v>1</v>
      </c>
      <c r="B2119" t="inlineStr">
        <is>
          <t xml:space="preserve">CD MORENO                     </t>
        </is>
      </c>
      <c r="C2119" t="inlineStr">
        <is>
          <t xml:space="preserve">GRUPO L.                      </t>
        </is>
      </c>
      <c r="D2119" t="inlineStr">
        <is>
          <t>TOSTADA ARROZ IND S/S</t>
        </is>
      </c>
      <c r="E2119" t="inlineStr">
        <is>
          <t xml:space="preserve">7790412000417       </t>
        </is>
      </c>
      <c r="F2119" t="n">
        <v>4018836</v>
      </c>
      <c r="G2119" t="inlineStr">
        <is>
          <t xml:space="preserve">TOSTADA ARROZ S/SAL X17G LEIVA     </t>
        </is>
      </c>
      <c r="H2119" t="inlineStr">
        <is>
          <t xml:space="preserve">UNIDAD              </t>
        </is>
      </c>
      <c r="I2119" t="n">
        <v>156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156</v>
      </c>
      <c r="P2119" s="96">
        <f>_xlfn.XLOOKUP(Tabla5[[#This Row],[EAN CORREGIDO]],'Tabla Articulos'!B:B,'Tabla Articulos'!D:D)</f>
        <v/>
      </c>
      <c r="Q2119" s="96">
        <f>_xlfn.XLOOKUP(S2119,'Tabla Articulos'!B:B,'Tabla Articulos'!E:E)</f>
        <v/>
      </c>
      <c r="R2119" s="96">
        <f>O2119*Q2119</f>
        <v/>
      </c>
      <c r="S2119" s="97">
        <f>TRIM(E2119)</f>
        <v/>
      </c>
    </row>
    <row r="2120" hidden="1">
      <c r="A2120" s="22" t="n">
        <v>6</v>
      </c>
      <c r="B2120" t="inlineStr">
        <is>
          <t xml:space="preserve">CDM03 - MORENO 3              </t>
        </is>
      </c>
      <c r="C2120" t="inlineStr">
        <is>
          <t xml:space="preserve">GRUPO L.                      </t>
        </is>
      </c>
      <c r="E2120" t="inlineStr">
        <is>
          <t xml:space="preserve">A1607C25T13         </t>
        </is>
      </c>
      <c r="F2120" t="n">
        <v>9003034</v>
      </c>
      <c r="G2120" t="inlineStr">
        <is>
          <t xml:space="preserve">ZAPATO SEG. NEG. 46 ATT CHUBUT     </t>
        </is>
      </c>
      <c r="H2120" t="inlineStr">
        <is>
          <t xml:space="preserve">UNIDAD              </t>
        </is>
      </c>
      <c r="I2120" t="n">
        <v>48</v>
      </c>
      <c r="J2120" t="n">
        <v>0</v>
      </c>
      <c r="K2120" t="n">
        <v>0</v>
      </c>
      <c r="L2120" t="n">
        <v>1</v>
      </c>
      <c r="M2120" t="n">
        <v>1</v>
      </c>
      <c r="N2120" t="n">
        <v>0</v>
      </c>
      <c r="O2120" t="n">
        <v>46</v>
      </c>
      <c r="P2120" s="96">
        <f>_xlfn.XLOOKUP(Tabla5[[#This Row],[EAN CORREGIDO]],'Tabla Articulos'!B:B,'Tabla Articulos'!D:D)</f>
        <v/>
      </c>
      <c r="Q2120" s="96">
        <f>_xlfn.XLOOKUP(S2120,'Tabla Articulos'!B:B,'Tabla Articulos'!E:E)</f>
        <v/>
      </c>
      <c r="R2120" s="96">
        <f>O2120*Q2120</f>
        <v/>
      </c>
      <c r="S2120" s="97">
        <f>TRIM(E2120)</f>
        <v/>
      </c>
    </row>
    <row r="2121" hidden="1">
      <c r="A2121" s="22" t="n">
        <v>6</v>
      </c>
      <c r="B2121" t="inlineStr">
        <is>
          <t xml:space="preserve">CDM03 - MORENO 3              </t>
        </is>
      </c>
      <c r="C2121" t="inlineStr">
        <is>
          <t xml:space="preserve">GRUPO L.                      </t>
        </is>
      </c>
      <c r="E2121" t="inlineStr">
        <is>
          <t xml:space="preserve">UNIF000636          </t>
        </is>
      </c>
      <c r="F2121" t="n">
        <v>9003912</v>
      </c>
      <c r="G2121" t="inlineStr">
        <is>
          <t xml:space="preserve">CHOMBA PIQUE GR L CHEF G           </t>
        </is>
      </c>
      <c r="H2121" t="inlineStr">
        <is>
          <t xml:space="preserve">UNIDAD              </t>
        </is>
      </c>
      <c r="I2121" t="n">
        <v>125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125</v>
      </c>
      <c r="P2121" s="96">
        <f>_xlfn.XLOOKUP(Tabla5[[#This Row],[EAN CORREGIDO]],'Tabla Articulos'!B:B,'Tabla Articulos'!D:D)</f>
        <v/>
      </c>
      <c r="Q2121" s="96">
        <f>_xlfn.XLOOKUP(S2121,'Tabla Articulos'!B:B,'Tabla Articulos'!E:E)</f>
        <v/>
      </c>
      <c r="R2121" s="96">
        <f>O2121*Q2121</f>
        <v/>
      </c>
      <c r="S2121" s="97">
        <f>TRIM(E2121)</f>
        <v/>
      </c>
    </row>
    <row r="2122" hidden="1">
      <c r="A2122" s="22" t="n">
        <v>6</v>
      </c>
      <c r="B2122" t="inlineStr">
        <is>
          <t xml:space="preserve">CDM03 - MORENO 3              </t>
        </is>
      </c>
      <c r="C2122" t="inlineStr">
        <is>
          <t xml:space="preserve">GRUPO L.                      </t>
        </is>
      </c>
      <c r="D2122" s="11" t="n"/>
      <c r="E2122" t="inlineStr">
        <is>
          <t xml:space="preserve">UNIF000147          </t>
        </is>
      </c>
      <c r="F2122" t="n">
        <v>9003564</v>
      </c>
      <c r="G2122" t="inlineStr">
        <is>
          <t xml:space="preserve">CAMI.3/4 BLAN SALUD MUJ 4 C.GOUR   </t>
        </is>
      </c>
      <c r="H2122" t="inlineStr">
        <is>
          <t xml:space="preserve">UNIDAD              </t>
        </is>
      </c>
      <c r="I2122" t="n">
        <v>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5</v>
      </c>
      <c r="P2122" s="96">
        <f>_xlfn.XLOOKUP(Tabla5[[#This Row],[EAN CORREGIDO]],'Tabla Articulos'!B:B,'Tabla Articulos'!D:D)</f>
        <v/>
      </c>
      <c r="Q2122" s="96">
        <f>_xlfn.XLOOKUP(S2122,'Tabla Articulos'!B:B,'Tabla Articulos'!E:E)</f>
        <v/>
      </c>
      <c r="R2122" s="96">
        <f>O2122*Q2122</f>
        <v/>
      </c>
      <c r="S2122" s="97">
        <f>TRIM(E2122)</f>
        <v/>
      </c>
    </row>
    <row r="2123" hidden="1">
      <c r="A2123" s="22" t="n">
        <v>6</v>
      </c>
      <c r="B2123" t="inlineStr">
        <is>
          <t xml:space="preserve">CDM03 - MORENO 3              </t>
        </is>
      </c>
      <c r="C2123" t="inlineStr">
        <is>
          <t xml:space="preserve">GRUPO L.                      </t>
        </is>
      </c>
      <c r="E2123" t="inlineStr">
        <is>
          <t xml:space="preserve">UNIF000560          </t>
        </is>
      </c>
      <c r="F2123" t="n">
        <v>9003098</v>
      </c>
      <c r="G2123" t="inlineStr">
        <is>
          <t xml:space="preserve">PANTALON JEAN 56                   </t>
        </is>
      </c>
      <c r="H2123" t="inlineStr">
        <is>
          <t xml:space="preserve">UNIDAD              </t>
        </is>
      </c>
      <c r="I2123" t="n">
        <v>11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11</v>
      </c>
      <c r="P2123" s="96">
        <f>_xlfn.XLOOKUP(Tabla5[[#This Row],[EAN CORREGIDO]],'Tabla Articulos'!B:B,'Tabla Articulos'!D:D)</f>
        <v/>
      </c>
      <c r="Q2123" s="96">
        <f>_xlfn.XLOOKUP(S2123,'Tabla Articulos'!B:B,'Tabla Articulos'!E:E)</f>
        <v/>
      </c>
      <c r="R2123" s="96">
        <f>O2123*Q2123</f>
        <v/>
      </c>
      <c r="S2123" s="97">
        <f>TRIM(E2123)</f>
        <v/>
      </c>
    </row>
    <row r="2124" hidden="1">
      <c r="A2124" s="22" t="n">
        <v>5</v>
      </c>
      <c r="B2124" t="inlineStr">
        <is>
          <t xml:space="preserve">CDM02 - MORENO 2              </t>
        </is>
      </c>
      <c r="C2124" t="inlineStr">
        <is>
          <t xml:space="preserve">GRUPO L.                      </t>
        </is>
      </c>
      <c r="D2124" t="inlineStr">
        <is>
          <t>PEPINOS EN VINAGRE</t>
        </is>
      </c>
      <c r="E2124" t="inlineStr">
        <is>
          <t xml:space="preserve">7793275016069       </t>
        </is>
      </c>
      <c r="F2124" t="n">
        <v>4076729</v>
      </c>
      <c r="G2124" t="inlineStr">
        <is>
          <t xml:space="preserve">PEPINILLOS VINAGRE 3KG REYG        </t>
        </is>
      </c>
      <c r="H2124" t="inlineStr">
        <is>
          <t xml:space="preserve">UNIDAD              </t>
        </is>
      </c>
      <c r="I2124" t="n">
        <v>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3</v>
      </c>
      <c r="P2124" s="96">
        <f>_xlfn.XLOOKUP(Tabla5[[#This Row],[EAN CORREGIDO]],'Tabla Articulos'!B:B,'Tabla Articulos'!D:D)</f>
        <v/>
      </c>
      <c r="Q2124" s="96">
        <f>_xlfn.XLOOKUP(S2124,'Tabla Articulos'!B:B,'Tabla Articulos'!E:E)</f>
        <v/>
      </c>
      <c r="R2124" s="96">
        <f>O2124*Q2124</f>
        <v/>
      </c>
      <c r="S2124" s="97">
        <f>TRIM(E2124)</f>
        <v/>
      </c>
    </row>
    <row r="2125" hidden="1">
      <c r="A2125" s="22" t="n">
        <v>6</v>
      </c>
      <c r="B2125" t="inlineStr">
        <is>
          <t xml:space="preserve">CDM03 - MORENO 3              </t>
        </is>
      </c>
      <c r="C2125" t="inlineStr">
        <is>
          <t xml:space="preserve">GRUPO L.                      </t>
        </is>
      </c>
      <c r="D2125" t="inlineStr">
        <is>
          <t>BALDE PRENSAMOPA</t>
        </is>
      </c>
      <c r="E2125" t="inlineStr">
        <is>
          <t xml:space="preserve">7793071002488       </t>
        </is>
      </c>
      <c r="F2125" t="n">
        <v>2007428</v>
      </c>
      <c r="G2125" t="inlineStr">
        <is>
          <t xml:space="preserve">BALDE C/ESCURRIDOR XUN MPROPIA     </t>
        </is>
      </c>
      <c r="H2125" t="inlineStr">
        <is>
          <t xml:space="preserve">UNIDAD              </t>
        </is>
      </c>
      <c r="I2125" t="n">
        <v>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5</v>
      </c>
      <c r="P2125" s="96">
        <f>_xlfn.XLOOKUP(Tabla5[[#This Row],[EAN CORREGIDO]],'Tabla Articulos'!B:B,'Tabla Articulos'!D:D)</f>
        <v/>
      </c>
      <c r="Q2125" s="96">
        <f>_xlfn.XLOOKUP(S2125,'Tabla Articulos'!B:B,'Tabla Articulos'!E:E)</f>
        <v/>
      </c>
      <c r="R2125" s="96">
        <f>O2125*Q2125</f>
        <v/>
      </c>
      <c r="S2125" s="97">
        <f>TRIM(E2125)</f>
        <v/>
      </c>
    </row>
    <row r="2126" hidden="1">
      <c r="A2126" s="22" t="n">
        <v>1</v>
      </c>
      <c r="B2126" t="inlineStr">
        <is>
          <t xml:space="preserve">CD MORENO                     </t>
        </is>
      </c>
      <c r="C2126" t="inlineStr">
        <is>
          <t xml:space="preserve">GRUPO L.                      </t>
        </is>
      </c>
      <c r="D2126" s="11" t="inlineStr">
        <is>
          <t>PIMENTON</t>
        </is>
      </c>
      <c r="E2126" t="inlineStr">
        <is>
          <t xml:space="preserve">7793875360098       </t>
        </is>
      </c>
      <c r="F2126" t="n">
        <v>4020246</v>
      </c>
      <c r="G2126" t="inlineStr">
        <is>
          <t xml:space="preserve">PIMENTON EXTRA X 25 G AROMAS Y     </t>
        </is>
      </c>
      <c r="H2126" t="inlineStr">
        <is>
          <t xml:space="preserve">UNIDAD              </t>
        </is>
      </c>
      <c r="I2126" t="n">
        <v>1050</v>
      </c>
      <c r="J2126" t="n">
        <v>0</v>
      </c>
      <c r="K2126" t="n">
        <v>1050</v>
      </c>
      <c r="L2126" t="n">
        <v>0</v>
      </c>
      <c r="M2126" t="n">
        <v>0</v>
      </c>
      <c r="N2126" t="n">
        <v>436</v>
      </c>
      <c r="O2126" t="n">
        <v>-436</v>
      </c>
      <c r="P2126" s="96">
        <f>_xlfn.XLOOKUP(Tabla5[[#This Row],[EAN CORREGIDO]],'Tabla Articulos'!B:B,'Tabla Articulos'!D:D)</f>
        <v/>
      </c>
      <c r="Q2126" s="96">
        <f>_xlfn.XLOOKUP(S2126,'Tabla Articulos'!B:B,'Tabla Articulos'!E:E)</f>
        <v/>
      </c>
      <c r="R2126" s="96">
        <f>O2126*Q2126</f>
        <v/>
      </c>
      <c r="S2126" s="97">
        <f>TRIM(E2126)</f>
        <v/>
      </c>
    </row>
    <row r="2127" hidden="1">
      <c r="A2127" s="22" t="n">
        <v>6</v>
      </c>
      <c r="B2127" t="inlineStr">
        <is>
          <t xml:space="preserve">CDM03 - MORENO 3              </t>
        </is>
      </c>
      <c r="C2127" t="inlineStr">
        <is>
          <t xml:space="preserve">GRUPO L.                      </t>
        </is>
      </c>
      <c r="D2127" s="11" t="n"/>
      <c r="E2127" t="inlineStr">
        <is>
          <t xml:space="preserve">UNIF000118          </t>
        </is>
      </c>
      <c r="F2127" t="n">
        <v>9003218</v>
      </c>
      <c r="G2127" t="inlineStr">
        <is>
          <t xml:space="preserve">PANTALON NAUTICO GRIS 8            </t>
        </is>
      </c>
      <c r="H2127" t="inlineStr">
        <is>
          <t xml:space="preserve">UNIDAD              </t>
        </is>
      </c>
      <c r="I2127" t="n">
        <v>10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10</v>
      </c>
      <c r="P2127" s="96">
        <f>_xlfn.XLOOKUP(Tabla5[[#This Row],[EAN CORREGIDO]],'Tabla Articulos'!B:B,'Tabla Articulos'!D:D)</f>
        <v/>
      </c>
      <c r="Q2127" s="96">
        <f>_xlfn.XLOOKUP(S2127,'Tabla Articulos'!B:B,'Tabla Articulos'!E:E)</f>
        <v/>
      </c>
      <c r="R2127" s="96">
        <f>O2127*Q2127</f>
        <v/>
      </c>
      <c r="S2127" s="97">
        <f>TRIM(E2127)</f>
        <v/>
      </c>
    </row>
    <row r="2128" hidden="1">
      <c r="A2128" s="22" t="n">
        <v>1</v>
      </c>
      <c r="B2128" t="inlineStr">
        <is>
          <t xml:space="preserve">CD MORENO                     </t>
        </is>
      </c>
      <c r="C2128" t="inlineStr">
        <is>
          <t xml:space="preserve">GRUPO L.                      </t>
        </is>
      </c>
      <c r="D2128" s="11" t="inlineStr">
        <is>
          <t>POLENTA S/TACC</t>
        </is>
      </c>
      <c r="E2128" t="inlineStr">
        <is>
          <t xml:space="preserve">7790580138738       </t>
        </is>
      </c>
      <c r="F2128" t="n">
        <v>4019648</v>
      </c>
      <c r="G2128" t="inlineStr">
        <is>
          <t xml:space="preserve">POLENTA X490G PRESTO PRONTA	       </t>
        </is>
      </c>
      <c r="H2128" t="inlineStr">
        <is>
          <t xml:space="preserve">UNIDAD              </t>
        </is>
      </c>
      <c r="I2128" t="n">
        <v>23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23</v>
      </c>
      <c r="P2128" s="96">
        <f>_xlfn.XLOOKUP(Tabla5[[#This Row],[EAN CORREGIDO]],'Tabla Articulos'!B:B,'Tabla Articulos'!D:D)</f>
        <v/>
      </c>
      <c r="Q2128" s="96">
        <f>_xlfn.XLOOKUP(S2128,'Tabla Articulos'!B:B,'Tabla Articulos'!E:E)</f>
        <v/>
      </c>
      <c r="R2128" s="96">
        <f>O2128*Q2128</f>
        <v/>
      </c>
      <c r="S2128" s="97">
        <f>TRIM(E2128)</f>
        <v/>
      </c>
    </row>
    <row r="2129" hidden="1">
      <c r="A2129" s="22" t="n">
        <v>6</v>
      </c>
      <c r="B2129" t="inlineStr">
        <is>
          <t xml:space="preserve">CDM03 - MORENO 3              </t>
        </is>
      </c>
      <c r="C2129" t="inlineStr">
        <is>
          <t xml:space="preserve">GRUPO L.                      </t>
        </is>
      </c>
      <c r="E2129" t="inlineStr">
        <is>
          <t xml:space="preserve">BUSAT000177         </t>
        </is>
      </c>
      <c r="G2129" t="inlineStr">
        <is>
          <t xml:space="preserve">POZO FRIO ART.VARIOS/SAND 03 BIS   </t>
        </is>
      </c>
      <c r="H2129" t="inlineStr">
        <is>
          <t xml:space="preserve">UNIDAD              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1</v>
      </c>
      <c r="P2129" s="96">
        <f>_xlfn.XLOOKUP(Tabla5[[#This Row],[EAN CORREGIDO]],'Tabla Articulos'!B:B,'Tabla Articulos'!D:D)</f>
        <v/>
      </c>
      <c r="Q2129" s="96">
        <f>_xlfn.XLOOKUP(S2129,'Tabla Articulos'!B:B,'Tabla Articulos'!E:E)</f>
        <v/>
      </c>
      <c r="R2129" s="96">
        <f>O2129*Q2129</f>
        <v/>
      </c>
      <c r="S2129" s="97">
        <f>TRIM(E2129)</f>
        <v/>
      </c>
    </row>
    <row r="2130" hidden="1">
      <c r="A2130" s="22" t="n">
        <v>6</v>
      </c>
      <c r="B2130" t="inlineStr">
        <is>
          <t xml:space="preserve">CDM03 - MORENO 3              </t>
        </is>
      </c>
      <c r="C2130" t="inlineStr">
        <is>
          <t xml:space="preserve">GRUPO L.                      </t>
        </is>
      </c>
      <c r="D2130" s="11" t="n"/>
      <c r="E2130" t="inlineStr">
        <is>
          <t xml:space="preserve">BUSAT000374         </t>
        </is>
      </c>
      <c r="G2130" t="inlineStr">
        <is>
          <t xml:space="preserve">MESA METALICA TIPO DIAMANTE        </t>
        </is>
      </c>
      <c r="H2130" t="inlineStr">
        <is>
          <t xml:space="preserve">UNIDAD              </t>
        </is>
      </c>
      <c r="I2130" t="n">
        <v>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1</v>
      </c>
      <c r="P2130" s="96">
        <f>_xlfn.XLOOKUP(Tabla5[[#This Row],[EAN CORREGIDO]],'Tabla Articulos'!B:B,'Tabla Articulos'!D:D)</f>
        <v/>
      </c>
      <c r="Q2130" s="96">
        <f>_xlfn.XLOOKUP(S2130,'Tabla Articulos'!B:B,'Tabla Articulos'!E:E)</f>
        <v/>
      </c>
      <c r="R2130" s="96">
        <f>O2130*Q2130</f>
        <v/>
      </c>
      <c r="S2130" s="97">
        <f>TRIM(E2130)</f>
        <v/>
      </c>
    </row>
    <row r="2131" hidden="1">
      <c r="A2131" s="22" t="n">
        <v>6</v>
      </c>
      <c r="B2131" t="inlineStr">
        <is>
          <t xml:space="preserve">CDM03 - MORENO 3              </t>
        </is>
      </c>
      <c r="C2131" t="inlineStr">
        <is>
          <t xml:space="preserve">GRUPO L.                      </t>
        </is>
      </c>
      <c r="D2131" s="11" t="n"/>
      <c r="E2131" t="inlineStr">
        <is>
          <t xml:space="preserve">BUSAT000909         </t>
        </is>
      </c>
      <c r="G2131" t="inlineStr">
        <is>
          <t xml:space="preserve">PORTA FOTO ACRILICO                </t>
        </is>
      </c>
      <c r="H2131" t="inlineStr">
        <is>
          <t xml:space="preserve">UNIDAD              </t>
        </is>
      </c>
      <c r="I2131" t="n">
        <v>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8</v>
      </c>
      <c r="P2131" s="96">
        <f>_xlfn.XLOOKUP(Tabla5[[#This Row],[EAN CORREGIDO]],'Tabla Articulos'!B:B,'Tabla Articulos'!D:D)</f>
        <v/>
      </c>
      <c r="Q2131" s="96">
        <f>_xlfn.XLOOKUP(S2131,'Tabla Articulos'!B:B,'Tabla Articulos'!E:E)</f>
        <v/>
      </c>
      <c r="R2131" s="96">
        <f>O2131*Q2131</f>
        <v/>
      </c>
      <c r="S2131" s="97">
        <f>TRIM(E2131)</f>
        <v/>
      </c>
    </row>
    <row r="2132" hidden="1">
      <c r="A2132" s="22" t="n">
        <v>6</v>
      </c>
      <c r="B2132" t="inlineStr">
        <is>
          <t xml:space="preserve">CDM03 - MORENO 3              </t>
        </is>
      </c>
      <c r="C2132" t="inlineStr">
        <is>
          <t xml:space="preserve">GRUPO L.                      </t>
        </is>
      </c>
      <c r="E2132" t="inlineStr">
        <is>
          <t xml:space="preserve">BUSAT000190         </t>
        </is>
      </c>
      <c r="F2132" s="11" t="n"/>
      <c r="G2132" t="inlineStr">
        <is>
          <t>CARROS ENSALADA 03 (EXPERENCIAS Y S</t>
        </is>
      </c>
      <c r="H2132" t="inlineStr">
        <is>
          <t xml:space="preserve">UNIDAD              </t>
        </is>
      </c>
      <c r="I2132" t="n">
        <v>1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1</v>
      </c>
      <c r="P2132" s="96">
        <f>_xlfn.XLOOKUP(Tabla5[[#This Row],[EAN CORREGIDO]],'Tabla Articulos'!B:B,'Tabla Articulos'!D:D)</f>
        <v/>
      </c>
      <c r="Q2132" s="96">
        <f>_xlfn.XLOOKUP(S2132,'Tabla Articulos'!B:B,'Tabla Articulos'!E:E)</f>
        <v/>
      </c>
      <c r="R2132" s="96">
        <f>O2132*Q2132</f>
        <v/>
      </c>
      <c r="S2132" s="97">
        <f>TRIM(E2132)</f>
        <v/>
      </c>
    </row>
    <row r="2133" hidden="1">
      <c r="A2133" s="22" t="n">
        <v>6</v>
      </c>
      <c r="B2133" t="inlineStr">
        <is>
          <t xml:space="preserve">CDM03 - MORENO 3              </t>
        </is>
      </c>
      <c r="C2133" t="inlineStr">
        <is>
          <t xml:space="preserve">GRUPO L.                      </t>
        </is>
      </c>
      <c r="E2133" t="inlineStr">
        <is>
          <t xml:space="preserve">BUSAT000100         </t>
        </is>
      </c>
      <c r="F2133" s="11" t="n"/>
      <c r="G2133" t="inlineStr">
        <is>
          <t xml:space="preserve">PLATO POCILLO LISO                 </t>
        </is>
      </c>
      <c r="H2133" t="inlineStr">
        <is>
          <t xml:space="preserve">UNIDAD              </t>
        </is>
      </c>
      <c r="I2133" t="n">
        <v>12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12</v>
      </c>
      <c r="P2133" s="96">
        <f>_xlfn.XLOOKUP(Tabla5[[#This Row],[EAN CORREGIDO]],'Tabla Articulos'!B:B,'Tabla Articulos'!D:D)</f>
        <v/>
      </c>
      <c r="Q2133" s="96">
        <f>_xlfn.XLOOKUP(S2133,'Tabla Articulos'!B:B,'Tabla Articulos'!E:E)</f>
        <v/>
      </c>
      <c r="R2133" s="96">
        <f>O2133*Q2133</f>
        <v/>
      </c>
      <c r="S2133" s="97">
        <f>TRIM(E2133)</f>
        <v/>
      </c>
    </row>
    <row r="2134" hidden="1">
      <c r="A2134" s="22" t="n">
        <v>6</v>
      </c>
      <c r="B2134" t="inlineStr">
        <is>
          <t xml:space="preserve">CDM03 - MORENO 3              </t>
        </is>
      </c>
      <c r="C2134" t="inlineStr">
        <is>
          <t xml:space="preserve">GRUPO L.                      </t>
        </is>
      </c>
      <c r="D2134" s="11" t="n"/>
      <c r="E2134" t="inlineStr">
        <is>
          <t xml:space="preserve">BUSAT0011006        </t>
        </is>
      </c>
      <c r="F2134" s="11" t="n"/>
      <c r="G2134" t="inlineStr">
        <is>
          <t xml:space="preserve">TABLA DE CORTAR GRANDE MARRON      </t>
        </is>
      </c>
      <c r="H2134" t="inlineStr">
        <is>
          <t xml:space="preserve">UNIDAD              </t>
        </is>
      </c>
      <c r="I2134" t="n">
        <v>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1</v>
      </c>
      <c r="P2134" s="96">
        <f>_xlfn.XLOOKUP(Tabla5[[#This Row],[EAN CORREGIDO]],'Tabla Articulos'!B:B,'Tabla Articulos'!D:D)</f>
        <v/>
      </c>
      <c r="Q2134" s="96">
        <f>_xlfn.XLOOKUP(S2134,'Tabla Articulos'!B:B,'Tabla Articulos'!E:E)</f>
        <v/>
      </c>
      <c r="R2134" s="96">
        <f>O2134*Q2134</f>
        <v/>
      </c>
      <c r="S2134" s="97">
        <f>TRIM(E2134)</f>
        <v/>
      </c>
    </row>
    <row r="2135" hidden="1">
      <c r="A2135" s="22" t="n">
        <v>6</v>
      </c>
      <c r="B2135" t="inlineStr">
        <is>
          <t xml:space="preserve">CDM03 - MORENO 3              </t>
        </is>
      </c>
      <c r="C2135" t="inlineStr">
        <is>
          <t xml:space="preserve">GRUPO L.                      </t>
        </is>
      </c>
      <c r="D2135" s="11" t="n"/>
      <c r="E2135" t="inlineStr">
        <is>
          <t xml:space="preserve">BUSAT000436         </t>
        </is>
      </c>
      <c r="F2135" s="11" t="n"/>
      <c r="G2135" t="inlineStr">
        <is>
          <t xml:space="preserve">PANTALON CARGO GRIS FRANJA NARANJA	</t>
        </is>
      </c>
      <c r="H2135" t="inlineStr">
        <is>
          <t xml:space="preserve">UNIDAD              </t>
        </is>
      </c>
      <c r="I2135" t="n">
        <v>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3</v>
      </c>
      <c r="P2135" s="96">
        <f>_xlfn.XLOOKUP(Tabla5[[#This Row],[EAN CORREGIDO]],'Tabla Articulos'!B:B,'Tabla Articulos'!D:D)</f>
        <v/>
      </c>
      <c r="Q2135" s="96">
        <f>_xlfn.XLOOKUP(S2135,'Tabla Articulos'!B:B,'Tabla Articulos'!E:E)</f>
        <v/>
      </c>
      <c r="R2135" s="96">
        <f>O2135*Q2135</f>
        <v/>
      </c>
      <c r="S2135" s="97">
        <f>TRIM(E2135)</f>
        <v/>
      </c>
    </row>
    <row r="2136" hidden="1">
      <c r="A2136" s="22" t="n">
        <v>6</v>
      </c>
      <c r="B2136" t="inlineStr">
        <is>
          <t xml:space="preserve">CDM03 - MORENO 3              </t>
        </is>
      </c>
      <c r="C2136" t="inlineStr">
        <is>
          <t xml:space="preserve">GRUPO L.                      </t>
        </is>
      </c>
      <c r="D2136" s="11" t="n"/>
      <c r="E2136" t="inlineStr">
        <is>
          <t xml:space="preserve">BUSAT000448         </t>
        </is>
      </c>
      <c r="F2136" s="11" t="n"/>
      <c r="G2136" t="inlineStr">
        <is>
          <t>PANTALON CARGO GRIS FRANJA VERDE	54</t>
        </is>
      </c>
      <c r="H2136" t="inlineStr">
        <is>
          <t xml:space="preserve">UNIDAD              </t>
        </is>
      </c>
      <c r="I2136" t="n">
        <v>3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3</v>
      </c>
      <c r="P2136" s="96">
        <f>_xlfn.XLOOKUP(Tabla5[[#This Row],[EAN CORREGIDO]],'Tabla Articulos'!B:B,'Tabla Articulos'!D:D)</f>
        <v/>
      </c>
      <c r="Q2136" s="96">
        <f>_xlfn.XLOOKUP(S2136,'Tabla Articulos'!B:B,'Tabla Articulos'!E:E)</f>
        <v/>
      </c>
      <c r="R2136" s="96">
        <f>O2136*Q2136</f>
        <v/>
      </c>
      <c r="S2136" s="97">
        <f>TRIM(E2136)</f>
        <v/>
      </c>
    </row>
    <row r="2137" hidden="1">
      <c r="A2137" s="22" t="n">
        <v>6</v>
      </c>
      <c r="B2137" t="inlineStr">
        <is>
          <t xml:space="preserve">CDM03 - MORENO 3              </t>
        </is>
      </c>
      <c r="C2137" t="inlineStr">
        <is>
          <t xml:space="preserve">GRUPO L.                      </t>
        </is>
      </c>
      <c r="D2137" s="11" t="n"/>
      <c r="E2137" t="inlineStr">
        <is>
          <t xml:space="preserve">BUSAT000564         </t>
        </is>
      </c>
      <c r="F2137" s="11" t="n"/>
      <c r="G2137" t="inlineStr">
        <is>
          <t xml:space="preserve">PANTALON CARGO GRIS	40             </t>
        </is>
      </c>
      <c r="H2137" t="inlineStr">
        <is>
          <t xml:space="preserve">UNIDAD              </t>
        </is>
      </c>
      <c r="I2137" t="n">
        <v>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2</v>
      </c>
      <c r="P2137" s="96">
        <f>_xlfn.XLOOKUP(Tabla5[[#This Row],[EAN CORREGIDO]],'Tabla Articulos'!B:B,'Tabla Articulos'!D:D)</f>
        <v/>
      </c>
      <c r="Q2137" s="96">
        <f>_xlfn.XLOOKUP(S2137,'Tabla Articulos'!B:B,'Tabla Articulos'!E:E)</f>
        <v/>
      </c>
      <c r="R2137" s="96">
        <f>O2137*Q2137</f>
        <v/>
      </c>
      <c r="S2137" s="97">
        <f>TRIM(E2137)</f>
        <v/>
      </c>
    </row>
    <row r="2138" hidden="1">
      <c r="A2138" s="22" t="n">
        <v>6</v>
      </c>
      <c r="B2138" t="inlineStr">
        <is>
          <t xml:space="preserve">CDM03 - MORENO 3              </t>
        </is>
      </c>
      <c r="C2138" t="inlineStr">
        <is>
          <t xml:space="preserve">GRUPO L.                      </t>
        </is>
      </c>
      <c r="D2138" s="11" t="n"/>
      <c r="E2138" t="inlineStr">
        <is>
          <t xml:space="preserve">BUSAT000092         </t>
        </is>
      </c>
      <c r="F2138" s="11" t="n"/>
      <c r="G2138" t="inlineStr">
        <is>
          <t xml:space="preserve">JARRA PLASTICA CON TAPA            </t>
        </is>
      </c>
      <c r="H2138" t="inlineStr">
        <is>
          <t xml:space="preserve">UNIDAD              </t>
        </is>
      </c>
      <c r="I2138" t="n">
        <v>10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10</v>
      </c>
      <c r="P2138" s="96">
        <f>_xlfn.XLOOKUP(Tabla5[[#This Row],[EAN CORREGIDO]],'Tabla Articulos'!B:B,'Tabla Articulos'!D:D)</f>
        <v/>
      </c>
      <c r="Q2138" s="96">
        <f>_xlfn.XLOOKUP(S2138,'Tabla Articulos'!B:B,'Tabla Articulos'!E:E)</f>
        <v/>
      </c>
      <c r="R2138" s="96">
        <f>O2138*Q2138</f>
        <v/>
      </c>
      <c r="S2138" s="97">
        <f>TRIM(E2138)</f>
        <v/>
      </c>
    </row>
    <row r="2139" hidden="1">
      <c r="A2139" s="22" t="n">
        <v>6</v>
      </c>
      <c r="B2139" t="inlineStr">
        <is>
          <t xml:space="preserve">CDM03 - MORENO 3              </t>
        </is>
      </c>
      <c r="C2139" t="inlineStr">
        <is>
          <t xml:space="preserve">GRUPO L.                      </t>
        </is>
      </c>
      <c r="D2139" s="11" t="n"/>
      <c r="E2139" t="inlineStr">
        <is>
          <t xml:space="preserve">BUSAT000889         </t>
        </is>
      </c>
      <c r="F2139" s="11" t="n"/>
      <c r="G2139" t="inlineStr">
        <is>
          <t xml:space="preserve">PIREX 26 CM                        </t>
        </is>
      </c>
      <c r="H2139" t="inlineStr">
        <is>
          <t xml:space="preserve">UNIDAD              </t>
        </is>
      </c>
      <c r="I2139" t="n">
        <v>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1</v>
      </c>
      <c r="P2139" s="96">
        <f>_xlfn.XLOOKUP(Tabla5[[#This Row],[EAN CORREGIDO]],'Tabla Articulos'!B:B,'Tabla Articulos'!D:D)</f>
        <v/>
      </c>
      <c r="Q2139" s="96">
        <f>_xlfn.XLOOKUP(S2139,'Tabla Articulos'!B:B,'Tabla Articulos'!E:E)</f>
        <v/>
      </c>
      <c r="R2139" s="96">
        <f>O2139*Q2139</f>
        <v/>
      </c>
      <c r="S2139" s="97">
        <f>TRIM(E2139)</f>
        <v/>
      </c>
    </row>
    <row r="2140" hidden="1">
      <c r="A2140" s="22" t="n">
        <v>6</v>
      </c>
      <c r="B2140" t="inlineStr">
        <is>
          <t xml:space="preserve">CDM03 - MORENO 3              </t>
        </is>
      </c>
      <c r="C2140" t="inlineStr">
        <is>
          <t xml:space="preserve">GRUPO L.                      </t>
        </is>
      </c>
      <c r="D2140" s="11" t="n"/>
      <c r="E2140" t="inlineStr">
        <is>
          <t xml:space="preserve">BUSAT000004         </t>
        </is>
      </c>
      <c r="F2140" s="11" t="n"/>
      <c r="G2140" t="inlineStr">
        <is>
          <t xml:space="preserve">BATIDOR GRANDE  X U                </t>
        </is>
      </c>
      <c r="H2140" t="inlineStr">
        <is>
          <t xml:space="preserve">UNIDAD              </t>
        </is>
      </c>
      <c r="I2140" t="n">
        <v>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2</v>
      </c>
      <c r="P2140" s="96">
        <f>_xlfn.XLOOKUP(Tabla5[[#This Row],[EAN CORREGIDO]],'Tabla Articulos'!B:B,'Tabla Articulos'!D:D)</f>
        <v/>
      </c>
      <c r="Q2140" s="96">
        <f>_xlfn.XLOOKUP(S2140,'Tabla Articulos'!B:B,'Tabla Articulos'!E:E)</f>
        <v/>
      </c>
      <c r="R2140" s="96">
        <f>O2140*Q2140</f>
        <v/>
      </c>
      <c r="S2140" s="97">
        <f>TRIM(E2140)</f>
        <v/>
      </c>
    </row>
    <row r="2141" hidden="1">
      <c r="A2141" s="22" t="n">
        <v>6</v>
      </c>
      <c r="B2141" t="inlineStr">
        <is>
          <t xml:space="preserve">CDM03 - MORENO 3              </t>
        </is>
      </c>
      <c r="C2141" t="inlineStr">
        <is>
          <t xml:space="preserve">GRUPO L.                      </t>
        </is>
      </c>
      <c r="D2141" s="11" t="n"/>
      <c r="E2141" t="inlineStr">
        <is>
          <t xml:space="preserve">BUSAT000875         </t>
        </is>
      </c>
      <c r="F2141" s="11" t="n"/>
      <c r="G2141" t="inlineStr">
        <is>
          <t xml:space="preserve">TACHO PLASTICO DE BASURA GRIS      </t>
        </is>
      </c>
      <c r="H2141" t="inlineStr">
        <is>
          <t xml:space="preserve">UNIDAD              </t>
        </is>
      </c>
      <c r="I2141" t="n">
        <v>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2</v>
      </c>
      <c r="P2141" s="96">
        <f>_xlfn.XLOOKUP(Tabla5[[#This Row],[EAN CORREGIDO]],'Tabla Articulos'!B:B,'Tabla Articulos'!D:D)</f>
        <v/>
      </c>
      <c r="Q2141" s="96">
        <f>_xlfn.XLOOKUP(S2141,'Tabla Articulos'!B:B,'Tabla Articulos'!E:E)</f>
        <v/>
      </c>
      <c r="R2141" s="96">
        <f>O2141*Q2141</f>
        <v/>
      </c>
      <c r="S2141" s="97">
        <f>TRIM(E2141)</f>
        <v/>
      </c>
    </row>
    <row r="2142" hidden="1">
      <c r="A2142" s="22" t="n">
        <v>6</v>
      </c>
      <c r="B2142" t="inlineStr">
        <is>
          <t xml:space="preserve">CDM03 - MORENO 3              </t>
        </is>
      </c>
      <c r="C2142" t="inlineStr">
        <is>
          <t xml:space="preserve">GRUPO L.                      </t>
        </is>
      </c>
      <c r="D2142" s="11" t="n"/>
      <c r="E2142" t="inlineStr">
        <is>
          <t xml:space="preserve">BUSAT000063         </t>
        </is>
      </c>
      <c r="F2142" s="11" t="n"/>
      <c r="G2142" t="inlineStr">
        <is>
          <t xml:space="preserve">CAJA FUERTE ROICA                  </t>
        </is>
      </c>
      <c r="H2142" t="inlineStr">
        <is>
          <t xml:space="preserve">UNIDAD              </t>
        </is>
      </c>
      <c r="I2142" t="n">
        <v>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1</v>
      </c>
      <c r="P2142" s="96">
        <f>_xlfn.XLOOKUP(Tabla5[[#This Row],[EAN CORREGIDO]],'Tabla Articulos'!B:B,'Tabla Articulos'!D:D)</f>
        <v/>
      </c>
      <c r="Q2142" s="96">
        <f>_xlfn.XLOOKUP(S2142,'Tabla Articulos'!B:B,'Tabla Articulos'!E:E)</f>
        <v/>
      </c>
      <c r="R2142" s="96">
        <f>O2142*Q2142</f>
        <v/>
      </c>
      <c r="S2142" s="97">
        <f>TRIM(E2142)</f>
        <v/>
      </c>
    </row>
    <row r="2143" hidden="1">
      <c r="A2143" s="22" t="n">
        <v>6</v>
      </c>
      <c r="B2143" t="inlineStr">
        <is>
          <t xml:space="preserve">CDM03 - MORENO 3              </t>
        </is>
      </c>
      <c r="C2143" t="inlineStr">
        <is>
          <t xml:space="preserve">GRUPO L.                      </t>
        </is>
      </c>
      <c r="D2143" s="11" t="n"/>
      <c r="E2143" t="inlineStr">
        <is>
          <t xml:space="preserve">BUSAT000124         </t>
        </is>
      </c>
      <c r="F2143" s="11" t="n"/>
      <c r="G2143" t="inlineStr">
        <is>
          <t xml:space="preserve">BOWL BATIDORA GRANDE               </t>
        </is>
      </c>
      <c r="H2143" t="inlineStr">
        <is>
          <t xml:space="preserve">UNIDAD              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2</v>
      </c>
      <c r="P2143" s="96">
        <f>_xlfn.XLOOKUP(Tabla5[[#This Row],[EAN CORREGIDO]],'Tabla Articulos'!B:B,'Tabla Articulos'!D:D)</f>
        <v/>
      </c>
      <c r="Q2143" s="96">
        <f>_xlfn.XLOOKUP(S2143,'Tabla Articulos'!B:B,'Tabla Articulos'!E:E)</f>
        <v/>
      </c>
      <c r="R2143" s="96">
        <f>O2143*Q2143</f>
        <v/>
      </c>
      <c r="S2143" s="97">
        <f>TRIM(E2143)</f>
        <v/>
      </c>
    </row>
    <row r="2144" hidden="1">
      <c r="A2144" s="22" t="n">
        <v>6</v>
      </c>
      <c r="B2144" t="inlineStr">
        <is>
          <t xml:space="preserve">CDM03 - MORENO 3              </t>
        </is>
      </c>
      <c r="C2144" t="inlineStr">
        <is>
          <t xml:space="preserve">GRUPO L.                      </t>
        </is>
      </c>
      <c r="D2144" s="11" t="n"/>
      <c r="E2144" t="inlineStr">
        <is>
          <t xml:space="preserve">BUSAT000574         </t>
        </is>
      </c>
      <c r="F2144" s="11" t="n"/>
      <c r="G2144" t="inlineStr">
        <is>
          <t xml:space="preserve">PANTALON CARGO GRIS	60             </t>
        </is>
      </c>
      <c r="H2144" t="inlineStr">
        <is>
          <t xml:space="preserve">UNIDAD              </t>
        </is>
      </c>
      <c r="I2144" t="n">
        <v>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8</v>
      </c>
      <c r="P2144" s="96">
        <f>_xlfn.XLOOKUP(Tabla5[[#This Row],[EAN CORREGIDO]],'Tabla Articulos'!B:B,'Tabla Articulos'!D:D)</f>
        <v/>
      </c>
      <c r="Q2144" s="96">
        <f>_xlfn.XLOOKUP(S2144,'Tabla Articulos'!B:B,'Tabla Articulos'!E:E)</f>
        <v/>
      </c>
      <c r="R2144" s="96">
        <f>O2144*Q2144</f>
        <v/>
      </c>
      <c r="S2144" s="97">
        <f>TRIM(E2144)</f>
        <v/>
      </c>
    </row>
    <row r="2145" hidden="1">
      <c r="A2145" s="22" t="n">
        <v>6</v>
      </c>
      <c r="B2145" t="inlineStr">
        <is>
          <t xml:space="preserve">CDM03 - MORENO 3              </t>
        </is>
      </c>
      <c r="C2145" t="inlineStr">
        <is>
          <t xml:space="preserve">GRUPO L.                      </t>
        </is>
      </c>
      <c r="D2145" s="11" t="inlineStr">
        <is>
          <t>REPASADORES</t>
        </is>
      </c>
      <c r="E2145" t="inlineStr">
        <is>
          <t xml:space="preserve">7798040051920       </t>
        </is>
      </c>
      <c r="F2145" s="11" t="n"/>
      <c r="G2145" t="inlineStr">
        <is>
          <t xml:space="preserve">REPASADOR GRANDE X UNIDAD          </t>
        </is>
      </c>
      <c r="H2145" t="inlineStr">
        <is>
          <t xml:space="preserve">UNIDAD              </t>
        </is>
      </c>
      <c r="I2145" t="n">
        <v>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2</v>
      </c>
      <c r="P2145" s="96">
        <f>_xlfn.XLOOKUP(Tabla5[[#This Row],[EAN CORREGIDO]],'Tabla Articulos'!B:B,'Tabla Articulos'!D:D)</f>
        <v/>
      </c>
      <c r="Q2145" s="96">
        <f>_xlfn.XLOOKUP(S2145,'Tabla Articulos'!B:B,'Tabla Articulos'!E:E)</f>
        <v/>
      </c>
      <c r="R2145" s="96">
        <f>O2145*Q2145</f>
        <v/>
      </c>
      <c r="S2145" s="97">
        <f>TRIM(E2145)</f>
        <v/>
      </c>
    </row>
    <row r="2146" hidden="1">
      <c r="A2146" s="22" t="n">
        <v>6</v>
      </c>
      <c r="B2146" t="inlineStr">
        <is>
          <t xml:space="preserve">CDM03 - MORENO 3              </t>
        </is>
      </c>
      <c r="C2146" t="inlineStr">
        <is>
          <t xml:space="preserve">GRUPO L.                      </t>
        </is>
      </c>
      <c r="D2146" s="11" t="n"/>
      <c r="E2146" t="inlineStr">
        <is>
          <t xml:space="preserve">BUSAT000164         </t>
        </is>
      </c>
      <c r="F2146" s="11" t="n"/>
      <c r="G2146" t="inlineStr">
        <is>
          <t xml:space="preserve">TAPER S/ TAPA                      </t>
        </is>
      </c>
      <c r="H2146" t="inlineStr">
        <is>
          <t xml:space="preserve">UNIDAD              </t>
        </is>
      </c>
      <c r="I2146" t="n">
        <v>1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1</v>
      </c>
      <c r="P2146" s="96">
        <f>_xlfn.XLOOKUP(Tabla5[[#This Row],[EAN CORREGIDO]],'Tabla Articulos'!B:B,'Tabla Articulos'!D:D)</f>
        <v/>
      </c>
      <c r="Q2146" s="96">
        <f>_xlfn.XLOOKUP(S2146,'Tabla Articulos'!B:B,'Tabla Articulos'!E:E)</f>
        <v/>
      </c>
      <c r="R2146" s="96">
        <f>O2146*Q2146</f>
        <v/>
      </c>
      <c r="S2146" s="97">
        <f>TRIM(E2146)</f>
        <v/>
      </c>
    </row>
    <row r="2147" hidden="1">
      <c r="A2147" s="22" t="n">
        <v>6</v>
      </c>
      <c r="B2147" t="inlineStr">
        <is>
          <t xml:space="preserve">CDM03 - MORENO 3              </t>
        </is>
      </c>
      <c r="C2147" t="inlineStr">
        <is>
          <t xml:space="preserve">GRUPO L.                      </t>
        </is>
      </c>
      <c r="D2147" s="11" t="n"/>
      <c r="E2147" t="inlineStr">
        <is>
          <t xml:space="preserve">2007078             </t>
        </is>
      </c>
      <c r="F2147" s="11" t="n"/>
      <c r="G2147" t="inlineStr">
        <is>
          <t xml:space="preserve">VO DESENGR DESINFEC METAQUART LIMP </t>
        </is>
      </c>
      <c r="H2147" t="inlineStr">
        <is>
          <t xml:space="preserve">UNIDAD              </t>
        </is>
      </c>
      <c r="I2147" t="n">
        <v>0</v>
      </c>
      <c r="J2147" t="n">
        <v>30</v>
      </c>
      <c r="K2147" t="n">
        <v>0</v>
      </c>
      <c r="L2147" t="n">
        <v>0</v>
      </c>
      <c r="M2147" t="n">
        <v>0</v>
      </c>
      <c r="N2147" t="n">
        <v>0</v>
      </c>
      <c r="O2147" t="n">
        <v>30</v>
      </c>
      <c r="P2147" s="96">
        <f>_xlfn.XLOOKUP(Tabla5[[#This Row],[EAN CORREGIDO]],'Tabla Articulos'!B:B,'Tabla Articulos'!D:D)</f>
        <v/>
      </c>
      <c r="Q2147" s="96">
        <f>_xlfn.XLOOKUP(S2147,'Tabla Articulos'!B:B,'Tabla Articulos'!E:E)</f>
        <v/>
      </c>
      <c r="R2147" s="96">
        <f>O2147*Q2147</f>
        <v/>
      </c>
      <c r="S2147" s="97">
        <f>TRIM(E2147)</f>
        <v/>
      </c>
    </row>
    <row r="2148" hidden="1">
      <c r="A2148" s="22" t="n">
        <v>6</v>
      </c>
      <c r="B2148" t="inlineStr">
        <is>
          <t xml:space="preserve">CDM03 - MORENO 3              </t>
        </is>
      </c>
      <c r="C2148" t="inlineStr">
        <is>
          <t xml:space="preserve">GRUPO L.                      </t>
        </is>
      </c>
      <c r="D2148" s="11" t="n"/>
      <c r="E2148" t="inlineStr">
        <is>
          <t xml:space="preserve">BUSAT000360         </t>
        </is>
      </c>
      <c r="F2148" s="11" t="n"/>
      <c r="G2148" t="inlineStr">
        <is>
          <t xml:space="preserve">FUNDA/SAND BIS                     </t>
        </is>
      </c>
      <c r="H2148" t="inlineStr">
        <is>
          <t xml:space="preserve">UNIDAD              </t>
        </is>
      </c>
      <c r="I2148" t="n">
        <v>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4</v>
      </c>
      <c r="P2148" s="96">
        <f>_xlfn.XLOOKUP(Tabla5[[#This Row],[EAN CORREGIDO]],'Tabla Articulos'!B:B,'Tabla Articulos'!D:D)</f>
        <v/>
      </c>
      <c r="Q2148" s="96">
        <f>_xlfn.XLOOKUP(S2148,'Tabla Articulos'!B:B,'Tabla Articulos'!E:E)</f>
        <v/>
      </c>
      <c r="R2148" s="96">
        <f>O2148*Q2148</f>
        <v/>
      </c>
      <c r="S2148" s="97">
        <f>TRIM(E2148)</f>
        <v/>
      </c>
    </row>
    <row r="2149" hidden="1">
      <c r="A2149" s="22" t="n">
        <v>6</v>
      </c>
      <c r="B2149" t="inlineStr">
        <is>
          <t xml:space="preserve">CDM03 - MORENO 3              </t>
        </is>
      </c>
      <c r="C2149" t="inlineStr">
        <is>
          <t xml:space="preserve">GRUPO L.                      </t>
        </is>
      </c>
      <c r="E2149" t="inlineStr">
        <is>
          <t xml:space="preserve">BUSAT000160         </t>
        </is>
      </c>
      <c r="G2149" t="inlineStr">
        <is>
          <t xml:space="preserve">BANDEJA PARILLERA DE HORNO X U     </t>
        </is>
      </c>
      <c r="H2149" t="inlineStr">
        <is>
          <t xml:space="preserve">UNIDAD              </t>
        </is>
      </c>
      <c r="I2149" t="n">
        <v>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2</v>
      </c>
      <c r="P2149" s="96">
        <f>_xlfn.XLOOKUP(Tabla5[[#This Row],[EAN CORREGIDO]],'Tabla Articulos'!B:B,'Tabla Articulos'!D:D)</f>
        <v/>
      </c>
      <c r="Q2149" s="96">
        <f>_xlfn.XLOOKUP(S2149,'Tabla Articulos'!B:B,'Tabla Articulos'!E:E)</f>
        <v/>
      </c>
      <c r="R2149" s="96">
        <f>O2149*Q2149</f>
        <v/>
      </c>
      <c r="S2149" s="97">
        <f>TRIM(E2149)</f>
        <v/>
      </c>
    </row>
    <row r="2150" hidden="1">
      <c r="A2150" s="22" t="n">
        <v>6</v>
      </c>
      <c r="B2150" t="inlineStr">
        <is>
          <t xml:space="preserve">CDM03 - MORENO 3              </t>
        </is>
      </c>
      <c r="C2150" t="inlineStr">
        <is>
          <t xml:space="preserve">GRUPO L.                      </t>
        </is>
      </c>
      <c r="D2150" s="11" t="n"/>
      <c r="E2150" t="inlineStr">
        <is>
          <t xml:space="preserve">BUSAT000308         </t>
        </is>
      </c>
      <c r="G2150" t="inlineStr">
        <is>
          <t xml:space="preserve">CARACOL EXTRACCION C/MOT           </t>
        </is>
      </c>
      <c r="H2150" t="inlineStr">
        <is>
          <t xml:space="preserve">UNIDAD              </t>
        </is>
      </c>
      <c r="I2150" t="n">
        <v>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1</v>
      </c>
      <c r="P2150" s="96">
        <f>_xlfn.XLOOKUP(Tabla5[[#This Row],[EAN CORREGIDO]],'Tabla Articulos'!B:B,'Tabla Articulos'!D:D)</f>
        <v/>
      </c>
      <c r="Q2150" s="96">
        <f>_xlfn.XLOOKUP(S2150,'Tabla Articulos'!B:B,'Tabla Articulos'!E:E)</f>
        <v/>
      </c>
      <c r="R2150" s="96">
        <f>O2150*Q2150</f>
        <v/>
      </c>
      <c r="S2150" s="97">
        <f>TRIM(E2150)</f>
        <v/>
      </c>
    </row>
    <row r="2151" hidden="1">
      <c r="A2151" s="22" t="n">
        <v>6</v>
      </c>
      <c r="B2151" t="inlineStr">
        <is>
          <t xml:space="preserve">CDM03 - MORENO 3              </t>
        </is>
      </c>
      <c r="C2151" t="inlineStr">
        <is>
          <t xml:space="preserve">GRUPO L.                      </t>
        </is>
      </c>
      <c r="E2151" t="inlineStr">
        <is>
          <t xml:space="preserve">BUSAT000892         </t>
        </is>
      </c>
      <c r="G2151" t="inlineStr">
        <is>
          <t xml:space="preserve">ESCUCRRIDOR PLASTICO GRIS GRANDE   </t>
        </is>
      </c>
      <c r="H2151" t="inlineStr">
        <is>
          <t xml:space="preserve">UNIDAD              </t>
        </is>
      </c>
      <c r="I2151" t="n">
        <v>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5</v>
      </c>
      <c r="P2151" s="96">
        <f>_xlfn.XLOOKUP(Tabla5[[#This Row],[EAN CORREGIDO]],'Tabla Articulos'!B:B,'Tabla Articulos'!D:D)</f>
        <v/>
      </c>
      <c r="Q2151" s="96">
        <f>_xlfn.XLOOKUP(S2151,'Tabla Articulos'!B:B,'Tabla Articulos'!E:E)</f>
        <v/>
      </c>
      <c r="R2151" s="96">
        <f>O2151*Q2151</f>
        <v/>
      </c>
      <c r="S2151" s="97">
        <f>TRIM(E2151)</f>
        <v/>
      </c>
    </row>
    <row r="2152" hidden="1">
      <c r="A2152" s="22" t="n">
        <v>6</v>
      </c>
      <c r="B2152" t="inlineStr">
        <is>
          <t xml:space="preserve">CDM03 - MORENO 3              </t>
        </is>
      </c>
      <c r="C2152" t="inlineStr">
        <is>
          <t xml:space="preserve">GRUPO L.                      </t>
        </is>
      </c>
      <c r="E2152" t="inlineStr">
        <is>
          <t xml:space="preserve">BUSAT000090         </t>
        </is>
      </c>
      <c r="G2152" t="inlineStr">
        <is>
          <t xml:space="preserve">GN FINOS                           </t>
        </is>
      </c>
      <c r="H2152" t="inlineStr">
        <is>
          <t xml:space="preserve">UNIDAD              </t>
        </is>
      </c>
      <c r="I2152" t="n">
        <v>17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17</v>
      </c>
      <c r="P2152" s="96">
        <f>_xlfn.XLOOKUP(Tabla5[[#This Row],[EAN CORREGIDO]],'Tabla Articulos'!B:B,'Tabla Articulos'!D:D)</f>
        <v/>
      </c>
      <c r="Q2152" s="96">
        <f>_xlfn.XLOOKUP(S2152,'Tabla Articulos'!B:B,'Tabla Articulos'!E:E)</f>
        <v/>
      </c>
      <c r="R2152" s="96">
        <f>O2152*Q2152</f>
        <v/>
      </c>
      <c r="S2152" s="97">
        <f>TRIM(E2152)</f>
        <v/>
      </c>
    </row>
    <row r="2153" hidden="1">
      <c r="A2153" s="22" t="n">
        <v>6</v>
      </c>
      <c r="B2153" t="inlineStr">
        <is>
          <t xml:space="preserve">CDM03 - MORENO 3              </t>
        </is>
      </c>
      <c r="C2153" t="inlineStr">
        <is>
          <t xml:space="preserve">GRUPO L.                      </t>
        </is>
      </c>
      <c r="D2153" s="11" t="n"/>
      <c r="E2153" t="inlineStr">
        <is>
          <t xml:space="preserve">BUM312              </t>
        </is>
      </c>
      <c r="G2153" t="inlineStr">
        <is>
          <t xml:space="preserve">BANDEJA TERMICA DE HOSPITAL        </t>
        </is>
      </c>
      <c r="H2153" t="inlineStr">
        <is>
          <t xml:space="preserve">UNIDAD              </t>
        </is>
      </c>
      <c r="I2153" t="n">
        <v>75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75</v>
      </c>
      <c r="P2153" s="96">
        <f>_xlfn.XLOOKUP(Tabla5[[#This Row],[EAN CORREGIDO]],'Tabla Articulos'!B:B,'Tabla Articulos'!D:D)</f>
        <v/>
      </c>
      <c r="Q2153" s="96">
        <f>_xlfn.XLOOKUP(S2153,'Tabla Articulos'!B:B,'Tabla Articulos'!E:E)</f>
        <v/>
      </c>
      <c r="R2153" s="96">
        <f>O2153*Q2153</f>
        <v/>
      </c>
      <c r="S2153" s="97">
        <f>TRIM(E2153)</f>
        <v/>
      </c>
    </row>
    <row r="2154" hidden="1">
      <c r="A2154" s="22" t="n">
        <v>6</v>
      </c>
      <c r="B2154" t="inlineStr">
        <is>
          <t xml:space="preserve">CDM03 - MORENO 3              </t>
        </is>
      </c>
      <c r="C2154" t="inlineStr">
        <is>
          <t xml:space="preserve">GRUPO L.                      </t>
        </is>
      </c>
      <c r="E2154" t="inlineStr">
        <is>
          <t xml:space="preserve">BUSAT000293         </t>
        </is>
      </c>
      <c r="G2154" t="inlineStr">
        <is>
          <t xml:space="preserve">PANERA BRAFH 100                   </t>
        </is>
      </c>
      <c r="H2154" t="inlineStr">
        <is>
          <t xml:space="preserve">UNIDAD              </t>
        </is>
      </c>
      <c r="I2154" t="n">
        <v>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1</v>
      </c>
      <c r="P2154" s="96">
        <f>_xlfn.XLOOKUP(Tabla5[[#This Row],[EAN CORREGIDO]],'Tabla Articulos'!B:B,'Tabla Articulos'!D:D)</f>
        <v/>
      </c>
      <c r="Q2154" s="96">
        <f>_xlfn.XLOOKUP(S2154,'Tabla Articulos'!B:B,'Tabla Articulos'!E:E)</f>
        <v/>
      </c>
      <c r="R2154" s="96">
        <f>O2154*Q2154</f>
        <v/>
      </c>
      <c r="S2154" s="97">
        <f>TRIM(E2154)</f>
        <v/>
      </c>
    </row>
    <row r="2155" hidden="1">
      <c r="A2155" s="22" t="n">
        <v>6</v>
      </c>
      <c r="B2155" t="inlineStr">
        <is>
          <t xml:space="preserve">CDM03 - MORENO 3              </t>
        </is>
      </c>
      <c r="C2155" t="inlineStr">
        <is>
          <t xml:space="preserve">GRUPO L.                      </t>
        </is>
      </c>
      <c r="E2155" t="inlineStr">
        <is>
          <t xml:space="preserve">BUSAT000572         </t>
        </is>
      </c>
      <c r="F2155" s="11" t="n"/>
      <c r="G2155" t="inlineStr">
        <is>
          <t xml:space="preserve">PANTALON CARGO GRIS	56             </t>
        </is>
      </c>
      <c r="H2155" t="inlineStr">
        <is>
          <t xml:space="preserve">UNIDAD              </t>
        </is>
      </c>
      <c r="I2155" t="n">
        <v>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2</v>
      </c>
      <c r="P2155" s="96">
        <f>_xlfn.XLOOKUP(Tabla5[[#This Row],[EAN CORREGIDO]],'Tabla Articulos'!B:B,'Tabla Articulos'!D:D)</f>
        <v/>
      </c>
      <c r="Q2155" s="96">
        <f>_xlfn.XLOOKUP(S2155,'Tabla Articulos'!B:B,'Tabla Articulos'!E:E)</f>
        <v/>
      </c>
      <c r="R2155" s="96">
        <f>O2155*Q2155</f>
        <v/>
      </c>
      <c r="S2155" s="97">
        <f>TRIM(E2155)</f>
        <v/>
      </c>
    </row>
    <row r="2156" hidden="1">
      <c r="A2156" s="22" t="n">
        <v>6</v>
      </c>
      <c r="B2156" t="inlineStr">
        <is>
          <t xml:space="preserve">CDM03 - MORENO 3              </t>
        </is>
      </c>
      <c r="C2156" t="inlineStr">
        <is>
          <t xml:space="preserve">GRUPO L.                      </t>
        </is>
      </c>
      <c r="D2156" s="11" t="n"/>
      <c r="E2156" t="inlineStr">
        <is>
          <t xml:space="preserve">BUSAT000925         </t>
        </is>
      </c>
      <c r="F2156" s="11" t="n"/>
      <c r="G2156" t="inlineStr">
        <is>
          <t xml:space="preserve">TACHO DE BASURA/RECICLABLES        </t>
        </is>
      </c>
      <c r="H2156" t="inlineStr">
        <is>
          <t xml:space="preserve">UNIDAD              </t>
        </is>
      </c>
      <c r="I2156" t="n">
        <v>12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12</v>
      </c>
      <c r="P2156" s="96">
        <f>_xlfn.XLOOKUP(Tabla5[[#This Row],[EAN CORREGIDO]],'Tabla Articulos'!B:B,'Tabla Articulos'!D:D)</f>
        <v/>
      </c>
      <c r="Q2156" s="96">
        <f>_xlfn.XLOOKUP(S2156,'Tabla Articulos'!B:B,'Tabla Articulos'!E:E)</f>
        <v/>
      </c>
      <c r="R2156" s="96">
        <f>O2156*Q2156</f>
        <v/>
      </c>
      <c r="S2156" s="97">
        <f>TRIM(E2156)</f>
        <v/>
      </c>
    </row>
    <row r="2157" hidden="1">
      <c r="A2157" s="22" t="n">
        <v>6</v>
      </c>
      <c r="B2157" t="inlineStr">
        <is>
          <t xml:space="preserve">CDM03 - MORENO 3              </t>
        </is>
      </c>
      <c r="C2157" t="inlineStr">
        <is>
          <t xml:space="preserve">GRUPO L.                      </t>
        </is>
      </c>
      <c r="D2157" s="11" t="n"/>
      <c r="E2157" t="inlineStr">
        <is>
          <t xml:space="preserve">BUSAT000585         </t>
        </is>
      </c>
      <c r="F2157" s="11" t="n"/>
      <c r="G2157" t="inlineStr">
        <is>
          <t xml:space="preserve">CHOMBA AZUL MANGA LARGA XXL        </t>
        </is>
      </c>
      <c r="H2157" t="inlineStr">
        <is>
          <t xml:space="preserve">UNIDAD              </t>
        </is>
      </c>
      <c r="I2157" t="n">
        <v>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2</v>
      </c>
      <c r="P2157" s="96">
        <f>_xlfn.XLOOKUP(Tabla5[[#This Row],[EAN CORREGIDO]],'Tabla Articulos'!B:B,'Tabla Articulos'!D:D)</f>
        <v/>
      </c>
      <c r="Q2157" s="96">
        <f>_xlfn.XLOOKUP(S2157,'Tabla Articulos'!B:B,'Tabla Articulos'!E:E)</f>
        <v/>
      </c>
      <c r="R2157" s="96">
        <f>O2157*Q2157</f>
        <v/>
      </c>
      <c r="S2157" s="97">
        <f>TRIM(E2157)</f>
        <v/>
      </c>
    </row>
    <row r="2158" hidden="1">
      <c r="A2158" s="22" t="n">
        <v>6</v>
      </c>
      <c r="B2158" t="inlineStr">
        <is>
          <t xml:space="preserve">CDM03 - MORENO 3              </t>
        </is>
      </c>
      <c r="C2158" t="inlineStr">
        <is>
          <t xml:space="preserve">GRUPO L.                      </t>
        </is>
      </c>
      <c r="D2158" s="11" t="n"/>
      <c r="E2158" t="inlineStr">
        <is>
          <t xml:space="preserve">BUSAT000621         </t>
        </is>
      </c>
      <c r="F2158" s="11" t="n"/>
      <c r="G2158" t="inlineStr">
        <is>
          <t xml:space="preserve"> SWERTER CARDIGAN T4               </t>
        </is>
      </c>
      <c r="H2158" t="inlineStr">
        <is>
          <t xml:space="preserve">UNIDAD              </t>
        </is>
      </c>
      <c r="I2158" t="n">
        <v>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1</v>
      </c>
      <c r="P2158" s="96">
        <f>_xlfn.XLOOKUP(Tabla5[[#This Row],[EAN CORREGIDO]],'Tabla Articulos'!B:B,'Tabla Articulos'!D:D)</f>
        <v/>
      </c>
      <c r="Q2158" s="96">
        <f>_xlfn.XLOOKUP(S2158,'Tabla Articulos'!B:B,'Tabla Articulos'!E:E)</f>
        <v/>
      </c>
      <c r="R2158" s="96">
        <f>O2158*Q2158</f>
        <v/>
      </c>
      <c r="S2158" s="97">
        <f>TRIM(E2158)</f>
        <v/>
      </c>
    </row>
    <row r="2159" hidden="1">
      <c r="A2159" s="22" t="n">
        <v>6</v>
      </c>
      <c r="B2159" t="inlineStr">
        <is>
          <t xml:space="preserve">CDM03 - MORENO 3              </t>
        </is>
      </c>
      <c r="C2159" t="inlineStr">
        <is>
          <t xml:space="preserve">GRUPO L.                      </t>
        </is>
      </c>
      <c r="E2159" t="inlineStr">
        <is>
          <t xml:space="preserve">BUSAT000131         </t>
        </is>
      </c>
      <c r="F2159" s="11" t="n"/>
      <c r="G2159" t="inlineStr">
        <is>
          <t xml:space="preserve">PANERA GRANDE ACERO INOX           </t>
        </is>
      </c>
      <c r="H2159" t="inlineStr">
        <is>
          <t xml:space="preserve">UNIDAD              </t>
        </is>
      </c>
      <c r="I2159" t="n">
        <v>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1</v>
      </c>
      <c r="P2159" s="96">
        <f>_xlfn.XLOOKUP(Tabla5[[#This Row],[EAN CORREGIDO]],'Tabla Articulos'!B:B,'Tabla Articulos'!D:D)</f>
        <v/>
      </c>
      <c r="Q2159" s="96">
        <f>_xlfn.XLOOKUP(S2159,'Tabla Articulos'!B:B,'Tabla Articulos'!E:E)</f>
        <v/>
      </c>
      <c r="R2159" s="96">
        <f>O2159*Q2159</f>
        <v/>
      </c>
      <c r="S2159" s="97">
        <f>TRIM(E2159)</f>
        <v/>
      </c>
    </row>
    <row r="2160" hidden="1">
      <c r="A2160" s="22" t="n">
        <v>6</v>
      </c>
      <c r="B2160" t="inlineStr">
        <is>
          <t xml:space="preserve">CDM03 - MORENO 3              </t>
        </is>
      </c>
      <c r="C2160" t="inlineStr">
        <is>
          <t xml:space="preserve">GRUPO L.                      </t>
        </is>
      </c>
      <c r="D2160" s="11" t="n"/>
      <c r="E2160" t="inlineStr">
        <is>
          <t xml:space="preserve">BUSAT000274         </t>
        </is>
      </c>
      <c r="F2160" s="11" t="n"/>
      <c r="G2160" t="inlineStr">
        <is>
          <t xml:space="preserve">SEPARADORES CORTOS                 </t>
        </is>
      </c>
      <c r="H2160" t="inlineStr">
        <is>
          <t xml:space="preserve">UNIDAD              </t>
        </is>
      </c>
      <c r="I2160" t="n">
        <v>32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32</v>
      </c>
      <c r="P2160" s="96">
        <f>_xlfn.XLOOKUP(Tabla5[[#This Row],[EAN CORREGIDO]],'Tabla Articulos'!B:B,'Tabla Articulos'!D:D)</f>
        <v/>
      </c>
      <c r="Q2160" s="96">
        <f>_xlfn.XLOOKUP(S2160,'Tabla Articulos'!B:B,'Tabla Articulos'!E:E)</f>
        <v/>
      </c>
      <c r="R2160" s="96">
        <f>O2160*Q2160</f>
        <v/>
      </c>
      <c r="S2160" s="97">
        <f>TRIM(E2160)</f>
        <v/>
      </c>
    </row>
    <row r="2161" hidden="1">
      <c r="A2161" s="22" t="n">
        <v>6</v>
      </c>
      <c r="B2161" t="inlineStr">
        <is>
          <t xml:space="preserve">CDM03 - MORENO 3              </t>
        </is>
      </c>
      <c r="C2161" t="inlineStr">
        <is>
          <t xml:space="preserve">GRUPO L.                      </t>
        </is>
      </c>
      <c r="D2161" s="11" t="n"/>
      <c r="E2161" t="inlineStr">
        <is>
          <t xml:space="preserve">BUSAT000206         </t>
        </is>
      </c>
      <c r="F2161" s="11" t="n"/>
      <c r="G2161" t="inlineStr">
        <is>
          <t xml:space="preserve">BANDEJAS FAST FOOD AZUL X U        </t>
        </is>
      </c>
      <c r="H2161" t="inlineStr">
        <is>
          <t xml:space="preserve">UNIDAD              </t>
        </is>
      </c>
      <c r="I2161" t="n">
        <v>457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457</v>
      </c>
      <c r="P2161" s="96">
        <f>_xlfn.XLOOKUP(Tabla5[[#This Row],[EAN CORREGIDO]],'Tabla Articulos'!B:B,'Tabla Articulos'!D:D)</f>
        <v/>
      </c>
      <c r="Q2161" s="96">
        <f>_xlfn.XLOOKUP(S2161,'Tabla Articulos'!B:B,'Tabla Articulos'!E:E)</f>
        <v/>
      </c>
      <c r="R2161" s="96">
        <f>O2161*Q2161</f>
        <v/>
      </c>
      <c r="S2161" s="97">
        <f>TRIM(E2161)</f>
        <v/>
      </c>
    </row>
    <row r="2162" hidden="1">
      <c r="A2162" s="22" t="n">
        <v>6</v>
      </c>
      <c r="B2162" t="inlineStr">
        <is>
          <t xml:space="preserve">CDM03 - MORENO 3              </t>
        </is>
      </c>
      <c r="C2162" t="inlineStr">
        <is>
          <t xml:space="preserve">GRUPO L.                      </t>
        </is>
      </c>
      <c r="D2162" s="11" t="n"/>
      <c r="E2162" t="inlineStr">
        <is>
          <t xml:space="preserve">BUSAT000284         </t>
        </is>
      </c>
      <c r="F2162" s="11" t="n"/>
      <c r="G2162" t="inlineStr">
        <is>
          <t xml:space="preserve">BASE HORNO CONVECTOR               </t>
        </is>
      </c>
      <c r="H2162" t="inlineStr">
        <is>
          <t xml:space="preserve">PALLET              </t>
        </is>
      </c>
      <c r="I2162" t="n">
        <v>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1</v>
      </c>
      <c r="P2162" s="96">
        <f>_xlfn.XLOOKUP(Tabla5[[#This Row],[EAN CORREGIDO]],'Tabla Articulos'!B:B,'Tabla Articulos'!D:D)</f>
        <v/>
      </c>
      <c r="Q2162" s="96">
        <f>_xlfn.XLOOKUP(S2162,'Tabla Articulos'!B:B,'Tabla Articulos'!E:E)</f>
        <v/>
      </c>
      <c r="R2162" s="96">
        <f>O2162*Q2162</f>
        <v/>
      </c>
      <c r="S2162" s="97">
        <f>TRIM(E2162)</f>
        <v/>
      </c>
    </row>
    <row r="2163" hidden="1">
      <c r="A2163" s="22" t="n">
        <v>6</v>
      </c>
      <c r="B2163" t="inlineStr">
        <is>
          <t xml:space="preserve">CDM03 - MORENO 3              </t>
        </is>
      </c>
      <c r="C2163" t="inlineStr">
        <is>
          <t xml:space="preserve">GRUPO L.                      </t>
        </is>
      </c>
      <c r="D2163" s="11" t="n"/>
      <c r="E2163" t="inlineStr">
        <is>
          <t xml:space="preserve">BUSAT000365         </t>
        </is>
      </c>
      <c r="F2163" s="11" t="n"/>
      <c r="G2163" t="inlineStr">
        <is>
          <t xml:space="preserve">ALFOMBRA CESPED SINTETICO/SAND     </t>
        </is>
      </c>
      <c r="H2163" t="inlineStr">
        <is>
          <t xml:space="preserve">UNIDAD              </t>
        </is>
      </c>
      <c r="I2163" t="n">
        <v>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4</v>
      </c>
      <c r="P2163" s="96">
        <f>_xlfn.XLOOKUP(Tabla5[[#This Row],[EAN CORREGIDO]],'Tabla Articulos'!B:B,'Tabla Articulos'!D:D)</f>
        <v/>
      </c>
      <c r="Q2163" s="96">
        <f>_xlfn.XLOOKUP(S2163,'Tabla Articulos'!B:B,'Tabla Articulos'!E:E)</f>
        <v/>
      </c>
      <c r="R2163" s="96">
        <f>O2163*Q2163</f>
        <v/>
      </c>
      <c r="S2163" s="97">
        <f>TRIM(E2163)</f>
        <v/>
      </c>
    </row>
    <row r="2164" hidden="1">
      <c r="A2164" s="22" t="n">
        <v>6</v>
      </c>
      <c r="B2164" t="inlineStr">
        <is>
          <t xml:space="preserve">CDM03 - MORENO 3              </t>
        </is>
      </c>
      <c r="C2164" t="inlineStr">
        <is>
          <t xml:space="preserve">GRUPO L.                      </t>
        </is>
      </c>
      <c r="D2164" s="11" t="n"/>
      <c r="E2164" t="inlineStr">
        <is>
          <t xml:space="preserve">OBR000114           </t>
        </is>
      </c>
      <c r="F2164" s="11" t="n"/>
      <c r="G2164" t="inlineStr">
        <is>
          <t xml:space="preserve">CARRETILLAS                        </t>
        </is>
      </c>
      <c r="H2164" t="inlineStr">
        <is>
          <t xml:space="preserve">UNIDAD              </t>
        </is>
      </c>
      <c r="I2164" t="n">
        <v>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6</v>
      </c>
      <c r="P2164" s="96">
        <f>_xlfn.XLOOKUP(Tabla5[[#This Row],[EAN CORREGIDO]],'Tabla Articulos'!B:B,'Tabla Articulos'!D:D)</f>
        <v/>
      </c>
      <c r="Q2164" s="96">
        <f>_xlfn.XLOOKUP(S2164,'Tabla Articulos'!B:B,'Tabla Articulos'!E:E)</f>
        <v/>
      </c>
      <c r="R2164" s="96">
        <f>O2164*Q2164</f>
        <v/>
      </c>
      <c r="S2164" s="97">
        <f>TRIM(E2164)</f>
        <v/>
      </c>
    </row>
    <row r="2165" hidden="1">
      <c r="A2165" s="22" t="n">
        <v>5</v>
      </c>
      <c r="B2165" t="inlineStr">
        <is>
          <t xml:space="preserve">CDM02 - MORENO 2              </t>
        </is>
      </c>
      <c r="C2165" t="inlineStr">
        <is>
          <t xml:space="preserve">GRUPO L.                      </t>
        </is>
      </c>
      <c r="D2165" s="11" t="inlineStr">
        <is>
          <t>CALDO POLVO CARNE</t>
        </is>
      </c>
      <c r="E2165" t="inlineStr">
        <is>
          <t xml:space="preserve">7794000004047       </t>
        </is>
      </c>
      <c r="F2165" s="11" t="n">
        <v>4020630</v>
      </c>
      <c r="G2165" t="inlineStr">
        <is>
          <t xml:space="preserve">CALDO CARNE X1KG KNORR             </t>
        </is>
      </c>
      <c r="H2165" t="inlineStr">
        <is>
          <t xml:space="preserve">UNIDAD              </t>
        </is>
      </c>
      <c r="I2165" t="n">
        <v>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4</v>
      </c>
      <c r="P2165" s="96">
        <f>_xlfn.XLOOKUP(Tabla5[[#This Row],[EAN CORREGIDO]],'Tabla Articulos'!B:B,'Tabla Articulos'!D:D)</f>
        <v/>
      </c>
      <c r="Q2165" s="96">
        <f>_xlfn.XLOOKUP(S2165,'Tabla Articulos'!B:B,'Tabla Articulos'!E:E)</f>
        <v/>
      </c>
      <c r="R2165" s="96">
        <f>O2165*Q2165</f>
        <v/>
      </c>
      <c r="S2165" s="97">
        <f>TRIM(E2165)</f>
        <v/>
      </c>
    </row>
    <row r="2166" hidden="1">
      <c r="A2166" s="22" t="n">
        <v>1</v>
      </c>
      <c r="B2166" t="inlineStr">
        <is>
          <t xml:space="preserve">CD MORENO                     </t>
        </is>
      </c>
      <c r="C2166" t="inlineStr">
        <is>
          <t xml:space="preserve">GRUPO L.                      </t>
        </is>
      </c>
      <c r="D2166" s="11" t="inlineStr">
        <is>
          <t>CALDO POLVO CARNE</t>
        </is>
      </c>
      <c r="E2166" t="inlineStr">
        <is>
          <t xml:space="preserve">7794000004047       </t>
        </is>
      </c>
      <c r="F2166" s="11" t="n">
        <v>4020630</v>
      </c>
      <c r="G2166" t="inlineStr">
        <is>
          <t xml:space="preserve">CALDO CARNE X1KG KNORR             </t>
        </is>
      </c>
      <c r="H2166" t="inlineStr">
        <is>
          <t xml:space="preserve">UNIDAD              </t>
        </is>
      </c>
      <c r="I2166" t="n">
        <v>21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21</v>
      </c>
      <c r="P2166" s="96">
        <f>_xlfn.XLOOKUP(Tabla5[[#This Row],[EAN CORREGIDO]],'Tabla Articulos'!B:B,'Tabla Articulos'!D:D)</f>
        <v/>
      </c>
      <c r="Q2166" s="96">
        <f>_xlfn.XLOOKUP(S2166,'Tabla Articulos'!B:B,'Tabla Articulos'!E:E)</f>
        <v/>
      </c>
      <c r="R2166" s="96">
        <f>O2166*Q2166</f>
        <v/>
      </c>
      <c r="S2166" s="97">
        <f>TRIM(E2166)</f>
        <v/>
      </c>
    </row>
    <row r="2167" hidden="1">
      <c r="A2167" s="22" t="n">
        <v>1</v>
      </c>
      <c r="B2167" t="inlineStr">
        <is>
          <t xml:space="preserve">CD MORENO                     </t>
        </is>
      </c>
      <c r="C2167" t="inlineStr">
        <is>
          <t xml:space="preserve">GRUPO L.                      </t>
        </is>
      </c>
      <c r="D2167" s="11" t="inlineStr">
        <is>
          <t>CARNE FETEADA</t>
        </is>
      </c>
      <c r="E2167" t="inlineStr">
        <is>
          <t xml:space="preserve">7790212030072       </t>
        </is>
      </c>
      <c r="F2167" s="11" t="n">
        <v>4017688</v>
      </c>
      <c r="G2167" t="inlineStr">
        <is>
          <t xml:space="preserve">NALGA  FETEADA X KG                </t>
        </is>
      </c>
      <c r="H2167" t="inlineStr">
        <is>
          <t xml:space="preserve">Kgs                 </t>
        </is>
      </c>
      <c r="I2167" t="n">
        <v>193.86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193.86</v>
      </c>
      <c r="P2167" s="96">
        <f>_xlfn.XLOOKUP(Tabla5[[#This Row],[EAN CORREGIDO]],'Tabla Articulos'!B:B,'Tabla Articulos'!D:D)</f>
        <v/>
      </c>
      <c r="Q2167" s="96">
        <f>_xlfn.XLOOKUP(S2167,'Tabla Articulos'!B:B,'Tabla Articulos'!E:E)</f>
        <v/>
      </c>
      <c r="R2167" s="96">
        <f>O2167*Q2167</f>
        <v/>
      </c>
      <c r="S2167" s="97">
        <f>TRIM(E2167)</f>
        <v/>
      </c>
    </row>
    <row r="2168" hidden="1">
      <c r="A2168" s="22" t="n">
        <v>6</v>
      </c>
      <c r="B2168" t="inlineStr">
        <is>
          <t xml:space="preserve">CDM03 - MORENO 3              </t>
        </is>
      </c>
      <c r="C2168" t="inlineStr">
        <is>
          <t xml:space="preserve">GRUPO L.                      </t>
        </is>
      </c>
      <c r="D2168" s="11" t="n"/>
      <c r="E2168" t="inlineStr">
        <is>
          <t xml:space="preserve">BUSAT0011005        </t>
        </is>
      </c>
      <c r="F2168" s="11" t="n">
        <v>2006957</v>
      </c>
      <c r="G2168" t="inlineStr">
        <is>
          <t xml:space="preserve">BALDE AZUL VEGA PRENSA MOPA 30LTS  </t>
        </is>
      </c>
      <c r="H2168" t="inlineStr">
        <is>
          <t xml:space="preserve">UNIDAD              </t>
        </is>
      </c>
      <c r="I2168" t="n">
        <v>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9</v>
      </c>
      <c r="P2168" s="96">
        <f>_xlfn.XLOOKUP(Tabla5[[#This Row],[EAN CORREGIDO]],'Tabla Articulos'!B:B,'Tabla Articulos'!D:D)</f>
        <v/>
      </c>
      <c r="Q2168" s="96">
        <f>_xlfn.XLOOKUP(S2168,'Tabla Articulos'!B:B,'Tabla Articulos'!E:E)</f>
        <v/>
      </c>
      <c r="R2168" s="96">
        <f>O2168*Q2168</f>
        <v/>
      </c>
      <c r="S2168" s="97">
        <f>TRIM(E2168)</f>
        <v/>
      </c>
    </row>
    <row r="2169" hidden="1">
      <c r="A2169" s="22" t="n">
        <v>1</v>
      </c>
      <c r="B2169" t="inlineStr">
        <is>
          <t xml:space="preserve">CD MORENO                     </t>
        </is>
      </c>
      <c r="C2169" t="inlineStr">
        <is>
          <t xml:space="preserve">GRUPO L.                      </t>
        </is>
      </c>
      <c r="D2169" s="11" t="inlineStr">
        <is>
          <t>FIDEOS GUISEROS</t>
        </is>
      </c>
      <c r="E2169" t="inlineStr">
        <is>
          <t xml:space="preserve">7798138555532       </t>
        </is>
      </c>
      <c r="F2169" s="11" t="n">
        <v>4020334</v>
      </c>
      <c r="G2169" t="inlineStr">
        <is>
          <t>FIDEO GUIS TIRABUZON X500G STA ISAB</t>
        </is>
      </c>
      <c r="H2169" t="inlineStr">
        <is>
          <t xml:space="preserve">UNIDAD              </t>
        </is>
      </c>
      <c r="I2169" t="n">
        <v>2356</v>
      </c>
      <c r="J2169" t="n">
        <v>0</v>
      </c>
      <c r="K2169" t="n">
        <v>0</v>
      </c>
      <c r="L2169" t="n">
        <v>428</v>
      </c>
      <c r="M2169" t="n">
        <v>428</v>
      </c>
      <c r="N2169" t="n">
        <v>0</v>
      </c>
      <c r="O2169" t="n">
        <v>1500</v>
      </c>
      <c r="P2169" s="96">
        <f>_xlfn.XLOOKUP(Tabla5[[#This Row],[EAN CORREGIDO]],'Tabla Articulos'!B:B,'Tabla Articulos'!D:D)</f>
        <v/>
      </c>
      <c r="Q2169" s="96">
        <f>_xlfn.XLOOKUP(S2169,'Tabla Articulos'!B:B,'Tabla Articulos'!E:E)</f>
        <v/>
      </c>
      <c r="R2169" s="96">
        <f>O2169*Q2169</f>
        <v/>
      </c>
      <c r="S2169" s="97">
        <f>TRIM(E2169)</f>
        <v/>
      </c>
    </row>
    <row r="2170" hidden="1">
      <c r="A2170" s="22" t="n">
        <v>5</v>
      </c>
      <c r="B2170" t="inlineStr">
        <is>
          <t xml:space="preserve">CDM02 - MORENO 2              </t>
        </is>
      </c>
      <c r="C2170" t="inlineStr">
        <is>
          <t xml:space="preserve">GRUPO L.                      </t>
        </is>
      </c>
      <c r="D2170" s="11" t="inlineStr">
        <is>
          <t>FIDEOS GUISEROS</t>
        </is>
      </c>
      <c r="E2170" t="inlineStr">
        <is>
          <t xml:space="preserve">7798138555532       </t>
        </is>
      </c>
      <c r="F2170" s="11" t="n">
        <v>4020334</v>
      </c>
      <c r="G2170" t="inlineStr">
        <is>
          <t>FIDEO GUIS TIRABUZON X500G STA ISAB</t>
        </is>
      </c>
      <c r="H2170" t="inlineStr">
        <is>
          <t xml:space="preserve">UNIDAD              </t>
        </is>
      </c>
      <c r="I2170" t="n">
        <v>242722</v>
      </c>
      <c r="J2170" t="n">
        <v>0</v>
      </c>
      <c r="K2170" t="n">
        <v>0</v>
      </c>
      <c r="L2170" t="n">
        <v>0</v>
      </c>
      <c r="M2170" t="n">
        <v>410</v>
      </c>
      <c r="N2170" t="n">
        <v>0</v>
      </c>
      <c r="O2170" t="n">
        <v>242312</v>
      </c>
      <c r="P2170" s="96">
        <f>_xlfn.XLOOKUP(Tabla5[[#This Row],[EAN CORREGIDO]],'Tabla Articulos'!B:B,'Tabla Articulos'!D:D)</f>
        <v/>
      </c>
      <c r="Q2170" s="96">
        <f>_xlfn.XLOOKUP(S2170,'Tabla Articulos'!B:B,'Tabla Articulos'!E:E)</f>
        <v/>
      </c>
      <c r="R2170" s="96">
        <f>O2170*Q2170</f>
        <v/>
      </c>
      <c r="S2170" s="97">
        <f>TRIM(E2170)</f>
        <v/>
      </c>
    </row>
    <row r="2171" hidden="1">
      <c r="A2171" s="22" t="n">
        <v>1</v>
      </c>
      <c r="B2171" t="inlineStr">
        <is>
          <t xml:space="preserve">CD MORENO                     </t>
        </is>
      </c>
      <c r="C2171" t="inlineStr">
        <is>
          <t xml:space="preserve">GRUPO L.                      </t>
        </is>
      </c>
      <c r="E2171" t="inlineStr">
        <is>
          <t xml:space="preserve">7796624012009       </t>
        </is>
      </c>
      <c r="F2171" t="n">
        <v>4022356</v>
      </c>
      <c r="G2171" t="inlineStr">
        <is>
          <t xml:space="preserve">GALL INDIV SAND ABEDUL 176UX25G    </t>
        </is>
      </c>
      <c r="H2171" t="inlineStr">
        <is>
          <t xml:space="preserve">UNIDAD              </t>
        </is>
      </c>
      <c r="I2171" t="n">
        <v>2000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2000</v>
      </c>
      <c r="P2171" s="96">
        <f>_xlfn.XLOOKUP(Tabla5[[#This Row],[EAN CORREGIDO]],'Tabla Articulos'!B:B,'Tabla Articulos'!D:D)</f>
        <v/>
      </c>
      <c r="Q2171" s="96">
        <f>_xlfn.XLOOKUP(S2171,'Tabla Articulos'!B:B,'Tabla Articulos'!E:E)</f>
        <v/>
      </c>
      <c r="R2171" s="96">
        <f>O2171*Q2171</f>
        <v/>
      </c>
      <c r="S2171" s="97">
        <f>TRIM(E2171)</f>
        <v/>
      </c>
    </row>
    <row r="2172" hidden="1">
      <c r="A2172" s="22" t="n">
        <v>5</v>
      </c>
      <c r="B2172" t="inlineStr">
        <is>
          <t xml:space="preserve">CDM02 - MORENO 2              </t>
        </is>
      </c>
      <c r="C2172" t="inlineStr">
        <is>
          <t xml:space="preserve">GRUPO L.                      </t>
        </is>
      </c>
      <c r="D2172" s="11" t="inlineStr">
        <is>
          <t>DULCE DE LECHE INDIV</t>
        </is>
      </c>
      <c r="E2172" t="inlineStr">
        <is>
          <t xml:space="preserve">7798011976744       </t>
        </is>
      </c>
      <c r="F2172" t="n">
        <v>4020711</v>
      </c>
      <c r="G2172" t="inlineStr">
        <is>
          <t xml:space="preserve">DULCE LECHE IND 20GX108U ABEDUL	   </t>
        </is>
      </c>
      <c r="H2172" t="inlineStr">
        <is>
          <t xml:space="preserve">UNIDAD              </t>
        </is>
      </c>
      <c r="I2172" t="n">
        <v>10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10</v>
      </c>
      <c r="P2172" s="96">
        <f>_xlfn.XLOOKUP(Tabla5[[#This Row],[EAN CORREGIDO]],'Tabla Articulos'!B:B,'Tabla Articulos'!D:D)</f>
        <v/>
      </c>
      <c r="Q2172" s="96">
        <f>_xlfn.XLOOKUP(S2172,'Tabla Articulos'!B:B,'Tabla Articulos'!E:E)</f>
        <v/>
      </c>
      <c r="R2172" s="96">
        <f>O2172*Q2172</f>
        <v/>
      </c>
      <c r="S2172" s="97">
        <f>TRIM(E2172)</f>
        <v/>
      </c>
    </row>
    <row r="2173" hidden="1">
      <c r="A2173" s="22" t="n">
        <v>6</v>
      </c>
      <c r="B2173" t="inlineStr">
        <is>
          <t xml:space="preserve">CDM03 - MORENO 3              </t>
        </is>
      </c>
      <c r="C2173" t="inlineStr">
        <is>
          <t xml:space="preserve">GRUPO L.                      </t>
        </is>
      </c>
      <c r="D2173" s="11" t="n"/>
      <c r="E2173" t="inlineStr">
        <is>
          <t xml:space="preserve">UNIF000140          </t>
        </is>
      </c>
      <c r="F2173" t="n">
        <v>9003557</v>
      </c>
      <c r="G2173" t="inlineStr">
        <is>
          <t xml:space="preserve">CAMISA 3/4 BCA. SALUD MUJER - 3    </t>
        </is>
      </c>
      <c r="H2173" t="inlineStr">
        <is>
          <t xml:space="preserve">UNIDAD              </t>
        </is>
      </c>
      <c r="I2173" t="n">
        <v>98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98</v>
      </c>
      <c r="P2173" s="96">
        <f>_xlfn.XLOOKUP(Tabla5[[#This Row],[EAN CORREGIDO]],'Tabla Articulos'!B:B,'Tabla Articulos'!D:D)</f>
        <v/>
      </c>
      <c r="Q2173" s="96">
        <f>_xlfn.XLOOKUP(S2173,'Tabla Articulos'!B:B,'Tabla Articulos'!E:E)</f>
        <v/>
      </c>
      <c r="R2173" s="96">
        <f>O2173*Q2173</f>
        <v/>
      </c>
      <c r="S2173" s="97">
        <f>TRIM(E2173)</f>
        <v/>
      </c>
    </row>
    <row r="2174" hidden="1">
      <c r="A2174" s="22" t="n">
        <v>1</v>
      </c>
      <c r="B2174" t="inlineStr">
        <is>
          <t xml:space="preserve">CD MORENO                     </t>
        </is>
      </c>
      <c r="C2174" t="inlineStr">
        <is>
          <t xml:space="preserve">GRUPO L.                      </t>
        </is>
      </c>
      <c r="D2174" s="11" t="inlineStr">
        <is>
          <t>JARDINERA</t>
        </is>
      </c>
      <c r="E2174" t="inlineStr">
        <is>
          <t xml:space="preserve">7792350067026       </t>
        </is>
      </c>
      <c r="F2174" t="n">
        <v>4020694</v>
      </c>
      <c r="G2174" t="inlineStr">
        <is>
          <t xml:space="preserve">JARDINERA X300G INALPA             </t>
        </is>
      </c>
      <c r="H2174" t="inlineStr">
        <is>
          <t xml:space="preserve">UNIDAD              </t>
        </is>
      </c>
      <c r="I2174" t="n">
        <v>171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171</v>
      </c>
      <c r="P2174" s="96">
        <f>_xlfn.XLOOKUP(Tabla5[[#This Row],[EAN CORREGIDO]],'Tabla Articulos'!B:B,'Tabla Articulos'!D:D)</f>
        <v/>
      </c>
      <c r="Q2174" s="96">
        <f>_xlfn.XLOOKUP(S2174,'Tabla Articulos'!B:B,'Tabla Articulos'!E:E)</f>
        <v/>
      </c>
      <c r="R2174" s="96">
        <f>O2174*Q2174</f>
        <v/>
      </c>
      <c r="S2174" s="97">
        <f>TRIM(E2174)</f>
        <v/>
      </c>
    </row>
    <row r="2175" hidden="1">
      <c r="A2175" s="22" t="n">
        <v>5</v>
      </c>
      <c r="B2175" t="inlineStr">
        <is>
          <t xml:space="preserve">CDM02 - MORENO 2              </t>
        </is>
      </c>
      <c r="C2175" t="inlineStr">
        <is>
          <t xml:space="preserve">GRUPO L.                      </t>
        </is>
      </c>
      <c r="D2175" t="inlineStr">
        <is>
          <t>MERMELADA LIGHT</t>
        </is>
      </c>
      <c r="E2175" t="inlineStr">
        <is>
          <t xml:space="preserve">7791113001215       </t>
        </is>
      </c>
      <c r="F2175" t="n">
        <v>4020152</v>
      </c>
      <c r="G2175" t="inlineStr">
        <is>
          <t xml:space="preserve">MERMELADA DUR X 420 G EMETH LIGHT  </t>
        </is>
      </c>
      <c r="H2175" t="inlineStr">
        <is>
          <t xml:space="preserve">UNIDAD              </t>
        </is>
      </c>
      <c r="I2175" t="n">
        <v>150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150</v>
      </c>
      <c r="P2175" s="96">
        <f>_xlfn.XLOOKUP(Tabla5[[#This Row],[EAN CORREGIDO]],'Tabla Articulos'!B:B,'Tabla Articulos'!D:D)</f>
        <v/>
      </c>
      <c r="Q2175" s="96">
        <f>_xlfn.XLOOKUP(S2175,'Tabla Articulos'!B:B,'Tabla Articulos'!E:E)</f>
        <v/>
      </c>
      <c r="R2175" s="96">
        <f>O2175*Q2175</f>
        <v/>
      </c>
      <c r="S2175" s="97">
        <f>TRIM(E2175)</f>
        <v/>
      </c>
    </row>
    <row r="2176" hidden="1">
      <c r="A2176" s="22" t="n">
        <v>6</v>
      </c>
      <c r="B2176" t="inlineStr">
        <is>
          <t xml:space="preserve">CDM03 - MORENO 3              </t>
        </is>
      </c>
      <c r="C2176" t="inlineStr">
        <is>
          <t xml:space="preserve">GRUPO L.                      </t>
        </is>
      </c>
      <c r="D2176" s="11" t="n"/>
      <c r="E2176" t="inlineStr">
        <is>
          <t xml:space="preserve">UNIF000099          </t>
        </is>
      </c>
      <c r="F2176" t="n">
        <v>9003335</v>
      </c>
      <c r="G2176" t="inlineStr">
        <is>
          <t xml:space="preserve">CHOMBA PIQUE GRIS 3XL GL SUP.      </t>
        </is>
      </c>
      <c r="H2176" t="inlineStr">
        <is>
          <t xml:space="preserve">UNIDAD              </t>
        </is>
      </c>
      <c r="I2176" t="n">
        <v>10</v>
      </c>
      <c r="J2176" t="n">
        <v>90</v>
      </c>
      <c r="K2176" t="n">
        <v>0</v>
      </c>
      <c r="L2176" t="n">
        <v>0</v>
      </c>
      <c r="M2176" t="n">
        <v>0</v>
      </c>
      <c r="N2176" t="n">
        <v>0</v>
      </c>
      <c r="O2176" t="n">
        <v>100</v>
      </c>
      <c r="P2176" s="96">
        <f>_xlfn.XLOOKUP(Tabla5[[#This Row],[EAN CORREGIDO]],'Tabla Articulos'!B:B,'Tabla Articulos'!D:D)</f>
        <v/>
      </c>
      <c r="Q2176" s="96">
        <f>_xlfn.XLOOKUP(S2176,'Tabla Articulos'!B:B,'Tabla Articulos'!E:E)</f>
        <v/>
      </c>
      <c r="R2176" s="96">
        <f>O2176*Q2176</f>
        <v/>
      </c>
      <c r="S2176" s="97">
        <f>TRIM(E2176)</f>
        <v/>
      </c>
    </row>
    <row r="2177" hidden="1">
      <c r="A2177" s="22" t="n">
        <v>1</v>
      </c>
      <c r="B2177" t="inlineStr">
        <is>
          <t xml:space="preserve">CD MORENO                     </t>
        </is>
      </c>
      <c r="C2177" t="inlineStr">
        <is>
          <t xml:space="preserve">GRUPO L.                      </t>
        </is>
      </c>
      <c r="D2177" t="inlineStr">
        <is>
          <t>COLITA DE CUADRIL</t>
        </is>
      </c>
      <c r="E2177" t="inlineStr">
        <is>
          <t xml:space="preserve">7790212031241       </t>
        </is>
      </c>
      <c r="F2177" t="n">
        <v>4017769</v>
      </c>
      <c r="G2177" t="inlineStr">
        <is>
          <t xml:space="preserve">COLITA DE CUADRIL X KG             </t>
        </is>
      </c>
      <c r="H2177" t="inlineStr">
        <is>
          <t xml:space="preserve">Kgs                 </t>
        </is>
      </c>
      <c r="I2177" t="n">
        <v>4.14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4.14</v>
      </c>
      <c r="P2177" s="96">
        <f>_xlfn.XLOOKUP(Tabla5[[#This Row],[EAN CORREGIDO]],'Tabla Articulos'!B:B,'Tabla Articulos'!D:D)</f>
        <v/>
      </c>
      <c r="Q2177" s="96">
        <f>_xlfn.XLOOKUP(S2177,'Tabla Articulos'!B:B,'Tabla Articulos'!E:E)</f>
        <v/>
      </c>
      <c r="R2177" s="96">
        <f>O2177*Q2177</f>
        <v/>
      </c>
      <c r="S2177" s="97">
        <f>TRIM(E2177)</f>
        <v/>
      </c>
    </row>
    <row r="2178" hidden="1">
      <c r="A2178" s="22" t="n">
        <v>1</v>
      </c>
      <c r="B2178" t="inlineStr">
        <is>
          <t xml:space="preserve">CD MORENO                     </t>
        </is>
      </c>
      <c r="C2178" t="inlineStr">
        <is>
          <t xml:space="preserve">GRUPO L.                      </t>
        </is>
      </c>
      <c r="D2178" t="inlineStr">
        <is>
          <t>COPOS CEREAL AZUCARADOS</t>
        </is>
      </c>
      <c r="E2178" t="inlineStr">
        <is>
          <t xml:space="preserve">7790045000624       </t>
        </is>
      </c>
      <c r="F2178" t="n">
        <v>4019507</v>
      </c>
      <c r="G2178" t="inlineStr">
        <is>
          <t xml:space="preserve">COPOS DE MAIZ X 500G SKARCHITO     </t>
        </is>
      </c>
      <c r="H2178" t="inlineStr">
        <is>
          <t xml:space="preserve">UNIDAD              </t>
        </is>
      </c>
      <c r="I2178" t="n">
        <v>134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134</v>
      </c>
      <c r="P2178" s="96">
        <f>_xlfn.XLOOKUP(Tabla5[[#This Row],[EAN CORREGIDO]],'Tabla Articulos'!B:B,'Tabla Articulos'!D:D)</f>
        <v/>
      </c>
      <c r="Q2178" s="96">
        <f>_xlfn.XLOOKUP(S2178,'Tabla Articulos'!B:B,'Tabla Articulos'!E:E)</f>
        <v/>
      </c>
      <c r="R2178" s="96">
        <f>O2178*Q2178</f>
        <v/>
      </c>
      <c r="S2178" s="97">
        <f>TRIM(E2178)</f>
        <v/>
      </c>
    </row>
    <row r="2179" hidden="1">
      <c r="A2179" s="22" t="n">
        <v>1</v>
      </c>
      <c r="B2179" t="inlineStr">
        <is>
          <t xml:space="preserve">CD MORENO                     </t>
        </is>
      </c>
      <c r="C2179" t="inlineStr">
        <is>
          <t xml:space="preserve">GRUPO L.                      </t>
        </is>
      </c>
      <c r="D2179" s="11" t="inlineStr">
        <is>
          <t>ARVEJA</t>
        </is>
      </c>
      <c r="E2179" t="inlineStr">
        <is>
          <t xml:space="preserve">7792350067507       </t>
        </is>
      </c>
      <c r="F2179" t="n">
        <v>4020120</v>
      </c>
      <c r="G2179" t="inlineStr">
        <is>
          <t xml:space="preserve">ARVEJAS REMOJADAS X300G ALTO PAVON </t>
        </is>
      </c>
      <c r="H2179" t="inlineStr">
        <is>
          <t xml:space="preserve">UNIDAD              </t>
        </is>
      </c>
      <c r="I2179" t="n">
        <v>224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224</v>
      </c>
      <c r="P2179" s="96">
        <f>_xlfn.XLOOKUP(Tabla5[[#This Row],[EAN CORREGIDO]],'Tabla Articulos'!B:B,'Tabla Articulos'!D:D)</f>
        <v/>
      </c>
      <c r="Q2179" s="96">
        <f>_xlfn.XLOOKUP(S2179,'Tabla Articulos'!B:B,'Tabla Articulos'!E:E)</f>
        <v/>
      </c>
      <c r="R2179" s="96">
        <f>O2179*Q2179</f>
        <v/>
      </c>
      <c r="S2179" s="97">
        <f>TRIM(E2179)</f>
        <v/>
      </c>
    </row>
    <row r="2180" hidden="1">
      <c r="A2180" s="22" t="n">
        <v>5</v>
      </c>
      <c r="B2180" t="inlineStr">
        <is>
          <t xml:space="preserve">CDM02 - MORENO 2              </t>
        </is>
      </c>
      <c r="C2180" t="inlineStr">
        <is>
          <t xml:space="preserve">GRUPO L.                      </t>
        </is>
      </c>
      <c r="D2180" t="inlineStr">
        <is>
          <t>ARVEJA</t>
        </is>
      </c>
      <c r="E2180" t="inlineStr">
        <is>
          <t xml:space="preserve">7792350067507       </t>
        </is>
      </c>
      <c r="F2180" t="n">
        <v>4020120</v>
      </c>
      <c r="G2180" t="inlineStr">
        <is>
          <t xml:space="preserve">ARVEJAS REMOJADAS X300G ALTO PAVON </t>
        </is>
      </c>
      <c r="H2180" t="inlineStr">
        <is>
          <t xml:space="preserve">UNIDAD              </t>
        </is>
      </c>
      <c r="I2180" t="n">
        <v>4145</v>
      </c>
      <c r="J2180" t="n">
        <v>0</v>
      </c>
      <c r="K2180" t="n">
        <v>4114</v>
      </c>
      <c r="L2180" t="n">
        <v>0</v>
      </c>
      <c r="M2180" t="n">
        <v>0</v>
      </c>
      <c r="N2180" t="n">
        <v>0</v>
      </c>
      <c r="O2180" t="n">
        <v>31</v>
      </c>
      <c r="P2180" s="96">
        <f>_xlfn.XLOOKUP(Tabla5[[#This Row],[EAN CORREGIDO]],'Tabla Articulos'!B:B,'Tabla Articulos'!D:D)</f>
        <v/>
      </c>
      <c r="Q2180" s="96">
        <f>_xlfn.XLOOKUP(S2180,'Tabla Articulos'!B:B,'Tabla Articulos'!E:E)</f>
        <v/>
      </c>
      <c r="R2180" s="96">
        <f>O2180*Q2180</f>
        <v/>
      </c>
      <c r="S2180" s="97">
        <f>TRIM(E2180)</f>
        <v/>
      </c>
    </row>
    <row r="2181" hidden="1">
      <c r="A2181" s="22" t="n">
        <v>6</v>
      </c>
      <c r="B2181" t="inlineStr">
        <is>
          <t xml:space="preserve">CDM03 - MORENO 3              </t>
        </is>
      </c>
      <c r="C2181" t="inlineStr">
        <is>
          <t xml:space="preserve">GRUPO L.                      </t>
        </is>
      </c>
      <c r="D2181" s="11" t="inlineStr">
        <is>
          <t>SECADORES PISO</t>
        </is>
      </c>
      <c r="E2181" t="inlineStr">
        <is>
          <t xml:space="preserve">7791624000035       </t>
        </is>
      </c>
      <c r="F2181" t="n">
        <v>2006520</v>
      </c>
      <c r="G2181" t="inlineStr">
        <is>
          <t xml:space="preserve">SECADOR DE PISO X50CM SACHI        </t>
        </is>
      </c>
      <c r="H2181" t="inlineStr">
        <is>
          <t xml:space="preserve">UNIDAD              </t>
        </is>
      </c>
      <c r="I2181" t="n">
        <v>276</v>
      </c>
      <c r="J2181" t="n">
        <v>0</v>
      </c>
      <c r="K2181" t="n">
        <v>0</v>
      </c>
      <c r="L2181" t="n">
        <v>2</v>
      </c>
      <c r="M2181" t="n">
        <v>2</v>
      </c>
      <c r="N2181" t="n">
        <v>0</v>
      </c>
      <c r="O2181" t="n">
        <v>272</v>
      </c>
      <c r="P2181" s="96">
        <f>_xlfn.XLOOKUP(Tabla5[[#This Row],[EAN CORREGIDO]],'Tabla Articulos'!B:B,'Tabla Articulos'!D:D)</f>
        <v/>
      </c>
      <c r="Q2181" s="96">
        <f>_xlfn.XLOOKUP(S2181,'Tabla Articulos'!B:B,'Tabla Articulos'!E:E)</f>
        <v/>
      </c>
      <c r="R2181" s="96">
        <f>O2181*Q2181</f>
        <v/>
      </c>
      <c r="S2181" s="97">
        <f>TRIM(E2181)</f>
        <v/>
      </c>
    </row>
    <row r="2182" hidden="1">
      <c r="A2182" s="22" t="n">
        <v>1</v>
      </c>
      <c r="B2182" t="inlineStr">
        <is>
          <t xml:space="preserve">CD MORENO                     </t>
        </is>
      </c>
      <c r="C2182" t="inlineStr">
        <is>
          <t xml:space="preserve">GRUPO L.                      </t>
        </is>
      </c>
      <c r="D2182" s="11" t="inlineStr">
        <is>
          <t>TE TILO</t>
        </is>
      </c>
      <c r="E2182" t="inlineStr">
        <is>
          <t xml:space="preserve">7790387001433       </t>
        </is>
      </c>
      <c r="F2182" t="n">
        <v>4022671</v>
      </c>
      <c r="G2182" t="inlineStr">
        <is>
          <t xml:space="preserve">TE DE TILO X20SAQ TARAGUI          </t>
        </is>
      </c>
      <c r="H2182" t="inlineStr">
        <is>
          <t xml:space="preserve">UNIDAD              </t>
        </is>
      </c>
      <c r="I2182" t="n">
        <v>50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50</v>
      </c>
      <c r="P2182" s="96">
        <f>_xlfn.XLOOKUP(Tabla5[[#This Row],[EAN CORREGIDO]],'Tabla Articulos'!B:B,'Tabla Articulos'!D:D)</f>
        <v/>
      </c>
      <c r="Q2182" s="96">
        <f>_xlfn.XLOOKUP(S2182,'Tabla Articulos'!B:B,'Tabla Articulos'!E:E)</f>
        <v/>
      </c>
      <c r="R2182" s="96">
        <f>O2182*Q2182</f>
        <v/>
      </c>
      <c r="S2182" s="97">
        <f>TRIM(E2182)</f>
        <v/>
      </c>
    </row>
    <row r="2183" hidden="1">
      <c r="A2183" s="22" t="n">
        <v>6</v>
      </c>
      <c r="B2183" t="inlineStr">
        <is>
          <t xml:space="preserve">CDM03 - MORENO 3              </t>
        </is>
      </c>
      <c r="C2183" t="inlineStr">
        <is>
          <t xml:space="preserve">GRUPO L.                      </t>
        </is>
      </c>
      <c r="E2183" t="inlineStr">
        <is>
          <t xml:space="preserve">BAZ001229           </t>
        </is>
      </c>
      <c r="F2183" t="n">
        <v>9003808</v>
      </c>
      <c r="G2183" t="inlineStr">
        <is>
          <t xml:space="preserve">TAPA GAST AC INOX 1/2 325/265 MM   </t>
        </is>
      </c>
      <c r="H2183" t="inlineStr">
        <is>
          <t xml:space="preserve">UNIDAD              </t>
        </is>
      </c>
      <c r="I2183" t="n">
        <v>30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30</v>
      </c>
      <c r="P2183" s="96">
        <f>_xlfn.XLOOKUP(Tabla5[[#This Row],[EAN CORREGIDO]],'Tabla Articulos'!B:B,'Tabla Articulos'!D:D)</f>
        <v/>
      </c>
      <c r="Q2183" s="96">
        <f>_xlfn.XLOOKUP(S2183,'Tabla Articulos'!B:B,'Tabla Articulos'!E:E)</f>
        <v/>
      </c>
      <c r="R2183" s="96">
        <f>O2183*Q2183</f>
        <v/>
      </c>
      <c r="S2183" s="97">
        <f>TRIM(E2183)</f>
        <v/>
      </c>
    </row>
    <row r="2184" hidden="1">
      <c r="A2184" s="22" t="n">
        <v>6</v>
      </c>
      <c r="B2184" t="inlineStr">
        <is>
          <t xml:space="preserve">CDM03 - MORENO 3              </t>
        </is>
      </c>
      <c r="C2184" t="inlineStr">
        <is>
          <t xml:space="preserve">GRUPO L.                      </t>
        </is>
      </c>
      <c r="D2184" t="inlineStr">
        <is>
          <t>TRAPOS DE PISO</t>
        </is>
      </c>
      <c r="E2184" t="inlineStr">
        <is>
          <t xml:space="preserve">LIM000504           </t>
        </is>
      </c>
      <c r="F2184" t="n">
        <v>2006772</v>
      </c>
      <c r="G2184" t="inlineStr">
        <is>
          <t xml:space="preserve">PAÑO VERDE P/PISO 17 X U           </t>
        </is>
      </c>
      <c r="H2184" t="inlineStr">
        <is>
          <t xml:space="preserve">UNIDAD              </t>
        </is>
      </c>
      <c r="I2184" t="n">
        <v>135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135</v>
      </c>
      <c r="P2184" s="96">
        <f>_xlfn.XLOOKUP(Tabla5[[#This Row],[EAN CORREGIDO]],'Tabla Articulos'!B:B,'Tabla Articulos'!D:D)</f>
        <v/>
      </c>
      <c r="Q2184" s="96">
        <f>_xlfn.XLOOKUP(S2184,'Tabla Articulos'!B:B,'Tabla Articulos'!E:E)</f>
        <v/>
      </c>
      <c r="R2184" s="96">
        <f>O2184*Q2184</f>
        <v/>
      </c>
      <c r="S2184" s="97">
        <f>TRIM(E2184)</f>
        <v/>
      </c>
    </row>
    <row r="2185" hidden="1">
      <c r="A2185" s="22" t="n">
        <v>1</v>
      </c>
      <c r="B2185" t="inlineStr">
        <is>
          <t xml:space="preserve">CD MORENO                     </t>
        </is>
      </c>
      <c r="C2185" t="inlineStr">
        <is>
          <t xml:space="preserve">GRUPO L.                      </t>
        </is>
      </c>
      <c r="D2185" t="inlineStr">
        <is>
          <t>POLENTA S/TACC</t>
        </is>
      </c>
      <c r="E2185" t="inlineStr">
        <is>
          <t xml:space="preserve">7790199603214       </t>
        </is>
      </c>
      <c r="F2185" t="n">
        <v>4019518</v>
      </c>
      <c r="G2185" t="inlineStr">
        <is>
          <t xml:space="preserve">POLENTA X1KG MORIXE                </t>
        </is>
      </c>
      <c r="H2185" t="inlineStr">
        <is>
          <t xml:space="preserve">UNIDAD              </t>
        </is>
      </c>
      <c r="I2185" t="n">
        <v>12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12</v>
      </c>
      <c r="P2185" s="96">
        <f>_xlfn.XLOOKUP(Tabla5[[#This Row],[EAN CORREGIDO]],'Tabla Articulos'!B:B,'Tabla Articulos'!D:D)</f>
        <v/>
      </c>
      <c r="Q2185" s="96">
        <f>_xlfn.XLOOKUP(S2185,'Tabla Articulos'!B:B,'Tabla Articulos'!E:E)</f>
        <v/>
      </c>
      <c r="R2185" s="96">
        <f>O2185*Q2185</f>
        <v/>
      </c>
      <c r="S2185" s="97">
        <f>TRIM(E2185)</f>
        <v/>
      </c>
    </row>
    <row r="2186" hidden="1">
      <c r="A2186" s="22" t="n">
        <v>6</v>
      </c>
      <c r="B2186" t="inlineStr">
        <is>
          <t xml:space="preserve">CDM03 - MORENO 3              </t>
        </is>
      </c>
      <c r="C2186" t="inlineStr">
        <is>
          <t xml:space="preserve">GRUPO L.                      </t>
        </is>
      </c>
      <c r="E2186" t="inlineStr">
        <is>
          <t xml:space="preserve">BUSAT000809         </t>
        </is>
      </c>
      <c r="G2186" t="inlineStr">
        <is>
          <t xml:space="preserve">PANTALON CARGO GRIS 54             </t>
        </is>
      </c>
      <c r="H2186" t="inlineStr">
        <is>
          <t xml:space="preserve">UNIDAD              </t>
        </is>
      </c>
      <c r="I2186" t="n">
        <v>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1</v>
      </c>
      <c r="P2186" s="96">
        <f>_xlfn.XLOOKUP(Tabla5[[#This Row],[EAN CORREGIDO]],'Tabla Articulos'!B:B,'Tabla Articulos'!D:D)</f>
        <v/>
      </c>
      <c r="Q2186" s="96">
        <f>_xlfn.XLOOKUP(S2186,'Tabla Articulos'!B:B,'Tabla Articulos'!E:E)</f>
        <v/>
      </c>
      <c r="R2186" s="96">
        <f>O2186*Q2186</f>
        <v/>
      </c>
      <c r="S2186" s="97">
        <f>TRIM(E2186)</f>
        <v/>
      </c>
    </row>
    <row r="2187" hidden="1">
      <c r="A2187" s="22" t="n">
        <v>6</v>
      </c>
      <c r="B2187" t="inlineStr">
        <is>
          <t xml:space="preserve">CDM03 - MORENO 3              </t>
        </is>
      </c>
      <c r="C2187" t="inlineStr">
        <is>
          <t xml:space="preserve">GRUPO L.                      </t>
        </is>
      </c>
      <c r="E2187" t="inlineStr">
        <is>
          <t xml:space="preserve">BUSAT000544         </t>
        </is>
      </c>
      <c r="G2187" t="inlineStr">
        <is>
          <t xml:space="preserve">JEANS RAIZEN	40                    </t>
        </is>
      </c>
      <c r="H2187" t="inlineStr">
        <is>
          <t xml:space="preserve">UNIDAD              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2</v>
      </c>
      <c r="P2187" s="96">
        <f>_xlfn.XLOOKUP(Tabla5[[#This Row],[EAN CORREGIDO]],'Tabla Articulos'!B:B,'Tabla Articulos'!D:D)</f>
        <v/>
      </c>
      <c r="Q2187" s="96">
        <f>_xlfn.XLOOKUP(S2187,'Tabla Articulos'!B:B,'Tabla Articulos'!E:E)</f>
        <v/>
      </c>
      <c r="R2187" s="96">
        <f>O2187*Q2187</f>
        <v/>
      </c>
      <c r="S2187" s="97">
        <f>TRIM(E2187)</f>
        <v/>
      </c>
    </row>
    <row r="2188" hidden="1">
      <c r="A2188" s="22" t="n">
        <v>6</v>
      </c>
      <c r="B2188" t="inlineStr">
        <is>
          <t xml:space="preserve">CDM03 - MORENO 3              </t>
        </is>
      </c>
      <c r="C2188" t="inlineStr">
        <is>
          <t xml:space="preserve">GRUPO L.                      </t>
        </is>
      </c>
      <c r="E2188" t="inlineStr">
        <is>
          <t xml:space="preserve">BUSAT000575         </t>
        </is>
      </c>
      <c r="G2188" t="inlineStr">
        <is>
          <t xml:space="preserve">PANTALON CARGO GRIS	62             </t>
        </is>
      </c>
      <c r="H2188" t="inlineStr">
        <is>
          <t xml:space="preserve">UNIDAD              </t>
        </is>
      </c>
      <c r="I2188" t="n">
        <v>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3</v>
      </c>
      <c r="P2188" s="96">
        <f>_xlfn.XLOOKUP(Tabla5[[#This Row],[EAN CORREGIDO]],'Tabla Articulos'!B:B,'Tabla Articulos'!D:D)</f>
        <v/>
      </c>
      <c r="Q2188" s="96">
        <f>_xlfn.XLOOKUP(S2188,'Tabla Articulos'!B:B,'Tabla Articulos'!E:E)</f>
        <v/>
      </c>
      <c r="R2188" s="96">
        <f>O2188*Q2188</f>
        <v/>
      </c>
      <c r="S2188" s="97">
        <f>TRIM(E2188)</f>
        <v/>
      </c>
    </row>
    <row r="2189" hidden="1">
      <c r="A2189" s="22" t="n">
        <v>6</v>
      </c>
      <c r="B2189" t="inlineStr">
        <is>
          <t xml:space="preserve">CDM03 - MORENO 3              </t>
        </is>
      </c>
      <c r="C2189" t="inlineStr">
        <is>
          <t xml:space="preserve">GRUPO L.                      </t>
        </is>
      </c>
      <c r="E2189" t="inlineStr">
        <is>
          <t xml:space="preserve">BUSAT000349         </t>
        </is>
      </c>
      <c r="G2189" t="inlineStr">
        <is>
          <t xml:space="preserve">POZO FRIO - ART VARIOS             </t>
        </is>
      </c>
      <c r="H2189" t="inlineStr">
        <is>
          <t xml:space="preserve">UNIDAD              </t>
        </is>
      </c>
      <c r="I2189" t="n">
        <v>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1</v>
      </c>
      <c r="P2189" s="96">
        <f>_xlfn.XLOOKUP(Tabla5[[#This Row],[EAN CORREGIDO]],'Tabla Articulos'!B:B,'Tabla Articulos'!D:D)</f>
        <v/>
      </c>
      <c r="Q2189" s="96">
        <f>_xlfn.XLOOKUP(S2189,'Tabla Articulos'!B:B,'Tabla Articulos'!E:E)</f>
        <v/>
      </c>
      <c r="R2189" s="96">
        <f>O2189*Q2189</f>
        <v/>
      </c>
      <c r="S2189" s="97">
        <f>TRIM(E2189)</f>
        <v/>
      </c>
    </row>
    <row r="2190" hidden="1">
      <c r="A2190" s="22" t="n">
        <v>6</v>
      </c>
      <c r="B2190" t="inlineStr">
        <is>
          <t xml:space="preserve">CDM03 - MORENO 3              </t>
        </is>
      </c>
      <c r="C2190" t="inlineStr">
        <is>
          <t xml:space="preserve">GRUPO L.                      </t>
        </is>
      </c>
      <c r="E2190" t="inlineStr">
        <is>
          <t xml:space="preserve">BUSAT000178         </t>
        </is>
      </c>
      <c r="G2190" t="inlineStr">
        <is>
          <t>BAUL  C/ ART VARIOS / SANDWICHES 01</t>
        </is>
      </c>
      <c r="H2190" t="inlineStr">
        <is>
          <t xml:space="preserve">UNIDAD              </t>
        </is>
      </c>
      <c r="I2190" t="n">
        <v>0</v>
      </c>
      <c r="J2190" t="n">
        <v>1</v>
      </c>
      <c r="K2190" t="n">
        <v>0</v>
      </c>
      <c r="L2190" t="n">
        <v>0</v>
      </c>
      <c r="M2190" t="n">
        <v>0</v>
      </c>
      <c r="N2190" t="n">
        <v>0</v>
      </c>
      <c r="O2190" t="n">
        <v>1</v>
      </c>
      <c r="P2190" s="96">
        <f>_xlfn.XLOOKUP(Tabla5[[#This Row],[EAN CORREGIDO]],'Tabla Articulos'!B:B,'Tabla Articulos'!D:D)</f>
        <v/>
      </c>
      <c r="Q2190" s="96">
        <f>_xlfn.XLOOKUP(S2190,'Tabla Articulos'!B:B,'Tabla Articulos'!E:E)</f>
        <v/>
      </c>
      <c r="R2190" s="96">
        <f>O2190*Q2190</f>
        <v/>
      </c>
      <c r="S2190" s="97">
        <f>TRIM(E2190)</f>
        <v/>
      </c>
    </row>
    <row r="2191" hidden="1">
      <c r="A2191" s="22" t="n">
        <v>6</v>
      </c>
      <c r="B2191" t="inlineStr">
        <is>
          <t xml:space="preserve">CDM03 - MORENO 3              </t>
        </is>
      </c>
      <c r="C2191" t="inlineStr">
        <is>
          <t xml:space="preserve">GRUPO L.                      </t>
        </is>
      </c>
      <c r="E2191" t="inlineStr">
        <is>
          <t xml:space="preserve">BUSAT000355         </t>
        </is>
      </c>
      <c r="G2191" t="inlineStr">
        <is>
          <t xml:space="preserve">CAJA PLA G  ART.V/ SAND 02 BIS     </t>
        </is>
      </c>
      <c r="H2191" t="inlineStr">
        <is>
          <t xml:space="preserve">UNIDAD              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1</v>
      </c>
      <c r="P2191" s="96">
        <f>_xlfn.XLOOKUP(Tabla5[[#This Row],[EAN CORREGIDO]],'Tabla Articulos'!B:B,'Tabla Articulos'!D:D)</f>
        <v/>
      </c>
      <c r="Q2191" s="96">
        <f>_xlfn.XLOOKUP(S2191,'Tabla Articulos'!B:B,'Tabla Articulos'!E:E)</f>
        <v/>
      </c>
      <c r="R2191" s="96">
        <f>O2191*Q2191</f>
        <v/>
      </c>
      <c r="S2191" s="97">
        <f>TRIM(E2191)</f>
        <v/>
      </c>
    </row>
    <row r="2192" hidden="1">
      <c r="A2192" s="22" t="n">
        <v>6</v>
      </c>
      <c r="B2192" t="inlineStr">
        <is>
          <t xml:space="preserve">CDM03 - MORENO 3              </t>
        </is>
      </c>
      <c r="C2192" t="inlineStr">
        <is>
          <t xml:space="preserve">GRUPO L.                      </t>
        </is>
      </c>
      <c r="E2192" t="inlineStr">
        <is>
          <t xml:space="preserve">BUSAT000138         </t>
        </is>
      </c>
      <c r="G2192" t="inlineStr">
        <is>
          <t xml:space="preserve">ESCURRIDOR DE CUBIERTO             </t>
        </is>
      </c>
      <c r="H2192" t="inlineStr">
        <is>
          <t xml:space="preserve">UNIDAD              </t>
        </is>
      </c>
      <c r="I2192" t="n">
        <v>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1</v>
      </c>
      <c r="P2192" s="96">
        <f>_xlfn.XLOOKUP(Tabla5[[#This Row],[EAN CORREGIDO]],'Tabla Articulos'!B:B,'Tabla Articulos'!D:D)</f>
        <v/>
      </c>
      <c r="Q2192" s="96">
        <f>_xlfn.XLOOKUP(S2192,'Tabla Articulos'!B:B,'Tabla Articulos'!E:E)</f>
        <v/>
      </c>
      <c r="R2192" s="96">
        <f>O2192*Q2192</f>
        <v/>
      </c>
      <c r="S2192" s="97">
        <f>TRIM(E2192)</f>
        <v/>
      </c>
    </row>
    <row r="2193" hidden="1">
      <c r="A2193" s="22" t="n">
        <v>6</v>
      </c>
      <c r="B2193" t="inlineStr">
        <is>
          <t xml:space="preserve">CDM03 - MORENO 3              </t>
        </is>
      </c>
      <c r="C2193" t="inlineStr">
        <is>
          <t xml:space="preserve">GRUPO L.                      </t>
        </is>
      </c>
      <c r="E2193" t="inlineStr">
        <is>
          <t xml:space="preserve">BUSAT000244         </t>
        </is>
      </c>
      <c r="G2193" t="inlineStr">
        <is>
          <t xml:space="preserve">MUEBLE DE MADERA/ENS 01            </t>
        </is>
      </c>
      <c r="H2193" t="inlineStr">
        <is>
          <t xml:space="preserve">UNIDAD              </t>
        </is>
      </c>
      <c r="I2193" t="n">
        <v>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2</v>
      </c>
      <c r="P2193" s="96">
        <f>_xlfn.XLOOKUP(Tabla5[[#This Row],[EAN CORREGIDO]],'Tabla Articulos'!B:B,'Tabla Articulos'!D:D)</f>
        <v/>
      </c>
      <c r="Q2193" s="96">
        <f>_xlfn.XLOOKUP(S2193,'Tabla Articulos'!B:B,'Tabla Articulos'!E:E)</f>
        <v/>
      </c>
      <c r="R2193" s="96">
        <f>O2193*Q2193</f>
        <v/>
      </c>
      <c r="S2193" s="97">
        <f>TRIM(E2193)</f>
        <v/>
      </c>
    </row>
    <row r="2194" hidden="1">
      <c r="A2194" s="22" t="n">
        <v>6</v>
      </c>
      <c r="B2194" t="inlineStr">
        <is>
          <t xml:space="preserve">CDM03 - MORENO 3              </t>
        </is>
      </c>
      <c r="C2194" t="inlineStr">
        <is>
          <t xml:space="preserve">GRUPO L.                      </t>
        </is>
      </c>
      <c r="E2194" t="inlineStr">
        <is>
          <t xml:space="preserve">BUSAT0011011        </t>
        </is>
      </c>
      <c r="G2194" t="inlineStr">
        <is>
          <t xml:space="preserve">VENTILADOR NEGRO CHICO SIN BASE    </t>
        </is>
      </c>
      <c r="H2194" t="inlineStr">
        <is>
          <t xml:space="preserve">UNIDAD              </t>
        </is>
      </c>
      <c r="I2194" t="n">
        <v>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1</v>
      </c>
      <c r="P2194" s="96">
        <f>_xlfn.XLOOKUP(Tabla5[[#This Row],[EAN CORREGIDO]],'Tabla Articulos'!B:B,'Tabla Articulos'!D:D)</f>
        <v/>
      </c>
      <c r="Q2194" s="96">
        <f>_xlfn.XLOOKUP(S2194,'Tabla Articulos'!B:B,'Tabla Articulos'!E:E)</f>
        <v/>
      </c>
      <c r="R2194" s="96">
        <f>O2194*Q2194</f>
        <v/>
      </c>
      <c r="S2194" s="97">
        <f>TRIM(E2194)</f>
        <v/>
      </c>
    </row>
    <row r="2195" hidden="1">
      <c r="A2195" s="22" t="n">
        <v>6</v>
      </c>
      <c r="B2195" t="inlineStr">
        <is>
          <t xml:space="preserve">CDM03 - MORENO 3              </t>
        </is>
      </c>
      <c r="C2195" t="inlineStr">
        <is>
          <t xml:space="preserve">GRUPO L.                      </t>
        </is>
      </c>
      <c r="E2195" t="inlineStr">
        <is>
          <t xml:space="preserve">BUSAT000111         </t>
        </is>
      </c>
      <c r="G2195" t="inlineStr">
        <is>
          <t xml:space="preserve">GN GRANDE HORNO                    </t>
        </is>
      </c>
      <c r="H2195" t="inlineStr">
        <is>
          <t xml:space="preserve">UNIDAD              </t>
        </is>
      </c>
      <c r="I2195" t="n">
        <v>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8</v>
      </c>
      <c r="P2195" s="96">
        <f>_xlfn.XLOOKUP(Tabla5[[#This Row],[EAN CORREGIDO]],'Tabla Articulos'!B:B,'Tabla Articulos'!D:D)</f>
        <v/>
      </c>
      <c r="Q2195" s="96">
        <f>_xlfn.XLOOKUP(S2195,'Tabla Articulos'!B:B,'Tabla Articulos'!E:E)</f>
        <v/>
      </c>
      <c r="R2195" s="96">
        <f>O2195*Q2195</f>
        <v/>
      </c>
      <c r="S2195" s="97">
        <f>TRIM(E2195)</f>
        <v/>
      </c>
    </row>
    <row r="2196" hidden="1">
      <c r="A2196" s="22" t="n">
        <v>6</v>
      </c>
      <c r="B2196" t="inlineStr">
        <is>
          <t xml:space="preserve">CDM03 - MORENO 3              </t>
        </is>
      </c>
      <c r="C2196" t="inlineStr">
        <is>
          <t xml:space="preserve">GRUPO L.                      </t>
        </is>
      </c>
      <c r="D2196" s="11" t="n"/>
      <c r="E2196" t="inlineStr">
        <is>
          <t xml:space="preserve">BUSAT000072         </t>
        </is>
      </c>
      <c r="G2196" t="inlineStr">
        <is>
          <t>AZUCARERO PLASTICO BLANCO CONFITERI</t>
        </is>
      </c>
      <c r="H2196" t="inlineStr">
        <is>
          <t xml:space="preserve">UNIDAD              </t>
        </is>
      </c>
      <c r="I2196" t="n">
        <v>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6</v>
      </c>
      <c r="P2196" s="96">
        <f>_xlfn.XLOOKUP(Tabla5[[#This Row],[EAN CORREGIDO]],'Tabla Articulos'!B:B,'Tabla Articulos'!D:D)</f>
        <v/>
      </c>
      <c r="Q2196" s="96">
        <f>_xlfn.XLOOKUP(S2196,'Tabla Articulos'!B:B,'Tabla Articulos'!E:E)</f>
        <v/>
      </c>
      <c r="R2196" s="96">
        <f>O2196*Q2196</f>
        <v/>
      </c>
      <c r="S2196" s="97">
        <f>TRIM(E2196)</f>
        <v/>
      </c>
    </row>
    <row r="2197" hidden="1">
      <c r="A2197" s="22" t="n">
        <v>6</v>
      </c>
      <c r="B2197" t="inlineStr">
        <is>
          <t xml:space="preserve">CDM03 - MORENO 3              </t>
        </is>
      </c>
      <c r="C2197" t="inlineStr">
        <is>
          <t xml:space="preserve">GRUPO L.                      </t>
        </is>
      </c>
      <c r="D2197" s="11" t="n"/>
      <c r="E2197" t="inlineStr">
        <is>
          <t xml:space="preserve">BUSAT000018         </t>
        </is>
      </c>
      <c r="G2197" t="inlineStr">
        <is>
          <t xml:space="preserve">EXPRIMIDORA ELECTRICA              </t>
        </is>
      </c>
      <c r="H2197" t="inlineStr">
        <is>
          <t xml:space="preserve">UNIDAD              </t>
        </is>
      </c>
      <c r="I2197" t="n">
        <v>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1</v>
      </c>
      <c r="P2197" s="96">
        <f>_xlfn.XLOOKUP(Tabla5[[#This Row],[EAN CORREGIDO]],'Tabla Articulos'!B:B,'Tabla Articulos'!D:D)</f>
        <v/>
      </c>
      <c r="Q2197" s="96">
        <f>_xlfn.XLOOKUP(S2197,'Tabla Articulos'!B:B,'Tabla Articulos'!E:E)</f>
        <v/>
      </c>
      <c r="R2197" s="96">
        <f>O2197*Q2197</f>
        <v/>
      </c>
      <c r="S2197" s="97">
        <f>TRIM(E2197)</f>
        <v/>
      </c>
    </row>
    <row r="2198" hidden="1">
      <c r="A2198" s="22" t="n">
        <v>6</v>
      </c>
      <c r="B2198" t="inlineStr">
        <is>
          <t xml:space="preserve">CDM03 - MORENO 3              </t>
        </is>
      </c>
      <c r="C2198" t="inlineStr">
        <is>
          <t xml:space="preserve">GRUPO L.                      </t>
        </is>
      </c>
      <c r="E2198" t="inlineStr">
        <is>
          <t xml:space="preserve">BUSAT000375         </t>
        </is>
      </c>
      <c r="G2198" t="inlineStr">
        <is>
          <t xml:space="preserve">BARBIJO N95 / KN95                 </t>
        </is>
      </c>
      <c r="H2198" t="inlineStr">
        <is>
          <t xml:space="preserve">UNIDAD              </t>
        </is>
      </c>
      <c r="I2198" t="n">
        <v>19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19</v>
      </c>
      <c r="P2198" s="96">
        <f>_xlfn.XLOOKUP(Tabla5[[#This Row],[EAN CORREGIDO]],'Tabla Articulos'!B:B,'Tabla Articulos'!D:D)</f>
        <v/>
      </c>
      <c r="Q2198" s="96">
        <f>_xlfn.XLOOKUP(S2198,'Tabla Articulos'!B:B,'Tabla Articulos'!E:E)</f>
        <v/>
      </c>
      <c r="R2198" s="96">
        <f>O2198*Q2198</f>
        <v/>
      </c>
      <c r="S2198" s="97">
        <f>TRIM(E2198)</f>
        <v/>
      </c>
    </row>
    <row r="2199" hidden="1">
      <c r="A2199" s="22" t="n">
        <v>6</v>
      </c>
      <c r="B2199" t="inlineStr">
        <is>
          <t xml:space="preserve">CDM03 - MORENO 3              </t>
        </is>
      </c>
      <c r="C2199" t="inlineStr">
        <is>
          <t xml:space="preserve">GRUPO L.                      </t>
        </is>
      </c>
      <c r="E2199" t="inlineStr">
        <is>
          <t xml:space="preserve">BUSAT000278         </t>
        </is>
      </c>
      <c r="G2199" t="inlineStr">
        <is>
          <t xml:space="preserve">CARRO BANDEJERO X 100              </t>
        </is>
      </c>
      <c r="H2199" t="inlineStr">
        <is>
          <t xml:space="preserve">BULTOS              </t>
        </is>
      </c>
      <c r="I2199" t="n">
        <v>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2</v>
      </c>
      <c r="P2199" s="96">
        <f>_xlfn.XLOOKUP(Tabla5[[#This Row],[EAN CORREGIDO]],'Tabla Articulos'!B:B,'Tabla Articulos'!D:D)</f>
        <v/>
      </c>
      <c r="Q2199" s="96">
        <f>_xlfn.XLOOKUP(S2199,'Tabla Articulos'!B:B,'Tabla Articulos'!E:E)</f>
        <v/>
      </c>
      <c r="R2199" s="96">
        <f>O2199*Q2199</f>
        <v/>
      </c>
      <c r="S2199" s="97">
        <f>TRIM(E2199)</f>
        <v/>
      </c>
    </row>
    <row r="2200" hidden="1">
      <c r="A2200" s="22" t="n">
        <v>6</v>
      </c>
      <c r="B2200" t="inlineStr">
        <is>
          <t xml:space="preserve">CDM03 - MORENO 3              </t>
        </is>
      </c>
      <c r="C2200" t="inlineStr">
        <is>
          <t xml:space="preserve">GRUPO L.                      </t>
        </is>
      </c>
      <c r="E2200" t="inlineStr">
        <is>
          <t xml:space="preserve">BUSAT000361         </t>
        </is>
      </c>
      <c r="G2200" t="inlineStr">
        <is>
          <t xml:space="preserve"> ALMOH R (1 VERDE Y 1 ROJO)        </t>
        </is>
      </c>
      <c r="H2200" t="inlineStr">
        <is>
          <t xml:space="preserve">UNIDAD              </t>
        </is>
      </c>
      <c r="I2200" t="n">
        <v>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8</v>
      </c>
      <c r="P2200" s="96">
        <f>_xlfn.XLOOKUP(Tabla5[[#This Row],[EAN CORREGIDO]],'Tabla Articulos'!B:B,'Tabla Articulos'!D:D)</f>
        <v/>
      </c>
      <c r="Q2200" s="96">
        <f>_xlfn.XLOOKUP(S2200,'Tabla Articulos'!B:B,'Tabla Articulos'!E:E)</f>
        <v/>
      </c>
      <c r="R2200" s="96">
        <f>O2200*Q2200</f>
        <v/>
      </c>
      <c r="S2200" s="97">
        <f>TRIM(E2200)</f>
        <v/>
      </c>
    </row>
    <row r="2201" hidden="1">
      <c r="A2201" s="22" t="n">
        <v>6</v>
      </c>
      <c r="B2201" t="inlineStr">
        <is>
          <t xml:space="preserve">CDM03 - MORENO 3              </t>
        </is>
      </c>
      <c r="C2201" t="inlineStr">
        <is>
          <t xml:space="preserve">GRUPO L.                      </t>
        </is>
      </c>
      <c r="D2201" s="11" t="n"/>
      <c r="E2201" t="inlineStr">
        <is>
          <t xml:space="preserve">BUSAT000125         </t>
        </is>
      </c>
      <c r="G2201" t="inlineStr">
        <is>
          <t xml:space="preserve">GN HONDO                           </t>
        </is>
      </c>
      <c r="H2201" t="inlineStr">
        <is>
          <t xml:space="preserve">UNIDAD              </t>
        </is>
      </c>
      <c r="I2201" t="n">
        <v>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2</v>
      </c>
      <c r="P2201" s="96">
        <f>_xlfn.XLOOKUP(Tabla5[[#This Row],[EAN CORREGIDO]],'Tabla Articulos'!B:B,'Tabla Articulos'!D:D)</f>
        <v/>
      </c>
      <c r="Q2201" s="96">
        <f>_xlfn.XLOOKUP(S2201,'Tabla Articulos'!B:B,'Tabla Articulos'!E:E)</f>
        <v/>
      </c>
      <c r="R2201" s="96">
        <f>O2201*Q2201</f>
        <v/>
      </c>
      <c r="S2201" s="97">
        <f>TRIM(E2201)</f>
        <v/>
      </c>
    </row>
    <row r="2202" hidden="1">
      <c r="A2202" s="22" t="n">
        <v>6</v>
      </c>
      <c r="B2202" t="inlineStr">
        <is>
          <t xml:space="preserve">CDM03 - MORENO 3              </t>
        </is>
      </c>
      <c r="C2202" t="inlineStr">
        <is>
          <t xml:space="preserve">GRUPO L.                      </t>
        </is>
      </c>
      <c r="D2202" s="11" t="n"/>
      <c r="E2202" t="inlineStr">
        <is>
          <t xml:space="preserve">BUSAT000332         </t>
        </is>
      </c>
      <c r="G2202" t="inlineStr">
        <is>
          <t xml:space="preserve">CARRO HELADERA/SANDWICHES 02       </t>
        </is>
      </c>
      <c r="H2202" t="inlineStr">
        <is>
          <t xml:space="preserve">UNIDAD              </t>
        </is>
      </c>
      <c r="I2202" t="n">
        <v>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1</v>
      </c>
      <c r="P2202" s="96">
        <f>_xlfn.XLOOKUP(Tabla5[[#This Row],[EAN CORREGIDO]],'Tabla Articulos'!B:B,'Tabla Articulos'!D:D)</f>
        <v/>
      </c>
      <c r="Q2202" s="96">
        <f>_xlfn.XLOOKUP(S2202,'Tabla Articulos'!B:B,'Tabla Articulos'!E:E)</f>
        <v/>
      </c>
      <c r="R2202" s="96">
        <f>O2202*Q2202</f>
        <v/>
      </c>
      <c r="S2202" s="97">
        <f>TRIM(E2202)</f>
        <v/>
      </c>
    </row>
    <row r="2203" hidden="1">
      <c r="A2203" s="22" t="n">
        <v>6</v>
      </c>
      <c r="B2203" t="inlineStr">
        <is>
          <t xml:space="preserve">CDM03 - MORENO 3              </t>
        </is>
      </c>
      <c r="C2203" t="inlineStr">
        <is>
          <t xml:space="preserve">GRUPO L.                      </t>
        </is>
      </c>
      <c r="E2203" t="inlineStr">
        <is>
          <t xml:space="preserve">BUSAT000268         </t>
        </is>
      </c>
      <c r="G2203" t="inlineStr">
        <is>
          <t xml:space="preserve">SOMBRILLA                          </t>
        </is>
      </c>
      <c r="H2203" t="inlineStr">
        <is>
          <t xml:space="preserve">UNIDAD              </t>
        </is>
      </c>
      <c r="I2203" t="n">
        <v>4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4</v>
      </c>
      <c r="P2203" s="96">
        <f>_xlfn.XLOOKUP(Tabla5[[#This Row],[EAN CORREGIDO]],'Tabla Articulos'!B:B,'Tabla Articulos'!D:D)</f>
        <v/>
      </c>
      <c r="Q2203" s="96">
        <f>_xlfn.XLOOKUP(S2203,'Tabla Articulos'!B:B,'Tabla Articulos'!E:E)</f>
        <v/>
      </c>
      <c r="R2203" s="96">
        <f>O2203*Q2203</f>
        <v/>
      </c>
      <c r="S2203" s="97">
        <f>TRIM(E2203)</f>
        <v/>
      </c>
    </row>
    <row r="2204" hidden="1">
      <c r="A2204" s="22" t="n">
        <v>6</v>
      </c>
      <c r="B2204" t="inlineStr">
        <is>
          <t xml:space="preserve">CDM03 - MORENO 3              </t>
        </is>
      </c>
      <c r="C2204" t="inlineStr">
        <is>
          <t xml:space="preserve">GRUPO L.                      </t>
        </is>
      </c>
      <c r="E2204" t="inlineStr">
        <is>
          <t xml:space="preserve">BUSAT001107         </t>
        </is>
      </c>
      <c r="G2204" t="inlineStr">
        <is>
          <t xml:space="preserve">BATIDORA INDUSTRIAL SILCOOK        </t>
        </is>
      </c>
      <c r="H2204" t="inlineStr">
        <is>
          <t xml:space="preserve">UNIDAD              </t>
        </is>
      </c>
      <c r="I2204" t="n">
        <v>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1</v>
      </c>
      <c r="P2204" s="96">
        <f>_xlfn.XLOOKUP(Tabla5[[#This Row],[EAN CORREGIDO]],'Tabla Articulos'!B:B,'Tabla Articulos'!D:D)</f>
        <v/>
      </c>
      <c r="Q2204" s="96">
        <f>_xlfn.XLOOKUP(S2204,'Tabla Articulos'!B:B,'Tabla Articulos'!E:E)</f>
        <v/>
      </c>
      <c r="R2204" s="96">
        <f>O2204*Q2204</f>
        <v/>
      </c>
      <c r="S2204" s="97">
        <f>TRIM(E2204)</f>
        <v/>
      </c>
    </row>
    <row r="2205" hidden="1">
      <c r="A2205" s="22" t="n">
        <v>6</v>
      </c>
      <c r="B2205" t="inlineStr">
        <is>
          <t xml:space="preserve">CDM03 - MORENO 3              </t>
        </is>
      </c>
      <c r="C2205" t="inlineStr">
        <is>
          <t xml:space="preserve">GRUPO L.                      </t>
        </is>
      </c>
      <c r="E2205" t="inlineStr">
        <is>
          <t xml:space="preserve">BUSAT000942         </t>
        </is>
      </c>
      <c r="G2205" t="inlineStr">
        <is>
          <t xml:space="preserve">SECAPLATOS                         </t>
        </is>
      </c>
      <c r="H2205" t="inlineStr">
        <is>
          <t xml:space="preserve">UNIDAD              </t>
        </is>
      </c>
      <c r="I2205" t="n">
        <v>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3</v>
      </c>
      <c r="P2205" s="96">
        <f>_xlfn.XLOOKUP(Tabla5[[#This Row],[EAN CORREGIDO]],'Tabla Articulos'!B:B,'Tabla Articulos'!D:D)</f>
        <v/>
      </c>
      <c r="Q2205" s="96">
        <f>_xlfn.XLOOKUP(S2205,'Tabla Articulos'!B:B,'Tabla Articulos'!E:E)</f>
        <v/>
      </c>
      <c r="R2205" s="96">
        <f>O2205*Q2205</f>
        <v/>
      </c>
      <c r="S2205" s="97">
        <f>TRIM(E2205)</f>
        <v/>
      </c>
    </row>
    <row r="2206" hidden="1">
      <c r="A2206" s="22" t="n">
        <v>6</v>
      </c>
      <c r="B2206" t="inlineStr">
        <is>
          <t xml:space="preserve">CDM03 - MORENO 3              </t>
        </is>
      </c>
      <c r="C2206" t="inlineStr">
        <is>
          <t xml:space="preserve">GRUPO L.                      </t>
        </is>
      </c>
      <c r="E2206" t="inlineStr">
        <is>
          <t xml:space="preserve">BUSAT000180         </t>
        </is>
      </c>
      <c r="G2206" t="inlineStr">
        <is>
          <t>BAUL CON ART VARIOS P/ POCHOCLOS 05</t>
        </is>
      </c>
      <c r="H2206" t="inlineStr">
        <is>
          <t xml:space="preserve">UNIDAD              </t>
        </is>
      </c>
      <c r="I2206" t="n">
        <v>0</v>
      </c>
      <c r="J2206" t="n">
        <v>1</v>
      </c>
      <c r="K2206" t="n">
        <v>0</v>
      </c>
      <c r="L2206" t="n">
        <v>0</v>
      </c>
      <c r="M2206" t="n">
        <v>0</v>
      </c>
      <c r="N2206" t="n">
        <v>0</v>
      </c>
      <c r="O2206" t="n">
        <v>1</v>
      </c>
      <c r="P2206" s="96">
        <f>_xlfn.XLOOKUP(Tabla5[[#This Row],[EAN CORREGIDO]],'Tabla Articulos'!B:B,'Tabla Articulos'!D:D)</f>
        <v/>
      </c>
      <c r="Q2206" s="96">
        <f>_xlfn.XLOOKUP(S2206,'Tabla Articulos'!B:B,'Tabla Articulos'!E:E)</f>
        <v/>
      </c>
      <c r="R2206" s="96">
        <f>O2206*Q2206</f>
        <v/>
      </c>
      <c r="S2206" s="97">
        <f>TRIM(E2206)</f>
        <v/>
      </c>
    </row>
    <row r="2207" hidden="1">
      <c r="A2207" s="22" t="n">
        <v>6</v>
      </c>
      <c r="B2207" t="inlineStr">
        <is>
          <t xml:space="preserve">CDM03 - MORENO 3              </t>
        </is>
      </c>
      <c r="C2207" t="inlineStr">
        <is>
          <t xml:space="preserve">GRUPO L.                      </t>
        </is>
      </c>
      <c r="E2207" t="inlineStr">
        <is>
          <t xml:space="preserve">BUSAT000498         </t>
        </is>
      </c>
      <c r="G2207" t="inlineStr">
        <is>
          <t xml:space="preserve">BOTAS	45                           </t>
        </is>
      </c>
      <c r="H2207" t="inlineStr">
        <is>
          <t xml:space="preserve">UNIDAD              </t>
        </is>
      </c>
      <c r="I2207" t="n">
        <v>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3</v>
      </c>
      <c r="P2207" s="96">
        <f>_xlfn.XLOOKUP(Tabla5[[#This Row],[EAN CORREGIDO]],'Tabla Articulos'!B:B,'Tabla Articulos'!D:D)</f>
        <v/>
      </c>
      <c r="Q2207" s="96">
        <f>_xlfn.XLOOKUP(S2207,'Tabla Articulos'!B:B,'Tabla Articulos'!E:E)</f>
        <v/>
      </c>
      <c r="R2207" s="96">
        <f>O2207*Q2207</f>
        <v/>
      </c>
      <c r="S2207" s="97">
        <f>TRIM(E2207)</f>
        <v/>
      </c>
    </row>
    <row r="2208" hidden="1">
      <c r="A2208" s="22" t="n">
        <v>6</v>
      </c>
      <c r="B2208" t="inlineStr">
        <is>
          <t xml:space="preserve">CDM03 - MORENO 3              </t>
        </is>
      </c>
      <c r="C2208" t="inlineStr">
        <is>
          <t xml:space="preserve">GRUPO L.                      </t>
        </is>
      </c>
      <c r="D2208" s="11" t="n"/>
      <c r="E2208" t="inlineStr">
        <is>
          <t xml:space="preserve">BUSAT000134         </t>
        </is>
      </c>
      <c r="G2208" t="inlineStr">
        <is>
          <t xml:space="preserve">ROLLOS BANDA CORTINA CAMARAS       </t>
        </is>
      </c>
      <c r="H2208" t="inlineStr">
        <is>
          <t xml:space="preserve">UNIDAD              </t>
        </is>
      </c>
      <c r="I2208" t="n">
        <v>16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16</v>
      </c>
      <c r="P2208" s="96">
        <f>_xlfn.XLOOKUP(Tabla5[[#This Row],[EAN CORREGIDO]],'Tabla Articulos'!B:B,'Tabla Articulos'!D:D)</f>
        <v/>
      </c>
      <c r="Q2208" s="96">
        <f>_xlfn.XLOOKUP(S2208,'Tabla Articulos'!B:B,'Tabla Articulos'!E:E)</f>
        <v/>
      </c>
      <c r="R2208" s="96">
        <f>O2208*Q2208</f>
        <v/>
      </c>
      <c r="S2208" s="97">
        <f>TRIM(E2208)</f>
        <v/>
      </c>
    </row>
    <row r="2209" hidden="1">
      <c r="A2209" s="22" t="n">
        <v>6</v>
      </c>
      <c r="B2209" t="inlineStr">
        <is>
          <t xml:space="preserve">CDM03 - MORENO 3              </t>
        </is>
      </c>
      <c r="C2209" t="inlineStr">
        <is>
          <t xml:space="preserve">GRUPO L.                      </t>
        </is>
      </c>
      <c r="E2209" t="inlineStr">
        <is>
          <t xml:space="preserve">BUSAT000810         </t>
        </is>
      </c>
      <c r="F2209" s="11" t="n"/>
      <c r="G2209" t="inlineStr">
        <is>
          <t xml:space="preserve">CAMPERA TASALANC/MANGA DESMONTABLE </t>
        </is>
      </c>
      <c r="H2209" t="inlineStr">
        <is>
          <t xml:space="preserve">UNIDAD              </t>
        </is>
      </c>
      <c r="I2209" t="n">
        <v>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5</v>
      </c>
      <c r="P2209" s="96">
        <f>_xlfn.XLOOKUP(Tabla5[[#This Row],[EAN CORREGIDO]],'Tabla Articulos'!B:B,'Tabla Articulos'!D:D)</f>
        <v/>
      </c>
      <c r="Q2209" s="96">
        <f>_xlfn.XLOOKUP(S2209,'Tabla Articulos'!B:B,'Tabla Articulos'!E:E)</f>
        <v/>
      </c>
      <c r="R2209" s="96">
        <f>O2209*Q2209</f>
        <v/>
      </c>
      <c r="S2209" s="97">
        <f>TRIM(E2209)</f>
        <v/>
      </c>
    </row>
    <row r="2210" hidden="1">
      <c r="A2210" s="22" t="n">
        <v>6</v>
      </c>
      <c r="B2210" t="inlineStr">
        <is>
          <t xml:space="preserve">CDM03 - MORENO 3              </t>
        </is>
      </c>
      <c r="C2210" t="inlineStr">
        <is>
          <t xml:space="preserve">GRUPO L.                      </t>
        </is>
      </c>
      <c r="D2210" t="inlineStr">
        <is>
          <t>GUANTE GOMA</t>
        </is>
      </c>
      <c r="E2210" t="inlineStr">
        <is>
          <t xml:space="preserve">7797749000042       </t>
        </is>
      </c>
      <c r="F2210" s="11" t="n">
        <v>2011491</v>
      </c>
      <c r="G2210" t="inlineStr">
        <is>
          <t xml:space="preserve">GUANTES DE GOMA TALLE G XPAR       </t>
        </is>
      </c>
      <c r="H2210" t="inlineStr">
        <is>
          <t xml:space="preserve">UNIDAD              </t>
        </is>
      </c>
      <c r="I2210" t="n">
        <v>281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281</v>
      </c>
      <c r="P2210" s="96">
        <f>_xlfn.XLOOKUP(Tabla5[[#This Row],[EAN CORREGIDO]],'Tabla Articulos'!B:B,'Tabla Articulos'!D:D)</f>
        <v/>
      </c>
      <c r="Q2210" s="96">
        <f>_xlfn.XLOOKUP(S2210,'Tabla Articulos'!B:B,'Tabla Articulos'!E:E)</f>
        <v/>
      </c>
      <c r="R2210" s="96">
        <f>O2210*Q2210</f>
        <v/>
      </c>
      <c r="S2210" s="97">
        <f>TRIM(E2210)</f>
        <v/>
      </c>
    </row>
    <row r="2211" hidden="1">
      <c r="A2211" s="22" t="n">
        <v>6</v>
      </c>
      <c r="B2211" t="inlineStr">
        <is>
          <t xml:space="preserve">CDM03 - MORENO 3              </t>
        </is>
      </c>
      <c r="C2211" t="inlineStr">
        <is>
          <t xml:space="preserve">GRUPO L.                      </t>
        </is>
      </c>
      <c r="D2211" s="11" t="n"/>
      <c r="E2211" t="inlineStr">
        <is>
          <t xml:space="preserve">BUM00245            </t>
        </is>
      </c>
      <c r="F2211" s="11" t="n">
        <v>1000210</v>
      </c>
      <c r="G2211" t="inlineStr">
        <is>
          <t xml:space="preserve">CARRO L ESTADIO                    </t>
        </is>
      </c>
      <c r="H2211" t="inlineStr">
        <is>
          <t xml:space="preserve">UNIDAD              </t>
        </is>
      </c>
      <c r="I2211" t="n">
        <v>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1</v>
      </c>
      <c r="P2211" s="96">
        <f>_xlfn.XLOOKUP(Tabla5[[#This Row],[EAN CORREGIDO]],'Tabla Articulos'!B:B,'Tabla Articulos'!D:D)</f>
        <v/>
      </c>
      <c r="Q2211" s="96">
        <f>_xlfn.XLOOKUP(S2211,'Tabla Articulos'!B:B,'Tabla Articulos'!E:E)</f>
        <v/>
      </c>
      <c r="R2211" s="96">
        <f>O2211*Q2211</f>
        <v/>
      </c>
      <c r="S2211" s="97">
        <f>TRIM(E2211)</f>
        <v/>
      </c>
    </row>
    <row r="2212" hidden="1">
      <c r="A2212" s="22" t="n">
        <v>5</v>
      </c>
      <c r="B2212" t="inlineStr">
        <is>
          <t xml:space="preserve">CDM02 - MORENO 2              </t>
        </is>
      </c>
      <c r="C2212" t="inlineStr">
        <is>
          <t xml:space="preserve">GRUPO L.                      </t>
        </is>
      </c>
      <c r="D2212" s="11" t="inlineStr">
        <is>
          <t>VAINILLAS INDIV</t>
        </is>
      </c>
      <c r="E2212" t="inlineStr">
        <is>
          <t xml:space="preserve">77903884            </t>
        </is>
      </c>
      <c r="F2212" s="11" t="n">
        <v>4018811</v>
      </c>
      <c r="G2212" t="inlineStr">
        <is>
          <t xml:space="preserve">VAINILLAS X 22 G MAURI             </t>
        </is>
      </c>
      <c r="H2212" t="inlineStr">
        <is>
          <t xml:space="preserve">UNIDAD              </t>
        </is>
      </c>
      <c r="I2212" t="n">
        <v>200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200</v>
      </c>
      <c r="P2212" s="96">
        <f>_xlfn.XLOOKUP(Tabla5[[#This Row],[EAN CORREGIDO]],'Tabla Articulos'!B:B,'Tabla Articulos'!D:D)</f>
        <v/>
      </c>
      <c r="Q2212" s="96">
        <f>_xlfn.XLOOKUP(S2212,'Tabla Articulos'!B:B,'Tabla Articulos'!E:E)</f>
        <v/>
      </c>
      <c r="R2212" s="96">
        <f>O2212*Q2212</f>
        <v/>
      </c>
      <c r="S2212" s="97">
        <f>TRIM(E2212)</f>
        <v/>
      </c>
    </row>
    <row r="2213" hidden="1">
      <c r="A2213" s="22" t="n">
        <v>6</v>
      </c>
      <c r="B2213" t="inlineStr">
        <is>
          <t xml:space="preserve">CDM03 - MORENO 3              </t>
        </is>
      </c>
      <c r="C2213" t="inlineStr">
        <is>
          <t xml:space="preserve">GRUPO L.                      </t>
        </is>
      </c>
      <c r="D2213" s="11" t="n"/>
      <c r="E2213" t="inlineStr">
        <is>
          <t xml:space="preserve">100ND38             </t>
        </is>
      </c>
      <c r="F2213" s="11" t="n">
        <v>9004405</v>
      </c>
      <c r="G2213" t="inlineStr">
        <is>
          <t xml:space="preserve">GL ZAPATO SEG. NEG. 38 GAMAX       </t>
        </is>
      </c>
      <c r="H2213" t="inlineStr">
        <is>
          <t xml:space="preserve">UNIDAD              </t>
        </is>
      </c>
      <c r="I2213" t="n">
        <v>0</v>
      </c>
      <c r="J2213" t="n">
        <v>100</v>
      </c>
      <c r="K2213" t="n">
        <v>0</v>
      </c>
      <c r="L2213" t="n">
        <v>30</v>
      </c>
      <c r="M2213" t="n">
        <v>30</v>
      </c>
      <c r="N2213" t="n">
        <v>0</v>
      </c>
      <c r="O2213" t="n">
        <v>40</v>
      </c>
      <c r="P2213" s="96">
        <f>_xlfn.XLOOKUP(Tabla5[[#This Row],[EAN CORREGIDO]],'Tabla Articulos'!B:B,'Tabla Articulos'!D:D)</f>
        <v/>
      </c>
      <c r="Q2213" s="96">
        <f>_xlfn.XLOOKUP(S2213,'Tabla Articulos'!B:B,'Tabla Articulos'!E:E)</f>
        <v/>
      </c>
      <c r="R2213" s="96">
        <f>O2213*Q2213</f>
        <v/>
      </c>
      <c r="S2213" s="97">
        <f>TRIM(E2213)</f>
        <v/>
      </c>
    </row>
    <row r="2214" hidden="1">
      <c r="A2214" s="22" t="n">
        <v>6</v>
      </c>
      <c r="B2214" t="inlineStr">
        <is>
          <t xml:space="preserve">CDM03 - MORENO 3              </t>
        </is>
      </c>
      <c r="C2214" t="inlineStr">
        <is>
          <t xml:space="preserve">GRUPO L.                      </t>
        </is>
      </c>
      <c r="E2214" t="inlineStr">
        <is>
          <t xml:space="preserve">UNIF000085          </t>
        </is>
      </c>
      <c r="F2214" t="n">
        <v>9003546</v>
      </c>
      <c r="G2214" t="inlineStr">
        <is>
          <t>CAMISA BLANCA LISA 42 BLUE CATERING</t>
        </is>
      </c>
      <c r="H2214" t="inlineStr">
        <is>
          <t xml:space="preserve">UNIDAD              </t>
        </is>
      </c>
      <c r="I2214" t="n">
        <v>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8</v>
      </c>
      <c r="P2214" s="96">
        <f>_xlfn.XLOOKUP(Tabla5[[#This Row],[EAN CORREGIDO]],'Tabla Articulos'!B:B,'Tabla Articulos'!D:D)</f>
        <v/>
      </c>
      <c r="Q2214" s="96">
        <f>_xlfn.XLOOKUP(S2214,'Tabla Articulos'!B:B,'Tabla Articulos'!E:E)</f>
        <v/>
      </c>
      <c r="R2214" s="96">
        <f>O2214*Q2214</f>
        <v/>
      </c>
      <c r="S2214" s="97">
        <f>TRIM(E2214)</f>
        <v/>
      </c>
    </row>
    <row r="2215" hidden="1">
      <c r="A2215" s="22" t="n">
        <v>6</v>
      </c>
      <c r="B2215" t="inlineStr">
        <is>
          <t xml:space="preserve">CDM03 - MORENO 3              </t>
        </is>
      </c>
      <c r="C2215" t="inlineStr">
        <is>
          <t xml:space="preserve">GRUPO L.                      </t>
        </is>
      </c>
      <c r="E2215" t="inlineStr">
        <is>
          <t xml:space="preserve">BAZ001208           </t>
        </is>
      </c>
      <c r="F2215" t="n">
        <v>9003753</v>
      </c>
      <c r="G2215" t="inlineStr">
        <is>
          <t xml:space="preserve">JARRO 1 LINEA RECTA BCO VERBANO    </t>
        </is>
      </c>
      <c r="H2215" t="inlineStr">
        <is>
          <t xml:space="preserve">UNIDAD              </t>
        </is>
      </c>
      <c r="I2215" t="n">
        <v>912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912</v>
      </c>
      <c r="P2215" s="96">
        <f>_xlfn.XLOOKUP(Tabla5[[#This Row],[EAN CORREGIDO]],'Tabla Articulos'!B:B,'Tabla Articulos'!D:D)</f>
        <v/>
      </c>
      <c r="Q2215" s="96">
        <f>_xlfn.XLOOKUP(S2215,'Tabla Articulos'!B:B,'Tabla Articulos'!E:E)</f>
        <v/>
      </c>
      <c r="R2215" s="96">
        <f>O2215*Q2215</f>
        <v/>
      </c>
      <c r="S2215" s="97">
        <f>TRIM(E2215)</f>
        <v/>
      </c>
    </row>
    <row r="2216" hidden="1">
      <c r="A2216" s="22" t="n">
        <v>1</v>
      </c>
      <c r="B2216" t="inlineStr">
        <is>
          <t xml:space="preserve">CD MORENO                     </t>
        </is>
      </c>
      <c r="C2216" t="inlineStr">
        <is>
          <t xml:space="preserve">GRUPO L.                      </t>
        </is>
      </c>
      <c r="D2216" t="inlineStr">
        <is>
          <t>LECHE POLVO DESC INDIV</t>
        </is>
      </c>
      <c r="E2216" t="inlineStr">
        <is>
          <t xml:space="preserve">7790787201297       </t>
        </is>
      </c>
      <c r="F2216" t="n">
        <v>4018383</v>
      </c>
      <c r="G2216" t="inlineStr">
        <is>
          <t>LECHE POLVO DESC IND X5G X30U ILOLA</t>
        </is>
      </c>
      <c r="H2216" t="inlineStr">
        <is>
          <t xml:space="preserve">UNIDAD              </t>
        </is>
      </c>
      <c r="I2216" t="n">
        <v>25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25</v>
      </c>
      <c r="P2216" s="96">
        <f>_xlfn.XLOOKUP(Tabla5[[#This Row],[EAN CORREGIDO]],'Tabla Articulos'!B:B,'Tabla Articulos'!D:D)</f>
        <v/>
      </c>
      <c r="Q2216" s="96">
        <f>_xlfn.XLOOKUP(S2216,'Tabla Articulos'!B:B,'Tabla Articulos'!E:E)</f>
        <v/>
      </c>
      <c r="R2216" s="96">
        <f>O2216*Q2216</f>
        <v/>
      </c>
      <c r="S2216" s="97">
        <f>TRIM(E2216)</f>
        <v/>
      </c>
    </row>
    <row r="2217" hidden="1">
      <c r="A2217" s="22" t="n">
        <v>6</v>
      </c>
      <c r="B2217" t="inlineStr">
        <is>
          <t xml:space="preserve">CDM03 - MORENO 3              </t>
        </is>
      </c>
      <c r="C2217" t="inlineStr">
        <is>
          <t xml:space="preserve">GRUPO L.                      </t>
        </is>
      </c>
      <c r="D2217" s="11" t="n"/>
      <c r="E2217" t="inlineStr">
        <is>
          <t xml:space="preserve">UNIF000227          </t>
        </is>
      </c>
      <c r="F2217" t="n">
        <v>9003495</v>
      </c>
      <c r="G2217" t="inlineStr">
        <is>
          <t xml:space="preserve">PANTAL CARG NEGRO VER. 50 GL SUP   </t>
        </is>
      </c>
      <c r="H2217" t="inlineStr">
        <is>
          <t xml:space="preserve">UNIDAD              </t>
        </is>
      </c>
      <c r="I2217" t="n">
        <v>23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23</v>
      </c>
      <c r="P2217" s="96">
        <f>_xlfn.XLOOKUP(Tabla5[[#This Row],[EAN CORREGIDO]],'Tabla Articulos'!B:B,'Tabla Articulos'!D:D)</f>
        <v/>
      </c>
      <c r="Q2217" s="96">
        <f>_xlfn.XLOOKUP(S2217,'Tabla Articulos'!B:B,'Tabla Articulos'!E:E)</f>
        <v/>
      </c>
      <c r="R2217" s="96">
        <f>O2217*Q2217</f>
        <v/>
      </c>
      <c r="S2217" s="97">
        <f>TRIM(E2217)</f>
        <v/>
      </c>
    </row>
    <row r="2218" hidden="1">
      <c r="A2218" s="22" t="n">
        <v>6</v>
      </c>
      <c r="B2218" t="inlineStr">
        <is>
          <t xml:space="preserve">CDM03 - MORENO 3              </t>
        </is>
      </c>
      <c r="C2218" t="inlineStr">
        <is>
          <t xml:space="preserve">GRUPO L.                      </t>
        </is>
      </c>
      <c r="E2218" t="inlineStr">
        <is>
          <t xml:space="preserve">BAZ001239           </t>
        </is>
      </c>
      <c r="F2218" t="n">
        <v>9003684</v>
      </c>
      <c r="G2218" t="inlineStr">
        <is>
          <t xml:space="preserve">TABLA USO SANITARIO 35X50 AZUL     </t>
        </is>
      </c>
      <c r="H2218" t="inlineStr">
        <is>
          <t xml:space="preserve">UNIDAD              </t>
        </is>
      </c>
      <c r="I2218" t="n">
        <v>51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51</v>
      </c>
      <c r="P2218" s="96">
        <f>_xlfn.XLOOKUP(Tabla5[[#This Row],[EAN CORREGIDO]],'Tabla Articulos'!B:B,'Tabla Articulos'!D:D)</f>
        <v/>
      </c>
      <c r="Q2218" s="96">
        <f>_xlfn.XLOOKUP(S2218,'Tabla Articulos'!B:B,'Tabla Articulos'!E:E)</f>
        <v/>
      </c>
      <c r="R2218" s="96">
        <f>O2218*Q2218</f>
        <v/>
      </c>
      <c r="S2218" s="97">
        <f>TRIM(E2218)</f>
        <v/>
      </c>
    </row>
    <row r="2219" hidden="1">
      <c r="A2219" s="22" t="n">
        <v>6</v>
      </c>
      <c r="B2219" t="inlineStr">
        <is>
          <t xml:space="preserve">CDM03 - MORENO 3              </t>
        </is>
      </c>
      <c r="C2219" t="inlineStr">
        <is>
          <t xml:space="preserve">GRUPO L.                      </t>
        </is>
      </c>
      <c r="E2219" t="inlineStr">
        <is>
          <t xml:space="preserve">UNIF000486          </t>
        </is>
      </c>
      <c r="F2219" t="n">
        <v>9003258</v>
      </c>
      <c r="G2219" t="inlineStr">
        <is>
          <t xml:space="preserve">PANTAL. GRAFA S. LOGO BLANCO 52    </t>
        </is>
      </c>
      <c r="H2219" t="inlineStr">
        <is>
          <t xml:space="preserve">UNIDAD              </t>
        </is>
      </c>
      <c r="I2219" t="n">
        <v>36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36</v>
      </c>
      <c r="P2219" s="96">
        <f>_xlfn.XLOOKUP(Tabla5[[#This Row],[EAN CORREGIDO]],'Tabla Articulos'!B:B,'Tabla Articulos'!D:D)</f>
        <v/>
      </c>
      <c r="Q2219" s="96">
        <f>_xlfn.XLOOKUP(S2219,'Tabla Articulos'!B:B,'Tabla Articulos'!E:E)</f>
        <v/>
      </c>
      <c r="R2219" s="96">
        <f>O2219*Q2219</f>
        <v/>
      </c>
      <c r="S2219" s="97">
        <f>TRIM(E2219)</f>
        <v/>
      </c>
    </row>
    <row r="2220" hidden="1">
      <c r="A2220" s="22" t="n">
        <v>5</v>
      </c>
      <c r="B2220" t="inlineStr">
        <is>
          <t xml:space="preserve">CDM02 - MORENO 2              </t>
        </is>
      </c>
      <c r="C2220" t="inlineStr">
        <is>
          <t xml:space="preserve">GRUPO L.                      </t>
        </is>
      </c>
      <c r="D2220" t="inlineStr">
        <is>
          <t>LENTEJAS REMOJADAS</t>
        </is>
      </c>
      <c r="E2220" t="inlineStr">
        <is>
          <t xml:space="preserve">7797470007921       </t>
        </is>
      </c>
      <c r="F2220" t="n">
        <v>4020297</v>
      </c>
      <c r="G2220" t="inlineStr">
        <is>
          <t xml:space="preserve">LENTEJAS X340G MAROLIO             </t>
        </is>
      </c>
      <c r="H2220" t="inlineStr">
        <is>
          <t xml:space="preserve">UNIDAD              </t>
        </is>
      </c>
      <c r="I2220" t="n">
        <v>10836</v>
      </c>
      <c r="J2220" t="n">
        <v>0</v>
      </c>
      <c r="K2220" t="n">
        <v>0</v>
      </c>
      <c r="L2220" t="n">
        <v>0</v>
      </c>
      <c r="M2220" t="n">
        <v>4</v>
      </c>
      <c r="N2220" t="n">
        <v>0</v>
      </c>
      <c r="O2220" t="n">
        <v>10832</v>
      </c>
      <c r="P2220" s="96">
        <f>_xlfn.XLOOKUP(Tabla5[[#This Row],[EAN CORREGIDO]],'Tabla Articulos'!B:B,'Tabla Articulos'!D:D)</f>
        <v/>
      </c>
      <c r="Q2220" s="96">
        <f>_xlfn.XLOOKUP(S2220,'Tabla Articulos'!B:B,'Tabla Articulos'!E:E)</f>
        <v/>
      </c>
      <c r="R2220" s="96">
        <f>O2220*Q2220</f>
        <v/>
      </c>
      <c r="S2220" s="97">
        <f>TRIM(E2220)</f>
        <v/>
      </c>
    </row>
    <row r="2221" hidden="1">
      <c r="A2221" s="22" t="n">
        <v>6</v>
      </c>
      <c r="B2221" t="inlineStr">
        <is>
          <t xml:space="preserve">CDM03 - MORENO 3              </t>
        </is>
      </c>
      <c r="C2221" t="inlineStr">
        <is>
          <t xml:space="preserve">GRUPO L.                      </t>
        </is>
      </c>
      <c r="D2221" s="11" t="inlineStr">
        <is>
          <t>DELANTAL DESCARTABLE</t>
        </is>
      </c>
      <c r="E2221" t="inlineStr">
        <is>
          <t xml:space="preserve">BAZ000387           </t>
        </is>
      </c>
      <c r="F2221" t="n">
        <v>2006422</v>
      </c>
      <c r="G2221" t="inlineStr">
        <is>
          <t xml:space="preserve">DELANTALES DESCARTABLES X 100      </t>
        </is>
      </c>
      <c r="H2221" t="inlineStr">
        <is>
          <t xml:space="preserve">UNIDAD              </t>
        </is>
      </c>
      <c r="I2221" t="n">
        <v>80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80</v>
      </c>
      <c r="P2221" s="96">
        <f>_xlfn.XLOOKUP(Tabla5[[#This Row],[EAN CORREGIDO]],'Tabla Articulos'!B:B,'Tabla Articulos'!D:D)</f>
        <v/>
      </c>
      <c r="Q2221" s="96">
        <f>_xlfn.XLOOKUP(S2221,'Tabla Articulos'!B:B,'Tabla Articulos'!E:E)</f>
        <v/>
      </c>
      <c r="R2221" s="96">
        <f>O2221*Q2221</f>
        <v/>
      </c>
      <c r="S2221" s="97">
        <f>TRIM(E2221)</f>
        <v/>
      </c>
    </row>
    <row r="2222" hidden="1">
      <c r="A2222" s="22" t="n">
        <v>6</v>
      </c>
      <c r="B2222" t="inlineStr">
        <is>
          <t xml:space="preserve">CDM03 - MORENO 3              </t>
        </is>
      </c>
      <c r="C2222" t="inlineStr">
        <is>
          <t xml:space="preserve">GRUPO L.                      </t>
        </is>
      </c>
      <c r="E2222" t="inlineStr">
        <is>
          <t xml:space="preserve">UNIF000615          </t>
        </is>
      </c>
      <c r="F2222" t="n">
        <v>9003153</v>
      </c>
      <c r="G2222" t="inlineStr">
        <is>
          <t xml:space="preserve">GUARDAP. C LOGO GL SUP TALLE XL    </t>
        </is>
      </c>
      <c r="H2222" t="inlineStr">
        <is>
          <t xml:space="preserve">UNIDAD              </t>
        </is>
      </c>
      <c r="I2222" t="n">
        <v>31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31</v>
      </c>
      <c r="P2222" s="96">
        <f>_xlfn.XLOOKUP(Tabla5[[#This Row],[EAN CORREGIDO]],'Tabla Articulos'!B:B,'Tabla Articulos'!D:D)</f>
        <v/>
      </c>
      <c r="Q2222" s="96">
        <f>_xlfn.XLOOKUP(S2222,'Tabla Articulos'!B:B,'Tabla Articulos'!E:E)</f>
        <v/>
      </c>
      <c r="R2222" s="96">
        <f>O2222*Q2222</f>
        <v/>
      </c>
      <c r="S2222" s="97">
        <f>TRIM(E2222)</f>
        <v/>
      </c>
    </row>
    <row r="2223" hidden="1">
      <c r="A2223" s="22" t="n">
        <v>6</v>
      </c>
      <c r="B2223" t="inlineStr">
        <is>
          <t xml:space="preserve">CDM03 - MORENO 3              </t>
        </is>
      </c>
      <c r="C2223" t="inlineStr">
        <is>
          <t xml:space="preserve">GRUPO L.                      </t>
        </is>
      </c>
      <c r="E2223" t="inlineStr">
        <is>
          <t xml:space="preserve">2000794             </t>
        </is>
      </c>
      <c r="F2223" t="n">
        <v>2000794</v>
      </c>
      <c r="G2223" t="inlineStr">
        <is>
          <t xml:space="preserve">BOLSA CRISTAL MPROPIA 90X110 30MIC </t>
        </is>
      </c>
      <c r="H2223" t="inlineStr">
        <is>
          <t xml:space="preserve">UNIDAD              </t>
        </is>
      </c>
      <c r="I2223" t="n">
        <v>30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30</v>
      </c>
      <c r="P2223" s="96">
        <f>_xlfn.XLOOKUP(Tabla5[[#This Row],[EAN CORREGIDO]],'Tabla Articulos'!B:B,'Tabla Articulos'!D:D)</f>
        <v/>
      </c>
      <c r="Q2223" s="96">
        <f>_xlfn.XLOOKUP(S2223,'Tabla Articulos'!B:B,'Tabla Articulos'!E:E)</f>
        <v/>
      </c>
      <c r="R2223" s="96">
        <f>O2223*Q2223</f>
        <v/>
      </c>
      <c r="S2223" s="97">
        <f>TRIM(E2223)</f>
        <v/>
      </c>
    </row>
    <row r="2224" hidden="1">
      <c r="A2224" s="22" t="n">
        <v>6</v>
      </c>
      <c r="B2224" t="inlineStr">
        <is>
          <t xml:space="preserve">CDM03 - MORENO 3              </t>
        </is>
      </c>
      <c r="C2224" t="inlineStr">
        <is>
          <t xml:space="preserve">GRUPO L.                      </t>
        </is>
      </c>
      <c r="E2224" t="inlineStr">
        <is>
          <t xml:space="preserve">7790000000476       </t>
        </is>
      </c>
      <c r="F2224" t="n">
        <v>2007502</v>
      </c>
      <c r="G2224" t="inlineStr">
        <is>
          <t xml:space="preserve">ARMAZON PARA MOPA X 80CM           </t>
        </is>
      </c>
      <c r="H2224" t="inlineStr">
        <is>
          <t xml:space="preserve">UNIDAD              </t>
        </is>
      </c>
      <c r="I2224" t="n">
        <v>156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156</v>
      </c>
      <c r="P2224" s="96">
        <f>_xlfn.XLOOKUP(Tabla5[[#This Row],[EAN CORREGIDO]],'Tabla Articulos'!B:B,'Tabla Articulos'!D:D)</f>
        <v/>
      </c>
      <c r="Q2224" s="96">
        <f>_xlfn.XLOOKUP(S2224,'Tabla Articulos'!B:B,'Tabla Articulos'!E:E)</f>
        <v/>
      </c>
      <c r="R2224" s="96">
        <f>O2224*Q2224</f>
        <v/>
      </c>
      <c r="S2224" s="97">
        <f>TRIM(E2224)</f>
        <v/>
      </c>
    </row>
    <row r="2225" hidden="1">
      <c r="A2225" s="22" t="n">
        <v>6</v>
      </c>
      <c r="B2225" t="inlineStr">
        <is>
          <t xml:space="preserve">CDM03 - MORENO 3              </t>
        </is>
      </c>
      <c r="C2225" t="inlineStr">
        <is>
          <t xml:space="preserve">GRUPO L.                      </t>
        </is>
      </c>
      <c r="E2225" t="inlineStr">
        <is>
          <t xml:space="preserve">UNIF000628          </t>
        </is>
      </c>
      <c r="F2225" t="n">
        <v>9003166</v>
      </c>
      <c r="G2225" t="inlineStr">
        <is>
          <t xml:space="preserve">DELANTERO NEGRO BLUE               </t>
        </is>
      </c>
      <c r="H2225" t="inlineStr">
        <is>
          <t xml:space="preserve">UNIDAD              </t>
        </is>
      </c>
      <c r="I2225" t="n">
        <v>77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77</v>
      </c>
      <c r="P2225" s="96">
        <f>_xlfn.XLOOKUP(Tabla5[[#This Row],[EAN CORREGIDO]],'Tabla Articulos'!B:B,'Tabla Articulos'!D:D)</f>
        <v/>
      </c>
      <c r="Q2225" s="96">
        <f>_xlfn.XLOOKUP(S2225,'Tabla Articulos'!B:B,'Tabla Articulos'!E:E)</f>
        <v/>
      </c>
      <c r="R2225" s="96">
        <f>O2225*Q2225</f>
        <v/>
      </c>
      <c r="S2225" s="97">
        <f>TRIM(E2225)</f>
        <v/>
      </c>
    </row>
    <row r="2226" hidden="1">
      <c r="A2226" s="22" t="n">
        <v>6</v>
      </c>
      <c r="B2226" t="inlineStr">
        <is>
          <t xml:space="preserve">CDM03 - MORENO 3              </t>
        </is>
      </c>
      <c r="C2226" t="inlineStr">
        <is>
          <t xml:space="preserve">GRUPO L.                      </t>
        </is>
      </c>
      <c r="E2226" t="inlineStr">
        <is>
          <t xml:space="preserve">UNIF000501          </t>
        </is>
      </c>
      <c r="F2226" t="n">
        <v>9003384</v>
      </c>
      <c r="G2226" t="inlineStr">
        <is>
          <t xml:space="preserve">CAMPERA POLAR NEGRA XS C. GOUR     </t>
        </is>
      </c>
      <c r="H2226" t="inlineStr">
        <is>
          <t xml:space="preserve">UNIDAD              </t>
        </is>
      </c>
      <c r="I2226" t="n">
        <v>21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21</v>
      </c>
      <c r="P2226" s="96">
        <f>_xlfn.XLOOKUP(Tabla5[[#This Row],[EAN CORREGIDO]],'Tabla Articulos'!B:B,'Tabla Articulos'!D:D)</f>
        <v/>
      </c>
      <c r="Q2226" s="96">
        <f>_xlfn.XLOOKUP(S2226,'Tabla Articulos'!B:B,'Tabla Articulos'!E:E)</f>
        <v/>
      </c>
      <c r="R2226" s="96">
        <f>O2226*Q2226</f>
        <v/>
      </c>
      <c r="S2226" s="97">
        <f>TRIM(E2226)</f>
        <v/>
      </c>
    </row>
    <row r="2227" hidden="1">
      <c r="A2227" s="22" t="n">
        <v>1</v>
      </c>
      <c r="B2227" t="inlineStr">
        <is>
          <t xml:space="preserve">CD MORENO                     </t>
        </is>
      </c>
      <c r="C2227" t="inlineStr">
        <is>
          <t xml:space="preserve">GRUPO L.                      </t>
        </is>
      </c>
      <c r="D2227" s="11" t="inlineStr">
        <is>
          <t>JUGO INDIVIDUAL NARANJA</t>
        </is>
      </c>
      <c r="E2227" t="inlineStr">
        <is>
          <t xml:space="preserve">7798290580052       </t>
        </is>
      </c>
      <c r="F2227" t="n">
        <v>4021111</v>
      </c>
      <c r="G2227" t="inlineStr">
        <is>
          <t xml:space="preserve">JUGO NARANJA X200CC TUTTI          </t>
        </is>
      </c>
      <c r="H2227" t="inlineStr">
        <is>
          <t xml:space="preserve">UNIDAD              </t>
        </is>
      </c>
      <c r="I2227" t="n">
        <v>19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19</v>
      </c>
      <c r="P2227" s="96">
        <f>_xlfn.XLOOKUP(Tabla5[[#This Row],[EAN CORREGIDO]],'Tabla Articulos'!B:B,'Tabla Articulos'!D:D)</f>
        <v/>
      </c>
      <c r="Q2227" s="96">
        <f>_xlfn.XLOOKUP(S2227,'Tabla Articulos'!B:B,'Tabla Articulos'!E:E)</f>
        <v/>
      </c>
      <c r="R2227" s="96">
        <f>O2227*Q2227</f>
        <v/>
      </c>
      <c r="S2227" s="97">
        <f>TRIM(E2227)</f>
        <v/>
      </c>
    </row>
    <row r="2228" hidden="1">
      <c r="A2228" s="22" t="n">
        <v>6</v>
      </c>
      <c r="B2228" t="inlineStr">
        <is>
          <t xml:space="preserve">CDM03 - MORENO 3              </t>
        </is>
      </c>
      <c r="C2228" t="inlineStr">
        <is>
          <t xml:space="preserve">GRUPO L.                      </t>
        </is>
      </c>
      <c r="D2228" t="inlineStr">
        <is>
          <t xml:space="preserve">FIBRA ESPONJA  </t>
        </is>
      </c>
      <c r="E2228" t="inlineStr">
        <is>
          <t xml:space="preserve">7798377480015       </t>
        </is>
      </c>
      <c r="F2228" t="n">
        <v>2007271</v>
      </c>
      <c r="G2228" t="inlineStr">
        <is>
          <t xml:space="preserve">ESPONJA FIBRA DOBLE GALERA XUN     </t>
        </is>
      </c>
      <c r="H2228" t="inlineStr">
        <is>
          <t xml:space="preserve">UNIDAD              </t>
        </is>
      </c>
      <c r="I2228" t="n">
        <v>338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338</v>
      </c>
      <c r="P2228" s="96">
        <f>_xlfn.XLOOKUP(Tabla5[[#This Row],[EAN CORREGIDO]],'Tabla Articulos'!B:B,'Tabla Articulos'!D:D)</f>
        <v/>
      </c>
      <c r="Q2228" s="96">
        <f>_xlfn.XLOOKUP(S2228,'Tabla Articulos'!B:B,'Tabla Articulos'!E:E)</f>
        <v/>
      </c>
      <c r="R2228" s="96">
        <f>O2228*Q2228</f>
        <v/>
      </c>
      <c r="S2228" s="97">
        <f>TRIM(E2228)</f>
        <v/>
      </c>
    </row>
    <row r="2229" hidden="1">
      <c r="A2229" s="22" t="n">
        <v>5</v>
      </c>
      <c r="B2229" t="inlineStr">
        <is>
          <t xml:space="preserve">CDM02 - MORENO 2              </t>
        </is>
      </c>
      <c r="C2229" t="inlineStr">
        <is>
          <t xml:space="preserve">GRUPO L.                      </t>
        </is>
      </c>
      <c r="D2229" s="11" t="inlineStr">
        <is>
          <t>ATUN A/N DESMEN</t>
        </is>
      </c>
      <c r="E2229" t="inlineStr">
        <is>
          <t xml:space="preserve">7790199604785       </t>
        </is>
      </c>
      <c r="F2229" t="n">
        <v>4023172</v>
      </c>
      <c r="G2229" t="inlineStr">
        <is>
          <t xml:space="preserve">ATUN DESM NAT 170GR MORIXE         </t>
        </is>
      </c>
      <c r="H2229" t="inlineStr">
        <is>
          <t xml:space="preserve">UNIDAD              </t>
        </is>
      </c>
      <c r="I2229" t="n">
        <v>9302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9302</v>
      </c>
      <c r="P2229" s="96">
        <f>_xlfn.XLOOKUP(Tabla5[[#This Row],[EAN CORREGIDO]],'Tabla Articulos'!B:B,'Tabla Articulos'!D:D)</f>
        <v/>
      </c>
      <c r="Q2229" s="96">
        <f>_xlfn.XLOOKUP(S2229,'Tabla Articulos'!B:B,'Tabla Articulos'!E:E)</f>
        <v/>
      </c>
      <c r="R2229" s="96">
        <f>O2229*Q2229</f>
        <v/>
      </c>
      <c r="S2229" s="97">
        <f>TRIM(E2229)</f>
        <v/>
      </c>
    </row>
    <row r="2230" hidden="1">
      <c r="A2230" s="22" t="n">
        <v>6</v>
      </c>
      <c r="B2230" t="inlineStr">
        <is>
          <t xml:space="preserve">CDM03 - MORENO 3              </t>
        </is>
      </c>
      <c r="C2230" t="inlineStr">
        <is>
          <t xml:space="preserve">GRUPO L.                      </t>
        </is>
      </c>
      <c r="E2230" t="inlineStr">
        <is>
          <t xml:space="preserve">BUSAT000937         </t>
        </is>
      </c>
      <c r="G2230" t="inlineStr">
        <is>
          <t xml:space="preserve">CAJA PLASTICA BLANCA MEADIANA      </t>
        </is>
      </c>
      <c r="H2230" t="inlineStr">
        <is>
          <t xml:space="preserve">UNIDAD              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1</v>
      </c>
      <c r="P2230" s="96">
        <f>_xlfn.XLOOKUP(Tabla5[[#This Row],[EAN CORREGIDO]],'Tabla Articulos'!B:B,'Tabla Articulos'!D:D)</f>
        <v/>
      </c>
      <c r="Q2230" s="96">
        <f>_xlfn.XLOOKUP(S2230,'Tabla Articulos'!B:B,'Tabla Articulos'!E:E)</f>
        <v/>
      </c>
      <c r="R2230" s="96">
        <f>O2230*Q2230</f>
        <v/>
      </c>
      <c r="S2230" s="97">
        <f>TRIM(E2230)</f>
        <v/>
      </c>
    </row>
    <row r="2231" hidden="1">
      <c r="A2231" s="22" t="n">
        <v>6</v>
      </c>
      <c r="B2231" t="inlineStr">
        <is>
          <t xml:space="preserve">CDM03 - MORENO 3              </t>
        </is>
      </c>
      <c r="C2231" t="inlineStr">
        <is>
          <t xml:space="preserve">GRUPO L.                      </t>
        </is>
      </c>
      <c r="E2231" t="inlineStr">
        <is>
          <t xml:space="preserve">BUSAT000874         </t>
        </is>
      </c>
      <c r="G2231" t="inlineStr">
        <is>
          <t xml:space="preserve">TACHOS BLANCOS S/ASA GRANDE        </t>
        </is>
      </c>
      <c r="H2231" t="inlineStr">
        <is>
          <t xml:space="preserve">UNIDAD              </t>
        </is>
      </c>
      <c r="I2231" t="n">
        <v>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5</v>
      </c>
      <c r="P2231" s="96">
        <f>_xlfn.XLOOKUP(Tabla5[[#This Row],[EAN CORREGIDO]],'Tabla Articulos'!B:B,'Tabla Articulos'!D:D)</f>
        <v/>
      </c>
      <c r="Q2231" s="96">
        <f>_xlfn.XLOOKUP(S2231,'Tabla Articulos'!B:B,'Tabla Articulos'!E:E)</f>
        <v/>
      </c>
      <c r="R2231" s="96">
        <f>O2231*Q2231</f>
        <v/>
      </c>
      <c r="S2231" s="97">
        <f>TRIM(E2231)</f>
        <v/>
      </c>
    </row>
    <row r="2232" hidden="1">
      <c r="A2232" s="22" t="n">
        <v>6</v>
      </c>
      <c r="B2232" t="inlineStr">
        <is>
          <t xml:space="preserve">CDM03 - MORENO 3              </t>
        </is>
      </c>
      <c r="C2232" t="inlineStr">
        <is>
          <t xml:space="preserve">GRUPO L.                      </t>
        </is>
      </c>
      <c r="E2232" t="inlineStr">
        <is>
          <t xml:space="preserve">BUSAT001113         </t>
        </is>
      </c>
      <c r="G2232" t="inlineStr">
        <is>
          <t xml:space="preserve">TV NOBLEX                          </t>
        </is>
      </c>
      <c r="H2232" t="inlineStr">
        <is>
          <t xml:space="preserve">UNIDAD              </t>
        </is>
      </c>
      <c r="I2232" t="n">
        <v>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1</v>
      </c>
      <c r="P2232" s="96">
        <f>_xlfn.XLOOKUP(Tabla5[[#This Row],[EAN CORREGIDO]],'Tabla Articulos'!B:B,'Tabla Articulos'!D:D)</f>
        <v/>
      </c>
      <c r="Q2232" s="96">
        <f>_xlfn.XLOOKUP(S2232,'Tabla Articulos'!B:B,'Tabla Articulos'!E:E)</f>
        <v/>
      </c>
      <c r="R2232" s="96">
        <f>O2232*Q2232</f>
        <v/>
      </c>
      <c r="S2232" s="97">
        <f>TRIM(E2232)</f>
        <v/>
      </c>
    </row>
    <row r="2233" hidden="1">
      <c r="A2233" s="22" t="n">
        <v>6</v>
      </c>
      <c r="B2233" t="inlineStr">
        <is>
          <t xml:space="preserve">CDM03 - MORENO 3              </t>
        </is>
      </c>
      <c r="C2233" t="inlineStr">
        <is>
          <t xml:space="preserve">GRUPO L.                      </t>
        </is>
      </c>
      <c r="E2233" t="inlineStr">
        <is>
          <t xml:space="preserve">BUSAT000056         </t>
        </is>
      </c>
      <c r="G2233" t="inlineStr">
        <is>
          <t xml:space="preserve">TRIPODI                            </t>
        </is>
      </c>
      <c r="H2233" t="inlineStr">
        <is>
          <t xml:space="preserve">UNIDAD              </t>
        </is>
      </c>
      <c r="I2233" t="n">
        <v>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1</v>
      </c>
      <c r="P2233" s="96">
        <f>_xlfn.XLOOKUP(Tabla5[[#This Row],[EAN CORREGIDO]],'Tabla Articulos'!B:B,'Tabla Articulos'!D:D)</f>
        <v/>
      </c>
      <c r="Q2233" s="96">
        <f>_xlfn.XLOOKUP(S2233,'Tabla Articulos'!B:B,'Tabla Articulos'!E:E)</f>
        <v/>
      </c>
      <c r="R2233" s="96">
        <f>O2233*Q2233</f>
        <v/>
      </c>
      <c r="S2233" s="97">
        <f>TRIM(E2233)</f>
        <v/>
      </c>
    </row>
    <row r="2234" hidden="1">
      <c r="A2234" s="22" t="n">
        <v>6</v>
      </c>
      <c r="B2234" t="inlineStr">
        <is>
          <t xml:space="preserve">CDM03 - MORENO 3              </t>
        </is>
      </c>
      <c r="C2234" t="inlineStr">
        <is>
          <t xml:space="preserve">GRUPO L.                      </t>
        </is>
      </c>
      <c r="E2234" t="inlineStr">
        <is>
          <t xml:space="preserve">BUSAT000921         </t>
        </is>
      </c>
      <c r="G2234" t="inlineStr">
        <is>
          <t xml:space="preserve">TETERA ACERO INOX CON TAPA         </t>
        </is>
      </c>
      <c r="H2234" t="inlineStr">
        <is>
          <t xml:space="preserve">UNIDAD              </t>
        </is>
      </c>
      <c r="I2234" t="n">
        <v>11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11</v>
      </c>
      <c r="P2234" s="96">
        <f>_xlfn.XLOOKUP(Tabla5[[#This Row],[EAN CORREGIDO]],'Tabla Articulos'!B:B,'Tabla Articulos'!D:D)</f>
        <v/>
      </c>
      <c r="Q2234" s="96">
        <f>_xlfn.XLOOKUP(S2234,'Tabla Articulos'!B:B,'Tabla Articulos'!E:E)</f>
        <v/>
      </c>
      <c r="R2234" s="96">
        <f>O2234*Q2234</f>
        <v/>
      </c>
      <c r="S2234" s="97">
        <f>TRIM(E2234)</f>
        <v/>
      </c>
    </row>
    <row r="2235" hidden="1">
      <c r="A2235" s="22" t="n">
        <v>6</v>
      </c>
      <c r="B2235" t="inlineStr">
        <is>
          <t xml:space="preserve">CDM03 - MORENO 3              </t>
        </is>
      </c>
      <c r="C2235" t="inlineStr">
        <is>
          <t xml:space="preserve">GRUPO L.                      </t>
        </is>
      </c>
      <c r="D2235" s="11" t="n"/>
      <c r="E2235" t="inlineStr">
        <is>
          <t xml:space="preserve">BAZ000834           </t>
        </is>
      </c>
      <c r="G2235" t="inlineStr">
        <is>
          <t xml:space="preserve">CANASTO FRIT RECT 16X32-P 14CM     </t>
        </is>
      </c>
      <c r="H2235" t="inlineStr">
        <is>
          <t xml:space="preserve">UNIDAD              </t>
        </is>
      </c>
      <c r="I2235" t="n">
        <v>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2</v>
      </c>
      <c r="P2235" s="96">
        <f>_xlfn.XLOOKUP(Tabla5[[#This Row],[EAN CORREGIDO]],'Tabla Articulos'!B:B,'Tabla Articulos'!D:D)</f>
        <v/>
      </c>
      <c r="Q2235" s="96">
        <f>_xlfn.XLOOKUP(S2235,'Tabla Articulos'!B:B,'Tabla Articulos'!E:E)</f>
        <v/>
      </c>
      <c r="R2235" s="96">
        <f>O2235*Q2235</f>
        <v/>
      </c>
      <c r="S2235" s="97">
        <f>TRIM(E2235)</f>
        <v/>
      </c>
    </row>
    <row r="2236" hidden="1">
      <c r="A2236" s="22" t="n">
        <v>6</v>
      </c>
      <c r="B2236" t="inlineStr">
        <is>
          <t xml:space="preserve">CDM03 - MORENO 3              </t>
        </is>
      </c>
      <c r="C2236" t="inlineStr">
        <is>
          <t xml:space="preserve">GRUPO L.                      </t>
        </is>
      </c>
      <c r="E2236" t="inlineStr">
        <is>
          <t xml:space="preserve">BUSAT000210         </t>
        </is>
      </c>
      <c r="G2236" t="inlineStr">
        <is>
          <t>MESADA CON BACHA PILETA C/ ESTACION</t>
        </is>
      </c>
      <c r="H2236" t="inlineStr">
        <is>
          <t xml:space="preserve">BULTOS              </t>
        </is>
      </c>
      <c r="I2236" t="n">
        <v>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1</v>
      </c>
      <c r="P2236" s="96">
        <f>_xlfn.XLOOKUP(Tabla5[[#This Row],[EAN CORREGIDO]],'Tabla Articulos'!B:B,'Tabla Articulos'!D:D)</f>
        <v/>
      </c>
      <c r="Q2236" s="96">
        <f>_xlfn.XLOOKUP(S2236,'Tabla Articulos'!B:B,'Tabla Articulos'!E:E)</f>
        <v/>
      </c>
      <c r="R2236" s="96">
        <f>O2236*Q2236</f>
        <v/>
      </c>
      <c r="S2236" s="97">
        <f>TRIM(E2236)</f>
        <v/>
      </c>
    </row>
    <row r="2237" hidden="1">
      <c r="A2237" s="22" t="n">
        <v>1</v>
      </c>
      <c r="B2237" t="inlineStr">
        <is>
          <t xml:space="preserve">CD MORENO                     </t>
        </is>
      </c>
      <c r="C2237" t="inlineStr">
        <is>
          <t xml:space="preserve">GRUPO L.                      </t>
        </is>
      </c>
      <c r="D2237" t="inlineStr">
        <is>
          <t>PANADERIA CONGELADA</t>
        </is>
      </c>
      <c r="E2237" t="inlineStr">
        <is>
          <t xml:space="preserve">7798041132480       </t>
        </is>
      </c>
      <c r="F2237" t="n">
        <v>4018569</v>
      </c>
      <c r="G2237" t="inlineStr">
        <is>
          <t xml:space="preserve">CUADRADO CHOCOTORTA X12U SELYGEL   </t>
        </is>
      </c>
      <c r="H2237" t="inlineStr">
        <is>
          <t xml:space="preserve">UNIDAD              </t>
        </is>
      </c>
      <c r="I2237" t="n">
        <v>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5</v>
      </c>
      <c r="P2237" s="96">
        <f>_xlfn.XLOOKUP(Tabla5[[#This Row],[EAN CORREGIDO]],'Tabla Articulos'!B:B,'Tabla Articulos'!D:D)</f>
        <v/>
      </c>
      <c r="Q2237" s="96">
        <f>_xlfn.XLOOKUP(S2237,'Tabla Articulos'!B:B,'Tabla Articulos'!E:E)</f>
        <v/>
      </c>
      <c r="R2237" s="96">
        <f>O2237*Q2237</f>
        <v/>
      </c>
      <c r="S2237" s="97">
        <f>TRIM(E2237)</f>
        <v/>
      </c>
    </row>
    <row r="2238" hidden="1">
      <c r="A2238" s="22" t="n">
        <v>6</v>
      </c>
      <c r="B2238" t="inlineStr">
        <is>
          <t xml:space="preserve">CDM03 - MORENO 3              </t>
        </is>
      </c>
      <c r="C2238" t="inlineStr">
        <is>
          <t xml:space="preserve">GRUPO L.                      </t>
        </is>
      </c>
      <c r="E2238" t="inlineStr">
        <is>
          <t xml:space="preserve">UNIF000012          </t>
        </is>
      </c>
      <c r="F2238" t="n">
        <v>9003043</v>
      </c>
      <c r="G2238" t="inlineStr">
        <is>
          <t xml:space="preserve">AMBO A. MAR. ESCO.-V 2XL GL SUP.   </t>
        </is>
      </c>
      <c r="H2238" t="inlineStr">
        <is>
          <t xml:space="preserve">UNIDAD              </t>
        </is>
      </c>
      <c r="I2238" t="n">
        <v>69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69</v>
      </c>
      <c r="P2238" s="96">
        <f>_xlfn.XLOOKUP(Tabla5[[#This Row],[EAN CORREGIDO]],'Tabla Articulos'!B:B,'Tabla Articulos'!D:D)</f>
        <v/>
      </c>
      <c r="Q2238" s="96">
        <f>_xlfn.XLOOKUP(S2238,'Tabla Articulos'!B:B,'Tabla Articulos'!E:E)</f>
        <v/>
      </c>
      <c r="R2238" s="96">
        <f>O2238*Q2238</f>
        <v/>
      </c>
      <c r="S2238" s="97">
        <f>TRIM(E2238)</f>
        <v/>
      </c>
    </row>
    <row r="2239" hidden="1">
      <c r="A2239" s="22" t="n">
        <v>6</v>
      </c>
      <c r="B2239" t="inlineStr">
        <is>
          <t xml:space="preserve">CDM03 - MORENO 3              </t>
        </is>
      </c>
      <c r="C2239" t="inlineStr">
        <is>
          <t xml:space="preserve">GRUPO L.                      </t>
        </is>
      </c>
      <c r="E2239" t="inlineStr">
        <is>
          <t xml:space="preserve">UNIF000618          </t>
        </is>
      </c>
      <c r="F2239" t="n">
        <v>9003156</v>
      </c>
      <c r="G2239" t="inlineStr">
        <is>
          <t xml:space="preserve">GORRA F1 NEGRA GL SUP              </t>
        </is>
      </c>
      <c r="H2239" t="inlineStr">
        <is>
          <t xml:space="preserve">UNIDAD              </t>
        </is>
      </c>
      <c r="I2239" t="n">
        <v>0</v>
      </c>
      <c r="J2239" t="n">
        <v>240</v>
      </c>
      <c r="K2239" t="n">
        <v>0</v>
      </c>
      <c r="L2239" t="n">
        <v>0</v>
      </c>
      <c r="M2239" t="n">
        <v>0</v>
      </c>
      <c r="N2239" t="n">
        <v>0</v>
      </c>
      <c r="O2239" t="n">
        <v>240</v>
      </c>
      <c r="P2239" s="96">
        <f>_xlfn.XLOOKUP(Tabla5[[#This Row],[EAN CORREGIDO]],'Tabla Articulos'!B:B,'Tabla Articulos'!D:D)</f>
        <v/>
      </c>
      <c r="Q2239" s="96">
        <f>_xlfn.XLOOKUP(S2239,'Tabla Articulos'!B:B,'Tabla Articulos'!E:E)</f>
        <v/>
      </c>
      <c r="R2239" s="96">
        <f>O2239*Q2239</f>
        <v/>
      </c>
      <c r="S2239" s="97">
        <f>TRIM(E2239)</f>
        <v/>
      </c>
    </row>
    <row r="2240" hidden="1">
      <c r="A2240" s="22" t="n">
        <v>6</v>
      </c>
      <c r="B2240" t="inlineStr">
        <is>
          <t xml:space="preserve">CDM03 - MORENO 3              </t>
        </is>
      </c>
      <c r="C2240" t="inlineStr">
        <is>
          <t xml:space="preserve">GRUPO L.                      </t>
        </is>
      </c>
      <c r="D2240" s="11" t="n"/>
      <c r="E2240" t="inlineStr">
        <is>
          <t xml:space="preserve">7790000000668       </t>
        </is>
      </c>
      <c r="F2240" t="n">
        <v>2011423</v>
      </c>
      <c r="G2240" t="inlineStr">
        <is>
          <t xml:space="preserve">PALA RECOGEDOR LOBBY VERDE XUN     </t>
        </is>
      </c>
      <c r="H2240" t="inlineStr">
        <is>
          <t xml:space="preserve">UNIDAD              </t>
        </is>
      </c>
      <c r="I2240" t="n">
        <v>12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12</v>
      </c>
      <c r="P2240" s="96">
        <f>_xlfn.XLOOKUP(Tabla5[[#This Row],[EAN CORREGIDO]],'Tabla Articulos'!B:B,'Tabla Articulos'!D:D)</f>
        <v/>
      </c>
      <c r="Q2240" s="96">
        <f>_xlfn.XLOOKUP(S2240,'Tabla Articulos'!B:B,'Tabla Articulos'!E:E)</f>
        <v/>
      </c>
      <c r="R2240" s="96">
        <f>O2240*Q2240</f>
        <v/>
      </c>
      <c r="S2240" s="97">
        <f>TRIM(E2240)</f>
        <v/>
      </c>
    </row>
    <row r="2241" hidden="1">
      <c r="A2241" s="22" t="n">
        <v>6</v>
      </c>
      <c r="B2241" t="inlineStr">
        <is>
          <t xml:space="preserve">CDM03 - MORENO 3              </t>
        </is>
      </c>
      <c r="C2241" t="inlineStr">
        <is>
          <t xml:space="preserve">GRUPO L.                      </t>
        </is>
      </c>
      <c r="E2241" t="inlineStr">
        <is>
          <t xml:space="preserve">BAZ001242           </t>
        </is>
      </c>
      <c r="F2241" t="n">
        <v>9003855</v>
      </c>
      <c r="G2241" t="inlineStr">
        <is>
          <t xml:space="preserve">POTE MELAM BCAJANIO CON 89 H59     </t>
        </is>
      </c>
      <c r="H2241" t="inlineStr">
        <is>
          <t xml:space="preserve">UNIDAD              </t>
        </is>
      </c>
      <c r="I2241" t="n">
        <v>1176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1176</v>
      </c>
      <c r="P2241" s="96">
        <f>_xlfn.XLOOKUP(Tabla5[[#This Row],[EAN CORREGIDO]],'Tabla Articulos'!B:B,'Tabla Articulos'!D:D)</f>
        <v/>
      </c>
      <c r="Q2241" s="96">
        <f>_xlfn.XLOOKUP(S2241,'Tabla Articulos'!B:B,'Tabla Articulos'!E:E)</f>
        <v/>
      </c>
      <c r="R2241" s="96">
        <f>O2241*Q2241</f>
        <v/>
      </c>
      <c r="S2241" s="97">
        <f>TRIM(E2241)</f>
        <v/>
      </c>
    </row>
    <row r="2242" hidden="1">
      <c r="A2242" s="22" t="n">
        <v>6</v>
      </c>
      <c r="B2242" t="inlineStr">
        <is>
          <t xml:space="preserve">CDM03 - MORENO 3              </t>
        </is>
      </c>
      <c r="C2242" t="inlineStr">
        <is>
          <t xml:space="preserve">GRUPO L.                      </t>
        </is>
      </c>
      <c r="D2242" s="11" t="inlineStr">
        <is>
          <t>MANTEL LOGO NUTRIRE</t>
        </is>
      </c>
      <c r="E2242" t="inlineStr">
        <is>
          <t xml:space="preserve">7790321020530       </t>
        </is>
      </c>
      <c r="F2242" t="n">
        <v>2006637</v>
      </c>
      <c r="G2242" t="inlineStr">
        <is>
          <t xml:space="preserve">MANTEL IND 40X30X1000U NUTRIRE     </t>
        </is>
      </c>
      <c r="H2242" t="inlineStr">
        <is>
          <t xml:space="preserve">UNIDAD              </t>
        </is>
      </c>
      <c r="I2242" t="n">
        <v>95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95</v>
      </c>
      <c r="P2242" s="96">
        <f>_xlfn.XLOOKUP(Tabla5[[#This Row],[EAN CORREGIDO]],'Tabla Articulos'!B:B,'Tabla Articulos'!D:D)</f>
        <v/>
      </c>
      <c r="Q2242" s="96">
        <f>_xlfn.XLOOKUP(S2242,'Tabla Articulos'!B:B,'Tabla Articulos'!E:E)</f>
        <v/>
      </c>
      <c r="R2242" s="96">
        <f>O2242*Q2242</f>
        <v/>
      </c>
      <c r="S2242" s="97">
        <f>TRIM(E2242)</f>
        <v/>
      </c>
    </row>
    <row r="2243" hidden="1">
      <c r="A2243" s="22" t="n">
        <v>6</v>
      </c>
      <c r="B2243" t="inlineStr">
        <is>
          <t xml:space="preserve">CDM03 - MORENO 3              </t>
        </is>
      </c>
      <c r="C2243" t="inlineStr">
        <is>
          <t xml:space="preserve">GRUPO L.                      </t>
        </is>
      </c>
      <c r="E2243" t="inlineStr">
        <is>
          <t xml:space="preserve">UNIF000027          </t>
        </is>
      </c>
      <c r="F2243" t="n">
        <v>9003058</v>
      </c>
      <c r="G2243" t="inlineStr">
        <is>
          <t xml:space="preserve">AMBO GRIS ESCO.V RIVER M           </t>
        </is>
      </c>
      <c r="H2243" t="inlineStr">
        <is>
          <t xml:space="preserve">UNIDAD              </t>
        </is>
      </c>
      <c r="I2243" t="n">
        <v>20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20</v>
      </c>
      <c r="P2243" s="96">
        <f>_xlfn.XLOOKUP(Tabla5[[#This Row],[EAN CORREGIDO]],'Tabla Articulos'!B:B,'Tabla Articulos'!D:D)</f>
        <v/>
      </c>
      <c r="Q2243" s="96">
        <f>_xlfn.XLOOKUP(S2243,'Tabla Articulos'!B:B,'Tabla Articulos'!E:E)</f>
        <v/>
      </c>
      <c r="R2243" s="96">
        <f>O2243*Q2243</f>
        <v/>
      </c>
      <c r="S2243" s="97">
        <f>TRIM(E2243)</f>
        <v/>
      </c>
    </row>
    <row r="2244" hidden="1">
      <c r="A2244" s="22" t="n">
        <v>6</v>
      </c>
      <c r="B2244" t="inlineStr">
        <is>
          <t xml:space="preserve">CDM03 - MORENO 3              </t>
        </is>
      </c>
      <c r="C2244" t="inlineStr">
        <is>
          <t xml:space="preserve">GRUPO L.                      </t>
        </is>
      </c>
      <c r="E2244" t="inlineStr">
        <is>
          <t xml:space="preserve">7798160833677       </t>
        </is>
      </c>
      <c r="F2244" t="n">
        <v>2011489</v>
      </c>
      <c r="G2244" t="inlineStr">
        <is>
          <t xml:space="preserve">LIMPIADOR MULTIUSO VIDRIOS 5LT     </t>
        </is>
      </c>
      <c r="H2244" t="inlineStr">
        <is>
          <t xml:space="preserve">UNIDAD              </t>
        </is>
      </c>
      <c r="I2244" t="n">
        <v>565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565</v>
      </c>
      <c r="P2244" s="96">
        <f>_xlfn.XLOOKUP(Tabla5[[#This Row],[EAN CORREGIDO]],'Tabla Articulos'!B:B,'Tabla Articulos'!D:D)</f>
        <v/>
      </c>
      <c r="Q2244" s="96">
        <f>_xlfn.XLOOKUP(S2244,'Tabla Articulos'!B:B,'Tabla Articulos'!E:E)</f>
        <v/>
      </c>
      <c r="R2244" s="96">
        <f>O2244*Q2244</f>
        <v/>
      </c>
      <c r="S2244" s="97">
        <f>TRIM(E2244)</f>
        <v/>
      </c>
    </row>
    <row r="2245" hidden="1">
      <c r="A2245" s="22" t="n">
        <v>1</v>
      </c>
      <c r="B2245" t="inlineStr">
        <is>
          <t xml:space="preserve">CD MORENO                     </t>
        </is>
      </c>
      <c r="C2245" t="inlineStr">
        <is>
          <t xml:space="preserve">GRUPO L.                      </t>
        </is>
      </c>
      <c r="D2245" t="inlineStr">
        <is>
          <t>SALSA FRUTILLA</t>
        </is>
      </c>
      <c r="E2245" t="inlineStr">
        <is>
          <t xml:space="preserve">7798110340057       </t>
        </is>
      </c>
      <c r="F2245" t="n">
        <v>4024491</v>
      </c>
      <c r="G2245" t="inlineStr">
        <is>
          <t xml:space="preserve">SALSA DE FRUTILLA X 0.5KG INDUAL   </t>
        </is>
      </c>
      <c r="H2245" t="inlineStr">
        <is>
          <t xml:space="preserve">UNIDAD              </t>
        </is>
      </c>
      <c r="I2245" t="n">
        <v>32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32</v>
      </c>
      <c r="P2245" s="96">
        <f>_xlfn.XLOOKUP(Tabla5[[#This Row],[EAN CORREGIDO]],'Tabla Articulos'!B:B,'Tabla Articulos'!D:D)</f>
        <v/>
      </c>
      <c r="Q2245" s="96">
        <f>_xlfn.XLOOKUP(S2245,'Tabla Articulos'!B:B,'Tabla Articulos'!E:E)</f>
        <v/>
      </c>
      <c r="R2245" s="96">
        <f>O2245*Q2245</f>
        <v/>
      </c>
      <c r="S2245" s="97">
        <f>TRIM(E2245)</f>
        <v/>
      </c>
    </row>
    <row r="2246" hidden="1">
      <c r="A2246" s="22" t="n">
        <v>6</v>
      </c>
      <c r="B2246" t="inlineStr">
        <is>
          <t xml:space="preserve">CDM03 - MORENO 3              </t>
        </is>
      </c>
      <c r="C2246" t="inlineStr">
        <is>
          <t xml:space="preserve">GRUPO L.                      </t>
        </is>
      </c>
      <c r="E2246" t="inlineStr">
        <is>
          <t xml:space="preserve">UNIF000031          </t>
        </is>
      </c>
      <c r="F2246" t="n">
        <v>9003062</v>
      </c>
      <c r="G2246" t="inlineStr">
        <is>
          <t xml:space="preserve">AMBO GRIS ESCO.V RIVER 3XL         </t>
        </is>
      </c>
      <c r="H2246" t="inlineStr">
        <is>
          <t xml:space="preserve">UNIDAD              </t>
        </is>
      </c>
      <c r="I2246" t="n">
        <v>28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28</v>
      </c>
      <c r="P2246" s="96">
        <f>_xlfn.XLOOKUP(Tabla5[[#This Row],[EAN CORREGIDO]],'Tabla Articulos'!B:B,'Tabla Articulos'!D:D)</f>
        <v/>
      </c>
      <c r="Q2246" s="96">
        <f>_xlfn.XLOOKUP(S2246,'Tabla Articulos'!B:B,'Tabla Articulos'!E:E)</f>
        <v/>
      </c>
      <c r="R2246" s="96">
        <f>O2246*Q2246</f>
        <v/>
      </c>
      <c r="S2246" s="97">
        <f>TRIM(E2246)</f>
        <v/>
      </c>
    </row>
    <row r="2247" hidden="1">
      <c r="A2247" s="22" t="n">
        <v>1</v>
      </c>
      <c r="B2247" t="inlineStr">
        <is>
          <t xml:space="preserve">CD MORENO                     </t>
        </is>
      </c>
      <c r="C2247" t="inlineStr">
        <is>
          <t xml:space="preserve">GRUPO L.                      </t>
        </is>
      </c>
      <c r="D2247" s="11" t="inlineStr">
        <is>
          <t>FIDEOS GUISEROS</t>
        </is>
      </c>
      <c r="E2247" t="inlineStr">
        <is>
          <t xml:space="preserve">7791599014648       </t>
        </is>
      </c>
      <c r="F2247" s="11" t="n">
        <v>4048941</v>
      </c>
      <c r="G2247" t="inlineStr">
        <is>
          <t xml:space="preserve">GL FIDEOS TIRABUZON X500GR TORINO  </t>
        </is>
      </c>
      <c r="H2247" t="inlineStr">
        <is>
          <t xml:space="preserve">UNIDAD              </t>
        </is>
      </c>
      <c r="I2247" t="n">
        <v>413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413</v>
      </c>
      <c r="P2247" s="96">
        <f>_xlfn.XLOOKUP(Tabla5[[#This Row],[EAN CORREGIDO]],'Tabla Articulos'!B:B,'Tabla Articulos'!D:D)</f>
        <v/>
      </c>
      <c r="Q2247" s="96">
        <f>_xlfn.XLOOKUP(S2247,'Tabla Articulos'!B:B,'Tabla Articulos'!E:E)</f>
        <v/>
      </c>
      <c r="R2247" s="96">
        <f>O2247*Q2247</f>
        <v/>
      </c>
      <c r="S2247" s="97">
        <f>TRIM(E2247)</f>
        <v/>
      </c>
    </row>
    <row r="2248" hidden="1">
      <c r="A2248" s="22" t="n">
        <v>5</v>
      </c>
      <c r="B2248" t="inlineStr">
        <is>
          <t xml:space="preserve">CDM02 - MORENO 2              </t>
        </is>
      </c>
      <c r="C2248" t="inlineStr">
        <is>
          <t xml:space="preserve">GRUPO L.                      </t>
        </is>
      </c>
      <c r="D2248" t="inlineStr">
        <is>
          <t>FIDEOS GUISEROS</t>
        </is>
      </c>
      <c r="E2248" t="inlineStr">
        <is>
          <t xml:space="preserve">7791599014648       </t>
        </is>
      </c>
      <c r="F2248" s="11" t="n">
        <v>4048941</v>
      </c>
      <c r="G2248" t="inlineStr">
        <is>
          <t xml:space="preserve">GL FIDEOS TIRABUZON X500GR TORINO  </t>
        </is>
      </c>
      <c r="H2248" t="inlineStr">
        <is>
          <t xml:space="preserve">UNIDAD              </t>
        </is>
      </c>
      <c r="I2248" t="n">
        <v>3126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3126</v>
      </c>
      <c r="P2248" s="96">
        <f>_xlfn.XLOOKUP(Tabla5[[#This Row],[EAN CORREGIDO]],'Tabla Articulos'!B:B,'Tabla Articulos'!D:D)</f>
        <v/>
      </c>
      <c r="Q2248" s="96">
        <f>_xlfn.XLOOKUP(S2248,'Tabla Articulos'!B:B,'Tabla Articulos'!E:E)</f>
        <v/>
      </c>
      <c r="R2248" s="96">
        <f>O2248*Q2248</f>
        <v/>
      </c>
      <c r="S2248" s="97">
        <f>TRIM(E2248)</f>
        <v/>
      </c>
    </row>
    <row r="2249" hidden="1">
      <c r="A2249" s="22" t="n">
        <v>6</v>
      </c>
      <c r="B2249" t="inlineStr">
        <is>
          <t xml:space="preserve">CDM03 - MORENO 3              </t>
        </is>
      </c>
      <c r="C2249" t="inlineStr">
        <is>
          <t xml:space="preserve">GRUPO L.                      </t>
        </is>
      </c>
      <c r="D2249" s="11" t="inlineStr">
        <is>
          <t>BOLSA RESIDUO</t>
        </is>
      </c>
      <c r="E2249" t="inlineStr">
        <is>
          <t xml:space="preserve">7790000000827       </t>
        </is>
      </c>
      <c r="F2249" s="11" t="n">
        <v>2016693</v>
      </c>
      <c r="G2249" t="inlineStr">
        <is>
          <t>BOLSA RESID NEGR 90X110X50U KIT ESC</t>
        </is>
      </c>
      <c r="H2249" t="inlineStr">
        <is>
          <t xml:space="preserve">UNIDAD              </t>
        </is>
      </c>
      <c r="I2249" t="n">
        <v>3286</v>
      </c>
      <c r="J2249" t="n">
        <v>4400</v>
      </c>
      <c r="K2249" t="n">
        <v>0</v>
      </c>
      <c r="L2249" t="n">
        <v>150</v>
      </c>
      <c r="M2249" t="n">
        <v>150</v>
      </c>
      <c r="N2249" t="n">
        <v>0</v>
      </c>
      <c r="O2249" t="n">
        <v>7386</v>
      </c>
      <c r="P2249" s="96">
        <f>_xlfn.XLOOKUP(Tabla5[[#This Row],[EAN CORREGIDO]],'Tabla Articulos'!B:B,'Tabla Articulos'!D:D)</f>
        <v/>
      </c>
      <c r="Q2249" s="96">
        <f>_xlfn.XLOOKUP(S2249,'Tabla Articulos'!B:B,'Tabla Articulos'!E:E)</f>
        <v/>
      </c>
      <c r="R2249" s="96">
        <f>O2249*Q2249</f>
        <v/>
      </c>
      <c r="S2249" s="97">
        <f>TRIM(E2249)</f>
        <v/>
      </c>
    </row>
    <row r="2250" hidden="1">
      <c r="A2250" s="22" t="n">
        <v>1</v>
      </c>
      <c r="B2250" t="inlineStr">
        <is>
          <t xml:space="preserve">CD MORENO                     </t>
        </is>
      </c>
      <c r="C2250" t="inlineStr">
        <is>
          <t xml:space="preserve">GRUPO L.                      </t>
        </is>
      </c>
      <c r="D2250" s="11" t="inlineStr">
        <is>
          <t>POLLO ENTERO T10</t>
        </is>
      </c>
      <c r="E2250" t="inlineStr">
        <is>
          <t xml:space="preserve">7790212031270       </t>
        </is>
      </c>
      <c r="F2250" s="11" t="n">
        <v>4017575</v>
      </c>
      <c r="G2250" t="inlineStr">
        <is>
          <t xml:space="preserve">POLLO T10 C XU                     </t>
        </is>
      </c>
      <c r="H2250" t="inlineStr">
        <is>
          <t xml:space="preserve">UNIDAD              </t>
        </is>
      </c>
      <c r="I2250" t="n">
        <v>455</v>
      </c>
      <c r="J2250" t="n">
        <v>0</v>
      </c>
      <c r="K2250" t="n">
        <v>0</v>
      </c>
      <c r="L2250" t="n">
        <v>45</v>
      </c>
      <c r="M2250" t="n">
        <v>45</v>
      </c>
      <c r="N2250" t="n">
        <v>0</v>
      </c>
      <c r="O2250" t="n">
        <v>365</v>
      </c>
      <c r="P2250" s="96">
        <f>_xlfn.XLOOKUP(Tabla5[[#This Row],[EAN CORREGIDO]],'Tabla Articulos'!B:B,'Tabla Articulos'!D:D)</f>
        <v/>
      </c>
      <c r="Q2250" s="96">
        <f>_xlfn.XLOOKUP(S2250,'Tabla Articulos'!B:B,'Tabla Articulos'!E:E)</f>
        <v/>
      </c>
      <c r="R2250" s="96">
        <f>O2250*Q2250</f>
        <v/>
      </c>
      <c r="S2250" s="97">
        <f>TRIM(E2250)</f>
        <v/>
      </c>
    </row>
    <row r="2251" hidden="1">
      <c r="A2251" s="22" t="n">
        <v>6</v>
      </c>
      <c r="B2251" t="inlineStr">
        <is>
          <t xml:space="preserve">CDM03 - MORENO 3              </t>
        </is>
      </c>
      <c r="C2251" t="inlineStr">
        <is>
          <t xml:space="preserve">GRUPO L.                      </t>
        </is>
      </c>
      <c r="D2251" s="11" t="inlineStr">
        <is>
          <t>TRAPOS DE PISO</t>
        </is>
      </c>
      <c r="E2251" t="inlineStr">
        <is>
          <t xml:space="preserve">2000174             </t>
        </is>
      </c>
      <c r="F2251" s="11" t="n">
        <v>2000174</v>
      </c>
      <c r="G2251" t="inlineStr">
        <is>
          <t xml:space="preserve">PA#O REJILLA MD M.PROPIA           </t>
        </is>
      </c>
      <c r="H2251" t="inlineStr">
        <is>
          <t xml:space="preserve">UNIDAD              </t>
        </is>
      </c>
      <c r="I2251" t="n">
        <v>5492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5492</v>
      </c>
      <c r="P2251" s="96">
        <f>_xlfn.XLOOKUP(Tabla5[[#This Row],[EAN CORREGIDO]],'Tabla Articulos'!B:B,'Tabla Articulos'!D:D)</f>
        <v/>
      </c>
      <c r="Q2251" s="96">
        <f>_xlfn.XLOOKUP(S2251,'Tabla Articulos'!B:B,'Tabla Articulos'!E:E)</f>
        <v/>
      </c>
      <c r="R2251" s="96">
        <f>O2251*Q2251</f>
        <v/>
      </c>
      <c r="S2251" s="97">
        <f>TRIM(E2251)</f>
        <v/>
      </c>
    </row>
    <row r="2252" hidden="1">
      <c r="A2252" s="22" t="n">
        <v>5</v>
      </c>
      <c r="B2252" t="inlineStr">
        <is>
          <t xml:space="preserve">CDM02 - MORENO 2              </t>
        </is>
      </c>
      <c r="C2252" t="inlineStr">
        <is>
          <t xml:space="preserve">GRUPO L.                      </t>
        </is>
      </c>
      <c r="D2252" t="inlineStr">
        <is>
          <t>HUEVO PACK</t>
        </is>
      </c>
      <c r="E2252" t="inlineStr">
        <is>
          <t xml:space="preserve">7798158930074       </t>
        </is>
      </c>
      <c r="F2252" t="n">
        <v>4017609</v>
      </c>
      <c r="G2252" t="inlineStr">
        <is>
          <t xml:space="preserve">HUEVO BLANCO PACK X6U              </t>
        </is>
      </c>
      <c r="H2252" t="inlineStr">
        <is>
          <t xml:space="preserve">UNIDAD              </t>
        </is>
      </c>
      <c r="I2252" t="n">
        <v>36227</v>
      </c>
      <c r="J2252" t="n">
        <v>0</v>
      </c>
      <c r="K2252" t="n">
        <v>0</v>
      </c>
      <c r="L2252" t="n">
        <v>270</v>
      </c>
      <c r="M2252" t="n">
        <v>270</v>
      </c>
      <c r="N2252" t="n">
        <v>0</v>
      </c>
      <c r="O2252" t="n">
        <v>35687</v>
      </c>
      <c r="P2252" s="96">
        <f>_xlfn.XLOOKUP(Tabla5[[#This Row],[EAN CORREGIDO]],'Tabla Articulos'!B:B,'Tabla Articulos'!D:D)</f>
        <v/>
      </c>
      <c r="Q2252" s="96">
        <f>_xlfn.XLOOKUP(S2252,'Tabla Articulos'!B:B,'Tabla Articulos'!E:E)</f>
        <v/>
      </c>
      <c r="R2252" s="96">
        <f>O2252*Q2252</f>
        <v/>
      </c>
      <c r="S2252" s="97">
        <f>TRIM(E2252)</f>
        <v/>
      </c>
    </row>
    <row r="2253" hidden="1">
      <c r="A2253" s="22" t="n">
        <v>6</v>
      </c>
      <c r="B2253" t="inlineStr">
        <is>
          <t xml:space="preserve">CDM03 - MORENO 3              </t>
        </is>
      </c>
      <c r="C2253" t="inlineStr">
        <is>
          <t xml:space="preserve">GRUPO L.                      </t>
        </is>
      </c>
      <c r="D2253" t="inlineStr">
        <is>
          <t>COFIA DESCARTABLE</t>
        </is>
      </c>
      <c r="E2253" t="inlineStr">
        <is>
          <t xml:space="preserve">17018002A           </t>
        </is>
      </c>
      <c r="F2253" t="n">
        <v>2006779</v>
      </c>
      <c r="G2253" t="inlineStr">
        <is>
          <t xml:space="preserve">COFIAS DESCARTABLES X 100 U        </t>
        </is>
      </c>
      <c r="H2253" t="inlineStr">
        <is>
          <t xml:space="preserve">UNIDAD              </t>
        </is>
      </c>
      <c r="I2253" t="n">
        <v>0</v>
      </c>
      <c r="J2253" t="n">
        <v>250</v>
      </c>
      <c r="K2253" t="n">
        <v>0</v>
      </c>
      <c r="L2253" t="n">
        <v>0</v>
      </c>
      <c r="M2253" t="n">
        <v>0</v>
      </c>
      <c r="N2253" t="n">
        <v>3</v>
      </c>
      <c r="O2253" t="n">
        <v>247</v>
      </c>
      <c r="P2253" s="96">
        <f>_xlfn.XLOOKUP(Tabla5[[#This Row],[EAN CORREGIDO]],'Tabla Articulos'!B:B,'Tabla Articulos'!D:D)</f>
        <v/>
      </c>
      <c r="Q2253" s="96">
        <f>_xlfn.XLOOKUP(S2253,'Tabla Articulos'!B:B,'Tabla Articulos'!E:E)</f>
        <v/>
      </c>
      <c r="R2253" s="96">
        <f>O2253*Q2253</f>
        <v/>
      </c>
      <c r="S2253" s="97">
        <f>TRIM(E2253)</f>
        <v/>
      </c>
    </row>
    <row r="2254" hidden="1">
      <c r="A2254" s="22" t="n">
        <v>6</v>
      </c>
      <c r="B2254" t="inlineStr">
        <is>
          <t xml:space="preserve">CDM03 - MORENO 3              </t>
        </is>
      </c>
      <c r="C2254" t="inlineStr">
        <is>
          <t xml:space="preserve">GRUPO L.                      </t>
        </is>
      </c>
      <c r="D2254" t="inlineStr">
        <is>
          <t>GUANTE GOMA</t>
        </is>
      </c>
      <c r="E2254" t="inlineStr">
        <is>
          <t xml:space="preserve">7798092969802       </t>
        </is>
      </c>
      <c r="F2254" t="n">
        <v>2016672</v>
      </c>
      <c r="G2254" t="inlineStr">
        <is>
          <t xml:space="preserve">GUANTES FLEX L                     </t>
        </is>
      </c>
      <c r="H2254" t="inlineStr">
        <is>
          <t xml:space="preserve">UNIDAD              </t>
        </is>
      </c>
      <c r="I2254" t="n">
        <v>21676</v>
      </c>
      <c r="J2254" t="n">
        <v>0</v>
      </c>
      <c r="K2254" t="n">
        <v>0</v>
      </c>
      <c r="L2254" t="n">
        <v>1470</v>
      </c>
      <c r="M2254" t="n">
        <v>1470</v>
      </c>
      <c r="N2254" t="n">
        <v>0</v>
      </c>
      <c r="O2254" t="n">
        <v>18736</v>
      </c>
      <c r="P2254" s="96">
        <f>_xlfn.XLOOKUP(Tabla5[[#This Row],[EAN CORREGIDO]],'Tabla Articulos'!B:B,'Tabla Articulos'!D:D)</f>
        <v/>
      </c>
      <c r="Q2254" s="96">
        <f>_xlfn.XLOOKUP(S2254,'Tabla Articulos'!B:B,'Tabla Articulos'!E:E)</f>
        <v/>
      </c>
      <c r="R2254" s="96">
        <f>O2254*Q2254</f>
        <v/>
      </c>
      <c r="S2254" s="97">
        <f>TRIM(E2254)</f>
        <v/>
      </c>
    </row>
    <row r="2255" hidden="1">
      <c r="A2255" s="22" t="n">
        <v>6</v>
      </c>
      <c r="B2255" t="inlineStr">
        <is>
          <t xml:space="preserve">CDM03 - MORENO 3              </t>
        </is>
      </c>
      <c r="C2255" t="inlineStr">
        <is>
          <t xml:space="preserve">GRUPO L.                      </t>
        </is>
      </c>
      <c r="D2255" s="11" t="n"/>
      <c r="E2255" t="inlineStr">
        <is>
          <t xml:space="preserve">UNIF000344          </t>
        </is>
      </c>
      <c r="F2255" s="11" t="n">
        <v>9003517</v>
      </c>
      <c r="G2255" t="inlineStr">
        <is>
          <t xml:space="preserve">CHAQ CUE.MAO AY/CAM/PEON 2 NUTRI   </t>
        </is>
      </c>
      <c r="H2255" t="inlineStr">
        <is>
          <t xml:space="preserve">UNIDAD              </t>
        </is>
      </c>
      <c r="I2255" t="n">
        <v>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5</v>
      </c>
      <c r="P2255" s="96">
        <f>_xlfn.XLOOKUP(Tabla5[[#This Row],[EAN CORREGIDO]],'Tabla Articulos'!B:B,'Tabla Articulos'!D:D)</f>
        <v/>
      </c>
      <c r="Q2255" s="96">
        <f>_xlfn.XLOOKUP(S2255,'Tabla Articulos'!B:B,'Tabla Articulos'!E:E)</f>
        <v/>
      </c>
      <c r="R2255" s="96">
        <f>O2255*Q2255</f>
        <v/>
      </c>
      <c r="S2255" s="97">
        <f>TRIM(E2255)</f>
        <v/>
      </c>
    </row>
    <row r="2256" hidden="1">
      <c r="A2256" s="22" t="n">
        <v>6</v>
      </c>
      <c r="B2256" t="inlineStr">
        <is>
          <t xml:space="preserve">CDM03 - MORENO 3              </t>
        </is>
      </c>
      <c r="C2256" t="inlineStr">
        <is>
          <t xml:space="preserve">GRUPO L.                      </t>
        </is>
      </c>
      <c r="D2256" s="11" t="n"/>
      <c r="E2256" t="inlineStr">
        <is>
          <t xml:space="preserve">UNIF000507          </t>
        </is>
      </c>
      <c r="F2256" s="11" t="n">
        <v>9003390</v>
      </c>
      <c r="G2256" t="inlineStr">
        <is>
          <t xml:space="preserve">CAMPERA POLAR NEGRA 3XL C. GOUR    </t>
        </is>
      </c>
      <c r="H2256" t="inlineStr">
        <is>
          <t xml:space="preserve">UNIDAD              </t>
        </is>
      </c>
      <c r="I2256" t="n">
        <v>19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19</v>
      </c>
      <c r="P2256" s="96">
        <f>_xlfn.XLOOKUP(Tabla5[[#This Row],[EAN CORREGIDO]],'Tabla Articulos'!B:B,'Tabla Articulos'!D:D)</f>
        <v/>
      </c>
      <c r="Q2256" s="96">
        <f>_xlfn.XLOOKUP(S2256,'Tabla Articulos'!B:B,'Tabla Articulos'!E:E)</f>
        <v/>
      </c>
      <c r="R2256" s="96">
        <f>O2256*Q2256</f>
        <v/>
      </c>
      <c r="S2256" s="97">
        <f>TRIM(E2256)</f>
        <v/>
      </c>
    </row>
    <row r="2257" hidden="1">
      <c r="A2257" s="22" t="n">
        <v>1</v>
      </c>
      <c r="B2257" t="inlineStr">
        <is>
          <t xml:space="preserve">CD MORENO                     </t>
        </is>
      </c>
      <c r="C2257" t="inlineStr">
        <is>
          <t xml:space="preserve">GRUPO L.                      </t>
        </is>
      </c>
      <c r="D2257" s="11" t="inlineStr">
        <is>
          <t>HAMBURGUESAS</t>
        </is>
      </c>
      <c r="E2257" t="inlineStr">
        <is>
          <t xml:space="preserve">7793281000427       </t>
        </is>
      </c>
      <c r="F2257" s="11" t="n">
        <v>4077489</v>
      </c>
      <c r="G2257" t="inlineStr">
        <is>
          <t xml:space="preserve">HAMBURGUESA X60UN UNION GANADERA   </t>
        </is>
      </c>
      <c r="H2257" t="inlineStr">
        <is>
          <t xml:space="preserve">UNIDAD              </t>
        </is>
      </c>
      <c r="I2257" t="n">
        <v>460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460</v>
      </c>
      <c r="P2257" s="96">
        <f>_xlfn.XLOOKUP(Tabla5[[#This Row],[EAN CORREGIDO]],'Tabla Articulos'!B:B,'Tabla Articulos'!D:D)</f>
        <v/>
      </c>
      <c r="Q2257" s="96">
        <f>_xlfn.XLOOKUP(S2257,'Tabla Articulos'!B:B,'Tabla Articulos'!E:E)</f>
        <v/>
      </c>
      <c r="R2257" s="96">
        <f>O2257*Q2257</f>
        <v/>
      </c>
      <c r="S2257" s="97">
        <f>TRIM(E2257)</f>
        <v/>
      </c>
    </row>
    <row r="2258" hidden="1">
      <c r="A2258" s="22" t="n">
        <v>6</v>
      </c>
      <c r="B2258" t="inlineStr">
        <is>
          <t xml:space="preserve">CDM03 - MORENO 3              </t>
        </is>
      </c>
      <c r="C2258" t="inlineStr">
        <is>
          <t xml:space="preserve">GRUPO L.                      </t>
        </is>
      </c>
      <c r="D2258" s="11" t="n"/>
      <c r="E2258" t="inlineStr">
        <is>
          <t xml:space="preserve">UNIF000756          </t>
        </is>
      </c>
      <c r="F2258" s="11" t="n">
        <v>9004210</v>
      </c>
      <c r="G2258" t="inlineStr">
        <is>
          <t xml:space="preserve">GORRO F1 POLYESTER BLUE CAFÉ U     </t>
        </is>
      </c>
      <c r="H2258" t="inlineStr">
        <is>
          <t xml:space="preserve">UNIDAD              </t>
        </is>
      </c>
      <c r="I2258" t="n">
        <v>100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100</v>
      </c>
      <c r="P2258" s="96">
        <f>_xlfn.XLOOKUP(Tabla5[[#This Row],[EAN CORREGIDO]],'Tabla Articulos'!B:B,'Tabla Articulos'!D:D)</f>
        <v/>
      </c>
      <c r="Q2258" s="96">
        <f>_xlfn.XLOOKUP(S2258,'Tabla Articulos'!B:B,'Tabla Articulos'!E:E)</f>
        <v/>
      </c>
      <c r="R2258" s="96">
        <f>O2258*Q2258</f>
        <v/>
      </c>
      <c r="S2258" s="97">
        <f>TRIM(E2258)</f>
        <v/>
      </c>
    </row>
    <row r="2259" hidden="1">
      <c r="A2259" s="22" t="n">
        <v>1</v>
      </c>
      <c r="B2259" t="inlineStr">
        <is>
          <t xml:space="preserve">CD MORENO                     </t>
        </is>
      </c>
      <c r="C2259" t="inlineStr">
        <is>
          <t xml:space="preserve">GRUPO L.                      </t>
        </is>
      </c>
      <c r="D2259" s="11" t="inlineStr">
        <is>
          <t>MANDARINA 90-120</t>
        </is>
      </c>
      <c r="E2259" t="inlineStr">
        <is>
          <t xml:space="preserve">7790216020103       </t>
        </is>
      </c>
      <c r="F2259" s="11" t="n">
        <v>4018018</v>
      </c>
      <c r="G2259" t="inlineStr">
        <is>
          <t xml:space="preserve">FRUTA MANDARINA 90-120 XKG         </t>
        </is>
      </c>
      <c r="H2259" t="inlineStr">
        <is>
          <t xml:space="preserve">Kgs                 </t>
        </is>
      </c>
      <c r="I2259" t="n">
        <v>31203.85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31203.85</v>
      </c>
      <c r="P2259" s="96">
        <f>_xlfn.XLOOKUP(Tabla5[[#This Row],[EAN CORREGIDO]],'Tabla Articulos'!B:B,'Tabla Articulos'!D:D)</f>
        <v/>
      </c>
      <c r="Q2259" s="96">
        <f>_xlfn.XLOOKUP(S2259,'Tabla Articulos'!B:B,'Tabla Articulos'!E:E)</f>
        <v/>
      </c>
      <c r="R2259" s="96">
        <f>O2259*Q2259</f>
        <v/>
      </c>
      <c r="S2259" s="97">
        <f>TRIM(E2259)</f>
        <v/>
      </c>
    </row>
    <row r="2260" hidden="1">
      <c r="A2260" s="22" t="n">
        <v>6</v>
      </c>
      <c r="B2260" t="inlineStr">
        <is>
          <t xml:space="preserve">CDM03 - MORENO 3              </t>
        </is>
      </c>
      <c r="C2260" t="inlineStr">
        <is>
          <t xml:space="preserve">GRUPO L.                      </t>
        </is>
      </c>
      <c r="E2260" t="inlineStr">
        <is>
          <t xml:space="preserve">UNIF000374          </t>
        </is>
      </c>
      <c r="F2260" s="11" t="n">
        <v>9003638</v>
      </c>
      <c r="G2260" t="inlineStr">
        <is>
          <t xml:space="preserve">SWEATER NEGRO BLUE CATERING M      </t>
        </is>
      </c>
      <c r="H2260" t="inlineStr">
        <is>
          <t xml:space="preserve">UNIDAD              </t>
        </is>
      </c>
      <c r="I2260" t="n">
        <v>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4</v>
      </c>
      <c r="P2260" s="96">
        <f>_xlfn.XLOOKUP(Tabla5[[#This Row],[EAN CORREGIDO]],'Tabla Articulos'!B:B,'Tabla Articulos'!D:D)</f>
        <v/>
      </c>
      <c r="Q2260" s="96">
        <f>_xlfn.XLOOKUP(S2260,'Tabla Articulos'!B:B,'Tabla Articulos'!E:E)</f>
        <v/>
      </c>
      <c r="R2260" s="96">
        <f>O2260*Q2260</f>
        <v/>
      </c>
      <c r="S2260" s="97">
        <f>TRIM(E2260)</f>
        <v/>
      </c>
    </row>
    <row r="2261" hidden="1">
      <c r="A2261" s="22" t="n">
        <v>6</v>
      </c>
      <c r="B2261" t="inlineStr">
        <is>
          <t xml:space="preserve">CDM03 - MORENO 3              </t>
        </is>
      </c>
      <c r="C2261" t="inlineStr">
        <is>
          <t xml:space="preserve">GRUPO L.                      </t>
        </is>
      </c>
      <c r="D2261" s="11" t="n"/>
      <c r="E2261" t="inlineStr">
        <is>
          <t xml:space="preserve">UNIF000496          </t>
        </is>
      </c>
      <c r="F2261" s="11" t="n">
        <v>9003584</v>
      </c>
      <c r="G2261" t="inlineStr">
        <is>
          <t xml:space="preserve">CAMI GRIS CAMAR. RET. T50 C GOUR   </t>
        </is>
      </c>
      <c r="H2261" t="inlineStr">
        <is>
          <t xml:space="preserve">UNIDAD              </t>
        </is>
      </c>
      <c r="I2261" t="n">
        <v>22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22</v>
      </c>
      <c r="P2261" s="96">
        <f>_xlfn.XLOOKUP(Tabla5[[#This Row],[EAN CORREGIDO]],'Tabla Articulos'!B:B,'Tabla Articulos'!D:D)</f>
        <v/>
      </c>
      <c r="Q2261" s="96">
        <f>_xlfn.XLOOKUP(S2261,'Tabla Articulos'!B:B,'Tabla Articulos'!E:E)</f>
        <v/>
      </c>
      <c r="R2261" s="96">
        <f>O2261*Q2261</f>
        <v/>
      </c>
      <c r="S2261" s="97">
        <f>TRIM(E2261)</f>
        <v/>
      </c>
    </row>
    <row r="2262" hidden="1">
      <c r="A2262" s="22" t="n">
        <v>1</v>
      </c>
      <c r="B2262" t="inlineStr">
        <is>
          <t xml:space="preserve">CD MORENO                     </t>
        </is>
      </c>
      <c r="C2262" t="inlineStr">
        <is>
          <t xml:space="preserve">GRUPO L.                      </t>
        </is>
      </c>
      <c r="D2262" s="11" t="inlineStr">
        <is>
          <t>ALMOHADITAS</t>
        </is>
      </c>
      <c r="E2262" t="inlineStr">
        <is>
          <t xml:space="preserve">7791078022713       </t>
        </is>
      </c>
      <c r="F2262" s="11" t="n">
        <v>4024323</v>
      </c>
      <c r="G2262" t="inlineStr">
        <is>
          <t>ALMOHADITA AVENA-TRIGO X180G GRANIX</t>
        </is>
      </c>
      <c r="H2262" t="inlineStr">
        <is>
          <t xml:space="preserve">UNIDAD              </t>
        </is>
      </c>
      <c r="I2262" t="n">
        <v>65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65</v>
      </c>
      <c r="P2262" s="96">
        <f>_xlfn.XLOOKUP(Tabla5[[#This Row],[EAN CORREGIDO]],'Tabla Articulos'!B:B,'Tabla Articulos'!D:D)</f>
        <v/>
      </c>
      <c r="Q2262" s="96">
        <f>_xlfn.XLOOKUP(S2262,'Tabla Articulos'!B:B,'Tabla Articulos'!E:E)</f>
        <v/>
      </c>
      <c r="R2262" s="96">
        <f>O2262*Q2262</f>
        <v/>
      </c>
      <c r="S2262" s="97">
        <f>TRIM(E2262)</f>
        <v/>
      </c>
    </row>
    <row r="2263" hidden="1">
      <c r="A2263" s="22" t="n">
        <v>6</v>
      </c>
      <c r="B2263" t="inlineStr">
        <is>
          <t xml:space="preserve">CDM03 - MORENO 3              </t>
        </is>
      </c>
      <c r="C2263" t="inlineStr">
        <is>
          <t xml:space="preserve">GRUPO L.                      </t>
        </is>
      </c>
      <c r="D2263" s="11" t="inlineStr">
        <is>
          <t>LIMPIADOR VIDRIOS</t>
        </is>
      </c>
      <c r="E2263" t="inlineStr">
        <is>
          <t xml:space="preserve">7798121853126       </t>
        </is>
      </c>
      <c r="F2263" s="11" t="n">
        <v>2007295</v>
      </c>
      <c r="G2263" t="inlineStr">
        <is>
          <t xml:space="preserve">LIQUIDO LIMPIAVIDRIOS X1LGPO JAC   </t>
        </is>
      </c>
      <c r="H2263" t="inlineStr">
        <is>
          <t xml:space="preserve">UNIDAD              </t>
        </is>
      </c>
      <c r="I2263" t="n">
        <v>749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749</v>
      </c>
      <c r="P2263" s="96">
        <f>_xlfn.XLOOKUP(Tabla5[[#This Row],[EAN CORREGIDO]],'Tabla Articulos'!B:B,'Tabla Articulos'!D:D)</f>
        <v/>
      </c>
      <c r="Q2263" s="96">
        <f>_xlfn.XLOOKUP(S2263,'Tabla Articulos'!B:B,'Tabla Articulos'!E:E)</f>
        <v/>
      </c>
      <c r="R2263" s="96">
        <f>O2263*Q2263</f>
        <v/>
      </c>
      <c r="S2263" s="97">
        <f>TRIM(E2263)</f>
        <v/>
      </c>
    </row>
    <row r="2264" hidden="1">
      <c r="A2264" s="22" t="n">
        <v>6</v>
      </c>
      <c r="B2264" t="inlineStr">
        <is>
          <t xml:space="preserve">CDM03 - MORENO 3              </t>
        </is>
      </c>
      <c r="C2264" t="inlineStr">
        <is>
          <t xml:space="preserve">GRUPO L.                      </t>
        </is>
      </c>
      <c r="D2264" s="11" t="n"/>
      <c r="E2264" t="inlineStr">
        <is>
          <t xml:space="preserve">UNIF000291          </t>
        </is>
      </c>
      <c r="F2264" s="11" t="n">
        <v>9003668</v>
      </c>
      <c r="G2264" t="inlineStr">
        <is>
          <t xml:space="preserve">CAMP. TRUCK. AZ. CINT. REFRAC XL   </t>
        </is>
      </c>
      <c r="H2264" t="inlineStr">
        <is>
          <t xml:space="preserve">UNIDAD              </t>
        </is>
      </c>
      <c r="I2264" t="n">
        <v>11</v>
      </c>
      <c r="J2264" t="n">
        <v>110</v>
      </c>
      <c r="K2264" t="n">
        <v>0</v>
      </c>
      <c r="L2264" t="n">
        <v>4</v>
      </c>
      <c r="M2264" t="n">
        <v>4</v>
      </c>
      <c r="N2264" t="n">
        <v>0</v>
      </c>
      <c r="O2264" t="n">
        <v>113</v>
      </c>
      <c r="P2264" s="96">
        <f>_xlfn.XLOOKUP(Tabla5[[#This Row],[EAN CORREGIDO]],'Tabla Articulos'!B:B,'Tabla Articulos'!D:D)</f>
        <v/>
      </c>
      <c r="Q2264" s="96">
        <f>_xlfn.XLOOKUP(S2264,'Tabla Articulos'!B:B,'Tabla Articulos'!E:E)</f>
        <v/>
      </c>
      <c r="R2264" s="96">
        <f>O2264*Q2264</f>
        <v/>
      </c>
      <c r="S2264" s="97">
        <f>TRIM(E2264)</f>
        <v/>
      </c>
    </row>
    <row r="2265" hidden="1">
      <c r="A2265" s="22" t="n">
        <v>6</v>
      </c>
      <c r="B2265" t="inlineStr">
        <is>
          <t xml:space="preserve">CDM03 - MORENO 3              </t>
        </is>
      </c>
      <c r="C2265" t="inlineStr">
        <is>
          <t xml:space="preserve">GRUPO L.                      </t>
        </is>
      </c>
      <c r="D2265" s="11" t="inlineStr">
        <is>
          <t>PAPEL HIGIENICO</t>
        </is>
      </c>
      <c r="E2265" t="inlineStr">
        <is>
          <t xml:space="preserve">7798430440667       </t>
        </is>
      </c>
      <c r="F2265" s="11" t="n">
        <v>2006811</v>
      </c>
      <c r="G2265" t="inlineStr">
        <is>
          <t>PAPEL HIGIENI CONO GDE 300MX8U 2.4K</t>
        </is>
      </c>
      <c r="H2265" t="inlineStr">
        <is>
          <t xml:space="preserve">UNIDAD              </t>
        </is>
      </c>
      <c r="I2265" t="n">
        <v>56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56</v>
      </c>
      <c r="P2265" s="96">
        <f>_xlfn.XLOOKUP(Tabla5[[#This Row],[EAN CORREGIDO]],'Tabla Articulos'!B:B,'Tabla Articulos'!D:D)</f>
        <v/>
      </c>
      <c r="Q2265" s="96">
        <f>_xlfn.XLOOKUP(S2265,'Tabla Articulos'!B:B,'Tabla Articulos'!E:E)</f>
        <v/>
      </c>
      <c r="R2265" s="96">
        <f>O2265*Q2265</f>
        <v/>
      </c>
      <c r="S2265" s="97">
        <f>TRIM(E2265)</f>
        <v/>
      </c>
    </row>
    <row r="2266" hidden="1">
      <c r="A2266" s="22" t="n">
        <v>6</v>
      </c>
      <c r="B2266" t="inlineStr">
        <is>
          <t xml:space="preserve">CDM03 - MORENO 3              </t>
        </is>
      </c>
      <c r="C2266" t="inlineStr">
        <is>
          <t xml:space="preserve">GRUPO L.                      </t>
        </is>
      </c>
      <c r="D2266" s="11" t="n"/>
      <c r="E2266" t="inlineStr">
        <is>
          <t xml:space="preserve">BAZ000886           </t>
        </is>
      </c>
      <c r="F2266" s="11" t="n">
        <v>5002982</v>
      </c>
      <c r="G2266" t="inlineStr">
        <is>
          <t xml:space="preserve">BATIDOR ACERO INOX X 30CM 8VAR     </t>
        </is>
      </c>
      <c r="H2266" t="inlineStr">
        <is>
          <t xml:space="preserve">UNIDAD              </t>
        </is>
      </c>
      <c r="I2266" t="n">
        <v>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3</v>
      </c>
      <c r="P2266" s="96">
        <f>_xlfn.XLOOKUP(Tabla5[[#This Row],[EAN CORREGIDO]],'Tabla Articulos'!B:B,'Tabla Articulos'!D:D)</f>
        <v/>
      </c>
      <c r="Q2266" s="96">
        <f>_xlfn.XLOOKUP(S2266,'Tabla Articulos'!B:B,'Tabla Articulos'!E:E)</f>
        <v/>
      </c>
      <c r="R2266" s="96">
        <f>O2266*Q2266</f>
        <v/>
      </c>
      <c r="S2266" s="97">
        <f>TRIM(E2266)</f>
        <v/>
      </c>
    </row>
    <row r="2267" hidden="1">
      <c r="A2267" s="22" t="n">
        <v>6</v>
      </c>
      <c r="B2267" t="inlineStr">
        <is>
          <t xml:space="preserve">CDM03 - MORENO 3              </t>
        </is>
      </c>
      <c r="C2267" t="inlineStr">
        <is>
          <t xml:space="preserve">GRUPO L.                      </t>
        </is>
      </c>
      <c r="D2267" s="11" t="n"/>
      <c r="E2267" t="inlineStr">
        <is>
          <t xml:space="preserve">UNIF000511          </t>
        </is>
      </c>
      <c r="F2267" s="11" t="n">
        <v>9003394</v>
      </c>
      <c r="G2267" t="inlineStr">
        <is>
          <t xml:space="preserve">CAMPERA POLAR NEGRA M GL. SUP      </t>
        </is>
      </c>
      <c r="H2267" t="inlineStr">
        <is>
          <t xml:space="preserve">UNIDAD              </t>
        </is>
      </c>
      <c r="I2267" t="n">
        <v>0</v>
      </c>
      <c r="J2267" t="n">
        <v>48</v>
      </c>
      <c r="K2267" t="n">
        <v>0</v>
      </c>
      <c r="L2267" t="n">
        <v>10</v>
      </c>
      <c r="M2267" t="n">
        <v>10</v>
      </c>
      <c r="N2267" t="n">
        <v>0</v>
      </c>
      <c r="O2267" t="n">
        <v>28</v>
      </c>
      <c r="P2267" s="96">
        <f>_xlfn.XLOOKUP(Tabla5[[#This Row],[EAN CORREGIDO]],'Tabla Articulos'!B:B,'Tabla Articulos'!D:D)</f>
        <v/>
      </c>
      <c r="Q2267" s="96">
        <f>_xlfn.XLOOKUP(S2267,'Tabla Articulos'!B:B,'Tabla Articulos'!E:E)</f>
        <v/>
      </c>
      <c r="R2267" s="96">
        <f>O2267*Q2267</f>
        <v/>
      </c>
      <c r="S2267" s="97">
        <f>TRIM(E2267)</f>
        <v/>
      </c>
    </row>
    <row r="2268" hidden="1">
      <c r="A2268" s="22" t="n">
        <v>5</v>
      </c>
      <c r="B2268" t="inlineStr">
        <is>
          <t xml:space="preserve">CDM02 - MORENO 2              </t>
        </is>
      </c>
      <c r="C2268" t="inlineStr">
        <is>
          <t xml:space="preserve">GRUPO L.                      </t>
        </is>
      </c>
      <c r="D2268" t="inlineStr">
        <is>
          <t>MAIZ BLANCO</t>
        </is>
      </c>
      <c r="E2268" t="inlineStr">
        <is>
          <t xml:space="preserve">7790279000087       </t>
        </is>
      </c>
      <c r="F2268" s="11" t="n">
        <v>4019609</v>
      </c>
      <c r="G2268" t="inlineStr">
        <is>
          <t xml:space="preserve">MAIZ PISADO X500G RAMONEDA         </t>
        </is>
      </c>
      <c r="H2268" t="inlineStr">
        <is>
          <t xml:space="preserve">UNIDAD              </t>
        </is>
      </c>
      <c r="I2268" t="n">
        <v>40</v>
      </c>
      <c r="J2268" t="n">
        <v>0</v>
      </c>
      <c r="K2268" t="n">
        <v>40</v>
      </c>
      <c r="L2268" t="n">
        <v>0</v>
      </c>
      <c r="M2268" t="n">
        <v>0</v>
      </c>
      <c r="N2268" t="n">
        <v>0</v>
      </c>
      <c r="O2268" t="n">
        <v>0</v>
      </c>
      <c r="P2268" s="96">
        <f>_xlfn.XLOOKUP(Tabla5[[#This Row],[EAN CORREGIDO]],'Tabla Articulos'!B:B,'Tabla Articulos'!D:D)</f>
        <v/>
      </c>
      <c r="Q2268" s="96">
        <f>_xlfn.XLOOKUP(S2268,'Tabla Articulos'!B:B,'Tabla Articulos'!E:E)</f>
        <v/>
      </c>
      <c r="R2268" s="96">
        <f>O2268*Q2268</f>
        <v/>
      </c>
      <c r="S2268" s="97">
        <f>TRIM(E2268)</f>
        <v/>
      </c>
    </row>
    <row r="2269" hidden="1">
      <c r="A2269" s="22" t="n">
        <v>5</v>
      </c>
      <c r="B2269" t="inlineStr">
        <is>
          <t xml:space="preserve">CDM02 - MORENO 2              </t>
        </is>
      </c>
      <c r="C2269" t="inlineStr">
        <is>
          <t xml:space="preserve">GRUPO L.                      </t>
        </is>
      </c>
      <c r="D2269" t="inlineStr">
        <is>
          <t>HARINA INTEGRAL</t>
        </is>
      </c>
      <c r="E2269" t="inlineStr">
        <is>
          <t xml:space="preserve">7792612000730       </t>
        </is>
      </c>
      <c r="F2269" t="n">
        <v>4022375</v>
      </c>
      <c r="G2269" t="inlineStr">
        <is>
          <t xml:space="preserve">HARINA INTEGRAL TASSARA X1KG       </t>
        </is>
      </c>
      <c r="H2269" t="inlineStr">
        <is>
          <t xml:space="preserve">UNIDAD              </t>
        </is>
      </c>
      <c r="I2269" t="n">
        <v>93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93</v>
      </c>
      <c r="P2269" s="96">
        <f>_xlfn.XLOOKUP(Tabla5[[#This Row],[EAN CORREGIDO]],'Tabla Articulos'!B:B,'Tabla Articulos'!D:D)</f>
        <v/>
      </c>
      <c r="Q2269" s="96">
        <f>_xlfn.XLOOKUP(S2269,'Tabla Articulos'!B:B,'Tabla Articulos'!E:E)</f>
        <v/>
      </c>
      <c r="R2269" s="96">
        <f>O2269*Q2269</f>
        <v/>
      </c>
      <c r="S2269" s="97">
        <f>TRIM(E2269)</f>
        <v/>
      </c>
    </row>
    <row r="2270" hidden="1">
      <c r="A2270" s="22" t="n">
        <v>1</v>
      </c>
      <c r="B2270" t="inlineStr">
        <is>
          <t xml:space="preserve">CD MORENO                     </t>
        </is>
      </c>
      <c r="C2270" t="inlineStr">
        <is>
          <t xml:space="preserve">GRUPO L.                      </t>
        </is>
      </c>
      <c r="D2270" t="inlineStr">
        <is>
          <t>PAN CONGELADO</t>
        </is>
      </c>
      <c r="E2270" t="inlineStr">
        <is>
          <t xml:space="preserve">17792180005813      </t>
        </is>
      </c>
      <c r="F2270" t="n">
        <v>4077145</v>
      </c>
      <c r="G2270" t="inlineStr">
        <is>
          <t xml:space="preserve">MEDIA BAGUETTE CONG X125G CANUELAS </t>
        </is>
      </c>
      <c r="H2270" t="inlineStr">
        <is>
          <t xml:space="preserve">UNIDAD              </t>
        </is>
      </c>
      <c r="I2270" t="n">
        <v>23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23</v>
      </c>
      <c r="P2270" s="96">
        <f>_xlfn.XLOOKUP(Tabla5[[#This Row],[EAN CORREGIDO]],'Tabla Articulos'!B:B,'Tabla Articulos'!D:D)</f>
        <v/>
      </c>
      <c r="Q2270" s="96">
        <f>_xlfn.XLOOKUP(S2270,'Tabla Articulos'!B:B,'Tabla Articulos'!E:E)</f>
        <v/>
      </c>
      <c r="R2270" s="96">
        <f>O2270*Q2270</f>
        <v/>
      </c>
      <c r="S2270" s="97">
        <f>TRIM(E2270)</f>
        <v/>
      </c>
    </row>
    <row r="2271" hidden="1">
      <c r="A2271" s="22" t="n">
        <v>5</v>
      </c>
      <c r="B2271" t="inlineStr">
        <is>
          <t xml:space="preserve">CDM02 - MORENO 2              </t>
        </is>
      </c>
      <c r="C2271" t="inlineStr">
        <is>
          <t xml:space="preserve">GRUPO L.                      </t>
        </is>
      </c>
      <c r="D2271" t="inlineStr">
        <is>
          <t>CHAUCHA</t>
        </is>
      </c>
      <c r="E2271" t="inlineStr">
        <is>
          <t xml:space="preserve">7790216012619       </t>
        </is>
      </c>
      <c r="F2271" t="n">
        <v>4018073</v>
      </c>
      <c r="G2271" t="inlineStr">
        <is>
          <t xml:space="preserve">CHAUCHA X KG                       </t>
        </is>
      </c>
      <c r="H2271" t="inlineStr">
        <is>
          <t xml:space="preserve">Kgs                 </t>
        </is>
      </c>
      <c r="I2271" t="n">
        <v>48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48</v>
      </c>
      <c r="P2271" s="96">
        <f>_xlfn.XLOOKUP(Tabla5[[#This Row],[EAN CORREGIDO]],'Tabla Articulos'!B:B,'Tabla Articulos'!D:D)</f>
        <v/>
      </c>
      <c r="Q2271" s="96">
        <f>_xlfn.XLOOKUP(S2271,'Tabla Articulos'!B:B,'Tabla Articulos'!E:E)</f>
        <v/>
      </c>
      <c r="R2271" s="96">
        <f>O2271*Q2271</f>
        <v/>
      </c>
      <c r="S2271" s="97">
        <f>TRIM(E2271)</f>
        <v/>
      </c>
    </row>
    <row r="2272" hidden="1">
      <c r="A2272" s="22" t="n">
        <v>6</v>
      </c>
      <c r="B2272" t="inlineStr">
        <is>
          <t xml:space="preserve">CDM03 - MORENO 3              </t>
        </is>
      </c>
      <c r="C2272" t="inlineStr">
        <is>
          <t xml:space="preserve">GRUPO L.                      </t>
        </is>
      </c>
      <c r="D2272" t="inlineStr">
        <is>
          <t>BOLSAS RESIDUO 30 MICRO VERDES</t>
        </is>
      </c>
      <c r="E2272" t="inlineStr">
        <is>
          <t xml:space="preserve">7798011320012       </t>
        </is>
      </c>
      <c r="F2272" t="n">
        <v>2006270</v>
      </c>
      <c r="G2272" t="inlineStr">
        <is>
          <t xml:space="preserve">BOLSA RESIDUO VERDE 45X60 X 50U	   </t>
        </is>
      </c>
      <c r="H2272" t="inlineStr">
        <is>
          <t xml:space="preserve">BULTOS              </t>
        </is>
      </c>
      <c r="I2272" t="n">
        <v>3716</v>
      </c>
      <c r="J2272" t="n">
        <v>0</v>
      </c>
      <c r="K2272" t="n">
        <v>0</v>
      </c>
      <c r="L2272" t="n">
        <v>76</v>
      </c>
      <c r="M2272" t="n">
        <v>76</v>
      </c>
      <c r="N2272" t="n">
        <v>0</v>
      </c>
      <c r="O2272" t="n">
        <v>3564</v>
      </c>
      <c r="P2272" s="96">
        <f>_xlfn.XLOOKUP(Tabla5[[#This Row],[EAN CORREGIDO]],'Tabla Articulos'!B:B,'Tabla Articulos'!D:D)</f>
        <v/>
      </c>
      <c r="Q2272" s="96">
        <f>_xlfn.XLOOKUP(S2272,'Tabla Articulos'!B:B,'Tabla Articulos'!E:E)</f>
        <v/>
      </c>
      <c r="R2272" s="96">
        <f>O2272*Q2272</f>
        <v/>
      </c>
      <c r="S2272" s="97">
        <f>TRIM(E2272)</f>
        <v/>
      </c>
    </row>
    <row r="2273" hidden="1">
      <c r="A2273" s="22" t="n">
        <v>6</v>
      </c>
      <c r="B2273" t="inlineStr">
        <is>
          <t xml:space="preserve">CDM03 - MORENO 3              </t>
        </is>
      </c>
      <c r="C2273" t="inlineStr">
        <is>
          <t xml:space="preserve">GRUPO L.                      </t>
        </is>
      </c>
      <c r="E2273" t="inlineStr">
        <is>
          <t xml:space="preserve">BAZ001160           </t>
        </is>
      </c>
      <c r="F2273" t="n">
        <v>9003763</v>
      </c>
      <c r="G2273" t="inlineStr">
        <is>
          <t xml:space="preserve">TAZ DESAYU PORC.VERBANO TAVOLA     </t>
        </is>
      </c>
      <c r="H2273" t="inlineStr">
        <is>
          <t xml:space="preserve">UNIDAD              </t>
        </is>
      </c>
      <c r="I2273" t="n">
        <v>876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876</v>
      </c>
      <c r="P2273" s="96">
        <f>_xlfn.XLOOKUP(Tabla5[[#This Row],[EAN CORREGIDO]],'Tabla Articulos'!B:B,'Tabla Articulos'!D:D)</f>
        <v/>
      </c>
      <c r="Q2273" s="96">
        <f>_xlfn.XLOOKUP(S2273,'Tabla Articulos'!B:B,'Tabla Articulos'!E:E)</f>
        <v/>
      </c>
      <c r="R2273" s="96">
        <f>O2273*Q2273</f>
        <v/>
      </c>
      <c r="S2273" s="97">
        <f>TRIM(E2273)</f>
        <v/>
      </c>
    </row>
    <row r="2274" hidden="1">
      <c r="A2274" s="22" t="n">
        <v>6</v>
      </c>
      <c r="B2274" t="inlineStr">
        <is>
          <t xml:space="preserve">CDM03 - MORENO 3              </t>
        </is>
      </c>
      <c r="C2274" t="inlineStr">
        <is>
          <t xml:space="preserve">GRUPO L.                      </t>
        </is>
      </c>
      <c r="E2274" t="inlineStr">
        <is>
          <t xml:space="preserve">UNIF000348          </t>
        </is>
      </c>
      <c r="F2274" t="n">
        <v>9003521</v>
      </c>
      <c r="G2274" t="inlineStr">
        <is>
          <t xml:space="preserve">CHAQ CUE.MAO AY/CAM/PEON 6 NUTRI   </t>
        </is>
      </c>
      <c r="H2274" t="inlineStr">
        <is>
          <t xml:space="preserve">UNIDAD              </t>
        </is>
      </c>
      <c r="I2274" t="n">
        <v>21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21</v>
      </c>
      <c r="P2274" s="96">
        <f>_xlfn.XLOOKUP(Tabla5[[#This Row],[EAN CORREGIDO]],'Tabla Articulos'!B:B,'Tabla Articulos'!D:D)</f>
        <v/>
      </c>
      <c r="Q2274" s="96">
        <f>_xlfn.XLOOKUP(S2274,'Tabla Articulos'!B:B,'Tabla Articulos'!E:E)</f>
        <v/>
      </c>
      <c r="R2274" s="96">
        <f>O2274*Q2274</f>
        <v/>
      </c>
      <c r="S2274" s="97">
        <f>TRIM(E2274)</f>
        <v/>
      </c>
    </row>
    <row r="2275" hidden="1">
      <c r="A2275" s="22" t="n">
        <v>1</v>
      </c>
      <c r="B2275" t="inlineStr">
        <is>
          <t xml:space="preserve">CD MORENO                     </t>
        </is>
      </c>
      <c r="C2275" t="inlineStr">
        <is>
          <t xml:space="preserve">GRUPO L.                      </t>
        </is>
      </c>
      <c r="D2275" t="inlineStr">
        <is>
          <t>QUESO RALLADO IND</t>
        </is>
      </c>
      <c r="E2275" t="inlineStr">
        <is>
          <t xml:space="preserve">7798107181601       </t>
        </is>
      </c>
      <c r="F2275" t="n">
        <v>4023521</v>
      </c>
      <c r="G2275" t="inlineStr">
        <is>
          <t xml:space="preserve">QUESO RALLADO INDIV X100U SNCARL   </t>
        </is>
      </c>
      <c r="H2275" t="inlineStr">
        <is>
          <t xml:space="preserve">UNIDAD              </t>
        </is>
      </c>
      <c r="I2275" t="n">
        <v>126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126</v>
      </c>
      <c r="P2275" s="96">
        <f>_xlfn.XLOOKUP(Tabla5[[#This Row],[EAN CORREGIDO]],'Tabla Articulos'!B:B,'Tabla Articulos'!D:D)</f>
        <v/>
      </c>
      <c r="Q2275" s="96">
        <f>_xlfn.XLOOKUP(S2275,'Tabla Articulos'!B:B,'Tabla Articulos'!E:E)</f>
        <v/>
      </c>
      <c r="R2275" s="96">
        <f>O2275*Q2275</f>
        <v/>
      </c>
      <c r="S2275" s="97">
        <f>TRIM(E2275)</f>
        <v/>
      </c>
    </row>
    <row r="2276" hidden="1">
      <c r="A2276" s="22" t="n">
        <v>5</v>
      </c>
      <c r="B2276" t="inlineStr">
        <is>
          <t xml:space="preserve">CDM02 - MORENO 2              </t>
        </is>
      </c>
      <c r="C2276" t="inlineStr">
        <is>
          <t xml:space="preserve">GRUPO L.                      </t>
        </is>
      </c>
      <c r="D2276" t="inlineStr">
        <is>
          <t>MERMELADA LIGHT INDIV</t>
        </is>
      </c>
      <c r="E2276" t="inlineStr">
        <is>
          <t xml:space="preserve">7798011977000       </t>
        </is>
      </c>
      <c r="F2276" t="n">
        <v>4020555</v>
      </c>
      <c r="G2276" t="inlineStr">
        <is>
          <t xml:space="preserve">MERM IND DIET DUZ X17GX108U AB     </t>
        </is>
      </c>
      <c r="H2276" t="inlineStr">
        <is>
          <t xml:space="preserve">UNIDAD              </t>
        </is>
      </c>
      <c r="I2276" t="n">
        <v>16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16</v>
      </c>
      <c r="P2276" s="96">
        <f>_xlfn.XLOOKUP(Tabla5[[#This Row],[EAN CORREGIDO]],'Tabla Articulos'!B:B,'Tabla Articulos'!D:D)</f>
        <v/>
      </c>
      <c r="Q2276" s="96">
        <f>_xlfn.XLOOKUP(S2276,'Tabla Articulos'!B:B,'Tabla Articulos'!E:E)</f>
        <v/>
      </c>
      <c r="R2276" s="96">
        <f>O2276*Q2276</f>
        <v/>
      </c>
      <c r="S2276" s="97">
        <f>TRIM(E2276)</f>
        <v/>
      </c>
    </row>
    <row r="2277" hidden="1">
      <c r="A2277" s="22" t="n">
        <v>5</v>
      </c>
      <c r="B2277" t="inlineStr">
        <is>
          <t xml:space="preserve">CDM02 - MORENO 2              </t>
        </is>
      </c>
      <c r="C2277" t="inlineStr">
        <is>
          <t xml:space="preserve">GRUPO L.                      </t>
        </is>
      </c>
      <c r="D2277" t="inlineStr">
        <is>
          <t>OREGANO S/TACC</t>
        </is>
      </c>
      <c r="E2277" t="inlineStr">
        <is>
          <t xml:space="preserve">7790150540183       </t>
        </is>
      </c>
      <c r="F2277" t="n">
        <v>4019338</v>
      </c>
      <c r="G2277" t="inlineStr">
        <is>
          <t xml:space="preserve">OREGANO X25G ALICANTE              </t>
        </is>
      </c>
      <c r="H2277" t="inlineStr">
        <is>
          <t xml:space="preserve">UNIDAD              </t>
        </is>
      </c>
      <c r="I2277" t="n">
        <v>14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14</v>
      </c>
      <c r="P2277" s="96">
        <f>_xlfn.XLOOKUP(Tabla5[[#This Row],[EAN CORREGIDO]],'Tabla Articulos'!B:B,'Tabla Articulos'!D:D)</f>
        <v/>
      </c>
      <c r="Q2277" s="96">
        <f>_xlfn.XLOOKUP(S2277,'Tabla Articulos'!B:B,'Tabla Articulos'!E:E)</f>
        <v/>
      </c>
      <c r="R2277" s="96">
        <f>O2277*Q2277</f>
        <v/>
      </c>
      <c r="S2277" s="97">
        <f>TRIM(E2277)</f>
        <v/>
      </c>
    </row>
    <row r="2278" hidden="1">
      <c r="A2278" s="22" t="n">
        <v>1</v>
      </c>
      <c r="B2278" t="inlineStr">
        <is>
          <t xml:space="preserve">CD MORENO                     </t>
        </is>
      </c>
      <c r="C2278" t="inlineStr">
        <is>
          <t xml:space="preserve">GRUPO L.                      </t>
        </is>
      </c>
      <c r="D2278" t="inlineStr">
        <is>
          <t>OREGANO S/TACC</t>
        </is>
      </c>
      <c r="E2278" t="inlineStr">
        <is>
          <t xml:space="preserve">7790150540183       </t>
        </is>
      </c>
      <c r="F2278" t="n">
        <v>4019338</v>
      </c>
      <c r="G2278" t="inlineStr">
        <is>
          <t xml:space="preserve">OREGANO X25G ALICANTE              </t>
        </is>
      </c>
      <c r="H2278" t="inlineStr">
        <is>
          <t xml:space="preserve">UNIDAD              </t>
        </is>
      </c>
      <c r="I2278" t="n">
        <v>49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49</v>
      </c>
      <c r="P2278" s="96">
        <f>_xlfn.XLOOKUP(Tabla5[[#This Row],[EAN CORREGIDO]],'Tabla Articulos'!B:B,'Tabla Articulos'!D:D)</f>
        <v/>
      </c>
      <c r="Q2278" s="96">
        <f>_xlfn.XLOOKUP(S2278,'Tabla Articulos'!B:B,'Tabla Articulos'!E:E)</f>
        <v/>
      </c>
      <c r="R2278" s="96">
        <f>O2278*Q2278</f>
        <v/>
      </c>
      <c r="S2278" s="97">
        <f>TRIM(E2278)</f>
        <v/>
      </c>
    </row>
    <row r="2279" hidden="1">
      <c r="A2279" s="22" t="n">
        <v>6</v>
      </c>
      <c r="B2279" t="inlineStr">
        <is>
          <t xml:space="preserve">CDM03 - MORENO 3              </t>
        </is>
      </c>
      <c r="C2279" t="inlineStr">
        <is>
          <t xml:space="preserve">GRUPO L.                      </t>
        </is>
      </c>
      <c r="E2279" t="inlineStr">
        <is>
          <t xml:space="preserve">UNIF000083          </t>
        </is>
      </c>
      <c r="F2279" t="n">
        <v>9003544</v>
      </c>
      <c r="G2279" t="inlineStr">
        <is>
          <t xml:space="preserve">CAMISA BLANCA LISA 58 S. LOGO      </t>
        </is>
      </c>
      <c r="H2279" t="inlineStr">
        <is>
          <t xml:space="preserve">UNIDAD              </t>
        </is>
      </c>
      <c r="I2279" t="n">
        <v>10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10</v>
      </c>
      <c r="P2279" s="96">
        <f>_xlfn.XLOOKUP(Tabla5[[#This Row],[EAN CORREGIDO]],'Tabla Articulos'!B:B,'Tabla Articulos'!D:D)</f>
        <v/>
      </c>
      <c r="Q2279" s="96">
        <f>_xlfn.XLOOKUP(S2279,'Tabla Articulos'!B:B,'Tabla Articulos'!E:E)</f>
        <v/>
      </c>
      <c r="R2279" s="96">
        <f>O2279*Q2279</f>
        <v/>
      </c>
      <c r="S2279" s="97">
        <f>TRIM(E2279)</f>
        <v/>
      </c>
    </row>
    <row r="2280" hidden="1">
      <c r="A2280" s="22" t="n">
        <v>6</v>
      </c>
      <c r="B2280" t="inlineStr">
        <is>
          <t xml:space="preserve">CDM03 - MORENO 3              </t>
        </is>
      </c>
      <c r="C2280" t="inlineStr">
        <is>
          <t xml:space="preserve">GRUPO L.                      </t>
        </is>
      </c>
      <c r="E2280" t="inlineStr">
        <is>
          <t xml:space="preserve">7790250016182       </t>
        </is>
      </c>
      <c r="F2280" t="n">
        <v>2011463</v>
      </c>
      <c r="G2280" t="inlineStr">
        <is>
          <t xml:space="preserve"> PAPEL HIG HS 30MX4UN 1.080KG      </t>
        </is>
      </c>
      <c r="H2280" t="inlineStr">
        <is>
          <t xml:space="preserve">UNIDAD              </t>
        </is>
      </c>
      <c r="I2280" t="n">
        <v>1056</v>
      </c>
      <c r="J2280" t="n">
        <v>2844</v>
      </c>
      <c r="K2280" t="n">
        <v>0</v>
      </c>
      <c r="L2280" t="n">
        <v>0</v>
      </c>
      <c r="M2280" t="n">
        <v>0</v>
      </c>
      <c r="N2280" t="n">
        <v>0</v>
      </c>
      <c r="O2280" t="n">
        <v>3900</v>
      </c>
      <c r="P2280" s="96">
        <f>_xlfn.XLOOKUP(Tabla5[[#This Row],[EAN CORREGIDO]],'Tabla Articulos'!B:B,'Tabla Articulos'!D:D)</f>
        <v/>
      </c>
      <c r="Q2280" s="96">
        <f>_xlfn.XLOOKUP(S2280,'Tabla Articulos'!B:B,'Tabla Articulos'!E:E)</f>
        <v/>
      </c>
      <c r="R2280" s="96">
        <f>O2280*Q2280</f>
        <v/>
      </c>
      <c r="S2280" s="97">
        <f>TRIM(E2280)</f>
        <v/>
      </c>
    </row>
    <row r="2281" hidden="1">
      <c r="A2281" s="22" t="n">
        <v>1</v>
      </c>
      <c r="B2281" t="inlineStr">
        <is>
          <t xml:space="preserve">CD MORENO                     </t>
        </is>
      </c>
      <c r="C2281" t="inlineStr">
        <is>
          <t xml:space="preserve">GRUPO L.                      </t>
        </is>
      </c>
      <c r="D2281" t="inlineStr">
        <is>
          <t>LECHE POLVO ENTERA</t>
        </is>
      </c>
      <c r="E2281" t="inlineStr">
        <is>
          <t xml:space="preserve">7798001562964       </t>
        </is>
      </c>
      <c r="F2281" t="n">
        <v>4022674</v>
      </c>
      <c r="G2281" t="inlineStr">
        <is>
          <t xml:space="preserve">LECHE POLVO ENT 400G CREMIGA       </t>
        </is>
      </c>
      <c r="H2281" t="inlineStr">
        <is>
          <t xml:space="preserve">UNIDAD              </t>
        </is>
      </c>
      <c r="I2281" t="n">
        <v>479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479</v>
      </c>
      <c r="P2281" s="96">
        <f>_xlfn.XLOOKUP(Tabla5[[#This Row],[EAN CORREGIDO]],'Tabla Articulos'!B:B,'Tabla Articulos'!D:D)</f>
        <v/>
      </c>
      <c r="Q2281" s="96">
        <f>_xlfn.XLOOKUP(S2281,'Tabla Articulos'!B:B,'Tabla Articulos'!E:E)</f>
        <v/>
      </c>
      <c r="R2281" s="96">
        <f>O2281*Q2281</f>
        <v/>
      </c>
      <c r="S2281" s="97">
        <f>TRIM(E2281)</f>
        <v/>
      </c>
    </row>
    <row r="2282" hidden="1">
      <c r="A2282" s="22" t="n">
        <v>5</v>
      </c>
      <c r="B2282" t="inlineStr">
        <is>
          <t xml:space="preserve">CDM02 - MORENO 2              </t>
        </is>
      </c>
      <c r="C2282" t="inlineStr">
        <is>
          <t xml:space="preserve">GRUPO L.                      </t>
        </is>
      </c>
      <c r="D2282" t="inlineStr">
        <is>
          <t>LECHE POLVO ENTERA</t>
        </is>
      </c>
      <c r="E2282" t="inlineStr">
        <is>
          <t xml:space="preserve">7798001562964       </t>
        </is>
      </c>
      <c r="F2282" t="n">
        <v>4022674</v>
      </c>
      <c r="G2282" t="inlineStr">
        <is>
          <t xml:space="preserve">LECHE POLVO ENT 400G CREMIGA       </t>
        </is>
      </c>
      <c r="H2282" t="inlineStr">
        <is>
          <t xml:space="preserve">UNIDAD              </t>
        </is>
      </c>
      <c r="I2282" t="n">
        <v>582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582</v>
      </c>
      <c r="P2282" s="96">
        <f>_xlfn.XLOOKUP(Tabla5[[#This Row],[EAN CORREGIDO]],'Tabla Articulos'!B:B,'Tabla Articulos'!D:D)</f>
        <v/>
      </c>
      <c r="Q2282" s="96">
        <f>_xlfn.XLOOKUP(S2282,'Tabla Articulos'!B:B,'Tabla Articulos'!E:E)</f>
        <v/>
      </c>
      <c r="R2282" s="96">
        <f>O2282*Q2282</f>
        <v/>
      </c>
      <c r="S2282" s="97">
        <f>TRIM(E2282)</f>
        <v/>
      </c>
    </row>
    <row r="2283" hidden="1">
      <c r="A2283" s="22" t="n">
        <v>5</v>
      </c>
      <c r="B2283" t="inlineStr">
        <is>
          <t xml:space="preserve">CDM02 - MORENO 2              </t>
        </is>
      </c>
      <c r="C2283" t="inlineStr">
        <is>
          <t xml:space="preserve">GRUPO L.                      </t>
        </is>
      </c>
      <c r="D2283" t="inlineStr">
        <is>
          <t>PURE TOMATE</t>
        </is>
      </c>
      <c r="E2283" t="inlineStr">
        <is>
          <t xml:space="preserve">7798156760062       </t>
        </is>
      </c>
      <c r="F2283" t="n">
        <v>4020460</v>
      </c>
      <c r="G2283" t="inlineStr">
        <is>
          <t>PURE TOMATE X520GR STACC SAB D VALL</t>
        </is>
      </c>
      <c r="H2283" t="inlineStr">
        <is>
          <t xml:space="preserve">UNIDAD              </t>
        </is>
      </c>
      <c r="I2283" t="n">
        <v>3934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3934</v>
      </c>
      <c r="P2283" s="96">
        <f>_xlfn.XLOOKUP(Tabla5[[#This Row],[EAN CORREGIDO]],'Tabla Articulos'!B:B,'Tabla Articulos'!D:D)</f>
        <v/>
      </c>
      <c r="Q2283" s="96">
        <f>_xlfn.XLOOKUP(S2283,'Tabla Articulos'!B:B,'Tabla Articulos'!E:E)</f>
        <v/>
      </c>
      <c r="R2283" s="96">
        <f>O2283*Q2283</f>
        <v/>
      </c>
      <c r="S2283" s="97">
        <f>TRIM(E2283)</f>
        <v/>
      </c>
    </row>
    <row r="2284" hidden="1">
      <c r="A2284" s="22" t="n">
        <v>1</v>
      </c>
      <c r="B2284" t="inlineStr">
        <is>
          <t xml:space="preserve">CD MORENO                     </t>
        </is>
      </c>
      <c r="C2284" t="inlineStr">
        <is>
          <t xml:space="preserve">GRUPO L.                      </t>
        </is>
      </c>
      <c r="D2284" t="inlineStr">
        <is>
          <t>PURE TOMATE</t>
        </is>
      </c>
      <c r="E2284" t="inlineStr">
        <is>
          <t xml:space="preserve">7798156760062       </t>
        </is>
      </c>
      <c r="F2284" t="n">
        <v>4020460</v>
      </c>
      <c r="G2284" t="inlineStr">
        <is>
          <t>PURE TOMATE X520GR STACC SAB D VALL</t>
        </is>
      </c>
      <c r="H2284" t="inlineStr">
        <is>
          <t xml:space="preserve">UNIDAD              </t>
        </is>
      </c>
      <c r="I2284" t="n">
        <v>5521</v>
      </c>
      <c r="J2284" t="n">
        <v>0</v>
      </c>
      <c r="K2284" t="n">
        <v>0</v>
      </c>
      <c r="L2284" t="n">
        <v>2728</v>
      </c>
      <c r="M2284" t="n">
        <v>2728</v>
      </c>
      <c r="N2284" t="n">
        <v>0</v>
      </c>
      <c r="O2284" t="n">
        <v>65</v>
      </c>
      <c r="P2284" s="96">
        <f>_xlfn.XLOOKUP(Tabla5[[#This Row],[EAN CORREGIDO]],'Tabla Articulos'!B:B,'Tabla Articulos'!D:D)</f>
        <v/>
      </c>
      <c r="Q2284" s="96">
        <f>_xlfn.XLOOKUP(S2284,'Tabla Articulos'!B:B,'Tabla Articulos'!E:E)</f>
        <v/>
      </c>
      <c r="R2284" s="96">
        <f>O2284*Q2284</f>
        <v/>
      </c>
      <c r="S2284" s="97">
        <f>TRIM(E2284)</f>
        <v/>
      </c>
    </row>
    <row r="2285" hidden="1">
      <c r="A2285" s="22" t="n">
        <v>1</v>
      </c>
      <c r="B2285" t="inlineStr">
        <is>
          <t xml:space="preserve">CD MORENO                     </t>
        </is>
      </c>
      <c r="C2285" t="inlineStr">
        <is>
          <t xml:space="preserve">GRUPO L.                      </t>
        </is>
      </c>
      <c r="D2285" t="inlineStr">
        <is>
          <t>ATUN A/A ENTERO</t>
        </is>
      </c>
      <c r="E2285" t="inlineStr">
        <is>
          <t xml:space="preserve">7796613021381       </t>
        </is>
      </c>
      <c r="F2285" t="n">
        <v>4020368</v>
      </c>
      <c r="G2285" t="inlineStr">
        <is>
          <t xml:space="preserve">ATUN LOMITO A/A X170G MYK          </t>
        </is>
      </c>
      <c r="H2285" t="inlineStr">
        <is>
          <t xml:space="preserve">UNIDAD              </t>
        </is>
      </c>
      <c r="I2285" t="n">
        <v>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7</v>
      </c>
      <c r="P2285" s="96">
        <f>_xlfn.XLOOKUP(Tabla5[[#This Row],[EAN CORREGIDO]],'Tabla Articulos'!B:B,'Tabla Articulos'!D:D)</f>
        <v/>
      </c>
      <c r="Q2285" s="96">
        <f>_xlfn.XLOOKUP(S2285,'Tabla Articulos'!B:B,'Tabla Articulos'!E:E)</f>
        <v/>
      </c>
      <c r="R2285" s="96">
        <f>O2285*Q2285</f>
        <v/>
      </c>
      <c r="S2285" s="97">
        <f>TRIM(E2285)</f>
        <v/>
      </c>
    </row>
    <row r="2286" hidden="1">
      <c r="A2286" s="22" t="n">
        <v>6</v>
      </c>
      <c r="B2286" t="inlineStr">
        <is>
          <t xml:space="preserve">CDM03 - MORENO 3              </t>
        </is>
      </c>
      <c r="C2286" t="inlineStr">
        <is>
          <t xml:space="preserve">GRUPO L.                      </t>
        </is>
      </c>
      <c r="E2286" t="inlineStr">
        <is>
          <t xml:space="preserve">UNIF000448          </t>
        </is>
      </c>
      <c r="F2286" t="n">
        <v>9003609</v>
      </c>
      <c r="G2286" t="inlineStr">
        <is>
          <t xml:space="preserve">CAMPE. TRUCK A. MAR GRUPO L 4XL    </t>
        </is>
      </c>
      <c r="H2286" t="inlineStr">
        <is>
          <t xml:space="preserve">UNIDAD              </t>
        </is>
      </c>
      <c r="I2286" t="n">
        <v>40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40</v>
      </c>
      <c r="P2286" s="96">
        <f>_xlfn.XLOOKUP(Tabla5[[#This Row],[EAN CORREGIDO]],'Tabla Articulos'!B:B,'Tabla Articulos'!D:D)</f>
        <v/>
      </c>
      <c r="Q2286" s="96">
        <f>_xlfn.XLOOKUP(S2286,'Tabla Articulos'!B:B,'Tabla Articulos'!E:E)</f>
        <v/>
      </c>
      <c r="R2286" s="96">
        <f>O2286*Q2286</f>
        <v/>
      </c>
      <c r="S2286" s="97">
        <f>TRIM(E2286)</f>
        <v/>
      </c>
    </row>
    <row r="2287" hidden="1">
      <c r="A2287" s="22" t="n">
        <v>6</v>
      </c>
      <c r="B2287" t="inlineStr">
        <is>
          <t xml:space="preserve">CDM03 - MORENO 3              </t>
        </is>
      </c>
      <c r="C2287" t="inlineStr">
        <is>
          <t xml:space="preserve">GRUPO L.                      </t>
        </is>
      </c>
      <c r="E2287" t="inlineStr">
        <is>
          <t xml:space="preserve">BAZ001331           </t>
        </is>
      </c>
      <c r="F2287" t="n">
        <v>9003725</v>
      </c>
      <c r="G2287" t="inlineStr">
        <is>
          <t xml:space="preserve">TUBO SALSA INOX 430 N°12.5 X25CM   </t>
        </is>
      </c>
      <c r="H2287" t="inlineStr">
        <is>
          <t xml:space="preserve">UNIDAD              </t>
        </is>
      </c>
      <c r="I2287" t="n">
        <v>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4</v>
      </c>
      <c r="P2287" s="96">
        <f>_xlfn.XLOOKUP(Tabla5[[#This Row],[EAN CORREGIDO]],'Tabla Articulos'!B:B,'Tabla Articulos'!D:D)</f>
        <v/>
      </c>
      <c r="Q2287" s="96">
        <f>_xlfn.XLOOKUP(S2287,'Tabla Articulos'!B:B,'Tabla Articulos'!E:E)</f>
        <v/>
      </c>
      <c r="R2287" s="96">
        <f>O2287*Q2287</f>
        <v/>
      </c>
      <c r="S2287" s="97">
        <f>TRIM(E2287)</f>
        <v/>
      </c>
    </row>
    <row r="2288" hidden="1">
      <c r="A2288" s="22" t="n">
        <v>1</v>
      </c>
      <c r="B2288" t="inlineStr">
        <is>
          <t xml:space="preserve">CD MORENO                     </t>
        </is>
      </c>
      <c r="C2288" t="inlineStr">
        <is>
          <t xml:space="preserve">GRUPO L.                      </t>
        </is>
      </c>
      <c r="D2288" t="inlineStr">
        <is>
          <t>CARNE ENTERA</t>
        </is>
      </c>
      <c r="E2288" t="inlineStr">
        <is>
          <t xml:space="preserve">7790212031242       </t>
        </is>
      </c>
      <c r="F2288" t="n">
        <v>4017782</v>
      </c>
      <c r="G2288" t="inlineStr">
        <is>
          <t xml:space="preserve">CUADRADA X KG                      </t>
        </is>
      </c>
      <c r="H2288" t="inlineStr">
        <is>
          <t xml:space="preserve">Kgs                 </t>
        </is>
      </c>
      <c r="I2288" t="n">
        <v>291.54</v>
      </c>
      <c r="J2288" t="n">
        <v>0</v>
      </c>
      <c r="K2288" t="n">
        <v>0</v>
      </c>
      <c r="L2288" t="n">
        <v>0</v>
      </c>
      <c r="M2288" t="n">
        <v>55</v>
      </c>
      <c r="N2288" t="n">
        <v>0</v>
      </c>
      <c r="O2288" t="n">
        <v>236.54</v>
      </c>
      <c r="P2288" s="96">
        <f>_xlfn.XLOOKUP(Tabla5[[#This Row],[EAN CORREGIDO]],'Tabla Articulos'!B:B,'Tabla Articulos'!D:D)</f>
        <v/>
      </c>
      <c r="Q2288" s="96">
        <f>_xlfn.XLOOKUP(S2288,'Tabla Articulos'!B:B,'Tabla Articulos'!E:E)</f>
        <v/>
      </c>
      <c r="R2288" s="96">
        <f>O2288*Q2288</f>
        <v/>
      </c>
      <c r="S2288" s="97">
        <f>TRIM(E2288)</f>
        <v/>
      </c>
    </row>
    <row r="2289" hidden="1">
      <c r="A2289" s="22" t="n">
        <v>5</v>
      </c>
      <c r="B2289" t="inlineStr">
        <is>
          <t xml:space="preserve">CDM02 - MORENO 2              </t>
        </is>
      </c>
      <c r="C2289" t="inlineStr">
        <is>
          <t xml:space="preserve">GRUPO L.                      </t>
        </is>
      </c>
      <c r="D2289" t="inlineStr">
        <is>
          <t xml:space="preserve">AJO </t>
        </is>
      </c>
      <c r="E2289" t="inlineStr">
        <is>
          <t xml:space="preserve">7790314152882       </t>
        </is>
      </c>
      <c r="F2289" t="n">
        <v>4018035</v>
      </c>
      <c r="G2289" t="inlineStr">
        <is>
          <t xml:space="preserve">AJO X KG.                          </t>
        </is>
      </c>
      <c r="H2289" t="inlineStr">
        <is>
          <t xml:space="preserve">Kgs                 </t>
        </is>
      </c>
      <c r="I2289" t="n">
        <v>1.05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1.05</v>
      </c>
      <c r="P2289" s="96">
        <f>_xlfn.XLOOKUP(Tabla5[[#This Row],[EAN CORREGIDO]],'Tabla Articulos'!B:B,'Tabla Articulos'!D:D)</f>
        <v/>
      </c>
      <c r="Q2289" s="96">
        <f>_xlfn.XLOOKUP(S2289,'Tabla Articulos'!B:B,'Tabla Articulos'!E:E)</f>
        <v/>
      </c>
      <c r="R2289" s="96">
        <f>O2289*Q2289</f>
        <v/>
      </c>
      <c r="S2289" s="97">
        <f>TRIM(E2289)</f>
        <v/>
      </c>
    </row>
    <row r="2290" hidden="1">
      <c r="A2290" s="22" t="n">
        <v>6</v>
      </c>
      <c r="B2290" t="inlineStr">
        <is>
          <t xml:space="preserve">CDM03 - MORENO 3              </t>
        </is>
      </c>
      <c r="C2290" t="inlineStr">
        <is>
          <t xml:space="preserve">GRUPO L.                      </t>
        </is>
      </c>
      <c r="D2290" t="inlineStr">
        <is>
          <t>PAÑO MICROFIBRA</t>
        </is>
      </c>
      <c r="E2290" t="inlineStr">
        <is>
          <t xml:space="preserve">7795323141175       </t>
        </is>
      </c>
      <c r="F2290" t="n">
        <v>2006256</v>
      </c>
      <c r="G2290" t="inlineStr">
        <is>
          <t xml:space="preserve">MICROFIBRA DE MANO ROSA XU         </t>
        </is>
      </c>
      <c r="H2290" t="inlineStr">
        <is>
          <t xml:space="preserve">UNIDAD              </t>
        </is>
      </c>
      <c r="I2290" t="n">
        <v>128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128</v>
      </c>
      <c r="P2290" s="96">
        <f>_xlfn.XLOOKUP(Tabla5[[#This Row],[EAN CORREGIDO]],'Tabla Articulos'!B:B,'Tabla Articulos'!D:D)</f>
        <v/>
      </c>
      <c r="Q2290" s="96">
        <f>_xlfn.XLOOKUP(S2290,'Tabla Articulos'!B:B,'Tabla Articulos'!E:E)</f>
        <v/>
      </c>
      <c r="R2290" s="96">
        <f>O2290*Q2290</f>
        <v/>
      </c>
      <c r="S2290" s="97">
        <f>TRIM(E2290)</f>
        <v/>
      </c>
    </row>
    <row r="2291" hidden="1">
      <c r="A2291" s="22" t="n">
        <v>5</v>
      </c>
      <c r="B2291" t="inlineStr">
        <is>
          <t xml:space="preserve">CDM02 - MORENO 2              </t>
        </is>
      </c>
      <c r="C2291" t="inlineStr">
        <is>
          <t xml:space="preserve">GRUPO L.                      </t>
        </is>
      </c>
      <c r="D2291" t="inlineStr">
        <is>
          <t>CAJAS CARTON</t>
        </is>
      </c>
      <c r="E2291" t="inlineStr">
        <is>
          <t xml:space="preserve">7790321626939       </t>
        </is>
      </c>
      <c r="F2291" t="n">
        <v>2006415</v>
      </c>
      <c r="G2291" t="inlineStr">
        <is>
          <t>CAJA C/L MESA 300X280X260 HURLINGHA</t>
        </is>
      </c>
      <c r="H2291" t="inlineStr">
        <is>
          <t xml:space="preserve">UNIDAD              </t>
        </is>
      </c>
      <c r="I2291" t="n">
        <v>3214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3214</v>
      </c>
      <c r="P2291" s="96">
        <f>_xlfn.XLOOKUP(Tabla5[[#This Row],[EAN CORREGIDO]],'Tabla Articulos'!B:B,'Tabla Articulos'!D:D)</f>
        <v/>
      </c>
      <c r="Q2291" s="96">
        <f>_xlfn.XLOOKUP(S2291,'Tabla Articulos'!B:B,'Tabla Articulos'!E:E)</f>
        <v/>
      </c>
      <c r="R2291" s="96">
        <f>O2291*Q2291</f>
        <v/>
      </c>
      <c r="S2291" s="97">
        <f>TRIM(E2291)</f>
        <v/>
      </c>
    </row>
    <row r="2292" hidden="1">
      <c r="A2292" s="22" t="n">
        <v>6</v>
      </c>
      <c r="B2292" t="inlineStr">
        <is>
          <t xml:space="preserve">CDM03 - MORENO 3              </t>
        </is>
      </c>
      <c r="C2292" t="inlineStr">
        <is>
          <t xml:space="preserve">GRUPO L.                      </t>
        </is>
      </c>
      <c r="D2292" t="inlineStr">
        <is>
          <t>CEPILLOS LIMPIEZA</t>
        </is>
      </c>
      <c r="E2292" t="inlineStr">
        <is>
          <t xml:space="preserve">LIM000115           </t>
        </is>
      </c>
      <c r="F2292" t="n">
        <v>2006517</v>
      </c>
      <c r="G2292" t="inlineStr">
        <is>
          <t>CEPILLO BARRENDERO CERDA DURA P/PIS</t>
        </is>
      </c>
      <c r="H2292" t="inlineStr">
        <is>
          <t xml:space="preserve">UNIDAD              </t>
        </is>
      </c>
      <c r="I2292" t="n">
        <v>14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14</v>
      </c>
      <c r="P2292" s="96">
        <f>_xlfn.XLOOKUP(Tabla5[[#This Row],[EAN CORREGIDO]],'Tabla Articulos'!B:B,'Tabla Articulos'!D:D)</f>
        <v/>
      </c>
      <c r="Q2292" s="96">
        <f>_xlfn.XLOOKUP(S2292,'Tabla Articulos'!B:B,'Tabla Articulos'!E:E)</f>
        <v/>
      </c>
      <c r="R2292" s="96">
        <f>O2292*Q2292</f>
        <v/>
      </c>
      <c r="S2292" s="97">
        <f>TRIM(E2292)</f>
        <v/>
      </c>
    </row>
    <row r="2293" hidden="1">
      <c r="A2293" s="22" t="n">
        <v>6</v>
      </c>
      <c r="B2293" t="inlineStr">
        <is>
          <t xml:space="preserve">CDM03 - MORENO 3              </t>
        </is>
      </c>
      <c r="C2293" t="inlineStr">
        <is>
          <t xml:space="preserve">GRUPO L.                      </t>
        </is>
      </c>
      <c r="E2293" t="inlineStr">
        <is>
          <t xml:space="preserve">UNIF000497          </t>
        </is>
      </c>
      <c r="F2293" t="n">
        <v>9003585</v>
      </c>
      <c r="G2293" t="inlineStr">
        <is>
          <t xml:space="preserve">CAMI GRIS CAMAR. RET. T52 C GOUR   </t>
        </is>
      </c>
      <c r="H2293" t="inlineStr">
        <is>
          <t xml:space="preserve">UNIDAD              </t>
        </is>
      </c>
      <c r="I2293" t="n">
        <v>22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22</v>
      </c>
      <c r="P2293" s="96">
        <f>_xlfn.XLOOKUP(Tabla5[[#This Row],[EAN CORREGIDO]],'Tabla Articulos'!B:B,'Tabla Articulos'!D:D)</f>
        <v/>
      </c>
      <c r="Q2293" s="96">
        <f>_xlfn.XLOOKUP(S2293,'Tabla Articulos'!B:B,'Tabla Articulos'!E:E)</f>
        <v/>
      </c>
      <c r="R2293" s="96">
        <f>O2293*Q2293</f>
        <v/>
      </c>
      <c r="S2293" s="97">
        <f>TRIM(E2293)</f>
        <v/>
      </c>
    </row>
    <row r="2294" hidden="1">
      <c r="A2294" s="22" t="n">
        <v>6</v>
      </c>
      <c r="B2294" t="inlineStr">
        <is>
          <t xml:space="preserve">CDM03 - MORENO 3              </t>
        </is>
      </c>
      <c r="C2294" t="inlineStr">
        <is>
          <t xml:space="preserve">GRUPO L.                      </t>
        </is>
      </c>
      <c r="E2294" t="inlineStr">
        <is>
          <t xml:space="preserve">UNIF000160          </t>
        </is>
      </c>
      <c r="F2294" t="n">
        <v>9003577</v>
      </c>
      <c r="G2294" t="inlineStr">
        <is>
          <t xml:space="preserve">CAMI. BLAN.M. LARG 50 GL SUP       </t>
        </is>
      </c>
      <c r="H2294" t="inlineStr">
        <is>
          <t xml:space="preserve">UNIDAD              </t>
        </is>
      </c>
      <c r="I2294" t="n">
        <v>19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19</v>
      </c>
      <c r="P2294" s="96">
        <f>_xlfn.XLOOKUP(Tabla5[[#This Row],[EAN CORREGIDO]],'Tabla Articulos'!B:B,'Tabla Articulos'!D:D)</f>
        <v/>
      </c>
      <c r="Q2294" s="96">
        <f>_xlfn.XLOOKUP(S2294,'Tabla Articulos'!B:B,'Tabla Articulos'!E:E)</f>
        <v/>
      </c>
      <c r="R2294" s="96">
        <f>O2294*Q2294</f>
        <v/>
      </c>
      <c r="S2294" s="97">
        <f>TRIM(E2294)</f>
        <v/>
      </c>
    </row>
    <row r="2295" hidden="1">
      <c r="A2295" s="22" t="n">
        <v>6</v>
      </c>
      <c r="B2295" t="inlineStr">
        <is>
          <t xml:space="preserve">CDM03 - MORENO 3              </t>
        </is>
      </c>
      <c r="C2295" t="inlineStr">
        <is>
          <t xml:space="preserve">GRUPO L.                      </t>
        </is>
      </c>
      <c r="E2295" t="inlineStr">
        <is>
          <t xml:space="preserve">UNIF000186          </t>
        </is>
      </c>
      <c r="F2295" t="n">
        <v>9003426</v>
      </c>
      <c r="G2295" t="inlineStr">
        <is>
          <t xml:space="preserve">PANTA. CARGO A.MAR 46 GL SUPPORT   </t>
        </is>
      </c>
      <c r="H2295" t="inlineStr">
        <is>
          <t xml:space="preserve">UNIDAD              </t>
        </is>
      </c>
      <c r="I2295" t="n">
        <v>6</v>
      </c>
      <c r="J2295" t="n">
        <v>0</v>
      </c>
      <c r="K2295" t="n">
        <v>0</v>
      </c>
      <c r="L2295" t="n">
        <v>3</v>
      </c>
      <c r="M2295" t="n">
        <v>3</v>
      </c>
      <c r="N2295" t="n">
        <v>0</v>
      </c>
      <c r="O2295" t="n">
        <v>0</v>
      </c>
      <c r="P2295" s="96">
        <f>_xlfn.XLOOKUP(Tabla5[[#This Row],[EAN CORREGIDO]],'Tabla Articulos'!B:B,'Tabla Articulos'!D:D)</f>
        <v/>
      </c>
      <c r="Q2295" s="96">
        <f>_xlfn.XLOOKUP(S2295,'Tabla Articulos'!B:B,'Tabla Articulos'!E:E)</f>
        <v/>
      </c>
      <c r="R2295" s="96">
        <f>O2295*Q2295</f>
        <v/>
      </c>
      <c r="S2295" s="97">
        <f>TRIM(E2295)</f>
        <v/>
      </c>
    </row>
    <row r="2296" hidden="1">
      <c r="A2296" s="22" t="n">
        <v>1</v>
      </c>
      <c r="B2296" t="inlineStr">
        <is>
          <t xml:space="preserve">CD MORENO                     </t>
        </is>
      </c>
      <c r="C2296" t="inlineStr">
        <is>
          <t xml:space="preserve">GRUPO L.                      </t>
        </is>
      </c>
      <c r="D2296" s="11" t="inlineStr">
        <is>
          <t>MERLUZA A/N</t>
        </is>
      </c>
      <c r="E2296" t="inlineStr">
        <is>
          <t xml:space="preserve">7790748235187       </t>
        </is>
      </c>
      <c r="F2296" t="n">
        <v>4019854</v>
      </c>
      <c r="G2296" t="inlineStr">
        <is>
          <t xml:space="preserve">MERLUZA AL NATURAL PUGLISI X 380   </t>
        </is>
      </c>
      <c r="H2296" t="inlineStr">
        <is>
          <t xml:space="preserve">UNIDAD              </t>
        </is>
      </c>
      <c r="I2296" t="n">
        <v>598</v>
      </c>
      <c r="J2296" t="n">
        <v>0</v>
      </c>
      <c r="K2296" t="n">
        <v>0</v>
      </c>
      <c r="L2296" t="n">
        <v>120</v>
      </c>
      <c r="M2296" t="n">
        <v>120</v>
      </c>
      <c r="N2296" t="n">
        <v>0</v>
      </c>
      <c r="O2296" t="n">
        <v>358</v>
      </c>
      <c r="P2296" s="96">
        <f>_xlfn.XLOOKUP(Tabla5[[#This Row],[EAN CORREGIDO]],'Tabla Articulos'!B:B,'Tabla Articulos'!D:D)</f>
        <v/>
      </c>
      <c r="Q2296" s="96">
        <f>_xlfn.XLOOKUP(S2296,'Tabla Articulos'!B:B,'Tabla Articulos'!E:E)</f>
        <v/>
      </c>
      <c r="R2296" s="96">
        <f>O2296*Q2296</f>
        <v/>
      </c>
      <c r="S2296" s="97">
        <f>TRIM(E2296)</f>
        <v/>
      </c>
    </row>
    <row r="2297" hidden="1">
      <c r="A2297" s="22" t="n">
        <v>5</v>
      </c>
      <c r="B2297" t="inlineStr">
        <is>
          <t xml:space="preserve">CDM02 - MORENO 2              </t>
        </is>
      </c>
      <c r="C2297" t="inlineStr">
        <is>
          <t xml:space="preserve">GRUPO L.                      </t>
        </is>
      </c>
      <c r="D2297" t="inlineStr">
        <is>
          <t>MERLUZA A/N</t>
        </is>
      </c>
      <c r="E2297" t="inlineStr">
        <is>
          <t xml:space="preserve">7790748235187       </t>
        </is>
      </c>
      <c r="F2297" s="11" t="n">
        <v>4019854</v>
      </c>
      <c r="G2297" t="inlineStr">
        <is>
          <t xml:space="preserve">MERLUZA AL NATURAL PUGLISI X 380   </t>
        </is>
      </c>
      <c r="H2297" t="inlineStr">
        <is>
          <t xml:space="preserve">UNIDAD              </t>
        </is>
      </c>
      <c r="I2297" t="n">
        <v>4313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4313</v>
      </c>
      <c r="P2297" s="96">
        <f>_xlfn.XLOOKUP(Tabla5[[#This Row],[EAN CORREGIDO]],'Tabla Articulos'!B:B,'Tabla Articulos'!D:D)</f>
        <v/>
      </c>
      <c r="Q2297" s="96">
        <f>_xlfn.XLOOKUP(S2297,'Tabla Articulos'!B:B,'Tabla Articulos'!E:E)</f>
        <v/>
      </c>
      <c r="R2297" s="96">
        <f>O2297*Q2297</f>
        <v/>
      </c>
      <c r="S2297" s="97">
        <f>TRIM(E2297)</f>
        <v/>
      </c>
    </row>
    <row r="2298" hidden="1">
      <c r="A2298" s="22" t="n">
        <v>6</v>
      </c>
      <c r="B2298" t="inlineStr">
        <is>
          <t xml:space="preserve">CDM03 - MORENO 3              </t>
        </is>
      </c>
      <c r="C2298" t="inlineStr">
        <is>
          <t xml:space="preserve">GRUPO L.                      </t>
        </is>
      </c>
      <c r="E2298" t="inlineStr">
        <is>
          <t xml:space="preserve">BAZ001185           </t>
        </is>
      </c>
      <c r="F2298" s="11" t="n">
        <v>9003841</v>
      </c>
      <c r="G2298" t="inlineStr">
        <is>
          <t xml:space="preserve">CUCHARITA DE TE PLASTICO NEGRO     </t>
        </is>
      </c>
      <c r="H2298" t="inlineStr">
        <is>
          <t xml:space="preserve">UNIDAD              </t>
        </is>
      </c>
      <c r="I2298" t="n">
        <v>1303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1303</v>
      </c>
      <c r="P2298" s="96">
        <f>_xlfn.XLOOKUP(Tabla5[[#This Row],[EAN CORREGIDO]],'Tabla Articulos'!B:B,'Tabla Articulos'!D:D)</f>
        <v/>
      </c>
      <c r="Q2298" s="96">
        <f>_xlfn.XLOOKUP(S2298,'Tabla Articulos'!B:B,'Tabla Articulos'!E:E)</f>
        <v/>
      </c>
      <c r="R2298" s="96">
        <f>O2298*Q2298</f>
        <v/>
      </c>
      <c r="S2298" s="97">
        <f>TRIM(E2298)</f>
        <v/>
      </c>
    </row>
    <row r="2299" hidden="1">
      <c r="A2299" s="22" t="n">
        <v>1</v>
      </c>
      <c r="B2299" t="inlineStr">
        <is>
          <t xml:space="preserve">CD MORENO                     </t>
        </is>
      </c>
      <c r="C2299" t="inlineStr">
        <is>
          <t xml:space="preserve">GRUPO L.                      </t>
        </is>
      </c>
      <c r="D2299" s="11" t="inlineStr">
        <is>
          <t>MAYONESA LIGHT</t>
        </is>
      </c>
      <c r="E2299" t="inlineStr">
        <is>
          <t xml:space="preserve">7790580135454       </t>
        </is>
      </c>
      <c r="F2299" s="11" t="n">
        <v>4019391</v>
      </c>
      <c r="G2299" t="inlineStr">
        <is>
          <t xml:space="preserve">MAYONESA X500GR BC                 </t>
        </is>
      </c>
      <c r="H2299" t="inlineStr">
        <is>
          <t xml:space="preserve">UNIDAD              </t>
        </is>
      </c>
      <c r="I2299" t="n">
        <v>159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159</v>
      </c>
      <c r="P2299" s="96">
        <f>_xlfn.XLOOKUP(Tabla5[[#This Row],[EAN CORREGIDO]],'Tabla Articulos'!B:B,'Tabla Articulos'!D:D)</f>
        <v/>
      </c>
      <c r="Q2299" s="96">
        <f>_xlfn.XLOOKUP(S2299,'Tabla Articulos'!B:B,'Tabla Articulos'!E:E)</f>
        <v/>
      </c>
      <c r="R2299" s="96">
        <f>O2299*Q2299</f>
        <v/>
      </c>
      <c r="S2299" s="97">
        <f>TRIM(E2299)</f>
        <v/>
      </c>
    </row>
    <row r="2300" hidden="1">
      <c r="A2300" s="22" t="n">
        <v>6</v>
      </c>
      <c r="B2300" t="inlineStr">
        <is>
          <t xml:space="preserve">CDM03 - MORENO 3              </t>
        </is>
      </c>
      <c r="C2300" t="inlineStr">
        <is>
          <t xml:space="preserve">GRUPO L.                      </t>
        </is>
      </c>
      <c r="D2300" s="11" t="inlineStr">
        <is>
          <t>TAPA 103</t>
        </is>
      </c>
      <c r="E2300" t="inlineStr">
        <is>
          <t xml:space="preserve">7798011210060       </t>
        </is>
      </c>
      <c r="F2300" s="11" t="n">
        <v>2011503</v>
      </c>
      <c r="G2300" t="inlineStr">
        <is>
          <t xml:space="preserve">TAPA BAND 103 MICRO COTNYL X50UN   </t>
        </is>
      </c>
      <c r="H2300" t="inlineStr">
        <is>
          <t xml:space="preserve">UNIDAD              </t>
        </is>
      </c>
      <c r="I2300" t="n">
        <v>230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230</v>
      </c>
      <c r="P2300" s="96">
        <f>_xlfn.XLOOKUP(Tabla5[[#This Row],[EAN CORREGIDO]],'Tabla Articulos'!B:B,'Tabla Articulos'!D:D)</f>
        <v/>
      </c>
      <c r="Q2300" s="96">
        <f>_xlfn.XLOOKUP(S2300,'Tabla Articulos'!B:B,'Tabla Articulos'!E:E)</f>
        <v/>
      </c>
      <c r="R2300" s="96">
        <f>O2300*Q2300</f>
        <v/>
      </c>
      <c r="S2300" s="97">
        <f>TRIM(E2300)</f>
        <v/>
      </c>
    </row>
    <row r="2301" hidden="1">
      <c r="A2301" s="22" t="n">
        <v>5</v>
      </c>
      <c r="B2301" t="inlineStr">
        <is>
          <t xml:space="preserve">CDM02 - MORENO 2              </t>
        </is>
      </c>
      <c r="C2301" t="inlineStr">
        <is>
          <t xml:space="preserve">GRUPO L.                      </t>
        </is>
      </c>
      <c r="D2301" s="11" t="inlineStr">
        <is>
          <t>TE ENSOB S/TACC</t>
        </is>
      </c>
      <c r="E2301" t="inlineStr">
        <is>
          <t xml:space="preserve">7792198006713       </t>
        </is>
      </c>
      <c r="F2301" s="11" t="n">
        <v>4019835</v>
      </c>
      <c r="G2301" t="inlineStr">
        <is>
          <t xml:space="preserve">TE EN SOB X100U HURLINGHAM         </t>
        </is>
      </c>
      <c r="H2301" t="inlineStr">
        <is>
          <t xml:space="preserve">UNIDAD              </t>
        </is>
      </c>
      <c r="I2301" t="n">
        <v>130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130</v>
      </c>
      <c r="P2301" s="96">
        <f>_xlfn.XLOOKUP(Tabla5[[#This Row],[EAN CORREGIDO]],'Tabla Articulos'!B:B,'Tabla Articulos'!D:D)</f>
        <v/>
      </c>
      <c r="Q2301" s="96">
        <f>_xlfn.XLOOKUP(S2301,'Tabla Articulos'!B:B,'Tabla Articulos'!E:E)</f>
        <v/>
      </c>
      <c r="R2301" s="96">
        <f>O2301*Q2301</f>
        <v/>
      </c>
      <c r="S2301" s="97">
        <f>TRIM(E2301)</f>
        <v/>
      </c>
    </row>
    <row r="2302" hidden="1">
      <c r="A2302" s="22" t="n">
        <v>6</v>
      </c>
      <c r="B2302" t="inlineStr">
        <is>
          <t xml:space="preserve">CDM03 - MORENO 3              </t>
        </is>
      </c>
      <c r="C2302" t="inlineStr">
        <is>
          <t xml:space="preserve">GRUPO L.                      </t>
        </is>
      </c>
      <c r="D2302" s="11" t="inlineStr">
        <is>
          <t>BAND ALUMINIO R3</t>
        </is>
      </c>
      <c r="E2302" t="inlineStr">
        <is>
          <t xml:space="preserve">610000108746        </t>
        </is>
      </c>
      <c r="F2302" s="11" t="n">
        <v>2006822</v>
      </c>
      <c r="G2302" t="inlineStr">
        <is>
          <t xml:space="preserve">BANDEJA ALUM R3/F275 X500U         </t>
        </is>
      </c>
      <c r="H2302" t="inlineStr">
        <is>
          <t xml:space="preserve">UNIDAD              </t>
        </is>
      </c>
      <c r="I2302" t="n">
        <v>57</v>
      </c>
      <c r="J2302" t="n">
        <v>0</v>
      </c>
      <c r="K2302" t="n">
        <v>40</v>
      </c>
      <c r="L2302" t="n">
        <v>0</v>
      </c>
      <c r="M2302" t="n">
        <v>0</v>
      </c>
      <c r="N2302" t="n">
        <v>0</v>
      </c>
      <c r="O2302" t="n">
        <v>17</v>
      </c>
      <c r="P2302" s="96">
        <f>_xlfn.XLOOKUP(Tabla5[[#This Row],[EAN CORREGIDO]],'Tabla Articulos'!B:B,'Tabla Articulos'!D:D)</f>
        <v/>
      </c>
      <c r="Q2302" s="96">
        <f>_xlfn.XLOOKUP(S2302,'Tabla Articulos'!B:B,'Tabla Articulos'!E:E)</f>
        <v/>
      </c>
      <c r="R2302" s="96">
        <f>O2302*Q2302</f>
        <v/>
      </c>
      <c r="S2302" s="97">
        <f>TRIM(E2302)</f>
        <v/>
      </c>
    </row>
    <row r="2303" hidden="1">
      <c r="A2303" s="22" t="n">
        <v>1</v>
      </c>
      <c r="B2303" t="inlineStr">
        <is>
          <t xml:space="preserve">CD MORENO                     </t>
        </is>
      </c>
      <c r="C2303" t="inlineStr">
        <is>
          <t xml:space="preserve">GRUPO L.                      </t>
        </is>
      </c>
      <c r="D2303" s="11" t="inlineStr">
        <is>
          <t>PREMEZCLA BIZCOCHUELO CHOCO</t>
        </is>
      </c>
      <c r="E2303" t="inlineStr">
        <is>
          <t xml:space="preserve">7790971000194       </t>
        </is>
      </c>
      <c r="F2303" s="11" t="n">
        <v>4023611</v>
      </c>
      <c r="G2303" t="inlineStr">
        <is>
          <t xml:space="preserve">BIZCOCHUELO CHOC 540G RAVANA       </t>
        </is>
      </c>
      <c r="H2303" t="inlineStr">
        <is>
          <t xml:space="preserve">UNIDAD              </t>
        </is>
      </c>
      <c r="I2303" t="n">
        <v>47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47</v>
      </c>
      <c r="P2303" s="96">
        <f>_xlfn.XLOOKUP(Tabla5[[#This Row],[EAN CORREGIDO]],'Tabla Articulos'!B:B,'Tabla Articulos'!D:D)</f>
        <v/>
      </c>
      <c r="Q2303" s="96">
        <f>_xlfn.XLOOKUP(S2303,'Tabla Articulos'!B:B,'Tabla Articulos'!E:E)</f>
        <v/>
      </c>
      <c r="R2303" s="96">
        <f>O2303*Q2303</f>
        <v/>
      </c>
      <c r="S2303" s="97">
        <f>TRIM(E2303)</f>
        <v/>
      </c>
    </row>
    <row r="2304" hidden="1">
      <c r="A2304" s="22" t="n">
        <v>1</v>
      </c>
      <c r="B2304" t="inlineStr">
        <is>
          <t xml:space="preserve">CD MORENO                     </t>
        </is>
      </c>
      <c r="C2304" t="inlineStr">
        <is>
          <t xml:space="preserve">GRUPO L.                      </t>
        </is>
      </c>
      <c r="D2304" t="inlineStr">
        <is>
          <t>ARROZ PARBOIL</t>
        </is>
      </c>
      <c r="E2304" t="inlineStr">
        <is>
          <t xml:space="preserve">7791120037559       </t>
        </is>
      </c>
      <c r="F2304" s="11" t="n">
        <v>4019698</v>
      </c>
      <c r="G2304" t="inlineStr">
        <is>
          <t xml:space="preserve">ARROZ PARBOIL X1KG MOLINOS ALA     </t>
        </is>
      </c>
      <c r="H2304" t="inlineStr">
        <is>
          <t xml:space="preserve">UNIDAD              </t>
        </is>
      </c>
      <c r="I2304" t="n">
        <v>105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105</v>
      </c>
      <c r="P2304" s="96">
        <f>_xlfn.XLOOKUP(Tabla5[[#This Row],[EAN CORREGIDO]],'Tabla Articulos'!B:B,'Tabla Articulos'!D:D)</f>
        <v/>
      </c>
      <c r="Q2304" s="96">
        <f>_xlfn.XLOOKUP(S2304,'Tabla Articulos'!B:B,'Tabla Articulos'!E:E)</f>
        <v/>
      </c>
      <c r="R2304" s="96">
        <f>O2304*Q2304</f>
        <v/>
      </c>
      <c r="S2304" s="97">
        <f>TRIM(E2304)</f>
        <v/>
      </c>
    </row>
    <row r="2305" hidden="1">
      <c r="A2305" s="22" t="n">
        <v>5</v>
      </c>
      <c r="B2305" t="inlineStr">
        <is>
          <t xml:space="preserve">CDM02 - MORENO 2              </t>
        </is>
      </c>
      <c r="C2305" t="inlineStr">
        <is>
          <t xml:space="preserve">GRUPO L.                      </t>
        </is>
      </c>
      <c r="D2305" t="inlineStr">
        <is>
          <t>ARROZ PARBOIL</t>
        </is>
      </c>
      <c r="E2305" t="inlineStr">
        <is>
          <t xml:space="preserve">7791120037559       </t>
        </is>
      </c>
      <c r="F2305" s="11" t="n">
        <v>4019698</v>
      </c>
      <c r="G2305" t="inlineStr">
        <is>
          <t xml:space="preserve">ARROZ PARBOIL X1KG MOLINOS ALA     </t>
        </is>
      </c>
      <c r="H2305" t="inlineStr">
        <is>
          <t xml:space="preserve">UNIDAD              </t>
        </is>
      </c>
      <c r="I2305" t="n">
        <v>25000</v>
      </c>
      <c r="J2305" t="n">
        <v>1000</v>
      </c>
      <c r="K2305" t="n">
        <v>0</v>
      </c>
      <c r="L2305" t="n">
        <v>0</v>
      </c>
      <c r="M2305" t="n">
        <v>0</v>
      </c>
      <c r="N2305" t="n">
        <v>0</v>
      </c>
      <c r="O2305" t="n">
        <v>26000</v>
      </c>
      <c r="P2305" s="96">
        <f>_xlfn.XLOOKUP(Tabla5[[#This Row],[EAN CORREGIDO]],'Tabla Articulos'!B:B,'Tabla Articulos'!D:D)</f>
        <v/>
      </c>
      <c r="Q2305" s="96">
        <f>_xlfn.XLOOKUP(S2305,'Tabla Articulos'!B:B,'Tabla Articulos'!E:E)</f>
        <v/>
      </c>
      <c r="R2305" s="96">
        <f>O2305*Q2305</f>
        <v/>
      </c>
      <c r="S2305" s="97">
        <f>TRIM(E2305)</f>
        <v/>
      </c>
    </row>
    <row r="2306" hidden="1">
      <c r="A2306" s="22" t="n">
        <v>6</v>
      </c>
      <c r="B2306" t="inlineStr">
        <is>
          <t xml:space="preserve">CDM03 - MORENO 3              </t>
        </is>
      </c>
      <c r="C2306" t="inlineStr">
        <is>
          <t xml:space="preserve">GRUPO L.                      </t>
        </is>
      </c>
      <c r="D2306" s="11" t="n"/>
      <c r="E2306" t="inlineStr">
        <is>
          <t xml:space="preserve">UNIF000037          </t>
        </is>
      </c>
      <c r="F2306" s="11" t="n">
        <v>9003290</v>
      </c>
      <c r="G2306" t="inlineStr">
        <is>
          <t xml:space="preserve">BUZO A. MARINO-FRISA GRUPO L 3XL   </t>
        </is>
      </c>
      <c r="H2306" t="inlineStr">
        <is>
          <t xml:space="preserve">UNIDAD              </t>
        </is>
      </c>
      <c r="I2306" t="n">
        <v>32</v>
      </c>
      <c r="J2306" t="n">
        <v>80</v>
      </c>
      <c r="K2306" t="n">
        <v>0</v>
      </c>
      <c r="L2306" t="n">
        <v>0</v>
      </c>
      <c r="M2306" t="n">
        <v>0</v>
      </c>
      <c r="N2306" t="n">
        <v>0</v>
      </c>
      <c r="O2306" t="n">
        <v>112</v>
      </c>
      <c r="P2306" s="96">
        <f>_xlfn.XLOOKUP(Tabla5[[#This Row],[EAN CORREGIDO]],'Tabla Articulos'!B:B,'Tabla Articulos'!D:D)</f>
        <v/>
      </c>
      <c r="Q2306" s="96">
        <f>_xlfn.XLOOKUP(S2306,'Tabla Articulos'!B:B,'Tabla Articulos'!E:E)</f>
        <v/>
      </c>
      <c r="R2306" s="96">
        <f>O2306*Q2306</f>
        <v/>
      </c>
      <c r="S2306" s="97">
        <f>TRIM(E2306)</f>
        <v/>
      </c>
    </row>
    <row r="2307" hidden="1">
      <c r="A2307" s="22" t="n">
        <v>6</v>
      </c>
      <c r="B2307" t="inlineStr">
        <is>
          <t xml:space="preserve">CDM03 - MORENO 3              </t>
        </is>
      </c>
      <c r="C2307" t="inlineStr">
        <is>
          <t xml:space="preserve">GRUPO L.                      </t>
        </is>
      </c>
      <c r="D2307" s="11" t="inlineStr">
        <is>
          <t>MANTEL LOGO GL</t>
        </is>
      </c>
      <c r="E2307" t="inlineStr">
        <is>
          <t xml:space="preserve">7790000000231       </t>
        </is>
      </c>
      <c r="F2307" s="11" t="n">
        <v>2007187</v>
      </c>
      <c r="G2307" t="inlineStr">
        <is>
          <t xml:space="preserve">INDIVIDUAL GL SUPPORT X1000        </t>
        </is>
      </c>
      <c r="H2307" t="inlineStr">
        <is>
          <t xml:space="preserve">UNIDAD              </t>
        </is>
      </c>
      <c r="I2307" t="n">
        <v>781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781</v>
      </c>
      <c r="P2307" s="96">
        <f>_xlfn.XLOOKUP(Tabla5[[#This Row],[EAN CORREGIDO]],'Tabla Articulos'!B:B,'Tabla Articulos'!D:D)</f>
        <v/>
      </c>
      <c r="Q2307" s="96">
        <f>_xlfn.XLOOKUP(S2307,'Tabla Articulos'!B:B,'Tabla Articulos'!E:E)</f>
        <v/>
      </c>
      <c r="R2307" s="96">
        <f>O2307*Q2307</f>
        <v/>
      </c>
      <c r="S2307" s="97">
        <f>TRIM(E2307)</f>
        <v/>
      </c>
    </row>
    <row r="2308" hidden="1">
      <c r="A2308" s="22" t="n">
        <v>5</v>
      </c>
      <c r="B2308" t="inlineStr">
        <is>
          <t xml:space="preserve">CDM02 - MORENO 2              </t>
        </is>
      </c>
      <c r="C2308" t="inlineStr">
        <is>
          <t xml:space="preserve">GRUPO L.                      </t>
        </is>
      </c>
      <c r="D2308" s="11" t="inlineStr">
        <is>
          <t>MATE COCIDO SOB S/TACC</t>
        </is>
      </c>
      <c r="E2308" t="inlineStr">
        <is>
          <t xml:space="preserve">7790387010046       </t>
        </is>
      </c>
      <c r="F2308" s="11" t="n">
        <v>4019348</v>
      </c>
      <c r="G2308" t="inlineStr">
        <is>
          <t xml:space="preserve">MATE COCID EN SOB X40SAQ TARAGUI	  </t>
        </is>
      </c>
      <c r="H2308" t="inlineStr">
        <is>
          <t xml:space="preserve">UNIDAD              </t>
        </is>
      </c>
      <c r="I2308" t="n">
        <v>102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102</v>
      </c>
      <c r="P2308" s="96">
        <f>_xlfn.XLOOKUP(Tabla5[[#This Row],[EAN CORREGIDO]],'Tabla Articulos'!B:B,'Tabla Articulos'!D:D)</f>
        <v/>
      </c>
      <c r="Q2308" s="96">
        <f>_xlfn.XLOOKUP(S2308,'Tabla Articulos'!B:B,'Tabla Articulos'!E:E)</f>
        <v/>
      </c>
      <c r="R2308" s="96">
        <f>O2308*Q2308</f>
        <v/>
      </c>
      <c r="S2308" s="97">
        <f>TRIM(E2308)</f>
        <v/>
      </c>
    </row>
    <row r="2309" hidden="1">
      <c r="A2309" s="22" t="n">
        <v>6</v>
      </c>
      <c r="B2309" t="inlineStr">
        <is>
          <t xml:space="preserve">CDM03 - MORENO 3              </t>
        </is>
      </c>
      <c r="C2309" t="inlineStr">
        <is>
          <t xml:space="preserve">GRUPO L.                      </t>
        </is>
      </c>
      <c r="D2309" s="11" t="n"/>
      <c r="E2309" t="inlineStr">
        <is>
          <t xml:space="preserve">UNIF000232          </t>
        </is>
      </c>
      <c r="F2309" s="11" t="n">
        <v>9003500</v>
      </c>
      <c r="G2309" t="inlineStr">
        <is>
          <t xml:space="preserve">PANTALON CARGO S. LOGO NEGRO 42    </t>
        </is>
      </c>
      <c r="H2309" t="inlineStr">
        <is>
          <t xml:space="preserve">UNIDAD              </t>
        </is>
      </c>
      <c r="I2309" t="n">
        <v>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1</v>
      </c>
      <c r="P2309" s="96">
        <f>_xlfn.XLOOKUP(Tabla5[[#This Row],[EAN CORREGIDO]],'Tabla Articulos'!B:B,'Tabla Articulos'!D:D)</f>
        <v/>
      </c>
      <c r="Q2309" s="96">
        <f>_xlfn.XLOOKUP(S2309,'Tabla Articulos'!B:B,'Tabla Articulos'!E:E)</f>
        <v/>
      </c>
      <c r="R2309" s="96">
        <f>O2309*Q2309</f>
        <v/>
      </c>
      <c r="S2309" s="97">
        <f>TRIM(E2309)</f>
        <v/>
      </c>
    </row>
    <row r="2310" hidden="1">
      <c r="A2310" s="22" t="n">
        <v>6</v>
      </c>
      <c r="B2310" t="inlineStr">
        <is>
          <t xml:space="preserve">CDM03 - MORENO 3              </t>
        </is>
      </c>
      <c r="C2310" t="inlineStr">
        <is>
          <t xml:space="preserve">GRUPO L.                      </t>
        </is>
      </c>
      <c r="D2310" s="11" t="n"/>
      <c r="E2310" t="inlineStr">
        <is>
          <t xml:space="preserve">UNIF000234          </t>
        </is>
      </c>
      <c r="F2310" s="11" t="n">
        <v>9003502</v>
      </c>
      <c r="G2310" t="inlineStr">
        <is>
          <t xml:space="preserve">PANTALON CARGO S. LOGO NEGRO 46    </t>
        </is>
      </c>
      <c r="H2310" t="inlineStr">
        <is>
          <t xml:space="preserve">UNIDAD              </t>
        </is>
      </c>
      <c r="I2310" t="n">
        <v>2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2</v>
      </c>
      <c r="P2310" s="96">
        <f>_xlfn.XLOOKUP(Tabla5[[#This Row],[EAN CORREGIDO]],'Tabla Articulos'!B:B,'Tabla Articulos'!D:D)</f>
        <v/>
      </c>
      <c r="Q2310" s="96">
        <f>_xlfn.XLOOKUP(S2310,'Tabla Articulos'!B:B,'Tabla Articulos'!E:E)</f>
        <v/>
      </c>
      <c r="R2310" s="96">
        <f>O2310*Q2310</f>
        <v/>
      </c>
      <c r="S2310" s="97">
        <f>TRIM(E2310)</f>
        <v/>
      </c>
    </row>
    <row r="2311" hidden="1">
      <c r="A2311" s="22" t="n">
        <v>6</v>
      </c>
      <c r="B2311" t="inlineStr">
        <is>
          <t xml:space="preserve">CDM03 - MORENO 3              </t>
        </is>
      </c>
      <c r="C2311" t="inlineStr">
        <is>
          <t xml:space="preserve">GRUPO L.                      </t>
        </is>
      </c>
      <c r="E2311" t="inlineStr">
        <is>
          <t xml:space="preserve">UNIF000592          </t>
        </is>
      </c>
      <c r="F2311" s="11" t="n">
        <v>9003130</v>
      </c>
      <c r="G2311" t="inlineStr">
        <is>
          <t xml:space="preserve">CHAQUETA CUELLO MAO T7 GL SUP.     </t>
        </is>
      </c>
      <c r="H2311" t="inlineStr">
        <is>
          <t xml:space="preserve">UNIDAD              </t>
        </is>
      </c>
      <c r="I2311" t="n">
        <v>13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13</v>
      </c>
      <c r="P2311" s="96">
        <f>_xlfn.XLOOKUP(Tabla5[[#This Row],[EAN CORREGIDO]],'Tabla Articulos'!B:B,'Tabla Articulos'!D:D)</f>
        <v/>
      </c>
      <c r="Q2311" s="96">
        <f>_xlfn.XLOOKUP(S2311,'Tabla Articulos'!B:B,'Tabla Articulos'!E:E)</f>
        <v/>
      </c>
      <c r="R2311" s="96">
        <f>O2311*Q2311</f>
        <v/>
      </c>
      <c r="S2311" s="97">
        <f>TRIM(E2311)</f>
        <v/>
      </c>
    </row>
    <row r="2312" hidden="1">
      <c r="A2312" s="22" t="n">
        <v>6</v>
      </c>
      <c r="B2312" t="inlineStr">
        <is>
          <t xml:space="preserve">CDM03 - MORENO 3              </t>
        </is>
      </c>
      <c r="C2312" t="inlineStr">
        <is>
          <t xml:space="preserve">GRUPO L.                      </t>
        </is>
      </c>
      <c r="E2312" t="inlineStr">
        <is>
          <t xml:space="preserve">UNIF000026          </t>
        </is>
      </c>
      <c r="F2312" s="11" t="n">
        <v>9003057</v>
      </c>
      <c r="G2312" t="inlineStr">
        <is>
          <t xml:space="preserve">AMBO GRIS ESCO.V RIVER S           </t>
        </is>
      </c>
      <c r="H2312" t="inlineStr">
        <is>
          <t xml:space="preserve">UNIDAD              </t>
        </is>
      </c>
      <c r="I2312" t="n">
        <v>20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20</v>
      </c>
      <c r="P2312" s="96">
        <f>_xlfn.XLOOKUP(Tabla5[[#This Row],[EAN CORREGIDO]],'Tabla Articulos'!B:B,'Tabla Articulos'!D:D)</f>
        <v/>
      </c>
      <c r="Q2312" s="96">
        <f>_xlfn.XLOOKUP(S2312,'Tabla Articulos'!B:B,'Tabla Articulos'!E:E)</f>
        <v/>
      </c>
      <c r="R2312" s="96">
        <f>O2312*Q2312</f>
        <v/>
      </c>
      <c r="S2312" s="97">
        <f>TRIM(E2312)</f>
        <v/>
      </c>
    </row>
    <row r="2313" hidden="1">
      <c r="A2313" s="22" t="n">
        <v>1</v>
      </c>
      <c r="B2313" t="inlineStr">
        <is>
          <t xml:space="preserve">CD MORENO                     </t>
        </is>
      </c>
      <c r="C2313" t="inlineStr">
        <is>
          <t xml:space="preserve">GRUPO L.                      </t>
        </is>
      </c>
      <c r="D2313" s="11" t="inlineStr">
        <is>
          <t>PURE INST</t>
        </is>
      </c>
      <c r="E2313" t="inlineStr">
        <is>
          <t xml:space="preserve">7790981003291       </t>
        </is>
      </c>
      <c r="F2313" s="11" t="n">
        <v>4022834</v>
      </c>
      <c r="G2313" t="inlineStr">
        <is>
          <t xml:space="preserve">PURE PAPAS INST 100GR FLEISS       </t>
        </is>
      </c>
      <c r="H2313" t="inlineStr">
        <is>
          <t xml:space="preserve">UNIDAD              </t>
        </is>
      </c>
      <c r="I2313" t="n">
        <v>7132</v>
      </c>
      <c r="J2313" t="n">
        <v>0</v>
      </c>
      <c r="K2313" t="n">
        <v>0</v>
      </c>
      <c r="L2313" t="n">
        <v>1174</v>
      </c>
      <c r="M2313" t="n">
        <v>1174</v>
      </c>
      <c r="N2313" t="n">
        <v>0</v>
      </c>
      <c r="O2313" t="n">
        <v>4784</v>
      </c>
      <c r="P2313" s="96">
        <f>_xlfn.XLOOKUP(Tabla5[[#This Row],[EAN CORREGIDO]],'Tabla Articulos'!B:B,'Tabla Articulos'!D:D)</f>
        <v/>
      </c>
      <c r="Q2313" s="96">
        <f>_xlfn.XLOOKUP(S2313,'Tabla Articulos'!B:B,'Tabla Articulos'!E:E)</f>
        <v/>
      </c>
      <c r="R2313" s="96">
        <f>O2313*Q2313</f>
        <v/>
      </c>
      <c r="S2313" s="97">
        <f>TRIM(E2313)</f>
        <v/>
      </c>
    </row>
    <row r="2314" hidden="1">
      <c r="A2314" s="22" t="n">
        <v>6</v>
      </c>
      <c r="B2314" t="inlineStr">
        <is>
          <t xml:space="preserve">CDM03 - MORENO 3              </t>
        </is>
      </c>
      <c r="C2314" t="inlineStr">
        <is>
          <t xml:space="preserve">GRUPO L.                      </t>
        </is>
      </c>
      <c r="D2314" s="11" t="inlineStr">
        <is>
          <t>BAND 103</t>
        </is>
      </c>
      <c r="E2314" t="inlineStr">
        <is>
          <t xml:space="preserve">7798011210053       </t>
        </is>
      </c>
      <c r="F2314" s="11" t="n">
        <v>2011502</v>
      </c>
      <c r="G2314" t="inlineStr">
        <is>
          <t xml:space="preserve">BANDEJA 103 MICRO COTNYL X100U     </t>
        </is>
      </c>
      <c r="H2314" t="inlineStr">
        <is>
          <t xml:space="preserve">UNIDAD              </t>
        </is>
      </c>
      <c r="I2314" t="n">
        <v>516</v>
      </c>
      <c r="J2314" t="n">
        <v>0</v>
      </c>
      <c r="K2314" t="n">
        <v>0</v>
      </c>
      <c r="L2314" t="n">
        <v>6</v>
      </c>
      <c r="M2314" t="n">
        <v>6</v>
      </c>
      <c r="N2314" t="n">
        <v>0</v>
      </c>
      <c r="O2314" t="n">
        <v>504</v>
      </c>
      <c r="P2314" s="96">
        <f>_xlfn.XLOOKUP(Tabla5[[#This Row],[EAN CORREGIDO]],'Tabla Articulos'!B:B,'Tabla Articulos'!D:D)</f>
        <v/>
      </c>
      <c r="Q2314" s="96">
        <f>_xlfn.XLOOKUP(S2314,'Tabla Articulos'!B:B,'Tabla Articulos'!E:E)</f>
        <v/>
      </c>
      <c r="R2314" s="96">
        <f>O2314*Q2314</f>
        <v/>
      </c>
      <c r="S2314" s="97">
        <f>TRIM(E2314)</f>
        <v/>
      </c>
    </row>
    <row r="2315" hidden="1">
      <c r="A2315" s="22" t="n">
        <v>1</v>
      </c>
      <c r="B2315" t="inlineStr">
        <is>
          <t xml:space="preserve">CD MORENO                     </t>
        </is>
      </c>
      <c r="C2315" t="inlineStr">
        <is>
          <t xml:space="preserve">GRUPO L.                      </t>
        </is>
      </c>
      <c r="D2315" s="11" t="inlineStr">
        <is>
          <t>BARBACOA</t>
        </is>
      </c>
      <c r="E2315" t="inlineStr">
        <is>
          <t xml:space="preserve">7794000007826       </t>
        </is>
      </c>
      <c r="F2315" s="11" t="n">
        <v>4022436</v>
      </c>
      <c r="G2315" t="inlineStr">
        <is>
          <t xml:space="preserve">SALSA BBQ 1KG HELLMANS             </t>
        </is>
      </c>
      <c r="H2315" t="inlineStr">
        <is>
          <t xml:space="preserve">UNIDAD              </t>
        </is>
      </c>
      <c r="I2315" t="n">
        <v>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8</v>
      </c>
      <c r="P2315" s="96">
        <f>_xlfn.XLOOKUP(Tabla5[[#This Row],[EAN CORREGIDO]],'Tabla Articulos'!B:B,'Tabla Articulos'!D:D)</f>
        <v/>
      </c>
      <c r="Q2315" s="96">
        <f>_xlfn.XLOOKUP(S2315,'Tabla Articulos'!B:B,'Tabla Articulos'!E:E)</f>
        <v/>
      </c>
      <c r="R2315" s="96">
        <f>O2315*Q2315</f>
        <v/>
      </c>
      <c r="S2315" s="97">
        <f>TRIM(E2315)</f>
        <v/>
      </c>
    </row>
    <row r="2316" hidden="1">
      <c r="A2316" s="22" t="n">
        <v>5</v>
      </c>
      <c r="B2316" t="inlineStr">
        <is>
          <t xml:space="preserve">CDM02 - MORENO 2              </t>
        </is>
      </c>
      <c r="C2316" t="inlineStr">
        <is>
          <t xml:space="preserve">GRUPO L.                      </t>
        </is>
      </c>
      <c r="D2316" s="11" t="inlineStr">
        <is>
          <t>BARBACOA</t>
        </is>
      </c>
      <c r="E2316" t="inlineStr">
        <is>
          <t xml:space="preserve">7794000007826       </t>
        </is>
      </c>
      <c r="F2316" s="11" t="n">
        <v>4022436</v>
      </c>
      <c r="G2316" t="inlineStr">
        <is>
          <t xml:space="preserve">SALSA BBQ 1KG HELLMANS             </t>
        </is>
      </c>
      <c r="H2316" t="inlineStr">
        <is>
          <t xml:space="preserve">UNIDAD              </t>
        </is>
      </c>
      <c r="I2316" t="n">
        <v>45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45</v>
      </c>
      <c r="P2316" s="96">
        <f>_xlfn.XLOOKUP(Tabla5[[#This Row],[EAN CORREGIDO]],'Tabla Articulos'!B:B,'Tabla Articulos'!D:D)</f>
        <v/>
      </c>
      <c r="Q2316" s="96">
        <f>_xlfn.XLOOKUP(S2316,'Tabla Articulos'!B:B,'Tabla Articulos'!E:E)</f>
        <v/>
      </c>
      <c r="R2316" s="96">
        <f>O2316*Q2316</f>
        <v/>
      </c>
      <c r="S2316" s="97">
        <f>TRIM(E2316)</f>
        <v/>
      </c>
    </row>
    <row r="2317" hidden="1">
      <c r="A2317" s="22" t="n">
        <v>1</v>
      </c>
      <c r="B2317" t="inlineStr">
        <is>
          <t xml:space="preserve">CD MORENO                     </t>
        </is>
      </c>
      <c r="C2317" t="inlineStr">
        <is>
          <t xml:space="preserve">GRUPO L.                      </t>
        </is>
      </c>
      <c r="D2317" t="inlineStr">
        <is>
          <t>AJO MOLIDO</t>
        </is>
      </c>
      <c r="E2317" t="inlineStr">
        <is>
          <t xml:space="preserve">7797234000328       </t>
        </is>
      </c>
      <c r="F2317" s="11" t="n">
        <v>4023670</v>
      </c>
      <c r="G2317" t="inlineStr">
        <is>
          <t xml:space="preserve">AJO EN POLVO X25GR LA PERGOLA      </t>
        </is>
      </c>
      <c r="H2317" t="inlineStr">
        <is>
          <t xml:space="preserve">UNIDAD              </t>
        </is>
      </c>
      <c r="I2317" t="n">
        <v>16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16</v>
      </c>
      <c r="P2317" s="96">
        <f>_xlfn.XLOOKUP(Tabla5[[#This Row],[EAN CORREGIDO]],'Tabla Articulos'!B:B,'Tabla Articulos'!D:D)</f>
        <v/>
      </c>
      <c r="Q2317" s="96">
        <f>_xlfn.XLOOKUP(S2317,'Tabla Articulos'!B:B,'Tabla Articulos'!E:E)</f>
        <v/>
      </c>
      <c r="R2317" s="96">
        <f>O2317*Q2317</f>
        <v/>
      </c>
      <c r="S2317" s="97">
        <f>TRIM(E2317)</f>
        <v/>
      </c>
    </row>
    <row r="2318" hidden="1">
      <c r="A2318" s="22" t="n">
        <v>6</v>
      </c>
      <c r="B2318" t="inlineStr">
        <is>
          <t xml:space="preserve">CDM03 - MORENO 3              </t>
        </is>
      </c>
      <c r="C2318" t="inlineStr">
        <is>
          <t xml:space="preserve">GRUPO L.                      </t>
        </is>
      </c>
      <c r="D2318" t="inlineStr">
        <is>
          <t>PAPEL HIGIENICO</t>
        </is>
      </c>
      <c r="E2318" t="inlineStr">
        <is>
          <t xml:space="preserve">7798188651178       </t>
        </is>
      </c>
      <c r="F2318" t="n">
        <v>2006660</v>
      </c>
      <c r="G2318" t="inlineStr">
        <is>
          <t>PAPEL HIGIENICO 300 M CONO GRANDE X</t>
        </is>
      </c>
      <c r="H2318" t="inlineStr">
        <is>
          <t xml:space="preserve">UNIDAD              </t>
        </is>
      </c>
      <c r="I2318" t="n">
        <v>11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11</v>
      </c>
      <c r="P2318" s="96">
        <f>_xlfn.XLOOKUP(Tabla5[[#This Row],[EAN CORREGIDO]],'Tabla Articulos'!B:B,'Tabla Articulos'!D:D)</f>
        <v/>
      </c>
      <c r="Q2318" s="96">
        <f>_xlfn.XLOOKUP(S2318,'Tabla Articulos'!B:B,'Tabla Articulos'!E:E)</f>
        <v/>
      </c>
      <c r="R2318" s="96">
        <f>O2318*Q2318</f>
        <v/>
      </c>
      <c r="S2318" s="97">
        <f>TRIM(E2318)</f>
        <v/>
      </c>
    </row>
    <row r="2319" hidden="1">
      <c r="A2319" s="22" t="n">
        <v>5</v>
      </c>
      <c r="B2319" t="inlineStr">
        <is>
          <t xml:space="preserve">CDM02 - MORENO 2              </t>
        </is>
      </c>
      <c r="C2319" t="inlineStr">
        <is>
          <t xml:space="preserve">GRUPO L.                      </t>
        </is>
      </c>
      <c r="D2319" s="11" t="inlineStr">
        <is>
          <t>GARBANZOS SECOS</t>
        </is>
      </c>
      <c r="E2319" t="inlineStr">
        <is>
          <t xml:space="preserve">7791476021011       </t>
        </is>
      </c>
      <c r="F2319" s="11" t="n">
        <v>4022850</v>
      </c>
      <c r="G2319" t="inlineStr">
        <is>
          <t xml:space="preserve">GARBANZOS SECOS 400GR EGRAN        </t>
        </is>
      </c>
      <c r="H2319" t="inlineStr">
        <is>
          <t xml:space="preserve">UNIDAD              </t>
        </is>
      </c>
      <c r="I2319" t="n">
        <v>4588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4588</v>
      </c>
      <c r="P2319" s="96">
        <f>_xlfn.XLOOKUP(Tabla5[[#This Row],[EAN CORREGIDO]],'Tabla Articulos'!B:B,'Tabla Articulos'!D:D)</f>
        <v/>
      </c>
      <c r="Q2319" s="96">
        <f>_xlfn.XLOOKUP(S2319,'Tabla Articulos'!B:B,'Tabla Articulos'!E:E)</f>
        <v/>
      </c>
      <c r="R2319" s="96">
        <f>O2319*Q2319</f>
        <v/>
      </c>
      <c r="S2319" s="97">
        <f>TRIM(E2319)</f>
        <v/>
      </c>
    </row>
    <row r="2320" hidden="1">
      <c r="A2320" s="22" t="n">
        <v>1</v>
      </c>
      <c r="B2320" t="inlineStr">
        <is>
          <t xml:space="preserve">CD MORENO                     </t>
        </is>
      </c>
      <c r="C2320" t="inlineStr">
        <is>
          <t xml:space="preserve">GRUPO L.                      </t>
        </is>
      </c>
      <c r="D2320" t="inlineStr">
        <is>
          <t>GARBANZOS SECOS</t>
        </is>
      </c>
      <c r="E2320" t="inlineStr">
        <is>
          <t xml:space="preserve">7791476021011       </t>
        </is>
      </c>
      <c r="F2320" s="11" t="n">
        <v>4022850</v>
      </c>
      <c r="G2320" t="inlineStr">
        <is>
          <t xml:space="preserve">GARBANZOS SECOS 400GR EGRAN        </t>
        </is>
      </c>
      <c r="H2320" t="inlineStr">
        <is>
          <t xml:space="preserve">UNIDAD              </t>
        </is>
      </c>
      <c r="I2320" t="n">
        <v>9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9</v>
      </c>
      <c r="P2320" s="96">
        <f>_xlfn.XLOOKUP(Tabla5[[#This Row],[EAN CORREGIDO]],'Tabla Articulos'!B:B,'Tabla Articulos'!D:D)</f>
        <v/>
      </c>
      <c r="Q2320" s="96">
        <f>_xlfn.XLOOKUP(S2320,'Tabla Articulos'!B:B,'Tabla Articulos'!E:E)</f>
        <v/>
      </c>
      <c r="R2320" s="96">
        <f>O2320*Q2320</f>
        <v/>
      </c>
      <c r="S2320" s="97">
        <f>TRIM(E2320)</f>
        <v/>
      </c>
    </row>
    <row r="2321" hidden="1">
      <c r="A2321" s="22" t="n">
        <v>1</v>
      </c>
      <c r="B2321" t="inlineStr">
        <is>
          <t xml:space="preserve">CD MORENO                     </t>
        </is>
      </c>
      <c r="C2321" t="inlineStr">
        <is>
          <t xml:space="preserve">GRUPO L.                      </t>
        </is>
      </c>
      <c r="D2321" s="11" t="inlineStr">
        <is>
          <t>GALLE GRANOLA Y ALMENDR</t>
        </is>
      </c>
      <c r="E2321" t="inlineStr">
        <is>
          <t xml:space="preserve">7798128000707       </t>
        </is>
      </c>
      <c r="F2321" s="11" t="n">
        <v>4076855</v>
      </c>
      <c r="G2321" t="inlineStr">
        <is>
          <t xml:space="preserve">GALLE GRAN Y ALM X225G CACHAFAZ    </t>
        </is>
      </c>
      <c r="H2321" t="inlineStr">
        <is>
          <t xml:space="preserve">UNIDAD              </t>
        </is>
      </c>
      <c r="I2321" t="n">
        <v>167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167</v>
      </c>
      <c r="P2321" s="96">
        <f>_xlfn.XLOOKUP(Tabla5[[#This Row],[EAN CORREGIDO]],'Tabla Articulos'!B:B,'Tabla Articulos'!D:D)</f>
        <v/>
      </c>
      <c r="Q2321" s="96">
        <f>_xlfn.XLOOKUP(S2321,'Tabla Articulos'!B:B,'Tabla Articulos'!E:E)</f>
        <v/>
      </c>
      <c r="R2321" s="96">
        <f>O2321*Q2321</f>
        <v/>
      </c>
      <c r="S2321" s="97">
        <f>TRIM(E2321)</f>
        <v/>
      </c>
    </row>
    <row r="2322" hidden="1">
      <c r="A2322" s="22" t="n">
        <v>1</v>
      </c>
      <c r="B2322" t="inlineStr">
        <is>
          <t xml:space="preserve">CD MORENO                     </t>
        </is>
      </c>
      <c r="C2322" t="inlineStr">
        <is>
          <t xml:space="preserve">GRUPO L.                      </t>
        </is>
      </c>
      <c r="D2322" s="11" t="inlineStr">
        <is>
          <t>MERMELADA DURAZNO</t>
        </is>
      </c>
      <c r="E2322" t="inlineStr">
        <is>
          <t xml:space="preserve">7792260640203       </t>
        </is>
      </c>
      <c r="F2322" s="11" t="n">
        <v>4023828</v>
      </c>
      <c r="G2322" t="inlineStr">
        <is>
          <t xml:space="preserve">MERME DURAZ 420G ORIETA            </t>
        </is>
      </c>
      <c r="H2322" t="inlineStr">
        <is>
          <t xml:space="preserve">UNIDAD              </t>
        </is>
      </c>
      <c r="I2322" t="n">
        <v>3224</v>
      </c>
      <c r="J2322" t="n">
        <v>0</v>
      </c>
      <c r="K2322" t="n">
        <v>0</v>
      </c>
      <c r="L2322" t="n">
        <v>380</v>
      </c>
      <c r="M2322" t="n">
        <v>380</v>
      </c>
      <c r="N2322" t="n">
        <v>0</v>
      </c>
      <c r="O2322" t="n">
        <v>2464</v>
      </c>
      <c r="P2322" s="96">
        <f>_xlfn.XLOOKUP(Tabla5[[#This Row],[EAN CORREGIDO]],'Tabla Articulos'!B:B,'Tabla Articulos'!D:D)</f>
        <v/>
      </c>
      <c r="Q2322" s="96">
        <f>_xlfn.XLOOKUP(S2322,'Tabla Articulos'!B:B,'Tabla Articulos'!E:E)</f>
        <v/>
      </c>
      <c r="R2322" s="96">
        <f>O2322*Q2322</f>
        <v/>
      </c>
      <c r="S2322" s="97">
        <f>TRIM(E2322)</f>
        <v/>
      </c>
    </row>
    <row r="2323" hidden="1">
      <c r="A2323" s="22" t="n">
        <v>1</v>
      </c>
      <c r="B2323" t="inlineStr">
        <is>
          <t xml:space="preserve">CD MORENO                     </t>
        </is>
      </c>
      <c r="C2323" t="inlineStr">
        <is>
          <t xml:space="preserve">GRUPO L.                      </t>
        </is>
      </c>
      <c r="D2323" s="11" t="inlineStr">
        <is>
          <t>OREGANO</t>
        </is>
      </c>
      <c r="E2323" t="inlineStr">
        <is>
          <t xml:space="preserve">7798224212240       </t>
        </is>
      </c>
      <c r="F2323" s="11" t="n">
        <v>4020742</v>
      </c>
      <c r="G2323" t="inlineStr">
        <is>
          <t xml:space="preserve">OREGANO X15G PARMESANA             </t>
        </is>
      </c>
      <c r="H2323" t="inlineStr">
        <is>
          <t xml:space="preserve">UNIDAD              </t>
        </is>
      </c>
      <c r="I2323" t="n">
        <v>21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21</v>
      </c>
      <c r="P2323" s="96">
        <f>_xlfn.XLOOKUP(Tabla5[[#This Row],[EAN CORREGIDO]],'Tabla Articulos'!B:B,'Tabla Articulos'!D:D)</f>
        <v/>
      </c>
      <c r="Q2323" s="96">
        <f>_xlfn.XLOOKUP(S2323,'Tabla Articulos'!B:B,'Tabla Articulos'!E:E)</f>
        <v/>
      </c>
      <c r="R2323" s="96">
        <f>O2323*Q2323</f>
        <v/>
      </c>
      <c r="S2323" s="97">
        <f>TRIM(E2323)</f>
        <v/>
      </c>
    </row>
    <row r="2324" hidden="1">
      <c r="A2324" s="22" t="n">
        <v>1</v>
      </c>
      <c r="B2324" t="inlineStr">
        <is>
          <t xml:space="preserve">CD MORENO                     </t>
        </is>
      </c>
      <c r="C2324" t="inlineStr">
        <is>
          <t xml:space="preserve">GRUPO L.                      </t>
        </is>
      </c>
      <c r="D2324" t="inlineStr">
        <is>
          <t>GARBANZOS SECOS</t>
        </is>
      </c>
      <c r="E2324" t="inlineStr">
        <is>
          <t xml:space="preserve">7790279000032       </t>
        </is>
      </c>
      <c r="F2324" s="11" t="n">
        <v>4019476</v>
      </c>
      <c r="G2324" t="inlineStr">
        <is>
          <t xml:space="preserve">GARBANZO X500G RAMONEDA	           </t>
        </is>
      </c>
      <c r="H2324" t="inlineStr">
        <is>
          <t xml:space="preserve">UNIDAD              </t>
        </is>
      </c>
      <c r="I2324" t="n">
        <v>20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20</v>
      </c>
      <c r="P2324" s="96">
        <f>_xlfn.XLOOKUP(Tabla5[[#This Row],[EAN CORREGIDO]],'Tabla Articulos'!B:B,'Tabla Articulos'!D:D)</f>
        <v/>
      </c>
      <c r="Q2324" s="96">
        <f>_xlfn.XLOOKUP(S2324,'Tabla Articulos'!B:B,'Tabla Articulos'!E:E)</f>
        <v/>
      </c>
      <c r="R2324" s="96">
        <f>O2324*Q2324</f>
        <v/>
      </c>
      <c r="S2324" s="97">
        <f>TRIM(E2324)</f>
        <v/>
      </c>
    </row>
    <row r="2325" hidden="1">
      <c r="A2325" s="22" t="n">
        <v>1</v>
      </c>
      <c r="B2325" t="inlineStr">
        <is>
          <t xml:space="preserve">CD MORENO                     </t>
        </is>
      </c>
      <c r="C2325" t="inlineStr">
        <is>
          <t xml:space="preserve">GRUPO L.                      </t>
        </is>
      </c>
      <c r="D2325" s="11" t="inlineStr">
        <is>
          <t>RUCULA</t>
        </is>
      </c>
      <c r="E2325" t="inlineStr">
        <is>
          <t xml:space="preserve">7790216012657       </t>
        </is>
      </c>
      <c r="F2325" s="11" t="n">
        <v>4018046</v>
      </c>
      <c r="G2325" t="inlineStr">
        <is>
          <t xml:space="preserve">RUCULA X KG                        </t>
        </is>
      </c>
      <c r="H2325" t="inlineStr">
        <is>
          <t xml:space="preserve">Kgs                 </t>
        </is>
      </c>
      <c r="I2325" t="n">
        <v>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6</v>
      </c>
      <c r="P2325" s="96">
        <f>_xlfn.XLOOKUP(Tabla5[[#This Row],[EAN CORREGIDO]],'Tabla Articulos'!B:B,'Tabla Articulos'!D:D)</f>
        <v/>
      </c>
      <c r="Q2325" s="96">
        <f>_xlfn.XLOOKUP(S2325,'Tabla Articulos'!B:B,'Tabla Articulos'!E:E)</f>
        <v/>
      </c>
      <c r="R2325" s="96">
        <f>O2325*Q2325</f>
        <v/>
      </c>
      <c r="S2325" s="97">
        <f>TRIM(E2325)</f>
        <v/>
      </c>
    </row>
    <row r="2326" hidden="1">
      <c r="A2326" s="22" t="n">
        <v>5</v>
      </c>
      <c r="B2326" t="inlineStr">
        <is>
          <t xml:space="preserve">CDM02 - MORENO 2              </t>
        </is>
      </c>
      <c r="C2326" t="inlineStr">
        <is>
          <t xml:space="preserve">GRUPO L.                      </t>
        </is>
      </c>
      <c r="D2326" t="inlineStr">
        <is>
          <t>CAJAS CARTON</t>
        </is>
      </c>
      <c r="E2326" t="inlineStr">
        <is>
          <t xml:space="preserve">7790316030027       </t>
        </is>
      </c>
      <c r="F2326" s="11" t="n">
        <v>2006165</v>
      </c>
      <c r="G2326" t="inlineStr">
        <is>
          <t xml:space="preserve">CAJA DOBLE BASE 40X30X27 LOGO MESA </t>
        </is>
      </c>
      <c r="H2326" t="inlineStr">
        <is>
          <t xml:space="preserve">UNIDAD              </t>
        </is>
      </c>
      <c r="I2326" t="n">
        <v>9396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9396</v>
      </c>
      <c r="P2326" s="96">
        <f>_xlfn.XLOOKUP(Tabla5[[#This Row],[EAN CORREGIDO]],'Tabla Articulos'!B:B,'Tabla Articulos'!D:D)</f>
        <v/>
      </c>
      <c r="Q2326" s="96">
        <f>_xlfn.XLOOKUP(S2326,'Tabla Articulos'!B:B,'Tabla Articulos'!E:E)</f>
        <v/>
      </c>
      <c r="R2326" s="96">
        <f>O2326*Q2326</f>
        <v/>
      </c>
      <c r="S2326" s="97">
        <f>TRIM(E2326)</f>
        <v/>
      </c>
    </row>
    <row r="2327" hidden="1">
      <c r="A2327" s="22" t="n">
        <v>1</v>
      </c>
      <c r="B2327" t="inlineStr">
        <is>
          <t xml:space="preserve">CD MORENO                     </t>
        </is>
      </c>
      <c r="C2327" t="inlineStr">
        <is>
          <t xml:space="preserve">GRUPO L.                      </t>
        </is>
      </c>
      <c r="D2327" s="11" t="inlineStr">
        <is>
          <t>FLAN CHOCOLATE</t>
        </is>
      </c>
      <c r="E2327" t="inlineStr">
        <is>
          <t xml:space="preserve">7790530850109       </t>
        </is>
      </c>
      <c r="F2327" s="11" t="n">
        <v>4019875</v>
      </c>
      <c r="G2327" t="inlineStr">
        <is>
          <t xml:space="preserve">FLAN CHOCOLATE X5KG BEDIAL         </t>
        </is>
      </c>
      <c r="H2327" t="inlineStr">
        <is>
          <t xml:space="preserve">UNIDAD              </t>
        </is>
      </c>
      <c r="I2327" t="n">
        <v>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6</v>
      </c>
      <c r="P2327" s="96">
        <f>_xlfn.XLOOKUP(Tabla5[[#This Row],[EAN CORREGIDO]],'Tabla Articulos'!B:B,'Tabla Articulos'!D:D)</f>
        <v/>
      </c>
      <c r="Q2327" s="96">
        <f>_xlfn.XLOOKUP(S2327,'Tabla Articulos'!B:B,'Tabla Articulos'!E:E)</f>
        <v/>
      </c>
      <c r="R2327" s="96">
        <f>O2327*Q2327</f>
        <v/>
      </c>
      <c r="S2327" s="97">
        <f>TRIM(E2327)</f>
        <v/>
      </c>
    </row>
    <row r="2328" hidden="1">
      <c r="A2328" s="22" t="n">
        <v>5</v>
      </c>
      <c r="B2328" t="inlineStr">
        <is>
          <t xml:space="preserve">CDM02 - MORENO 2              </t>
        </is>
      </c>
      <c r="C2328" t="inlineStr">
        <is>
          <t xml:space="preserve">GRUPO L.                      </t>
        </is>
      </c>
      <c r="D2328" s="11" t="inlineStr">
        <is>
          <t>FLAN CHOCOLATE</t>
        </is>
      </c>
      <c r="E2328" t="inlineStr">
        <is>
          <t xml:space="preserve">7790530850109       </t>
        </is>
      </c>
      <c r="F2328" s="11" t="n">
        <v>4019875</v>
      </c>
      <c r="G2328" t="inlineStr">
        <is>
          <t xml:space="preserve">FLAN CHOCOLATE X5KG BEDIAL         </t>
        </is>
      </c>
      <c r="H2328" t="inlineStr">
        <is>
          <t xml:space="preserve">UNIDAD              </t>
        </is>
      </c>
      <c r="I2328" t="n">
        <v>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3</v>
      </c>
      <c r="P2328" s="96">
        <f>_xlfn.XLOOKUP(Tabla5[[#This Row],[EAN CORREGIDO]],'Tabla Articulos'!B:B,'Tabla Articulos'!D:D)</f>
        <v/>
      </c>
      <c r="Q2328" s="96">
        <f>_xlfn.XLOOKUP(S2328,'Tabla Articulos'!B:B,'Tabla Articulos'!E:E)</f>
        <v/>
      </c>
      <c r="R2328" s="96">
        <f>O2328*Q2328</f>
        <v/>
      </c>
      <c r="S2328" s="97">
        <f>TRIM(E2328)</f>
        <v/>
      </c>
    </row>
    <row r="2329" hidden="1">
      <c r="A2329" s="22" t="n">
        <v>6</v>
      </c>
      <c r="B2329" t="inlineStr">
        <is>
          <t xml:space="preserve">CDM03 - MORENO 3              </t>
        </is>
      </c>
      <c r="C2329" t="inlineStr">
        <is>
          <t xml:space="preserve">GRUPO L.                      </t>
        </is>
      </c>
      <c r="E2329" t="inlineStr">
        <is>
          <t xml:space="preserve">BUSAT000182         </t>
        </is>
      </c>
      <c r="F2329" s="11" t="n"/>
      <c r="G2329" t="inlineStr">
        <is>
          <t>MUEBLE VALLIJERO C/ ART P/ CARRO DE</t>
        </is>
      </c>
      <c r="H2329" t="inlineStr">
        <is>
          <t xml:space="preserve">UNIDAD              </t>
        </is>
      </c>
      <c r="I2329" t="n">
        <v>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1</v>
      </c>
      <c r="P2329" s="96">
        <f>_xlfn.XLOOKUP(Tabla5[[#This Row],[EAN CORREGIDO]],'Tabla Articulos'!B:B,'Tabla Articulos'!D:D)</f>
        <v/>
      </c>
      <c r="Q2329" s="96">
        <f>_xlfn.XLOOKUP(S2329,'Tabla Articulos'!B:B,'Tabla Articulos'!E:E)</f>
        <v/>
      </c>
      <c r="R2329" s="96">
        <f>O2329*Q2329</f>
        <v/>
      </c>
      <c r="S2329" s="97">
        <f>TRIM(E2329)</f>
        <v/>
      </c>
    </row>
    <row r="2330" hidden="1">
      <c r="A2330" s="22" t="n">
        <v>6</v>
      </c>
      <c r="B2330" t="inlineStr">
        <is>
          <t xml:space="preserve">CDM03 - MORENO 3              </t>
        </is>
      </c>
      <c r="C2330" t="inlineStr">
        <is>
          <t xml:space="preserve">GRUPO L.                      </t>
        </is>
      </c>
      <c r="E2330" t="inlineStr">
        <is>
          <t xml:space="preserve">BUSAT000364         </t>
        </is>
      </c>
      <c r="F2330" s="11" t="n"/>
      <c r="G2330" t="inlineStr">
        <is>
          <t xml:space="preserve">GUIA OPERATIVA / SANDWICHES        </t>
        </is>
      </c>
      <c r="H2330" t="inlineStr">
        <is>
          <t xml:space="preserve">UNIDAD              </t>
        </is>
      </c>
      <c r="I2330" t="n">
        <v>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4</v>
      </c>
      <c r="P2330" s="96">
        <f>_xlfn.XLOOKUP(Tabla5[[#This Row],[EAN CORREGIDO]],'Tabla Articulos'!B:B,'Tabla Articulos'!D:D)</f>
        <v/>
      </c>
      <c r="Q2330" s="96">
        <f>_xlfn.XLOOKUP(S2330,'Tabla Articulos'!B:B,'Tabla Articulos'!E:E)</f>
        <v/>
      </c>
      <c r="R2330" s="96">
        <f>O2330*Q2330</f>
        <v/>
      </c>
      <c r="S2330" s="97">
        <f>TRIM(E2330)</f>
        <v/>
      </c>
    </row>
    <row r="2331" hidden="1">
      <c r="A2331" s="22" t="n">
        <v>6</v>
      </c>
      <c r="B2331" t="inlineStr">
        <is>
          <t xml:space="preserve">CDM03 - MORENO 3              </t>
        </is>
      </c>
      <c r="C2331" t="inlineStr">
        <is>
          <t xml:space="preserve">GRUPO L.                      </t>
        </is>
      </c>
      <c r="E2331" t="inlineStr">
        <is>
          <t xml:space="preserve">BUSAT000098         </t>
        </is>
      </c>
      <c r="F2331" s="11" t="n"/>
      <c r="G2331" t="inlineStr">
        <is>
          <t xml:space="preserve">JARRA ACRILICO CON TAPA            </t>
        </is>
      </c>
      <c r="H2331" t="inlineStr">
        <is>
          <t xml:space="preserve">UNIDAD              </t>
        </is>
      </c>
      <c r="I2331" t="n">
        <v>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2</v>
      </c>
      <c r="P2331" s="96">
        <f>_xlfn.XLOOKUP(Tabla5[[#This Row],[EAN CORREGIDO]],'Tabla Articulos'!B:B,'Tabla Articulos'!D:D)</f>
        <v/>
      </c>
      <c r="Q2331" s="96">
        <f>_xlfn.XLOOKUP(S2331,'Tabla Articulos'!B:B,'Tabla Articulos'!E:E)</f>
        <v/>
      </c>
      <c r="R2331" s="96">
        <f>O2331*Q2331</f>
        <v/>
      </c>
      <c r="S2331" s="97">
        <f>TRIM(E2331)</f>
        <v/>
      </c>
    </row>
    <row r="2332" hidden="1">
      <c r="A2332" s="22" t="n">
        <v>6</v>
      </c>
      <c r="B2332" t="inlineStr">
        <is>
          <t xml:space="preserve">CDM03 - MORENO 3              </t>
        </is>
      </c>
      <c r="C2332" t="inlineStr">
        <is>
          <t xml:space="preserve">GRUPO L.                      </t>
        </is>
      </c>
      <c r="D2332" s="11" t="n"/>
      <c r="E2332" t="inlineStr">
        <is>
          <t xml:space="preserve">BUSAT001106         </t>
        </is>
      </c>
      <c r="F2332" s="11" t="n"/>
      <c r="G2332" t="inlineStr">
        <is>
          <t xml:space="preserve">MICRO ONDAS                        </t>
        </is>
      </c>
      <c r="H2332" t="inlineStr">
        <is>
          <t xml:space="preserve">UNIDAD              </t>
        </is>
      </c>
      <c r="I2332" t="n">
        <v>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9</v>
      </c>
      <c r="P2332" s="96">
        <f>_xlfn.XLOOKUP(Tabla5[[#This Row],[EAN CORREGIDO]],'Tabla Articulos'!B:B,'Tabla Articulos'!D:D)</f>
        <v/>
      </c>
      <c r="Q2332" s="96">
        <f>_xlfn.XLOOKUP(S2332,'Tabla Articulos'!B:B,'Tabla Articulos'!E:E)</f>
        <v/>
      </c>
      <c r="R2332" s="96">
        <f>O2332*Q2332</f>
        <v/>
      </c>
      <c r="S2332" s="97">
        <f>TRIM(E2332)</f>
        <v/>
      </c>
    </row>
    <row r="2333" hidden="1">
      <c r="A2333" s="22" t="n">
        <v>6</v>
      </c>
      <c r="B2333" t="inlineStr">
        <is>
          <t xml:space="preserve">CDM03 - MORENO 3              </t>
        </is>
      </c>
      <c r="C2333" t="inlineStr">
        <is>
          <t xml:space="preserve">GRUPO L.                      </t>
        </is>
      </c>
      <c r="D2333" s="11" t="n"/>
      <c r="E2333" t="inlineStr">
        <is>
          <t xml:space="preserve">BUSAT000015         </t>
        </is>
      </c>
      <c r="F2333" s="11" t="n"/>
      <c r="G2333" t="inlineStr">
        <is>
          <t xml:space="preserve">PORTA TABLAS MESA X U              </t>
        </is>
      </c>
      <c r="H2333" t="inlineStr">
        <is>
          <t xml:space="preserve">BULTOS              </t>
        </is>
      </c>
      <c r="I2333" t="n">
        <v>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1</v>
      </c>
      <c r="P2333" s="96">
        <f>_xlfn.XLOOKUP(Tabla5[[#This Row],[EAN CORREGIDO]],'Tabla Articulos'!B:B,'Tabla Articulos'!D:D)</f>
        <v/>
      </c>
      <c r="Q2333" s="96">
        <f>_xlfn.XLOOKUP(S2333,'Tabla Articulos'!B:B,'Tabla Articulos'!E:E)</f>
        <v/>
      </c>
      <c r="R2333" s="96">
        <f>O2333*Q2333</f>
        <v/>
      </c>
      <c r="S2333" s="97">
        <f>TRIM(E2333)</f>
        <v/>
      </c>
    </row>
    <row r="2334" hidden="1">
      <c r="A2334" s="22" t="n">
        <v>6</v>
      </c>
      <c r="B2334" t="inlineStr">
        <is>
          <t xml:space="preserve">CDM03 - MORENO 3              </t>
        </is>
      </c>
      <c r="C2334" t="inlineStr">
        <is>
          <t xml:space="preserve">GRUPO L.                      </t>
        </is>
      </c>
      <c r="D2334" s="11" t="n"/>
      <c r="E2334" t="inlineStr">
        <is>
          <t xml:space="preserve">BUSAT0011010        </t>
        </is>
      </c>
      <c r="F2334" s="11" t="n"/>
      <c r="G2334" t="inlineStr">
        <is>
          <t xml:space="preserve">TABLA DE CORTAR CHICA BLANCA       </t>
        </is>
      </c>
      <c r="H2334" t="inlineStr">
        <is>
          <t xml:space="preserve">UNIDAD              </t>
        </is>
      </c>
      <c r="I2334" t="n">
        <v>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1</v>
      </c>
      <c r="P2334" s="96">
        <f>_xlfn.XLOOKUP(Tabla5[[#This Row],[EAN CORREGIDO]],'Tabla Articulos'!B:B,'Tabla Articulos'!D:D)</f>
        <v/>
      </c>
      <c r="Q2334" s="96">
        <f>_xlfn.XLOOKUP(S2334,'Tabla Articulos'!B:B,'Tabla Articulos'!E:E)</f>
        <v/>
      </c>
      <c r="R2334" s="96">
        <f>O2334*Q2334</f>
        <v/>
      </c>
      <c r="S2334" s="97">
        <f>TRIM(E2334)</f>
        <v/>
      </c>
    </row>
    <row r="2335" hidden="1">
      <c r="A2335" s="22" t="n">
        <v>6</v>
      </c>
      <c r="B2335" t="inlineStr">
        <is>
          <t xml:space="preserve">CDM03 - MORENO 3              </t>
        </is>
      </c>
      <c r="C2335" t="inlineStr">
        <is>
          <t xml:space="preserve">GRUPO L.                      </t>
        </is>
      </c>
      <c r="D2335" s="11" t="n"/>
      <c r="E2335" t="inlineStr">
        <is>
          <t xml:space="preserve">BUSAT000936         </t>
        </is>
      </c>
      <c r="F2335" s="11" t="n"/>
      <c r="G2335" t="inlineStr">
        <is>
          <t xml:space="preserve">CAJA PLASTICA BLANCA CHICA         </t>
        </is>
      </c>
      <c r="H2335" t="inlineStr">
        <is>
          <t xml:space="preserve">UNIDAD              </t>
        </is>
      </c>
      <c r="I2335" t="n">
        <v>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1</v>
      </c>
      <c r="P2335" s="96">
        <f>_xlfn.XLOOKUP(Tabla5[[#This Row],[EAN CORREGIDO]],'Tabla Articulos'!B:B,'Tabla Articulos'!D:D)</f>
        <v/>
      </c>
      <c r="Q2335" s="96">
        <f>_xlfn.XLOOKUP(S2335,'Tabla Articulos'!B:B,'Tabla Articulos'!E:E)</f>
        <v/>
      </c>
      <c r="R2335" s="96">
        <f>O2335*Q2335</f>
        <v/>
      </c>
      <c r="S2335" s="97">
        <f>TRIM(E2335)</f>
        <v/>
      </c>
    </row>
    <row r="2336" hidden="1">
      <c r="A2336" s="22" t="n">
        <v>6</v>
      </c>
      <c r="B2336" t="inlineStr">
        <is>
          <t xml:space="preserve">CDM03 - MORENO 3              </t>
        </is>
      </c>
      <c r="C2336" t="inlineStr">
        <is>
          <t xml:space="preserve">GRUPO L.                      </t>
        </is>
      </c>
      <c r="D2336" s="11" t="n"/>
      <c r="E2336" t="inlineStr">
        <is>
          <t xml:space="preserve">BUSAT000354         </t>
        </is>
      </c>
      <c r="F2336" s="11" t="n"/>
      <c r="G2336" t="inlineStr">
        <is>
          <t xml:space="preserve">HELADERA ART.VARIOS/ SAND 02 B     </t>
        </is>
      </c>
      <c r="H2336" t="inlineStr">
        <is>
          <t xml:space="preserve">UNIDAD              </t>
        </is>
      </c>
      <c r="I2336" t="n">
        <v>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1</v>
      </c>
      <c r="P2336" s="96">
        <f>_xlfn.XLOOKUP(Tabla5[[#This Row],[EAN CORREGIDO]],'Tabla Articulos'!B:B,'Tabla Articulos'!D:D)</f>
        <v/>
      </c>
      <c r="Q2336" s="96">
        <f>_xlfn.XLOOKUP(S2336,'Tabla Articulos'!B:B,'Tabla Articulos'!E:E)</f>
        <v/>
      </c>
      <c r="R2336" s="96">
        <f>O2336*Q2336</f>
        <v/>
      </c>
      <c r="S2336" s="97">
        <f>TRIM(E2336)</f>
        <v/>
      </c>
    </row>
    <row r="2337" hidden="1">
      <c r="A2337" s="22" t="n">
        <v>6</v>
      </c>
      <c r="B2337" t="inlineStr">
        <is>
          <t xml:space="preserve">CDM03 - MORENO 3              </t>
        </is>
      </c>
      <c r="C2337" t="inlineStr">
        <is>
          <t xml:space="preserve">GRUPO L.                      </t>
        </is>
      </c>
      <c r="E2337" t="inlineStr">
        <is>
          <t xml:space="preserve">BUSAT000390         </t>
        </is>
      </c>
      <c r="G2337" t="inlineStr">
        <is>
          <t>GUANTE NITRILO NARANJA/CELESTE - T8</t>
        </is>
      </c>
      <c r="H2337" t="inlineStr">
        <is>
          <t xml:space="preserve">UNIDAD              </t>
        </is>
      </c>
      <c r="I2337" t="n">
        <v>20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20</v>
      </c>
      <c r="P2337" s="96">
        <f>_xlfn.XLOOKUP(Tabla5[[#This Row],[EAN CORREGIDO]],'Tabla Articulos'!B:B,'Tabla Articulos'!D:D)</f>
        <v/>
      </c>
      <c r="Q2337" s="96">
        <f>_xlfn.XLOOKUP(S2337,'Tabla Articulos'!B:B,'Tabla Articulos'!E:E)</f>
        <v/>
      </c>
      <c r="R2337" s="96">
        <f>O2337*Q2337</f>
        <v/>
      </c>
      <c r="S2337" s="97">
        <f>TRIM(E2337)</f>
        <v/>
      </c>
    </row>
    <row r="2338" hidden="1">
      <c r="A2338" s="22" t="n">
        <v>6</v>
      </c>
      <c r="B2338" t="inlineStr">
        <is>
          <t xml:space="preserve">CDM03 - MORENO 3              </t>
        </is>
      </c>
      <c r="C2338" t="inlineStr">
        <is>
          <t xml:space="preserve">GRUPO L.                      </t>
        </is>
      </c>
      <c r="E2338" t="inlineStr">
        <is>
          <t xml:space="preserve">OBR000130           </t>
        </is>
      </c>
      <c r="G2338" t="inlineStr">
        <is>
          <t xml:space="preserve">PINTURA TERMOVIAL                  </t>
        </is>
      </c>
      <c r="H2338" t="inlineStr">
        <is>
          <t xml:space="preserve">UNIDAD              </t>
        </is>
      </c>
      <c r="I2338" t="n">
        <v>12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12</v>
      </c>
      <c r="P2338" s="96">
        <f>_xlfn.XLOOKUP(Tabla5[[#This Row],[EAN CORREGIDO]],'Tabla Articulos'!B:B,'Tabla Articulos'!D:D)</f>
        <v/>
      </c>
      <c r="Q2338" s="96">
        <f>_xlfn.XLOOKUP(S2338,'Tabla Articulos'!B:B,'Tabla Articulos'!E:E)</f>
        <v/>
      </c>
      <c r="R2338" s="96">
        <f>O2338*Q2338</f>
        <v/>
      </c>
      <c r="S2338" s="97">
        <f>TRIM(E2338)</f>
        <v/>
      </c>
    </row>
    <row r="2339" hidden="1">
      <c r="A2339" s="22" t="n">
        <v>6</v>
      </c>
      <c r="B2339" t="inlineStr">
        <is>
          <t xml:space="preserve">CDM03 - MORENO 3              </t>
        </is>
      </c>
      <c r="C2339" t="inlineStr">
        <is>
          <t xml:space="preserve">GRUPO L.                      </t>
        </is>
      </c>
      <c r="E2339" t="inlineStr">
        <is>
          <t xml:space="preserve">BUSAT000195         </t>
        </is>
      </c>
      <c r="G2339" t="inlineStr">
        <is>
          <t xml:space="preserve">CARRO HELADERA / SANDWICHES 01     </t>
        </is>
      </c>
      <c r="H2339" t="inlineStr">
        <is>
          <t xml:space="preserve">UNIDAD              </t>
        </is>
      </c>
      <c r="I2339" t="n">
        <v>0</v>
      </c>
      <c r="J2339" t="n">
        <v>1</v>
      </c>
      <c r="K2339" t="n">
        <v>0</v>
      </c>
      <c r="L2339" t="n">
        <v>0</v>
      </c>
      <c r="M2339" t="n">
        <v>0</v>
      </c>
      <c r="N2339" t="n">
        <v>0</v>
      </c>
      <c r="O2339" t="n">
        <v>1</v>
      </c>
      <c r="P2339" s="96">
        <f>_xlfn.XLOOKUP(Tabla5[[#This Row],[EAN CORREGIDO]],'Tabla Articulos'!B:B,'Tabla Articulos'!D:D)</f>
        <v/>
      </c>
      <c r="Q2339" s="96">
        <f>_xlfn.XLOOKUP(S2339,'Tabla Articulos'!B:B,'Tabla Articulos'!E:E)</f>
        <v/>
      </c>
      <c r="R2339" s="96">
        <f>O2339*Q2339</f>
        <v/>
      </c>
      <c r="S2339" s="97">
        <f>TRIM(E2339)</f>
        <v/>
      </c>
    </row>
    <row r="2340" hidden="1">
      <c r="A2340" s="22" t="n">
        <v>6</v>
      </c>
      <c r="B2340" t="inlineStr">
        <is>
          <t xml:space="preserve">CDM03 - MORENO 3              </t>
        </is>
      </c>
      <c r="C2340" t="inlineStr">
        <is>
          <t xml:space="preserve">GRUPO L.                      </t>
        </is>
      </c>
      <c r="E2340" t="inlineStr">
        <is>
          <t xml:space="preserve">BUSAT000510         </t>
        </is>
      </c>
      <c r="G2340" t="inlineStr">
        <is>
          <t xml:space="preserve">ZAPATOS OMBU	46                    </t>
        </is>
      </c>
      <c r="H2340" t="inlineStr">
        <is>
          <t xml:space="preserve">UNIDAD              </t>
        </is>
      </c>
      <c r="I2340" t="n">
        <v>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2</v>
      </c>
      <c r="P2340" s="96">
        <f>_xlfn.XLOOKUP(Tabla5[[#This Row],[EAN CORREGIDO]],'Tabla Articulos'!B:B,'Tabla Articulos'!D:D)</f>
        <v/>
      </c>
      <c r="Q2340" s="96">
        <f>_xlfn.XLOOKUP(S2340,'Tabla Articulos'!B:B,'Tabla Articulos'!E:E)</f>
        <v/>
      </c>
      <c r="R2340" s="96">
        <f>O2340*Q2340</f>
        <v/>
      </c>
      <c r="S2340" s="97">
        <f>TRIM(E2340)</f>
        <v/>
      </c>
    </row>
    <row r="2341" hidden="1">
      <c r="A2341" s="22" t="n">
        <v>6</v>
      </c>
      <c r="B2341" t="inlineStr">
        <is>
          <t xml:space="preserve">CDM03 - MORENO 3              </t>
        </is>
      </c>
      <c r="C2341" t="inlineStr">
        <is>
          <t xml:space="preserve">GRUPO L.                      </t>
        </is>
      </c>
      <c r="E2341" t="inlineStr">
        <is>
          <t xml:space="preserve">BUSAT000091         </t>
        </is>
      </c>
      <c r="G2341" t="inlineStr">
        <is>
          <t>PORTA CUBERITO DE ACERO INOXCIDABLE</t>
        </is>
      </c>
      <c r="H2341" t="inlineStr">
        <is>
          <t xml:space="preserve">UNIDAD              </t>
        </is>
      </c>
      <c r="I2341" t="n">
        <v>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5</v>
      </c>
      <c r="P2341" s="96">
        <f>_xlfn.XLOOKUP(Tabla5[[#This Row],[EAN CORREGIDO]],'Tabla Articulos'!B:B,'Tabla Articulos'!D:D)</f>
        <v/>
      </c>
      <c r="Q2341" s="96">
        <f>_xlfn.XLOOKUP(S2341,'Tabla Articulos'!B:B,'Tabla Articulos'!E:E)</f>
        <v/>
      </c>
      <c r="R2341" s="96">
        <f>O2341*Q2341</f>
        <v/>
      </c>
      <c r="S2341" s="97">
        <f>TRIM(E2341)</f>
        <v/>
      </c>
    </row>
    <row r="2342" hidden="1">
      <c r="A2342" s="22" t="n">
        <v>6</v>
      </c>
      <c r="B2342" t="inlineStr">
        <is>
          <t xml:space="preserve">CDM03 - MORENO 3              </t>
        </is>
      </c>
      <c r="C2342" t="inlineStr">
        <is>
          <t xml:space="preserve">GRUPO L.                      </t>
        </is>
      </c>
      <c r="E2342" t="inlineStr">
        <is>
          <t xml:space="preserve">OBR000122           </t>
        </is>
      </c>
      <c r="G2342" t="inlineStr">
        <is>
          <t xml:space="preserve">PORTA TUBO ANCHO                   </t>
        </is>
      </c>
      <c r="H2342" t="inlineStr">
        <is>
          <t xml:space="preserve">UNIDAD              </t>
        </is>
      </c>
      <c r="I2342" t="n">
        <v>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2</v>
      </c>
      <c r="P2342" s="96">
        <f>_xlfn.XLOOKUP(Tabla5[[#This Row],[EAN CORREGIDO]],'Tabla Articulos'!B:B,'Tabla Articulos'!D:D)</f>
        <v/>
      </c>
      <c r="Q2342" s="96">
        <f>_xlfn.XLOOKUP(S2342,'Tabla Articulos'!B:B,'Tabla Articulos'!E:E)</f>
        <v/>
      </c>
      <c r="R2342" s="96">
        <f>O2342*Q2342</f>
        <v/>
      </c>
      <c r="S2342" s="97">
        <f>TRIM(E2342)</f>
        <v/>
      </c>
    </row>
    <row r="2343" hidden="1">
      <c r="A2343" s="22" t="n">
        <v>6</v>
      </c>
      <c r="B2343" t="inlineStr">
        <is>
          <t xml:space="preserve">CDM03 - MORENO 3              </t>
        </is>
      </c>
      <c r="C2343" t="inlineStr">
        <is>
          <t xml:space="preserve">GRUPO L.                      </t>
        </is>
      </c>
      <c r="E2343" t="inlineStr">
        <is>
          <t xml:space="preserve">BUSAT001114         </t>
        </is>
      </c>
      <c r="G2343" t="inlineStr">
        <is>
          <t xml:space="preserve">TERMOSELLADORA SEGUA               </t>
        </is>
      </c>
      <c r="H2343" t="inlineStr">
        <is>
          <t xml:space="preserve">UNIDAD              </t>
        </is>
      </c>
      <c r="I2343" t="n">
        <v>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1</v>
      </c>
      <c r="P2343" s="96">
        <f>_xlfn.XLOOKUP(Tabla5[[#This Row],[EAN CORREGIDO]],'Tabla Articulos'!B:B,'Tabla Articulos'!D:D)</f>
        <v/>
      </c>
      <c r="Q2343" s="96">
        <f>_xlfn.XLOOKUP(S2343,'Tabla Articulos'!B:B,'Tabla Articulos'!E:E)</f>
        <v/>
      </c>
      <c r="R2343" s="96">
        <f>O2343*Q2343</f>
        <v/>
      </c>
      <c r="S2343" s="97">
        <f>TRIM(E2343)</f>
        <v/>
      </c>
    </row>
    <row r="2344" hidden="1">
      <c r="A2344" s="22" t="n">
        <v>6</v>
      </c>
      <c r="B2344" t="inlineStr">
        <is>
          <t xml:space="preserve">CDM03 - MORENO 3              </t>
        </is>
      </c>
      <c r="C2344" t="inlineStr">
        <is>
          <t xml:space="preserve">GRUPO L.                      </t>
        </is>
      </c>
      <c r="E2344" t="inlineStr">
        <is>
          <t xml:space="preserve">BUSAT000371         </t>
        </is>
      </c>
      <c r="G2344" t="inlineStr">
        <is>
          <t xml:space="preserve">LETRAS CON BASE PICNIC /SAND (BL)  </t>
        </is>
      </c>
      <c r="H2344" t="inlineStr">
        <is>
          <t xml:space="preserve">UNIDAD              </t>
        </is>
      </c>
      <c r="I2344" t="n">
        <v>24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24</v>
      </c>
      <c r="P2344" s="96">
        <f>_xlfn.XLOOKUP(Tabla5[[#This Row],[EAN CORREGIDO]],'Tabla Articulos'!B:B,'Tabla Articulos'!D:D)</f>
        <v/>
      </c>
      <c r="Q2344" s="96">
        <f>_xlfn.XLOOKUP(S2344,'Tabla Articulos'!B:B,'Tabla Articulos'!E:E)</f>
        <v/>
      </c>
      <c r="R2344" s="96">
        <f>O2344*Q2344</f>
        <v/>
      </c>
      <c r="S2344" s="97">
        <f>TRIM(E2344)</f>
        <v/>
      </c>
    </row>
    <row r="2345" hidden="1">
      <c r="A2345" s="22" t="n">
        <v>6</v>
      </c>
      <c r="B2345" t="inlineStr">
        <is>
          <t xml:space="preserve">CDM03 - MORENO 3              </t>
        </is>
      </c>
      <c r="C2345" t="inlineStr">
        <is>
          <t xml:space="preserve">GRUPO L.                      </t>
        </is>
      </c>
      <c r="E2345" t="inlineStr">
        <is>
          <t xml:space="preserve">BUSAT000002         </t>
        </is>
      </c>
      <c r="G2345" t="inlineStr">
        <is>
          <t xml:space="preserve">BANDEJA C/ASA  X U                 </t>
        </is>
      </c>
      <c r="H2345" t="inlineStr">
        <is>
          <t xml:space="preserve">UNIDAD              </t>
        </is>
      </c>
      <c r="I2345" t="n">
        <v>68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68</v>
      </c>
      <c r="P2345" s="96">
        <f>_xlfn.XLOOKUP(Tabla5[[#This Row],[EAN CORREGIDO]],'Tabla Articulos'!B:B,'Tabla Articulos'!D:D)</f>
        <v/>
      </c>
      <c r="Q2345" s="96">
        <f>_xlfn.XLOOKUP(S2345,'Tabla Articulos'!B:B,'Tabla Articulos'!E:E)</f>
        <v/>
      </c>
      <c r="R2345" s="96">
        <f>O2345*Q2345</f>
        <v/>
      </c>
      <c r="S2345" s="97">
        <f>TRIM(E2345)</f>
        <v/>
      </c>
    </row>
    <row r="2346" hidden="1">
      <c r="A2346" s="22" t="n">
        <v>6</v>
      </c>
      <c r="B2346" t="inlineStr">
        <is>
          <t xml:space="preserve">CDM03 - MORENO 3              </t>
        </is>
      </c>
      <c r="C2346" t="inlineStr">
        <is>
          <t xml:space="preserve">GRUPO L.                      </t>
        </is>
      </c>
      <c r="E2346" t="inlineStr">
        <is>
          <t xml:space="preserve">BUSAT000350         </t>
        </is>
      </c>
      <c r="G2346" t="inlineStr">
        <is>
          <t xml:space="preserve">HELADERA ART. VARIOS               </t>
        </is>
      </c>
      <c r="H2346" t="inlineStr">
        <is>
          <t xml:space="preserve">UNIDAD              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1</v>
      </c>
      <c r="P2346" s="96">
        <f>_xlfn.XLOOKUP(Tabla5[[#This Row],[EAN CORREGIDO]],'Tabla Articulos'!B:B,'Tabla Articulos'!D:D)</f>
        <v/>
      </c>
      <c r="Q2346" s="96">
        <f>_xlfn.XLOOKUP(S2346,'Tabla Articulos'!B:B,'Tabla Articulos'!E:E)</f>
        <v/>
      </c>
      <c r="R2346" s="96">
        <f>O2346*Q2346</f>
        <v/>
      </c>
      <c r="S2346" s="97">
        <f>TRIM(E2346)</f>
        <v/>
      </c>
    </row>
    <row r="2347" hidden="1">
      <c r="A2347" s="22" t="n">
        <v>2</v>
      </c>
      <c r="B2347" t="inlineStr">
        <is>
          <t xml:space="preserve">CD CIUDADELA                  </t>
        </is>
      </c>
      <c r="C2347" t="inlineStr">
        <is>
          <t xml:space="preserve">GRUPO L.                      </t>
        </is>
      </c>
      <c r="D2347" t="inlineStr">
        <is>
          <t>GASEOSA COLA INDIVIDUAL</t>
        </is>
      </c>
      <c r="E2347" t="inlineStr">
        <is>
          <t xml:space="preserve">7790895650833       </t>
        </is>
      </c>
      <c r="F2347" t="n">
        <v>4023914</v>
      </c>
      <c r="G2347" t="inlineStr">
        <is>
          <t xml:space="preserve">GAS COCA COLA 600CC                </t>
        </is>
      </c>
      <c r="H2347" t="inlineStr">
        <is>
          <t xml:space="preserve">UNIDAD              </t>
        </is>
      </c>
      <c r="I2347" t="n">
        <v>4516</v>
      </c>
      <c r="J2347" t="n">
        <v>0</v>
      </c>
      <c r="K2347" t="n">
        <v>652</v>
      </c>
      <c r="L2347" t="n">
        <v>678</v>
      </c>
      <c r="M2347" t="n">
        <v>678</v>
      </c>
      <c r="N2347" t="n">
        <v>0</v>
      </c>
      <c r="O2347" t="n">
        <v>2508</v>
      </c>
      <c r="P2347" s="96">
        <f>_xlfn.XLOOKUP(Tabla5[[#This Row],[EAN CORREGIDO]],'Tabla Articulos'!B:B,'Tabla Articulos'!D:D)</f>
        <v/>
      </c>
      <c r="Q2347" s="96">
        <f>_xlfn.XLOOKUP(S2347,'Tabla Articulos'!B:B,'Tabla Articulos'!E:E)</f>
        <v/>
      </c>
      <c r="R2347" s="96">
        <f>O2347*Q2347</f>
        <v/>
      </c>
      <c r="S2347" s="97">
        <f>TRIM(E2347)</f>
        <v/>
      </c>
    </row>
    <row r="2348" hidden="1">
      <c r="A2348" s="22" t="n">
        <v>2</v>
      </c>
      <c r="B2348" t="inlineStr">
        <is>
          <t xml:space="preserve">CD CIUDADELA                  </t>
        </is>
      </c>
      <c r="C2348" t="inlineStr">
        <is>
          <t xml:space="preserve">GRUPO L.                      </t>
        </is>
      </c>
      <c r="D2348" t="inlineStr">
        <is>
          <t>LECHE LV ENTERA</t>
        </is>
      </c>
      <c r="E2348" t="inlineStr">
        <is>
          <t xml:space="preserve">7790742363008       </t>
        </is>
      </c>
      <c r="F2348" t="n">
        <v>4018315</v>
      </c>
      <c r="G2348" t="inlineStr">
        <is>
          <t xml:space="preserve">LECHE LV ENTERA 3% X1L SERENISIMA  </t>
        </is>
      </c>
      <c r="H2348" t="inlineStr">
        <is>
          <t xml:space="preserve">UNIDAD              </t>
        </is>
      </c>
      <c r="I2348" t="n">
        <v>282699</v>
      </c>
      <c r="J2348" t="n">
        <v>5400</v>
      </c>
      <c r="K2348" t="n">
        <v>857</v>
      </c>
      <c r="L2348" t="n">
        <v>0</v>
      </c>
      <c r="M2348" t="n">
        <v>0</v>
      </c>
      <c r="N2348" t="n">
        <v>0</v>
      </c>
      <c r="O2348" t="n">
        <v>287242</v>
      </c>
      <c r="P2348" s="96">
        <f>_xlfn.XLOOKUP(Tabla5[[#This Row],[EAN CORREGIDO]],'Tabla Articulos'!B:B,'Tabla Articulos'!D:D)</f>
        <v/>
      </c>
      <c r="Q2348" s="96">
        <f>_xlfn.XLOOKUP(S2348,'Tabla Articulos'!B:B,'Tabla Articulos'!E:E)</f>
        <v/>
      </c>
      <c r="R2348" s="96">
        <f>O2348*Q2348</f>
        <v/>
      </c>
      <c r="S2348" s="97">
        <f>TRIM(E2348)</f>
        <v/>
      </c>
    </row>
    <row r="2349" hidden="1">
      <c r="A2349" s="22" t="n">
        <v>2</v>
      </c>
      <c r="B2349" t="inlineStr">
        <is>
          <t xml:space="preserve">CD CIUDADELA                  </t>
        </is>
      </c>
      <c r="C2349" t="inlineStr">
        <is>
          <t xml:space="preserve">GRUPO L.                      </t>
        </is>
      </c>
      <c r="D2349" t="inlineStr">
        <is>
          <t>GELATINA CEREZA</t>
        </is>
      </c>
      <c r="E2349" t="inlineStr">
        <is>
          <t xml:space="preserve">7790530370409       </t>
        </is>
      </c>
      <c r="F2349" t="n">
        <v>4019840</v>
      </c>
      <c r="G2349" t="inlineStr">
        <is>
          <t xml:space="preserve">GELATINA CEREZA X 5KG BEDIAL       </t>
        </is>
      </c>
      <c r="H2349" t="inlineStr">
        <is>
          <t xml:space="preserve">UNIDAD              </t>
        </is>
      </c>
      <c r="I2349" t="n">
        <v>64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64</v>
      </c>
      <c r="P2349" s="96">
        <f>_xlfn.XLOOKUP(Tabla5[[#This Row],[EAN CORREGIDO]],'Tabla Articulos'!B:B,'Tabla Articulos'!D:D)</f>
        <v/>
      </c>
      <c r="Q2349" s="96">
        <f>_xlfn.XLOOKUP(S2349,'Tabla Articulos'!B:B,'Tabla Articulos'!E:E)</f>
        <v/>
      </c>
      <c r="R2349" s="96">
        <f>O2349*Q2349</f>
        <v/>
      </c>
      <c r="S2349" s="97">
        <f>TRIM(E2349)</f>
        <v/>
      </c>
    </row>
    <row r="2350" hidden="1">
      <c r="A2350" s="22" t="n">
        <v>2</v>
      </c>
      <c r="B2350" t="inlineStr">
        <is>
          <t xml:space="preserve">CD CIUDADELA                  </t>
        </is>
      </c>
      <c r="C2350" t="inlineStr">
        <is>
          <t xml:space="preserve">GRUPO L.                      </t>
        </is>
      </c>
      <c r="D2350" t="inlineStr">
        <is>
          <t>POLLO GOURMET CONGE T10</t>
        </is>
      </c>
      <c r="E2350" t="inlineStr">
        <is>
          <t xml:space="preserve">7790000000914       </t>
        </is>
      </c>
      <c r="F2350" t="n">
        <v>4077526</v>
      </c>
      <c r="G2350" t="inlineStr">
        <is>
          <t xml:space="preserve">POLLO GOURMET T10 CONG XUN         </t>
        </is>
      </c>
      <c r="H2350" t="inlineStr">
        <is>
          <t xml:space="preserve">UNIDAD              </t>
        </is>
      </c>
      <c r="I2350" t="n">
        <v>690</v>
      </c>
      <c r="J2350" t="n">
        <v>0</v>
      </c>
      <c r="K2350" t="n">
        <v>0</v>
      </c>
      <c r="L2350" t="n">
        <v>8</v>
      </c>
      <c r="M2350" t="n">
        <v>8</v>
      </c>
      <c r="N2350" t="n">
        <v>0</v>
      </c>
      <c r="O2350" t="n">
        <v>674</v>
      </c>
      <c r="P2350" s="96">
        <f>_xlfn.XLOOKUP(Tabla5[[#This Row],[EAN CORREGIDO]],'Tabla Articulos'!B:B,'Tabla Articulos'!D:D)</f>
        <v/>
      </c>
      <c r="Q2350" s="96">
        <f>_xlfn.XLOOKUP(S2350,'Tabla Articulos'!B:B,'Tabla Articulos'!E:E)</f>
        <v/>
      </c>
      <c r="R2350" s="96">
        <f>O2350*Q2350</f>
        <v/>
      </c>
      <c r="S2350" s="97">
        <f>TRIM(E2350)</f>
        <v/>
      </c>
    </row>
    <row r="2351" hidden="1">
      <c r="A2351" s="22" t="n">
        <v>2</v>
      </c>
      <c r="B2351" t="inlineStr">
        <is>
          <t xml:space="preserve">CD CIUDADELA                  </t>
        </is>
      </c>
      <c r="C2351" t="inlineStr">
        <is>
          <t xml:space="preserve">GRUPO L.                      </t>
        </is>
      </c>
      <c r="D2351" t="inlineStr">
        <is>
          <t>FLAN CHOCOLATE</t>
        </is>
      </c>
      <c r="E2351" t="inlineStr">
        <is>
          <t xml:space="preserve">790757899650        </t>
        </is>
      </c>
      <c r="F2351" t="n">
        <v>4022532</v>
      </c>
      <c r="G2351" t="inlineStr">
        <is>
          <t xml:space="preserve">FLAN CHOCOLATE 1KG POREC           </t>
        </is>
      </c>
      <c r="H2351" t="inlineStr">
        <is>
          <t xml:space="preserve">UNIDAD              </t>
        </is>
      </c>
      <c r="I2351" t="n">
        <v>127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127</v>
      </c>
      <c r="P2351" s="96">
        <f>_xlfn.XLOOKUP(Tabla5[[#This Row],[EAN CORREGIDO]],'Tabla Articulos'!B:B,'Tabla Articulos'!D:D)</f>
        <v/>
      </c>
      <c r="Q2351" s="96">
        <f>_xlfn.XLOOKUP(S2351,'Tabla Articulos'!B:B,'Tabla Articulos'!E:E)</f>
        <v/>
      </c>
      <c r="R2351" s="96">
        <f>O2351*Q2351</f>
        <v/>
      </c>
      <c r="S2351" s="97">
        <f>TRIM(E2351)</f>
        <v/>
      </c>
    </row>
    <row r="2352" hidden="1">
      <c r="A2352" s="22" t="n">
        <v>2</v>
      </c>
      <c r="B2352" t="inlineStr">
        <is>
          <t xml:space="preserve">CD CIUDADELA                  </t>
        </is>
      </c>
      <c r="C2352" t="inlineStr">
        <is>
          <t xml:space="preserve">GRUPO L.                      </t>
        </is>
      </c>
      <c r="D2352" t="inlineStr">
        <is>
          <t>BROCOLI</t>
        </is>
      </c>
      <c r="E2352" t="inlineStr">
        <is>
          <t xml:space="preserve">7790216012616       </t>
        </is>
      </c>
      <c r="F2352" t="n">
        <v>4017989</v>
      </c>
      <c r="G2352" t="inlineStr">
        <is>
          <t xml:space="preserve">BROCOLI X KG                       </t>
        </is>
      </c>
      <c r="H2352" t="inlineStr">
        <is>
          <t xml:space="preserve">Kgs                 </t>
        </is>
      </c>
      <c r="I2352" t="n">
        <v>122.91</v>
      </c>
      <c r="J2352" t="n">
        <v>0</v>
      </c>
      <c r="K2352" t="n">
        <v>0</v>
      </c>
      <c r="L2352" t="n">
        <v>2</v>
      </c>
      <c r="M2352" t="n">
        <v>25.89</v>
      </c>
      <c r="N2352" t="n">
        <v>0</v>
      </c>
      <c r="O2352" t="n">
        <v>95.02</v>
      </c>
      <c r="P2352" s="96">
        <f>_xlfn.XLOOKUP(Tabla5[[#This Row],[EAN CORREGIDO]],'Tabla Articulos'!B:B,'Tabla Articulos'!D:D)</f>
        <v/>
      </c>
      <c r="Q2352" s="96">
        <f>_xlfn.XLOOKUP(S2352,'Tabla Articulos'!B:B,'Tabla Articulos'!E:E)</f>
        <v/>
      </c>
      <c r="R2352" s="96">
        <f>O2352*Q2352</f>
        <v/>
      </c>
      <c r="S2352" s="97">
        <f>TRIM(E2352)</f>
        <v/>
      </c>
    </row>
    <row r="2353" hidden="1">
      <c r="A2353" s="22" t="n">
        <v>2</v>
      </c>
      <c r="B2353" t="inlineStr">
        <is>
          <t xml:space="preserve">CD CIUDADELA                  </t>
        </is>
      </c>
      <c r="C2353" t="inlineStr">
        <is>
          <t xml:space="preserve">GRUPO L.                      </t>
        </is>
      </c>
      <c r="D2353" t="inlineStr">
        <is>
          <t>MORRONES EN LATA</t>
        </is>
      </c>
      <c r="E2353" t="inlineStr">
        <is>
          <t xml:space="preserve">7790499017575       </t>
        </is>
      </c>
      <c r="F2353" t="n">
        <v>4019869</v>
      </c>
      <c r="G2353" t="inlineStr">
        <is>
          <t>MORRONES EN CONSERVA X 220 G LA BAN</t>
        </is>
      </c>
      <c r="H2353" t="inlineStr">
        <is>
          <t xml:space="preserve">UNIDAD              </t>
        </is>
      </c>
      <c r="I2353" t="n">
        <v>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5</v>
      </c>
      <c r="P2353" s="96">
        <f>_xlfn.XLOOKUP(Tabla5[[#This Row],[EAN CORREGIDO]],'Tabla Articulos'!B:B,'Tabla Articulos'!D:D)</f>
        <v/>
      </c>
      <c r="Q2353" s="96">
        <f>_xlfn.XLOOKUP(S2353,'Tabla Articulos'!B:B,'Tabla Articulos'!E:E)</f>
        <v/>
      </c>
      <c r="R2353" s="96">
        <f>O2353*Q2353</f>
        <v/>
      </c>
      <c r="S2353" s="97">
        <f>TRIM(E2353)</f>
        <v/>
      </c>
    </row>
    <row r="2354" hidden="1">
      <c r="A2354" s="22" t="n">
        <v>2</v>
      </c>
      <c r="B2354" t="inlineStr">
        <is>
          <t xml:space="preserve">CD CIUDADELA                  </t>
        </is>
      </c>
      <c r="C2354" t="inlineStr">
        <is>
          <t xml:space="preserve">GRUPO L.                      </t>
        </is>
      </c>
      <c r="D2354" t="inlineStr">
        <is>
          <t>SALAME</t>
        </is>
      </c>
      <c r="E2354" t="inlineStr">
        <is>
          <t xml:space="preserve">7790212050103       </t>
        </is>
      </c>
      <c r="F2354" t="n">
        <v>4017725</v>
      </c>
      <c r="G2354" t="inlineStr">
        <is>
          <t xml:space="preserve">SALAME MILAN XKG                   </t>
        </is>
      </c>
      <c r="H2354" t="inlineStr">
        <is>
          <t xml:space="preserve">Kgs                 </t>
        </is>
      </c>
      <c r="I2354" t="n">
        <v>615.85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615.85</v>
      </c>
      <c r="P2354" s="96">
        <f>_xlfn.XLOOKUP(Tabla5[[#This Row],[EAN CORREGIDO]],'Tabla Articulos'!B:B,'Tabla Articulos'!D:D)</f>
        <v/>
      </c>
      <c r="Q2354" s="96">
        <f>_xlfn.XLOOKUP(S2354,'Tabla Articulos'!B:B,'Tabla Articulos'!E:E)</f>
        <v/>
      </c>
      <c r="R2354" s="96">
        <f>O2354*Q2354</f>
        <v/>
      </c>
      <c r="S2354" s="97">
        <f>TRIM(E2354)</f>
        <v/>
      </c>
    </row>
    <row r="2355" hidden="1">
      <c r="A2355" s="22" t="n">
        <v>2</v>
      </c>
      <c r="B2355" t="inlineStr">
        <is>
          <t xml:space="preserve">CD CIUDADELA                  </t>
        </is>
      </c>
      <c r="C2355" t="inlineStr">
        <is>
          <t xml:space="preserve">GRUPO L.                      </t>
        </is>
      </c>
      <c r="D2355" t="inlineStr">
        <is>
          <t>BAND 102</t>
        </is>
      </c>
      <c r="E2355" t="inlineStr">
        <is>
          <t xml:space="preserve">7790000000802       </t>
        </is>
      </c>
      <c r="F2355" t="n">
        <v>2016664</v>
      </c>
      <c r="G2355" t="inlineStr">
        <is>
          <t xml:space="preserve"> BANDEJA 102 PE X100U              </t>
        </is>
      </c>
      <c r="H2355" t="inlineStr">
        <is>
          <t xml:space="preserve">BULTOS              </t>
        </is>
      </c>
      <c r="I2355" t="n">
        <v>71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71</v>
      </c>
      <c r="P2355" s="96">
        <f>_xlfn.XLOOKUP(Tabla5[[#This Row],[EAN CORREGIDO]],'Tabla Articulos'!B:B,'Tabla Articulos'!D:D)</f>
        <v/>
      </c>
      <c r="Q2355" s="96">
        <f>_xlfn.XLOOKUP(S2355,'Tabla Articulos'!B:B,'Tabla Articulos'!E:E)</f>
        <v/>
      </c>
      <c r="R2355" s="96">
        <f>O2355*Q2355</f>
        <v/>
      </c>
      <c r="S2355" s="97">
        <f>TRIM(E2355)</f>
        <v/>
      </c>
    </row>
    <row r="2356" hidden="1">
      <c r="A2356" s="22" t="n">
        <v>2</v>
      </c>
      <c r="B2356" t="inlineStr">
        <is>
          <t xml:space="preserve">CD CIUDADELA                  </t>
        </is>
      </c>
      <c r="C2356" t="inlineStr">
        <is>
          <t xml:space="preserve">GRUPO L.                      </t>
        </is>
      </c>
      <c r="D2356" t="inlineStr">
        <is>
          <t>AGUA SAB MANZANA IND</t>
        </is>
      </c>
      <c r="E2356" t="inlineStr">
        <is>
          <t xml:space="preserve">7790895009211       </t>
        </is>
      </c>
      <c r="F2356" t="n">
        <v>4024816</v>
      </c>
      <c r="G2356" t="inlineStr">
        <is>
          <t xml:space="preserve">AGUA SAB X 600 CC MANZANA AQUARIUS </t>
        </is>
      </c>
      <c r="H2356" t="inlineStr">
        <is>
          <t xml:space="preserve">UNIDAD              </t>
        </is>
      </c>
      <c r="I2356" t="n">
        <v>4072</v>
      </c>
      <c r="J2356" t="n">
        <v>0</v>
      </c>
      <c r="K2356" t="n">
        <v>0</v>
      </c>
      <c r="L2356" t="n">
        <v>224</v>
      </c>
      <c r="M2356" t="n">
        <v>224</v>
      </c>
      <c r="N2356" t="n">
        <v>0</v>
      </c>
      <c r="O2356" t="n">
        <v>3624</v>
      </c>
      <c r="P2356" s="96">
        <f>_xlfn.XLOOKUP(Tabla5[[#This Row],[EAN CORREGIDO]],'Tabla Articulos'!B:B,'Tabla Articulos'!D:D)</f>
        <v/>
      </c>
      <c r="Q2356" s="96">
        <f>_xlfn.XLOOKUP(S2356,'Tabla Articulos'!B:B,'Tabla Articulos'!E:E)</f>
        <v/>
      </c>
      <c r="R2356" s="96">
        <f>O2356*Q2356</f>
        <v/>
      </c>
      <c r="S2356" s="97">
        <f>TRIM(E2356)</f>
        <v/>
      </c>
    </row>
    <row r="2357" hidden="1">
      <c r="A2357" s="22" t="n">
        <v>2</v>
      </c>
      <c r="B2357" t="inlineStr">
        <is>
          <t xml:space="preserve">CD CIUDADELA                  </t>
        </is>
      </c>
      <c r="C2357" t="inlineStr">
        <is>
          <t xml:space="preserve">GRUPO L.                      </t>
        </is>
      </c>
      <c r="D2357" t="inlineStr">
        <is>
          <t>OBLEAS BAÑADAS</t>
        </is>
      </c>
      <c r="E2357" t="inlineStr">
        <is>
          <t xml:space="preserve">7790580124045       </t>
        </is>
      </c>
      <c r="F2357" t="n">
        <v>4019005</v>
      </c>
      <c r="G2357" t="inlineStr">
        <is>
          <t xml:space="preserve">OBLEA CHO BCO 45G X 12U GRAFITTI   </t>
        </is>
      </c>
      <c r="H2357" t="inlineStr">
        <is>
          <t xml:space="preserve">UNIDAD              </t>
        </is>
      </c>
      <c r="I2357" t="n">
        <v>98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98</v>
      </c>
      <c r="P2357" s="96">
        <f>_xlfn.XLOOKUP(Tabla5[[#This Row],[EAN CORREGIDO]],'Tabla Articulos'!B:B,'Tabla Articulos'!D:D)</f>
        <v/>
      </c>
      <c r="Q2357" s="96">
        <f>_xlfn.XLOOKUP(S2357,'Tabla Articulos'!B:B,'Tabla Articulos'!E:E)</f>
        <v/>
      </c>
      <c r="R2357" s="96">
        <f>O2357*Q2357</f>
        <v/>
      </c>
      <c r="S2357" s="97">
        <f>TRIM(E2357)</f>
        <v/>
      </c>
    </row>
    <row r="2358" hidden="1">
      <c r="A2358" s="22" t="n">
        <v>2</v>
      </c>
      <c r="B2358" t="inlineStr">
        <is>
          <t xml:space="preserve">CD CIUDADELA                  </t>
        </is>
      </c>
      <c r="C2358" t="inlineStr">
        <is>
          <t xml:space="preserve">GRUPO L.                      </t>
        </is>
      </c>
      <c r="D2358" t="inlineStr">
        <is>
          <t>JUGO POLVO MANZANA</t>
        </is>
      </c>
      <c r="E2358" t="inlineStr">
        <is>
          <t xml:space="preserve">7790580144142       </t>
        </is>
      </c>
      <c r="F2358" t="n">
        <v>4021533</v>
      </c>
      <c r="G2358" t="inlineStr">
        <is>
          <t xml:space="preserve">JUGO POLVO MANZ ROJA X15GR ARCOR   </t>
        </is>
      </c>
      <c r="H2358" t="inlineStr">
        <is>
          <t xml:space="preserve">UNIDAD              </t>
        </is>
      </c>
      <c r="I2358" t="n">
        <v>15560</v>
      </c>
      <c r="J2358" t="n">
        <v>0</v>
      </c>
      <c r="K2358" t="n">
        <v>0</v>
      </c>
      <c r="L2358" t="n">
        <v>72</v>
      </c>
      <c r="M2358" t="n">
        <v>72</v>
      </c>
      <c r="N2358" t="n">
        <v>0</v>
      </c>
      <c r="O2358" t="n">
        <v>15416</v>
      </c>
      <c r="P2358" s="96">
        <f>_xlfn.XLOOKUP(Tabla5[[#This Row],[EAN CORREGIDO]],'Tabla Articulos'!B:B,'Tabla Articulos'!D:D)</f>
        <v/>
      </c>
      <c r="Q2358" s="96">
        <f>_xlfn.XLOOKUP(S2358,'Tabla Articulos'!B:B,'Tabla Articulos'!E:E)</f>
        <v/>
      </c>
      <c r="R2358" s="96">
        <f>O2358*Q2358</f>
        <v/>
      </c>
      <c r="S2358" s="97">
        <f>TRIM(E2358)</f>
        <v/>
      </c>
    </row>
    <row r="2359" hidden="1">
      <c r="A2359" s="22" t="n">
        <v>2</v>
      </c>
      <c r="B2359" t="inlineStr">
        <is>
          <t xml:space="preserve">CD CIUDADELA                  </t>
        </is>
      </c>
      <c r="C2359" t="inlineStr">
        <is>
          <t xml:space="preserve">GRUPO L.                      </t>
        </is>
      </c>
      <c r="D2359" t="inlineStr">
        <is>
          <t>VASO PLASTICO</t>
        </is>
      </c>
      <c r="E2359" t="inlineStr">
        <is>
          <t xml:space="preserve">7790321020346       </t>
        </is>
      </c>
      <c r="F2359" t="n">
        <v>2006475</v>
      </c>
      <c r="G2359" t="inlineStr">
        <is>
          <t xml:space="preserve">VASO PLASTICO X 180 X 100 U        </t>
        </is>
      </c>
      <c r="H2359" t="inlineStr">
        <is>
          <t xml:space="preserve">UNIDAD              </t>
        </is>
      </c>
      <c r="I2359" t="n">
        <v>143</v>
      </c>
      <c r="J2359" t="n">
        <v>0</v>
      </c>
      <c r="K2359" t="n">
        <v>0</v>
      </c>
      <c r="L2359" t="n">
        <v>19</v>
      </c>
      <c r="M2359" t="n">
        <v>19</v>
      </c>
      <c r="N2359" t="n">
        <v>0</v>
      </c>
      <c r="O2359" t="n">
        <v>105</v>
      </c>
      <c r="P2359" s="96">
        <f>_xlfn.XLOOKUP(Tabla5[[#This Row],[EAN CORREGIDO]],'Tabla Articulos'!B:B,'Tabla Articulos'!D:D)</f>
        <v/>
      </c>
      <c r="Q2359" s="96">
        <f>_xlfn.XLOOKUP(S2359,'Tabla Articulos'!B:B,'Tabla Articulos'!E:E)</f>
        <v/>
      </c>
      <c r="R2359" s="96">
        <f>O2359*Q2359</f>
        <v/>
      </c>
      <c r="S2359" s="97">
        <f>TRIM(E2359)</f>
        <v/>
      </c>
    </row>
    <row r="2360" hidden="1">
      <c r="A2360" s="22" t="n">
        <v>2</v>
      </c>
      <c r="B2360" t="inlineStr">
        <is>
          <t xml:space="preserve">CD CIUDADELA                  </t>
        </is>
      </c>
      <c r="C2360" t="inlineStr">
        <is>
          <t xml:space="preserve">GRUPO L.                      </t>
        </is>
      </c>
      <c r="D2360" t="inlineStr">
        <is>
          <t>RICOTA ENTERA FRACCIONABLE</t>
        </is>
      </c>
      <c r="E2360" t="inlineStr">
        <is>
          <t xml:space="preserve">7790212060845       </t>
        </is>
      </c>
      <c r="F2360" t="n">
        <v>4018310</v>
      </c>
      <c r="G2360" t="inlineStr">
        <is>
          <t xml:space="preserve">RICOTA X KG                        </t>
        </is>
      </c>
      <c r="H2360" t="inlineStr">
        <is>
          <t xml:space="preserve">Kgs                 </t>
        </is>
      </c>
      <c r="I2360" t="n">
        <v>711.9</v>
      </c>
      <c r="J2360" t="n">
        <v>0</v>
      </c>
      <c r="K2360" t="n">
        <v>0</v>
      </c>
      <c r="L2360" t="n">
        <v>74.405</v>
      </c>
      <c r="M2360" t="n">
        <v>73.405</v>
      </c>
      <c r="N2360" t="n">
        <v>0</v>
      </c>
      <c r="O2360" t="n">
        <v>564.09</v>
      </c>
      <c r="P2360" s="96">
        <f>_xlfn.XLOOKUP(Tabla5[[#This Row],[EAN CORREGIDO]],'Tabla Articulos'!B:B,'Tabla Articulos'!D:D)</f>
        <v/>
      </c>
      <c r="Q2360" s="96">
        <f>_xlfn.XLOOKUP(S2360,'Tabla Articulos'!B:B,'Tabla Articulos'!E:E)</f>
        <v/>
      </c>
      <c r="R2360" s="96">
        <f>O2360*Q2360</f>
        <v/>
      </c>
      <c r="S2360" s="97">
        <f>TRIM(E2360)</f>
        <v/>
      </c>
    </row>
    <row r="2361" hidden="1">
      <c r="A2361" s="22" t="n">
        <v>2</v>
      </c>
      <c r="B2361" t="inlineStr">
        <is>
          <t xml:space="preserve">CD CIUDADELA                  </t>
        </is>
      </c>
      <c r="C2361" t="inlineStr">
        <is>
          <t xml:space="preserve">GRUPO L.                      </t>
        </is>
      </c>
      <c r="D2361" t="inlineStr">
        <is>
          <t>MANTEL LOGO GL</t>
        </is>
      </c>
      <c r="E2361" t="inlineStr">
        <is>
          <t xml:space="preserve">7790000000710       </t>
        </is>
      </c>
      <c r="F2361" t="n">
        <v>2016510</v>
      </c>
      <c r="G2361" t="inlineStr">
        <is>
          <t xml:space="preserve"> MANTEL INDIV BLUE PERFECTO X1000UN</t>
        </is>
      </c>
      <c r="H2361" t="inlineStr">
        <is>
          <t xml:space="preserve">UNIDAD              </t>
        </is>
      </c>
      <c r="I2361" t="n">
        <v>19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19</v>
      </c>
      <c r="P2361" s="96">
        <f>_xlfn.XLOOKUP(Tabla5[[#This Row],[EAN CORREGIDO]],'Tabla Articulos'!B:B,'Tabla Articulos'!D:D)</f>
        <v/>
      </c>
      <c r="Q2361" s="96">
        <f>_xlfn.XLOOKUP(S2361,'Tabla Articulos'!B:B,'Tabla Articulos'!E:E)</f>
        <v/>
      </c>
      <c r="R2361" s="96">
        <f>O2361*Q2361</f>
        <v/>
      </c>
      <c r="S2361" s="97">
        <f>TRIM(E2361)</f>
        <v/>
      </c>
    </row>
    <row r="2362" hidden="1">
      <c r="A2362" s="22" t="n">
        <v>2</v>
      </c>
      <c r="B2362" t="inlineStr">
        <is>
          <t xml:space="preserve">CD CIUDADELA                  </t>
        </is>
      </c>
      <c r="C2362" t="inlineStr">
        <is>
          <t xml:space="preserve">GRUPO L.                      </t>
        </is>
      </c>
      <c r="D2362" t="inlineStr">
        <is>
          <t>PIMENTON</t>
        </is>
      </c>
      <c r="E2362" t="inlineStr">
        <is>
          <t xml:space="preserve">7793875360272       </t>
        </is>
      </c>
      <c r="F2362" t="n">
        <v>4020416</v>
      </c>
      <c r="G2362" t="inlineStr">
        <is>
          <t xml:space="preserve">PIMENTON EXTRA X 1 KG AROMAS       </t>
        </is>
      </c>
      <c r="H2362" t="inlineStr">
        <is>
          <t xml:space="preserve">UNIDAD              </t>
        </is>
      </c>
      <c r="I2362" t="n">
        <v>1097</v>
      </c>
      <c r="J2362" t="n">
        <v>0</v>
      </c>
      <c r="K2362" t="n">
        <v>0</v>
      </c>
      <c r="L2362" t="n">
        <v>2</v>
      </c>
      <c r="M2362" t="n">
        <v>2</v>
      </c>
      <c r="N2362" t="n">
        <v>0</v>
      </c>
      <c r="O2362" t="n">
        <v>1093</v>
      </c>
      <c r="P2362" s="96">
        <f>_xlfn.XLOOKUP(Tabla5[[#This Row],[EAN CORREGIDO]],'Tabla Articulos'!B:B,'Tabla Articulos'!D:D)</f>
        <v/>
      </c>
      <c r="Q2362" s="96">
        <f>_xlfn.XLOOKUP(S2362,'Tabla Articulos'!B:B,'Tabla Articulos'!E:E)</f>
        <v/>
      </c>
      <c r="R2362" s="96">
        <f>O2362*Q2362</f>
        <v/>
      </c>
      <c r="S2362" s="97">
        <f>TRIM(E2362)</f>
        <v/>
      </c>
    </row>
    <row r="2363" hidden="1">
      <c r="A2363" s="22" t="n">
        <v>2</v>
      </c>
      <c r="B2363" t="inlineStr">
        <is>
          <t xml:space="preserve">CD CIUDADELA                  </t>
        </is>
      </c>
      <c r="C2363" t="inlineStr">
        <is>
          <t xml:space="preserve">GRUPO L.                      </t>
        </is>
      </c>
      <c r="D2363" t="inlineStr">
        <is>
          <t>VASO TERMICO</t>
        </is>
      </c>
      <c r="E2363" t="inlineStr">
        <is>
          <t xml:space="preserve">17798038127096      </t>
        </is>
      </c>
      <c r="F2363" t="n">
        <v>2007386</v>
      </c>
      <c r="G2363" t="inlineStr">
        <is>
          <t xml:space="preserve">VASO TERMICO 180CCX1000U ETISOL    </t>
        </is>
      </c>
      <c r="H2363" t="inlineStr">
        <is>
          <t xml:space="preserve">UNIDAD              </t>
        </is>
      </c>
      <c r="I2363" t="n">
        <v>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3</v>
      </c>
      <c r="P2363" s="96">
        <f>_xlfn.XLOOKUP(Tabla5[[#This Row],[EAN CORREGIDO]],'Tabla Articulos'!B:B,'Tabla Articulos'!D:D)</f>
        <v/>
      </c>
      <c r="Q2363" s="96">
        <f>_xlfn.XLOOKUP(S2363,'Tabla Articulos'!B:B,'Tabla Articulos'!E:E)</f>
        <v/>
      </c>
      <c r="R2363" s="96">
        <f>O2363*Q2363</f>
        <v/>
      </c>
      <c r="S2363" s="97">
        <f>TRIM(E2363)</f>
        <v/>
      </c>
    </row>
    <row r="2364" hidden="1">
      <c r="A2364" s="22" t="n">
        <v>2</v>
      </c>
      <c r="B2364" t="inlineStr">
        <is>
          <t xml:space="preserve">CD CIUDADELA                  </t>
        </is>
      </c>
      <c r="C2364" t="inlineStr">
        <is>
          <t xml:space="preserve">GRUPO L.                      </t>
        </is>
      </c>
      <c r="D2364" t="inlineStr">
        <is>
          <t>GALLE CON CHIPS</t>
        </is>
      </c>
      <c r="E2364" t="inlineStr">
        <is>
          <t xml:space="preserve">7622201735906       </t>
        </is>
      </c>
      <c r="F2364" t="n">
        <v>4018755</v>
      </c>
      <c r="G2364" t="inlineStr">
        <is>
          <t xml:space="preserve">GALLE DULCE X119G PEPITOS          </t>
        </is>
      </c>
      <c r="H2364" t="inlineStr">
        <is>
          <t xml:space="preserve">UNIDAD              </t>
        </is>
      </c>
      <c r="I2364" t="n">
        <v>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6</v>
      </c>
      <c r="P2364" s="96">
        <f>_xlfn.XLOOKUP(Tabla5[[#This Row],[EAN CORREGIDO]],'Tabla Articulos'!B:B,'Tabla Articulos'!D:D)</f>
        <v/>
      </c>
      <c r="Q2364" s="96">
        <f>_xlfn.XLOOKUP(S2364,'Tabla Articulos'!B:B,'Tabla Articulos'!E:E)</f>
        <v/>
      </c>
      <c r="R2364" s="96">
        <f>O2364*Q2364</f>
        <v/>
      </c>
      <c r="S2364" s="97">
        <f>TRIM(E2364)</f>
        <v/>
      </c>
    </row>
    <row r="2365" hidden="1">
      <c r="A2365" s="22" t="n">
        <v>2</v>
      </c>
      <c r="B2365" t="inlineStr">
        <is>
          <t xml:space="preserve">CD CIUDADELA                  </t>
        </is>
      </c>
      <c r="C2365" t="inlineStr">
        <is>
          <t xml:space="preserve">GRUPO L.                      </t>
        </is>
      </c>
      <c r="D2365" t="inlineStr">
        <is>
          <t>TOSTADA INDIVIDUAL</t>
        </is>
      </c>
      <c r="E2365" t="inlineStr">
        <is>
          <t xml:space="preserve">7798120180742       </t>
        </is>
      </c>
      <c r="F2365" t="n">
        <v>4019190</v>
      </c>
      <c r="G2365" t="inlineStr">
        <is>
          <t xml:space="preserve">TOSTADAS DE MESA X15G MANIERI      </t>
        </is>
      </c>
      <c r="H2365" t="inlineStr">
        <is>
          <t xml:space="preserve">UNIDAD              </t>
        </is>
      </c>
      <c r="I2365" t="n">
        <v>13454</v>
      </c>
      <c r="J2365" t="n">
        <v>0</v>
      </c>
      <c r="K2365" t="n">
        <v>0</v>
      </c>
      <c r="L2365" t="n">
        <v>576</v>
      </c>
      <c r="M2365" t="n">
        <v>576</v>
      </c>
      <c r="N2365" t="n">
        <v>696</v>
      </c>
      <c r="O2365" t="n">
        <v>11606</v>
      </c>
      <c r="P2365" s="96">
        <f>_xlfn.XLOOKUP(Tabla5[[#This Row],[EAN CORREGIDO]],'Tabla Articulos'!B:B,'Tabla Articulos'!D:D)</f>
        <v/>
      </c>
      <c r="Q2365" s="96">
        <f>_xlfn.XLOOKUP(S2365,'Tabla Articulos'!B:B,'Tabla Articulos'!E:E)</f>
        <v/>
      </c>
      <c r="R2365" s="96">
        <f>O2365*Q2365</f>
        <v/>
      </c>
      <c r="S2365" s="97">
        <f>TRIM(E2365)</f>
        <v/>
      </c>
    </row>
    <row r="2366" hidden="1">
      <c r="A2366" s="22" t="n">
        <v>2</v>
      </c>
      <c r="B2366" t="inlineStr">
        <is>
          <t xml:space="preserve">CD CIUDADELA                  </t>
        </is>
      </c>
      <c r="C2366" t="inlineStr">
        <is>
          <t xml:space="preserve">GRUPO L.                      </t>
        </is>
      </c>
      <c r="D2366" t="inlineStr">
        <is>
          <t>DONAS ROSA DDL</t>
        </is>
      </c>
      <c r="E2366" t="inlineStr">
        <is>
          <t xml:space="preserve">7799132966519       </t>
        </is>
      </c>
      <c r="F2366" t="n">
        <v>4018468</v>
      </c>
      <c r="G2366" t="inlineStr">
        <is>
          <t xml:space="preserve">DONA BAÑADA ROSA DDL X48U SELY     </t>
        </is>
      </c>
      <c r="H2366" t="inlineStr">
        <is>
          <t xml:space="preserve">UNIDAD              </t>
        </is>
      </c>
      <c r="I2366" t="n">
        <v>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2</v>
      </c>
      <c r="P2366" s="96">
        <f>_xlfn.XLOOKUP(Tabla5[[#This Row],[EAN CORREGIDO]],'Tabla Articulos'!B:B,'Tabla Articulos'!D:D)</f>
        <v/>
      </c>
      <c r="Q2366" s="96">
        <f>_xlfn.XLOOKUP(S2366,'Tabla Articulos'!B:B,'Tabla Articulos'!E:E)</f>
        <v/>
      </c>
      <c r="R2366" s="96">
        <f>O2366*Q2366</f>
        <v/>
      </c>
      <c r="S2366" s="97">
        <f>TRIM(E2366)</f>
        <v/>
      </c>
    </row>
    <row r="2367" hidden="1">
      <c r="A2367" s="22" t="n">
        <v>2</v>
      </c>
      <c r="B2367" t="inlineStr">
        <is>
          <t xml:space="preserve">CD CIUDADELA                  </t>
        </is>
      </c>
      <c r="C2367" t="inlineStr">
        <is>
          <t xml:space="preserve">GRUPO L.                      </t>
        </is>
      </c>
      <c r="D2367" t="inlineStr">
        <is>
          <t>LECHE DE ALMENDRAS</t>
        </is>
      </c>
      <c r="E2367" t="inlineStr">
        <is>
          <t xml:space="preserve">7798290581875       </t>
        </is>
      </c>
      <c r="F2367" t="n">
        <v>4021304</v>
      </c>
      <c r="G2367" t="inlineStr">
        <is>
          <t xml:space="preserve">LECHE ALMENDRAS X1L BIBA.          </t>
        </is>
      </c>
      <c r="H2367" t="inlineStr">
        <is>
          <t xml:space="preserve">UNIDAD              </t>
        </is>
      </c>
      <c r="I2367" t="n">
        <v>99</v>
      </c>
      <c r="J2367" t="n">
        <v>0</v>
      </c>
      <c r="K2367" t="n">
        <v>0</v>
      </c>
      <c r="L2367" t="n">
        <v>6</v>
      </c>
      <c r="M2367" t="n">
        <v>6</v>
      </c>
      <c r="N2367" t="n">
        <v>0</v>
      </c>
      <c r="O2367" t="n">
        <v>87</v>
      </c>
      <c r="P2367" s="96">
        <f>_xlfn.XLOOKUP(Tabla5[[#This Row],[EAN CORREGIDO]],'Tabla Articulos'!B:B,'Tabla Articulos'!D:D)</f>
        <v/>
      </c>
      <c r="Q2367" s="96">
        <f>_xlfn.XLOOKUP(S2367,'Tabla Articulos'!B:B,'Tabla Articulos'!E:E)</f>
        <v/>
      </c>
      <c r="R2367" s="96">
        <f>O2367*Q2367</f>
        <v/>
      </c>
      <c r="S2367" s="97">
        <f>TRIM(E2367)</f>
        <v/>
      </c>
    </row>
    <row r="2368" hidden="1">
      <c r="A2368" s="22" t="n">
        <v>2</v>
      </c>
      <c r="B2368" t="inlineStr">
        <is>
          <t xml:space="preserve">CD CIUDADELA                  </t>
        </is>
      </c>
      <c r="C2368" t="inlineStr">
        <is>
          <t xml:space="preserve">GRUPO L.                      </t>
        </is>
      </c>
      <c r="D2368" t="inlineStr">
        <is>
          <t>SAL FINA</t>
        </is>
      </c>
      <c r="E2368" t="inlineStr">
        <is>
          <t xml:space="preserve">7790641000011       </t>
        </is>
      </c>
      <c r="F2368" t="n">
        <v>4019591</v>
      </c>
      <c r="G2368" t="inlineStr">
        <is>
          <t xml:space="preserve">SAL FINA X 500 G COLOSAL           </t>
        </is>
      </c>
      <c r="H2368" t="inlineStr">
        <is>
          <t xml:space="preserve">UNIDAD              </t>
        </is>
      </c>
      <c r="I2368" t="n">
        <v>4223</v>
      </c>
      <c r="J2368" t="n">
        <v>0</v>
      </c>
      <c r="K2368" t="n">
        <v>0</v>
      </c>
      <c r="L2368" t="n">
        <v>66</v>
      </c>
      <c r="M2368" t="n">
        <v>66</v>
      </c>
      <c r="N2368" t="n">
        <v>0</v>
      </c>
      <c r="O2368" t="n">
        <v>4091</v>
      </c>
      <c r="P2368" s="96">
        <f>_xlfn.XLOOKUP(Tabla5[[#This Row],[EAN CORREGIDO]],'Tabla Articulos'!B:B,'Tabla Articulos'!D:D)</f>
        <v/>
      </c>
      <c r="Q2368" s="96">
        <f>_xlfn.XLOOKUP(S2368,'Tabla Articulos'!B:B,'Tabla Articulos'!E:E)</f>
        <v/>
      </c>
      <c r="R2368" s="96">
        <f>O2368*Q2368</f>
        <v/>
      </c>
      <c r="S2368" s="97">
        <f>TRIM(E2368)</f>
        <v/>
      </c>
    </row>
    <row r="2369" hidden="1">
      <c r="A2369" s="22" t="n">
        <v>2</v>
      </c>
      <c r="B2369" t="inlineStr">
        <is>
          <t xml:space="preserve">CD CIUDADELA                  </t>
        </is>
      </c>
      <c r="C2369" t="inlineStr">
        <is>
          <t xml:space="preserve">GRUPO L.                      </t>
        </is>
      </c>
      <c r="D2369" t="inlineStr">
        <is>
          <t>SAL FINAL S/TACC</t>
        </is>
      </c>
      <c r="E2369" t="inlineStr">
        <is>
          <t xml:space="preserve">7790072001014       </t>
        </is>
      </c>
      <c r="F2369" t="n">
        <v>4019304</v>
      </c>
      <c r="G2369" t="inlineStr">
        <is>
          <t xml:space="preserve">SAL FINA X 500 GR CELUSAL.         </t>
        </is>
      </c>
      <c r="H2369" t="inlineStr">
        <is>
          <t xml:space="preserve">UNIDAD              </t>
        </is>
      </c>
      <c r="I2369" t="n">
        <v>2502</v>
      </c>
      <c r="J2369" t="n">
        <v>0</v>
      </c>
      <c r="K2369" t="n">
        <v>0</v>
      </c>
      <c r="L2369" t="n">
        <v>14</v>
      </c>
      <c r="M2369" t="n">
        <v>14</v>
      </c>
      <c r="N2369" t="n">
        <v>0</v>
      </c>
      <c r="O2369" t="n">
        <v>2474</v>
      </c>
      <c r="P2369" s="96">
        <f>_xlfn.XLOOKUP(Tabla5[[#This Row],[EAN CORREGIDO]],'Tabla Articulos'!B:B,'Tabla Articulos'!D:D)</f>
        <v/>
      </c>
      <c r="Q2369" s="96">
        <f>_xlfn.XLOOKUP(S2369,'Tabla Articulos'!B:B,'Tabla Articulos'!E:E)</f>
        <v/>
      </c>
      <c r="R2369" s="96">
        <f>O2369*Q2369</f>
        <v/>
      </c>
      <c r="S2369" s="97">
        <f>TRIM(E2369)</f>
        <v/>
      </c>
    </row>
    <row r="2370" hidden="1">
      <c r="A2370" s="22" t="n">
        <v>2</v>
      </c>
      <c r="B2370" t="inlineStr">
        <is>
          <t xml:space="preserve">CD CIUDADELA                  </t>
        </is>
      </c>
      <c r="C2370" t="inlineStr">
        <is>
          <t xml:space="preserve">GRUPO L.                      </t>
        </is>
      </c>
      <c r="D2370" t="inlineStr">
        <is>
          <t>CHOCOLATE TAZA</t>
        </is>
      </c>
      <c r="E2370" t="inlineStr">
        <is>
          <t xml:space="preserve">7790580105822       </t>
        </is>
      </c>
      <c r="F2370" t="n">
        <v>4019741</v>
      </c>
      <c r="G2370" t="inlineStr">
        <is>
          <t xml:space="preserve">CHOCOLATE TAZA X225G AGUILA        </t>
        </is>
      </c>
      <c r="H2370" t="inlineStr">
        <is>
          <t xml:space="preserve">UNIDAD              </t>
        </is>
      </c>
      <c r="I2370" t="n">
        <v>847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847</v>
      </c>
      <c r="P2370" s="96">
        <f>_xlfn.XLOOKUP(Tabla5[[#This Row],[EAN CORREGIDO]],'Tabla Articulos'!B:B,'Tabla Articulos'!D:D)</f>
        <v/>
      </c>
      <c r="Q2370" s="96">
        <f>_xlfn.XLOOKUP(S2370,'Tabla Articulos'!B:B,'Tabla Articulos'!E:E)</f>
        <v/>
      </c>
      <c r="R2370" s="96">
        <f>O2370*Q2370</f>
        <v/>
      </c>
      <c r="S2370" s="97">
        <f>TRIM(E2370)</f>
        <v/>
      </c>
    </row>
    <row r="2371" hidden="1">
      <c r="A2371" s="22" t="n">
        <v>2</v>
      </c>
      <c r="B2371" t="inlineStr">
        <is>
          <t xml:space="preserve">CD CIUDADELA                  </t>
        </is>
      </c>
      <c r="C2371" t="inlineStr">
        <is>
          <t xml:space="preserve">GRUPO L.                      </t>
        </is>
      </c>
      <c r="D2371" t="inlineStr">
        <is>
          <t>VAINILLAS PAQUETE</t>
        </is>
      </c>
      <c r="E2371" t="inlineStr">
        <is>
          <t xml:space="preserve">7790077000067       </t>
        </is>
      </c>
      <c r="F2371" t="n">
        <v>4019422</v>
      </c>
      <c r="G2371" t="inlineStr">
        <is>
          <t xml:space="preserve">VAINILLAS X148G POZO               </t>
        </is>
      </c>
      <c r="H2371" t="inlineStr">
        <is>
          <t xml:space="preserve">UNIDAD              </t>
        </is>
      </c>
      <c r="I2371" t="n">
        <v>3340</v>
      </c>
      <c r="J2371" t="n">
        <v>0</v>
      </c>
      <c r="K2371" t="n">
        <v>0</v>
      </c>
      <c r="L2371" t="n">
        <v>130</v>
      </c>
      <c r="M2371" t="n">
        <v>130</v>
      </c>
      <c r="N2371" t="n">
        <v>0</v>
      </c>
      <c r="O2371" t="n">
        <v>3080</v>
      </c>
      <c r="P2371" s="96">
        <f>_xlfn.XLOOKUP(Tabla5[[#This Row],[EAN CORREGIDO]],'Tabla Articulos'!B:B,'Tabla Articulos'!D:D)</f>
        <v/>
      </c>
      <c r="Q2371" s="96">
        <f>_xlfn.XLOOKUP(S2371,'Tabla Articulos'!B:B,'Tabla Articulos'!E:E)</f>
        <v/>
      </c>
      <c r="R2371" s="96">
        <f>O2371*Q2371</f>
        <v/>
      </c>
      <c r="S2371" s="97">
        <f>TRIM(E2371)</f>
        <v/>
      </c>
    </row>
    <row r="2372" hidden="1">
      <c r="A2372" s="22" t="n">
        <v>2</v>
      </c>
      <c r="B2372" t="inlineStr">
        <is>
          <t xml:space="preserve">CD CIUDADELA                  </t>
        </is>
      </c>
      <c r="C2372" t="inlineStr">
        <is>
          <t xml:space="preserve">GRUPO L.                      </t>
        </is>
      </c>
      <c r="D2372" t="inlineStr">
        <is>
          <t>GELATINA FRUTILLA</t>
        </is>
      </c>
      <c r="E2372" t="inlineStr">
        <is>
          <t xml:space="preserve">7791113001178       </t>
        </is>
      </c>
      <c r="F2372" t="n">
        <v>4020654</v>
      </c>
      <c r="G2372" t="inlineStr">
        <is>
          <t xml:space="preserve">GELATINA FRUTILLA X 70 G EMETH     </t>
        </is>
      </c>
      <c r="H2372" t="inlineStr">
        <is>
          <t xml:space="preserve">UNIDAD              </t>
        </is>
      </c>
      <c r="I2372" t="n">
        <v>1637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1637</v>
      </c>
      <c r="P2372" s="96">
        <f>_xlfn.XLOOKUP(Tabla5[[#This Row],[EAN CORREGIDO]],'Tabla Articulos'!B:B,'Tabla Articulos'!D:D)</f>
        <v/>
      </c>
      <c r="Q2372" s="96">
        <f>_xlfn.XLOOKUP(S2372,'Tabla Articulos'!B:B,'Tabla Articulos'!E:E)</f>
        <v/>
      </c>
      <c r="R2372" s="96">
        <f>O2372*Q2372</f>
        <v/>
      </c>
      <c r="S2372" s="97">
        <f>TRIM(E2372)</f>
        <v/>
      </c>
    </row>
    <row r="2373" hidden="1">
      <c r="A2373" s="22" t="n">
        <v>2</v>
      </c>
      <c r="B2373" t="inlineStr">
        <is>
          <t xml:space="preserve">CD CIUDADELA                  </t>
        </is>
      </c>
      <c r="C2373" t="inlineStr">
        <is>
          <t xml:space="preserve">GRUPO L.                      </t>
        </is>
      </c>
      <c r="D2373" t="inlineStr">
        <is>
          <t>AGUA SAB MANZANA</t>
        </is>
      </c>
      <c r="E2373" t="inlineStr">
        <is>
          <t xml:space="preserve">7790895640483       </t>
        </is>
      </c>
      <c r="F2373" t="n">
        <v>4017199</v>
      </c>
      <c r="G2373" t="inlineStr">
        <is>
          <t xml:space="preserve">AGUA SAB MANZANA X 1.5 L AQUA      </t>
        </is>
      </c>
      <c r="H2373" t="inlineStr">
        <is>
          <t xml:space="preserve">UNIDAD              </t>
        </is>
      </c>
      <c r="I2373" t="n">
        <v>163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163</v>
      </c>
      <c r="P2373" s="96">
        <f>_xlfn.XLOOKUP(Tabla5[[#This Row],[EAN CORREGIDO]],'Tabla Articulos'!B:B,'Tabla Articulos'!D:D)</f>
        <v/>
      </c>
      <c r="Q2373" s="96">
        <f>_xlfn.XLOOKUP(S2373,'Tabla Articulos'!B:B,'Tabla Articulos'!E:E)</f>
        <v/>
      </c>
      <c r="R2373" s="96">
        <f>O2373*Q2373</f>
        <v/>
      </c>
      <c r="S2373" s="97">
        <f>TRIM(E2373)</f>
        <v/>
      </c>
    </row>
    <row r="2374" hidden="1">
      <c r="A2374" s="22" t="n">
        <v>2</v>
      </c>
      <c r="B2374" t="inlineStr">
        <is>
          <t xml:space="preserve">CD CIUDADELA                  </t>
        </is>
      </c>
      <c r="C2374" t="inlineStr">
        <is>
          <t xml:space="preserve">GRUPO L.                      </t>
        </is>
      </c>
      <c r="D2374" t="inlineStr">
        <is>
          <t>CONDIM P/PIZZA</t>
        </is>
      </c>
      <c r="E2374" t="inlineStr">
        <is>
          <t xml:space="preserve">7793875360319       </t>
        </is>
      </c>
      <c r="F2374" t="n">
        <v>4020225</v>
      </c>
      <c r="G2374" t="inlineStr">
        <is>
          <t xml:space="preserve">CONDIMENTO P/PIZZA X1KG AYS        </t>
        </is>
      </c>
      <c r="H2374" t="inlineStr">
        <is>
          <t xml:space="preserve">UNIDAD              </t>
        </is>
      </c>
      <c r="I2374" t="n">
        <v>270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270</v>
      </c>
      <c r="P2374" s="96">
        <f>_xlfn.XLOOKUP(Tabla5[[#This Row],[EAN CORREGIDO]],'Tabla Articulos'!B:B,'Tabla Articulos'!D:D)</f>
        <v/>
      </c>
      <c r="Q2374" s="96">
        <f>_xlfn.XLOOKUP(S2374,'Tabla Articulos'!B:B,'Tabla Articulos'!E:E)</f>
        <v/>
      </c>
      <c r="R2374" s="96">
        <f>O2374*Q2374</f>
        <v/>
      </c>
      <c r="S2374" s="97">
        <f>TRIM(E2374)</f>
        <v/>
      </c>
    </row>
    <row r="2375" hidden="1">
      <c r="A2375" s="22" t="n">
        <v>2</v>
      </c>
      <c r="B2375" t="inlineStr">
        <is>
          <t xml:space="preserve">CD CIUDADELA                  </t>
        </is>
      </c>
      <c r="C2375" t="inlineStr">
        <is>
          <t xml:space="preserve">GRUPO L.                      </t>
        </is>
      </c>
      <c r="D2375" t="inlineStr">
        <is>
          <t>DURAZNO MITAD LATA</t>
        </is>
      </c>
      <c r="E2375" t="inlineStr">
        <is>
          <t xml:space="preserve">7798132920343       </t>
        </is>
      </c>
      <c r="F2375" t="n">
        <v>4020330</v>
      </c>
      <c r="G2375" t="inlineStr">
        <is>
          <t xml:space="preserve">DURAZNO MITAD X3KG COPA DE ORO	    </t>
        </is>
      </c>
      <c r="H2375" t="inlineStr">
        <is>
          <t xml:space="preserve">UNIDAD              </t>
        </is>
      </c>
      <c r="I2375" t="n">
        <v>918</v>
      </c>
      <c r="J2375" t="n">
        <v>0</v>
      </c>
      <c r="K2375" t="n">
        <v>0</v>
      </c>
      <c r="L2375" t="n">
        <v>48</v>
      </c>
      <c r="M2375" t="n">
        <v>48</v>
      </c>
      <c r="N2375" t="n">
        <v>0</v>
      </c>
      <c r="O2375" t="n">
        <v>822</v>
      </c>
      <c r="P2375" s="96">
        <f>_xlfn.XLOOKUP(Tabla5[[#This Row],[EAN CORREGIDO]],'Tabla Articulos'!B:B,'Tabla Articulos'!D:D)</f>
        <v/>
      </c>
      <c r="Q2375" s="96">
        <f>_xlfn.XLOOKUP(S2375,'Tabla Articulos'!B:B,'Tabla Articulos'!E:E)</f>
        <v/>
      </c>
      <c r="R2375" s="96">
        <f>O2375*Q2375</f>
        <v/>
      </c>
      <c r="S2375" s="97">
        <f>TRIM(E2375)</f>
        <v/>
      </c>
    </row>
    <row r="2376" hidden="1">
      <c r="A2376" s="22" t="n">
        <v>2</v>
      </c>
      <c r="B2376" t="inlineStr">
        <is>
          <t xml:space="preserve">CD CIUDADELA                  </t>
        </is>
      </c>
      <c r="C2376" t="inlineStr">
        <is>
          <t xml:space="preserve">GRUPO L.                      </t>
        </is>
      </c>
      <c r="D2376" t="inlineStr">
        <is>
          <t>FIDEOS SOPEROS</t>
        </is>
      </c>
      <c r="E2376" t="inlineStr">
        <is>
          <t xml:space="preserve">7790070318374       </t>
        </is>
      </c>
      <c r="F2376" t="n">
        <v>4019465</v>
      </c>
      <c r="G2376" t="inlineStr">
        <is>
          <t xml:space="preserve">FIDEO SOP AVE MARIA X500G LUCH     </t>
        </is>
      </c>
      <c r="H2376" t="inlineStr">
        <is>
          <t xml:space="preserve">UNIDAD              </t>
        </is>
      </c>
      <c r="I2376" t="n">
        <v>91</v>
      </c>
      <c r="J2376" t="n">
        <v>0</v>
      </c>
      <c r="K2376" t="n">
        <v>0</v>
      </c>
      <c r="L2376" t="n">
        <v>7</v>
      </c>
      <c r="M2376" t="n">
        <v>7</v>
      </c>
      <c r="N2376" t="n">
        <v>0</v>
      </c>
      <c r="O2376" t="n">
        <v>77</v>
      </c>
      <c r="P2376" s="96">
        <f>_xlfn.XLOOKUP(Tabla5[[#This Row],[EAN CORREGIDO]],'Tabla Articulos'!B:B,'Tabla Articulos'!D:D)</f>
        <v/>
      </c>
      <c r="Q2376" s="96">
        <f>_xlfn.XLOOKUP(S2376,'Tabla Articulos'!B:B,'Tabla Articulos'!E:E)</f>
        <v/>
      </c>
      <c r="R2376" s="96">
        <f>O2376*Q2376</f>
        <v/>
      </c>
      <c r="S2376" s="97">
        <f>TRIM(E2376)</f>
        <v/>
      </c>
    </row>
    <row r="2377" hidden="1">
      <c r="A2377" s="22" t="n">
        <v>2</v>
      </c>
      <c r="B2377" t="inlineStr">
        <is>
          <t xml:space="preserve">CD CIUDADELA                  </t>
        </is>
      </c>
      <c r="C2377" t="inlineStr">
        <is>
          <t xml:space="preserve">GRUPO L.                      </t>
        </is>
      </c>
      <c r="D2377" t="inlineStr">
        <is>
          <t>BAND 102</t>
        </is>
      </c>
      <c r="E2377" t="inlineStr">
        <is>
          <t xml:space="preserve">7798011210039       </t>
        </is>
      </c>
      <c r="F2377" t="n">
        <v>2011504</v>
      </c>
      <c r="G2377" t="inlineStr">
        <is>
          <t xml:space="preserve">BANDEJA 102 MICRO COTNYL X100U     </t>
        </is>
      </c>
      <c r="H2377" t="inlineStr">
        <is>
          <t xml:space="preserve">UNIDAD              </t>
        </is>
      </c>
      <c r="I2377" t="n">
        <v>154</v>
      </c>
      <c r="J2377" t="n">
        <v>0</v>
      </c>
      <c r="K2377" t="n">
        <v>0</v>
      </c>
      <c r="L2377" t="n">
        <v>8</v>
      </c>
      <c r="M2377" t="n">
        <v>8</v>
      </c>
      <c r="N2377" t="n">
        <v>0</v>
      </c>
      <c r="O2377" t="n">
        <v>138</v>
      </c>
      <c r="P2377" s="96">
        <f>_xlfn.XLOOKUP(Tabla5[[#This Row],[EAN CORREGIDO]],'Tabla Articulos'!B:B,'Tabla Articulos'!D:D)</f>
        <v/>
      </c>
      <c r="Q2377" s="96">
        <f>_xlfn.XLOOKUP(S2377,'Tabla Articulos'!B:B,'Tabla Articulos'!E:E)</f>
        <v/>
      </c>
      <c r="R2377" s="96">
        <f>O2377*Q2377</f>
        <v/>
      </c>
      <c r="S2377" s="97">
        <f>TRIM(E2377)</f>
        <v/>
      </c>
    </row>
    <row r="2378" hidden="1">
      <c r="A2378" s="22" t="n">
        <v>2</v>
      </c>
      <c r="B2378" t="inlineStr">
        <is>
          <t xml:space="preserve">CD CIUDADELA                  </t>
        </is>
      </c>
      <c r="C2378" t="inlineStr">
        <is>
          <t xml:space="preserve">GRUPO L.                      </t>
        </is>
      </c>
      <c r="D2378" t="inlineStr">
        <is>
          <t>SESAMO NEGRO</t>
        </is>
      </c>
      <c r="E2378" t="inlineStr">
        <is>
          <t xml:space="preserve">7793323003317       </t>
        </is>
      </c>
      <c r="F2378" t="n">
        <v>4022808</v>
      </c>
      <c r="G2378" t="inlineStr">
        <is>
          <t xml:space="preserve">SEMILLAS SESAMO NGRO 1KG DICOMER   </t>
        </is>
      </c>
      <c r="H2378" t="inlineStr">
        <is>
          <t xml:space="preserve">UNIDAD              </t>
        </is>
      </c>
      <c r="I2378" t="n">
        <v>25</v>
      </c>
      <c r="J2378" t="n">
        <v>0</v>
      </c>
      <c r="K2378" t="n">
        <v>0</v>
      </c>
      <c r="L2378" t="n">
        <v>2</v>
      </c>
      <c r="M2378" t="n">
        <v>2</v>
      </c>
      <c r="N2378" t="n">
        <v>0</v>
      </c>
      <c r="O2378" t="n">
        <v>21</v>
      </c>
      <c r="P2378" s="96">
        <f>_xlfn.XLOOKUP(Tabla5[[#This Row],[EAN CORREGIDO]],'Tabla Articulos'!B:B,'Tabla Articulos'!D:D)</f>
        <v/>
      </c>
      <c r="Q2378" s="96">
        <f>_xlfn.XLOOKUP(S2378,'Tabla Articulos'!B:B,'Tabla Articulos'!E:E)</f>
        <v/>
      </c>
      <c r="R2378" s="96">
        <f>O2378*Q2378</f>
        <v/>
      </c>
      <c r="S2378" s="97">
        <f>TRIM(E2378)</f>
        <v/>
      </c>
    </row>
    <row r="2379" hidden="1">
      <c r="A2379" s="22" t="n">
        <v>2</v>
      </c>
      <c r="B2379" t="inlineStr">
        <is>
          <t xml:space="preserve">CD CIUDADELA                  </t>
        </is>
      </c>
      <c r="C2379" t="inlineStr">
        <is>
          <t xml:space="preserve">GRUPO L.                      </t>
        </is>
      </c>
      <c r="D2379" t="inlineStr">
        <is>
          <t>TAPA VASO</t>
        </is>
      </c>
      <c r="E2379" t="inlineStr">
        <is>
          <t xml:space="preserve">7790321020389       </t>
        </is>
      </c>
      <c r="F2379" t="n">
        <v>2006473</v>
      </c>
      <c r="G2379" t="inlineStr">
        <is>
          <t xml:space="preserve">TAPA DOMO CUCHARA X800U            </t>
        </is>
      </c>
      <c r="H2379" t="inlineStr">
        <is>
          <t xml:space="preserve">CAJAS               </t>
        </is>
      </c>
      <c r="I2379" t="n">
        <v>30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30</v>
      </c>
      <c r="P2379" s="96">
        <f>_xlfn.XLOOKUP(Tabla5[[#This Row],[EAN CORREGIDO]],'Tabla Articulos'!B:B,'Tabla Articulos'!D:D)</f>
        <v/>
      </c>
      <c r="Q2379" s="96">
        <f>_xlfn.XLOOKUP(S2379,'Tabla Articulos'!B:B,'Tabla Articulos'!E:E)</f>
        <v/>
      </c>
      <c r="R2379" s="96">
        <f>O2379*Q2379</f>
        <v/>
      </c>
      <c r="S2379" s="97">
        <f>TRIM(E2379)</f>
        <v/>
      </c>
    </row>
    <row r="2380" hidden="1">
      <c r="A2380" s="22" t="n">
        <v>2</v>
      </c>
      <c r="B2380" t="inlineStr">
        <is>
          <t xml:space="preserve">CD CIUDADELA                  </t>
        </is>
      </c>
      <c r="C2380" t="inlineStr">
        <is>
          <t xml:space="preserve">GRUPO L.                      </t>
        </is>
      </c>
      <c r="D2380" t="inlineStr">
        <is>
          <t>FIDEOS TRICOLOR</t>
        </is>
      </c>
      <c r="E2380" t="inlineStr">
        <is>
          <t xml:space="preserve">7790070336057       </t>
        </is>
      </c>
      <c r="F2380" t="n">
        <v>4019511</v>
      </c>
      <c r="G2380" t="inlineStr">
        <is>
          <t xml:space="preserve">FIDEO GUI TIRAB 3 VEG X500G LUCC   </t>
        </is>
      </c>
      <c r="H2380" t="inlineStr">
        <is>
          <t xml:space="preserve">UNIDAD              </t>
        </is>
      </c>
      <c r="I2380" t="n">
        <v>845</v>
      </c>
      <c r="J2380" t="n">
        <v>0</v>
      </c>
      <c r="K2380" t="n">
        <v>0</v>
      </c>
      <c r="L2380" t="n">
        <v>40</v>
      </c>
      <c r="M2380" t="n">
        <v>40</v>
      </c>
      <c r="N2380" t="n">
        <v>0</v>
      </c>
      <c r="O2380" t="n">
        <v>765</v>
      </c>
      <c r="P2380" s="96">
        <f>_xlfn.XLOOKUP(Tabla5[[#This Row],[EAN CORREGIDO]],'Tabla Articulos'!B:B,'Tabla Articulos'!D:D)</f>
        <v/>
      </c>
      <c r="Q2380" s="96">
        <f>_xlfn.XLOOKUP(S2380,'Tabla Articulos'!B:B,'Tabla Articulos'!E:E)</f>
        <v/>
      </c>
      <c r="R2380" s="96">
        <f>O2380*Q2380</f>
        <v/>
      </c>
      <c r="S2380" s="97">
        <f>TRIM(E2380)</f>
        <v/>
      </c>
    </row>
    <row r="2381" hidden="1">
      <c r="A2381" s="22" t="n">
        <v>2</v>
      </c>
      <c r="B2381" t="inlineStr">
        <is>
          <t xml:space="preserve">CD CIUDADELA                  </t>
        </is>
      </c>
      <c r="C2381" t="inlineStr">
        <is>
          <t xml:space="preserve">GRUPO L.                      </t>
        </is>
      </c>
      <c r="D2381" t="inlineStr">
        <is>
          <t>PROVENZAL S/TACC</t>
        </is>
      </c>
      <c r="E2381" t="inlineStr">
        <is>
          <t xml:space="preserve">7790150570180       </t>
        </is>
      </c>
      <c r="F2381" t="n">
        <v>4019559</v>
      </c>
      <c r="G2381" t="inlineStr">
        <is>
          <t xml:space="preserve">PROVENZAL X 25G ALICANTE           </t>
        </is>
      </c>
      <c r="H2381" t="inlineStr">
        <is>
          <t xml:space="preserve">UNIDAD              </t>
        </is>
      </c>
      <c r="I2381" t="n">
        <v>288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288</v>
      </c>
      <c r="P2381" s="96">
        <f>_xlfn.XLOOKUP(Tabla5[[#This Row],[EAN CORREGIDO]],'Tabla Articulos'!B:B,'Tabla Articulos'!D:D)</f>
        <v/>
      </c>
      <c r="Q2381" s="96">
        <f>_xlfn.XLOOKUP(S2381,'Tabla Articulos'!B:B,'Tabla Articulos'!E:E)</f>
        <v/>
      </c>
      <c r="R2381" s="96">
        <f>O2381*Q2381</f>
        <v/>
      </c>
      <c r="S2381" s="97">
        <f>TRIM(E2381)</f>
        <v/>
      </c>
    </row>
    <row r="2382" hidden="1">
      <c r="A2382" s="22" t="n">
        <v>2</v>
      </c>
      <c r="B2382" t="inlineStr">
        <is>
          <t xml:space="preserve">CD CIUDADELA                  </t>
        </is>
      </c>
      <c r="C2382" t="inlineStr">
        <is>
          <t xml:space="preserve">GRUPO L.                      </t>
        </is>
      </c>
      <c r="D2382" t="inlineStr">
        <is>
          <t>ACEITE MAIZ INDIV</t>
        </is>
      </c>
      <c r="E2382" t="inlineStr">
        <is>
          <t xml:space="preserve">7798011976461       </t>
        </is>
      </c>
      <c r="F2382" t="n">
        <v>4020300</v>
      </c>
      <c r="G2382" t="inlineStr">
        <is>
          <t xml:space="preserve">ACEITE MAIZ 198SOBR X8CC ABEDUL    </t>
        </is>
      </c>
      <c r="H2382" t="inlineStr">
        <is>
          <t xml:space="preserve">UNIDAD              </t>
        </is>
      </c>
      <c r="I2382" t="n">
        <v>261</v>
      </c>
      <c r="J2382" t="n">
        <v>0</v>
      </c>
      <c r="K2382" t="n">
        <v>0</v>
      </c>
      <c r="L2382" t="n">
        <v>4</v>
      </c>
      <c r="M2382" t="n">
        <v>4</v>
      </c>
      <c r="N2382" t="n">
        <v>0</v>
      </c>
      <c r="O2382" t="n">
        <v>253</v>
      </c>
      <c r="P2382" s="96">
        <f>_xlfn.XLOOKUP(Tabla5[[#This Row],[EAN CORREGIDO]],'Tabla Articulos'!B:B,'Tabla Articulos'!D:D)</f>
        <v/>
      </c>
      <c r="Q2382" s="96">
        <f>_xlfn.XLOOKUP(S2382,'Tabla Articulos'!B:B,'Tabla Articulos'!E:E)</f>
        <v/>
      </c>
      <c r="R2382" s="96">
        <f>O2382*Q2382</f>
        <v/>
      </c>
      <c r="S2382" s="97">
        <f>TRIM(E2382)</f>
        <v/>
      </c>
    </row>
    <row r="2383" hidden="1">
      <c r="A2383" s="22" t="n">
        <v>2</v>
      </c>
      <c r="B2383" t="inlineStr">
        <is>
          <t xml:space="preserve">CD CIUDADELA                  </t>
        </is>
      </c>
      <c r="C2383" t="inlineStr">
        <is>
          <t xml:space="preserve">GRUPO L.                      </t>
        </is>
      </c>
      <c r="D2383" t="inlineStr">
        <is>
          <t>EDULC SOB BLUE CAFE</t>
        </is>
      </c>
      <c r="E2383" t="inlineStr">
        <is>
          <t xml:space="preserve">7798011977727       </t>
        </is>
      </c>
      <c r="F2383" t="n">
        <v>4076539</v>
      </c>
      <c r="G2383" t="inlineStr">
        <is>
          <t>EDULCORANTE IND SOBRE X400U BLUE CA</t>
        </is>
      </c>
      <c r="H2383" t="inlineStr">
        <is>
          <t xml:space="preserve">UNIDAD              </t>
        </is>
      </c>
      <c r="I2383" t="n">
        <v>358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358</v>
      </c>
      <c r="P2383" s="96">
        <f>_xlfn.XLOOKUP(Tabla5[[#This Row],[EAN CORREGIDO]],'Tabla Articulos'!B:B,'Tabla Articulos'!D:D)</f>
        <v/>
      </c>
      <c r="Q2383" s="96">
        <f>_xlfn.XLOOKUP(S2383,'Tabla Articulos'!B:B,'Tabla Articulos'!E:E)</f>
        <v/>
      </c>
      <c r="R2383" s="96">
        <f>O2383*Q2383</f>
        <v/>
      </c>
      <c r="S2383" s="97">
        <f>TRIM(E2383)</f>
        <v/>
      </c>
    </row>
    <row r="2384" hidden="1">
      <c r="A2384" s="22" t="n">
        <v>2</v>
      </c>
      <c r="B2384" t="inlineStr">
        <is>
          <t xml:space="preserve">CD CIUDADELA                  </t>
        </is>
      </c>
      <c r="C2384" t="inlineStr">
        <is>
          <t xml:space="preserve">GRUPO L.                      </t>
        </is>
      </c>
      <c r="D2384" t="inlineStr">
        <is>
          <t>ACEITE MAIZ</t>
        </is>
      </c>
      <c r="E2384" t="inlineStr">
        <is>
          <t xml:space="preserve">7790580160807       </t>
        </is>
      </c>
      <c r="F2384" t="n">
        <v>4019587</v>
      </c>
      <c r="G2384" t="inlineStr">
        <is>
          <t xml:space="preserve">ACEITE MAIZ X900CC ARCOR           </t>
        </is>
      </c>
      <c r="H2384" t="inlineStr">
        <is>
          <t xml:space="preserve">UNIDAD              </t>
        </is>
      </c>
      <c r="I2384" t="n">
        <v>700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700</v>
      </c>
      <c r="P2384" s="96">
        <f>_xlfn.XLOOKUP(Tabla5[[#This Row],[EAN CORREGIDO]],'Tabla Articulos'!B:B,'Tabla Articulos'!D:D)</f>
        <v/>
      </c>
      <c r="Q2384" s="96">
        <f>_xlfn.XLOOKUP(S2384,'Tabla Articulos'!B:B,'Tabla Articulos'!E:E)</f>
        <v/>
      </c>
      <c r="R2384" s="96">
        <f>O2384*Q2384</f>
        <v/>
      </c>
      <c r="S2384" s="97">
        <f>TRIM(E2384)</f>
        <v/>
      </c>
    </row>
    <row r="2385" hidden="1">
      <c r="A2385" s="22" t="n">
        <v>2</v>
      </c>
      <c r="B2385" t="inlineStr">
        <is>
          <t xml:space="preserve">CD CIUDADELA                  </t>
        </is>
      </c>
      <c r="C2385" t="inlineStr">
        <is>
          <t xml:space="preserve">GRUPO L.                      </t>
        </is>
      </c>
      <c r="D2385" t="inlineStr">
        <is>
          <t>COCTAIL COMUN</t>
        </is>
      </c>
      <c r="E2385" t="inlineStr">
        <is>
          <t xml:space="preserve">7798132920435       </t>
        </is>
      </c>
      <c r="F2385" t="n">
        <v>4020455</v>
      </c>
      <c r="G2385" t="inlineStr">
        <is>
          <t xml:space="preserve">COCTEL DE FRUTAS  X820G ALCO       </t>
        </is>
      </c>
      <c r="H2385" t="inlineStr">
        <is>
          <t xml:space="preserve">UNIDAD              </t>
        </is>
      </c>
      <c r="I2385" t="n">
        <v>126</v>
      </c>
      <c r="J2385" t="n">
        <v>0</v>
      </c>
      <c r="K2385" t="n">
        <v>0</v>
      </c>
      <c r="L2385" t="n">
        <v>12</v>
      </c>
      <c r="M2385" t="n">
        <v>12</v>
      </c>
      <c r="N2385" t="n">
        <v>0</v>
      </c>
      <c r="O2385" t="n">
        <v>102</v>
      </c>
      <c r="P2385" s="96">
        <f>_xlfn.XLOOKUP(Tabla5[[#This Row],[EAN CORREGIDO]],'Tabla Articulos'!B:B,'Tabla Articulos'!D:D)</f>
        <v/>
      </c>
      <c r="Q2385" s="96">
        <f>_xlfn.XLOOKUP(S2385,'Tabla Articulos'!B:B,'Tabla Articulos'!E:E)</f>
        <v/>
      </c>
      <c r="R2385" s="96">
        <f>O2385*Q2385</f>
        <v/>
      </c>
      <c r="S2385" s="97">
        <f>TRIM(E2385)</f>
        <v/>
      </c>
    </row>
    <row r="2386" hidden="1">
      <c r="A2386" s="22" t="n">
        <v>2</v>
      </c>
      <c r="B2386" t="inlineStr">
        <is>
          <t xml:space="preserve">CD CIUDADELA                  </t>
        </is>
      </c>
      <c r="C2386" t="inlineStr">
        <is>
          <t xml:space="preserve">GRUPO L.                      </t>
        </is>
      </c>
      <c r="D2386" t="inlineStr">
        <is>
          <t>PALMERITA GDE CONGELADA</t>
        </is>
      </c>
      <c r="E2386" t="inlineStr">
        <is>
          <t xml:space="preserve">7799132966558       </t>
        </is>
      </c>
      <c r="F2386" t="n">
        <v>4018470</v>
      </c>
      <c r="G2386" t="inlineStr">
        <is>
          <t xml:space="preserve">PALMERITA GRANDE X240U SELYGEL     </t>
        </is>
      </c>
      <c r="H2386" t="inlineStr">
        <is>
          <t xml:space="preserve">UNIDAD              </t>
        </is>
      </c>
      <c r="I2386" t="n">
        <v>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1</v>
      </c>
      <c r="P2386" s="96">
        <f>_xlfn.XLOOKUP(Tabla5[[#This Row],[EAN CORREGIDO]],'Tabla Articulos'!B:B,'Tabla Articulos'!D:D)</f>
        <v/>
      </c>
      <c r="Q2386" s="96">
        <f>_xlfn.XLOOKUP(S2386,'Tabla Articulos'!B:B,'Tabla Articulos'!E:E)</f>
        <v/>
      </c>
      <c r="R2386" s="96">
        <f>O2386*Q2386</f>
        <v/>
      </c>
      <c r="S2386" s="97">
        <f>TRIM(E2386)</f>
        <v/>
      </c>
    </row>
    <row r="2387" hidden="1">
      <c r="A2387" s="22" t="n">
        <v>2</v>
      </c>
      <c r="B2387" t="inlineStr">
        <is>
          <t xml:space="preserve">CD CIUDADELA                  </t>
        </is>
      </c>
      <c r="C2387" t="inlineStr">
        <is>
          <t xml:space="preserve">GRUPO L.                      </t>
        </is>
      </c>
      <c r="D2387" t="inlineStr">
        <is>
          <t>GARBANZOS REMOJADOS</t>
        </is>
      </c>
      <c r="E2387" t="inlineStr">
        <is>
          <t xml:space="preserve">7798156760666       </t>
        </is>
      </c>
      <c r="F2387" t="n">
        <v>4022479</v>
      </c>
      <c r="G2387" t="inlineStr">
        <is>
          <t xml:space="preserve">GARB REMOJ SAB DEL VALLE 340GR     </t>
        </is>
      </c>
      <c r="H2387" t="inlineStr">
        <is>
          <t xml:space="preserve">UNIDAD              </t>
        </is>
      </c>
      <c r="I2387" t="n">
        <v>552</v>
      </c>
      <c r="J2387" t="n">
        <v>0</v>
      </c>
      <c r="K2387" t="n">
        <v>0</v>
      </c>
      <c r="L2387" t="n">
        <v>18</v>
      </c>
      <c r="M2387" t="n">
        <v>18</v>
      </c>
      <c r="N2387" t="n">
        <v>0</v>
      </c>
      <c r="O2387" t="n">
        <v>516</v>
      </c>
      <c r="P2387" s="96">
        <f>_xlfn.XLOOKUP(Tabla5[[#This Row],[EAN CORREGIDO]],'Tabla Articulos'!B:B,'Tabla Articulos'!D:D)</f>
        <v/>
      </c>
      <c r="Q2387" s="96">
        <f>_xlfn.XLOOKUP(S2387,'Tabla Articulos'!B:B,'Tabla Articulos'!E:E)</f>
        <v/>
      </c>
      <c r="R2387" s="96">
        <f>O2387*Q2387</f>
        <v/>
      </c>
      <c r="S2387" s="97">
        <f>TRIM(E2387)</f>
        <v/>
      </c>
    </row>
    <row r="2388" hidden="1">
      <c r="A2388" s="22" t="n">
        <v>2</v>
      </c>
      <c r="B2388" t="inlineStr">
        <is>
          <t xml:space="preserve">CD CIUDADELA                  </t>
        </is>
      </c>
      <c r="C2388" t="inlineStr">
        <is>
          <t xml:space="preserve">GRUPO L.                      </t>
        </is>
      </c>
      <c r="D2388" t="inlineStr">
        <is>
          <t>GELATINA DURAZNO</t>
        </is>
      </c>
      <c r="E2388" t="inlineStr">
        <is>
          <t xml:space="preserve">790757899537        </t>
        </is>
      </c>
      <c r="F2388" t="n">
        <v>4022518</v>
      </c>
      <c r="G2388" t="inlineStr">
        <is>
          <t xml:space="preserve">GELATINA DURAZNO 1KG POREC         </t>
        </is>
      </c>
      <c r="H2388" t="inlineStr">
        <is>
          <t xml:space="preserve">UNIDAD              </t>
        </is>
      </c>
      <c r="I2388" t="n">
        <v>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4</v>
      </c>
      <c r="P2388" s="96">
        <f>_xlfn.XLOOKUP(Tabla5[[#This Row],[EAN CORREGIDO]],'Tabla Articulos'!B:B,'Tabla Articulos'!D:D)</f>
        <v/>
      </c>
      <c r="Q2388" s="96">
        <f>_xlfn.XLOOKUP(S2388,'Tabla Articulos'!B:B,'Tabla Articulos'!E:E)</f>
        <v/>
      </c>
      <c r="R2388" s="96">
        <f>O2388*Q2388</f>
        <v/>
      </c>
      <c r="S2388" s="97">
        <f>TRIM(E2388)</f>
        <v/>
      </c>
    </row>
    <row r="2389" hidden="1">
      <c r="A2389" s="22" t="n">
        <v>2</v>
      </c>
      <c r="B2389" t="inlineStr">
        <is>
          <t xml:space="preserve">CD CIUDADELA                  </t>
        </is>
      </c>
      <c r="C2389" t="inlineStr">
        <is>
          <t xml:space="preserve">GRUPO L.                      </t>
        </is>
      </c>
      <c r="D2389" t="inlineStr">
        <is>
          <t>TRIGO BURGOL</t>
        </is>
      </c>
      <c r="E2389" t="inlineStr">
        <is>
          <t xml:space="preserve">7798186164717       </t>
        </is>
      </c>
      <c r="F2389" t="n">
        <v>4020810</v>
      </c>
      <c r="G2389" t="inlineStr">
        <is>
          <t xml:space="preserve">TRIGO BURGOL FINO X 1 KG BLANCA LU </t>
        </is>
      </c>
      <c r="H2389" t="inlineStr">
        <is>
          <t xml:space="preserve">UNIDAD              </t>
        </is>
      </c>
      <c r="I2389" t="n">
        <v>58</v>
      </c>
      <c r="J2389" t="n">
        <v>0</v>
      </c>
      <c r="K2389" t="n">
        <v>0</v>
      </c>
      <c r="L2389" t="n">
        <v>10</v>
      </c>
      <c r="M2389" t="n">
        <v>10</v>
      </c>
      <c r="N2389" t="n">
        <v>0</v>
      </c>
      <c r="O2389" t="n">
        <v>38</v>
      </c>
      <c r="P2389" s="96">
        <f>_xlfn.XLOOKUP(Tabla5[[#This Row],[EAN CORREGIDO]],'Tabla Articulos'!B:B,'Tabla Articulos'!D:D)</f>
        <v/>
      </c>
      <c r="Q2389" s="96">
        <f>_xlfn.XLOOKUP(S2389,'Tabla Articulos'!B:B,'Tabla Articulos'!E:E)</f>
        <v/>
      </c>
      <c r="R2389" s="96">
        <f>O2389*Q2389</f>
        <v/>
      </c>
      <c r="S2389" s="97">
        <f>TRIM(E2389)</f>
        <v/>
      </c>
    </row>
    <row r="2390" hidden="1">
      <c r="A2390" s="22" t="n">
        <v>2</v>
      </c>
      <c r="B2390" t="inlineStr">
        <is>
          <t xml:space="preserve">CD CIUDADELA                  </t>
        </is>
      </c>
      <c r="C2390" t="inlineStr">
        <is>
          <t xml:space="preserve">GRUPO L.                      </t>
        </is>
      </c>
      <c r="D2390" t="inlineStr">
        <is>
          <t>PURE TOMATE</t>
        </is>
      </c>
      <c r="E2390" t="inlineStr">
        <is>
          <t xml:space="preserve">7797470199121       </t>
        </is>
      </c>
      <c r="F2390" t="n">
        <v>4020378</v>
      </c>
      <c r="G2390" t="inlineStr">
        <is>
          <t xml:space="preserve">PURE TOMATE S/TACC X520G MAROLIO   </t>
        </is>
      </c>
      <c r="H2390" t="inlineStr">
        <is>
          <t xml:space="preserve">UNIDAD              </t>
        </is>
      </c>
      <c r="I2390" t="n">
        <v>1543</v>
      </c>
      <c r="J2390" t="n">
        <v>0</v>
      </c>
      <c r="K2390" t="n">
        <v>0</v>
      </c>
      <c r="L2390" t="n">
        <v>548</v>
      </c>
      <c r="M2390" t="n">
        <v>548</v>
      </c>
      <c r="N2390" t="n">
        <v>0</v>
      </c>
      <c r="O2390" t="n">
        <v>447</v>
      </c>
      <c r="P2390" s="96">
        <f>_xlfn.XLOOKUP(Tabla5[[#This Row],[EAN CORREGIDO]],'Tabla Articulos'!B:B,'Tabla Articulos'!D:D)</f>
        <v/>
      </c>
      <c r="Q2390" s="96">
        <f>_xlfn.XLOOKUP(S2390,'Tabla Articulos'!B:B,'Tabla Articulos'!E:E)</f>
        <v/>
      </c>
      <c r="R2390" s="96">
        <f>O2390*Q2390</f>
        <v/>
      </c>
      <c r="S2390" s="97">
        <f>TRIM(E2390)</f>
        <v/>
      </c>
    </row>
    <row r="2391" hidden="1">
      <c r="A2391" s="22" t="n">
        <v>2</v>
      </c>
      <c r="B2391" t="inlineStr">
        <is>
          <t xml:space="preserve">CD CIUDADELA                  </t>
        </is>
      </c>
      <c r="C2391" t="inlineStr">
        <is>
          <t xml:space="preserve">GRUPO L.                      </t>
        </is>
      </c>
      <c r="D2391" t="inlineStr">
        <is>
          <t>DULCE BATATA LIGHT</t>
        </is>
      </c>
      <c r="E2391" t="inlineStr">
        <is>
          <t xml:space="preserve">7791113006395       </t>
        </is>
      </c>
      <c r="F2391" t="n">
        <v>4020749</v>
      </c>
      <c r="G2391" t="inlineStr">
        <is>
          <t xml:space="preserve">DULCE BATATA LIGHT X500G EMETH     </t>
        </is>
      </c>
      <c r="H2391" t="inlineStr">
        <is>
          <t xml:space="preserve">UNIDAD              </t>
        </is>
      </c>
      <c r="I2391" t="n">
        <v>22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22</v>
      </c>
      <c r="P2391" s="96">
        <f>_xlfn.XLOOKUP(Tabla5[[#This Row],[EAN CORREGIDO]],'Tabla Articulos'!B:B,'Tabla Articulos'!D:D)</f>
        <v/>
      </c>
      <c r="Q2391" s="96">
        <f>_xlfn.XLOOKUP(S2391,'Tabla Articulos'!B:B,'Tabla Articulos'!E:E)</f>
        <v/>
      </c>
      <c r="R2391" s="96">
        <f>O2391*Q2391</f>
        <v/>
      </c>
      <c r="S2391" s="97">
        <f>TRIM(E2391)</f>
        <v/>
      </c>
    </row>
    <row r="2392" hidden="1">
      <c r="A2392" s="22" t="n">
        <v>2</v>
      </c>
      <c r="B2392" t="inlineStr">
        <is>
          <t xml:space="preserve">CD CIUDADELA                  </t>
        </is>
      </c>
      <c r="C2392" t="inlineStr">
        <is>
          <t xml:space="preserve">GRUPO L.                      </t>
        </is>
      </c>
      <c r="D2392" t="inlineStr">
        <is>
          <t>GARBANZOS REMOJADOS</t>
        </is>
      </c>
      <c r="E2392" t="inlineStr">
        <is>
          <t xml:space="preserve">7798096031079       </t>
        </is>
      </c>
      <c r="F2392" t="n">
        <v>4021620</v>
      </c>
      <c r="G2392" t="inlineStr">
        <is>
          <t xml:space="preserve">GARBANZOS REMOJADOS X 340 GRS DOÑA </t>
        </is>
      </c>
      <c r="H2392" t="inlineStr">
        <is>
          <t xml:space="preserve">UNIDAD              </t>
        </is>
      </c>
      <c r="I2392" t="n">
        <v>359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359</v>
      </c>
      <c r="P2392" s="96">
        <f>_xlfn.XLOOKUP(Tabla5[[#This Row],[EAN CORREGIDO]],'Tabla Articulos'!B:B,'Tabla Articulos'!D:D)</f>
        <v/>
      </c>
      <c r="Q2392" s="96">
        <f>_xlfn.XLOOKUP(S2392,'Tabla Articulos'!B:B,'Tabla Articulos'!E:E)</f>
        <v/>
      </c>
      <c r="R2392" s="96">
        <f>O2392*Q2392</f>
        <v/>
      </c>
      <c r="S2392" s="97">
        <f>TRIM(E2392)</f>
        <v/>
      </c>
    </row>
    <row r="2393" hidden="1">
      <c r="A2393" s="22" t="n">
        <v>2</v>
      </c>
      <c r="B2393" t="inlineStr">
        <is>
          <t xml:space="preserve">CD CIUDADELA                  </t>
        </is>
      </c>
      <c r="C2393" t="inlineStr">
        <is>
          <t xml:space="preserve">GRUPO L.                      </t>
        </is>
      </c>
      <c r="D2393" t="inlineStr">
        <is>
          <t>JUGO POLVO NARANJA</t>
        </is>
      </c>
      <c r="E2393" t="inlineStr">
        <is>
          <t xml:space="preserve">7622201705961       </t>
        </is>
      </c>
      <c r="F2393" t="n">
        <v>4019505</v>
      </c>
      <c r="G2393" t="inlineStr">
        <is>
          <t xml:space="preserve">JUGO POLVO NARANJA X15GR TANG	     </t>
        </is>
      </c>
      <c r="H2393" t="inlineStr">
        <is>
          <t xml:space="preserve">UNIDAD              </t>
        </is>
      </c>
      <c r="I2393" t="n">
        <v>110</v>
      </c>
      <c r="J2393" t="n">
        <v>0</v>
      </c>
      <c r="K2393" t="n">
        <v>110</v>
      </c>
      <c r="L2393" t="n">
        <v>0</v>
      </c>
      <c r="M2393" t="n">
        <v>0</v>
      </c>
      <c r="N2393" t="n">
        <v>0</v>
      </c>
      <c r="O2393" t="n">
        <v>0</v>
      </c>
      <c r="P2393" s="96">
        <f>_xlfn.XLOOKUP(Tabla5[[#This Row],[EAN CORREGIDO]],'Tabla Articulos'!B:B,'Tabla Articulos'!D:D)</f>
        <v/>
      </c>
      <c r="Q2393" s="96">
        <f>_xlfn.XLOOKUP(S2393,'Tabla Articulos'!B:B,'Tabla Articulos'!E:E)</f>
        <v/>
      </c>
      <c r="R2393" s="96">
        <f>O2393*Q2393</f>
        <v/>
      </c>
      <c r="S2393" s="97">
        <f>TRIM(E2393)</f>
        <v/>
      </c>
    </row>
    <row r="2394" hidden="1">
      <c r="A2394" s="22" t="n">
        <v>2</v>
      </c>
      <c r="B2394" t="inlineStr">
        <is>
          <t xml:space="preserve">CD CIUDADELA                  </t>
        </is>
      </c>
      <c r="C2394" t="inlineStr">
        <is>
          <t xml:space="preserve">GRUPO L.                      </t>
        </is>
      </c>
      <c r="D2394" t="inlineStr">
        <is>
          <t>AJI MOLIDO S/TACC</t>
        </is>
      </c>
      <c r="E2394" t="inlineStr">
        <is>
          <t xml:space="preserve">7797234000311       </t>
        </is>
      </c>
      <c r="F2394" t="n">
        <v>4020292</v>
      </c>
      <c r="G2394" t="inlineStr">
        <is>
          <t xml:space="preserve"> AJI MOLIDO X25G LA PERGOLA        </t>
        </is>
      </c>
      <c r="H2394" t="inlineStr">
        <is>
          <t xml:space="preserve">UNIDAD              </t>
        </is>
      </c>
      <c r="I2394" t="n">
        <v>48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48</v>
      </c>
      <c r="P2394" s="96">
        <f>_xlfn.XLOOKUP(Tabla5[[#This Row],[EAN CORREGIDO]],'Tabla Articulos'!B:B,'Tabla Articulos'!D:D)</f>
        <v/>
      </c>
      <c r="Q2394" s="96">
        <f>_xlfn.XLOOKUP(S2394,'Tabla Articulos'!B:B,'Tabla Articulos'!E:E)</f>
        <v/>
      </c>
      <c r="R2394" s="96">
        <f>O2394*Q2394</f>
        <v/>
      </c>
      <c r="S2394" s="97">
        <f>TRIM(E2394)</f>
        <v/>
      </c>
    </row>
    <row r="2395" hidden="1">
      <c r="A2395" s="22" t="n">
        <v>2</v>
      </c>
      <c r="B2395" t="inlineStr">
        <is>
          <t xml:space="preserve">CD CIUDADELA                  </t>
        </is>
      </c>
      <c r="C2395" t="inlineStr">
        <is>
          <t xml:space="preserve">GRUPO L.                      </t>
        </is>
      </c>
      <c r="D2395" t="inlineStr">
        <is>
          <t>CHOCOLATADA</t>
        </is>
      </c>
      <c r="E2395" t="inlineStr">
        <is>
          <t xml:space="preserve">7798290581936       </t>
        </is>
      </c>
      <c r="F2395" t="n">
        <v>4018403</v>
      </c>
      <c r="G2395" t="inlineStr">
        <is>
          <t xml:space="preserve">LECHE CHOCOLATADA X 200CC CHOCHOCO </t>
        </is>
      </c>
      <c r="H2395" t="inlineStr">
        <is>
          <t xml:space="preserve">UNIDAD              </t>
        </is>
      </c>
      <c r="I2395" t="n">
        <v>2307</v>
      </c>
      <c r="J2395" t="n">
        <v>0</v>
      </c>
      <c r="K2395" t="n">
        <v>0</v>
      </c>
      <c r="L2395" t="n">
        <v>20</v>
      </c>
      <c r="M2395" t="n">
        <v>20</v>
      </c>
      <c r="N2395" t="n">
        <v>0</v>
      </c>
      <c r="O2395" t="n">
        <v>2267</v>
      </c>
      <c r="P2395" s="96">
        <f>_xlfn.XLOOKUP(Tabla5[[#This Row],[EAN CORREGIDO]],'Tabla Articulos'!B:B,'Tabla Articulos'!D:D)</f>
        <v/>
      </c>
      <c r="Q2395" s="96">
        <f>_xlfn.XLOOKUP(S2395,'Tabla Articulos'!B:B,'Tabla Articulos'!E:E)</f>
        <v/>
      </c>
      <c r="R2395" s="96">
        <f>O2395*Q2395</f>
        <v/>
      </c>
      <c r="S2395" s="97">
        <f>TRIM(E2395)</f>
        <v/>
      </c>
    </row>
    <row r="2396" hidden="1">
      <c r="A2396" s="22" t="n">
        <v>2</v>
      </c>
      <c r="B2396" t="inlineStr">
        <is>
          <t xml:space="preserve">CD CIUDADELA                  </t>
        </is>
      </c>
      <c r="C2396" t="inlineStr">
        <is>
          <t xml:space="preserve">GRUPO L.                      </t>
        </is>
      </c>
      <c r="D2396" t="inlineStr">
        <is>
          <t>AGUA MIN C/GAS INDIV</t>
        </is>
      </c>
      <c r="E2396" t="inlineStr">
        <is>
          <t xml:space="preserve">7790895647758       </t>
        </is>
      </c>
      <c r="F2396" t="n">
        <v>4023934</v>
      </c>
      <c r="G2396" t="inlineStr">
        <is>
          <t xml:space="preserve">AGUA BENEDICTINO C/GAS 600CC       </t>
        </is>
      </c>
      <c r="H2396" t="inlineStr">
        <is>
          <t xml:space="preserve">UNIDAD              </t>
        </is>
      </c>
      <c r="I2396" t="n">
        <v>2222</v>
      </c>
      <c r="J2396" t="n">
        <v>0</v>
      </c>
      <c r="K2396" t="n">
        <v>0</v>
      </c>
      <c r="L2396" t="n">
        <v>258</v>
      </c>
      <c r="M2396" t="n">
        <v>258</v>
      </c>
      <c r="N2396" t="n">
        <v>0</v>
      </c>
      <c r="O2396" t="n">
        <v>1706</v>
      </c>
      <c r="P2396" s="96">
        <f>_xlfn.XLOOKUP(Tabla5[[#This Row],[EAN CORREGIDO]],'Tabla Articulos'!B:B,'Tabla Articulos'!D:D)</f>
        <v/>
      </c>
      <c r="Q2396" s="96">
        <f>_xlfn.XLOOKUP(S2396,'Tabla Articulos'!B:B,'Tabla Articulos'!E:E)</f>
        <v/>
      </c>
      <c r="R2396" s="96">
        <f>O2396*Q2396</f>
        <v/>
      </c>
      <c r="S2396" s="97">
        <f>TRIM(E2396)</f>
        <v/>
      </c>
    </row>
    <row r="2397" hidden="1">
      <c r="A2397" s="22" t="n">
        <v>2</v>
      </c>
      <c r="B2397" t="inlineStr">
        <is>
          <t xml:space="preserve">CD CIUDADELA                  </t>
        </is>
      </c>
      <c r="C2397" t="inlineStr">
        <is>
          <t xml:space="preserve">GRUPO L.                      </t>
        </is>
      </c>
      <c r="D2397" t="inlineStr">
        <is>
          <t>PAN CONGELADO</t>
        </is>
      </c>
      <c r="E2397" t="inlineStr">
        <is>
          <t xml:space="preserve">17792180007022      </t>
        </is>
      </c>
      <c r="F2397" t="n">
        <v>4077140</v>
      </c>
      <c r="G2397" t="inlineStr">
        <is>
          <t xml:space="preserve">PANINI CONG 135GX60U CANUELAS      </t>
        </is>
      </c>
      <c r="H2397" t="inlineStr">
        <is>
          <t xml:space="preserve">UNIDAD              </t>
        </is>
      </c>
      <c r="I2397" t="n">
        <v>3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3</v>
      </c>
      <c r="P2397" s="96">
        <f>_xlfn.XLOOKUP(Tabla5[[#This Row],[EAN CORREGIDO]],'Tabla Articulos'!B:B,'Tabla Articulos'!D:D)</f>
        <v/>
      </c>
      <c r="Q2397" s="96">
        <f>_xlfn.XLOOKUP(S2397,'Tabla Articulos'!B:B,'Tabla Articulos'!E:E)</f>
        <v/>
      </c>
      <c r="R2397" s="96">
        <f>O2397*Q2397</f>
        <v/>
      </c>
      <c r="S2397" s="97">
        <f>TRIM(E2397)</f>
        <v/>
      </c>
    </row>
    <row r="2398" hidden="1">
      <c r="A2398" s="22" t="n">
        <v>2</v>
      </c>
      <c r="B2398" t="inlineStr">
        <is>
          <t xml:space="preserve">CD CIUDADELA                  </t>
        </is>
      </c>
      <c r="C2398" t="inlineStr">
        <is>
          <t xml:space="preserve">GRUPO L.                      </t>
        </is>
      </c>
      <c r="D2398" t="inlineStr">
        <is>
          <t>BAY BISCUIT INDIVIDUAL</t>
        </is>
      </c>
      <c r="E2398" t="inlineStr">
        <is>
          <t xml:space="preserve">7798004240111       </t>
        </is>
      </c>
      <c r="F2398" t="n">
        <v>4018923</v>
      </c>
      <c r="G2398" t="inlineStr">
        <is>
          <t xml:space="preserve">BAY BISCUIT X35G                   </t>
        </is>
      </c>
      <c r="H2398" t="inlineStr">
        <is>
          <t xml:space="preserve">UNIDAD              </t>
        </is>
      </c>
      <c r="I2398" t="n">
        <v>4828</v>
      </c>
      <c r="J2398" t="n">
        <v>0</v>
      </c>
      <c r="K2398" t="n">
        <v>0</v>
      </c>
      <c r="L2398" t="n">
        <v>236</v>
      </c>
      <c r="M2398" t="n">
        <v>236</v>
      </c>
      <c r="N2398" t="n">
        <v>0</v>
      </c>
      <c r="O2398" t="n">
        <v>4356</v>
      </c>
      <c r="P2398" s="96">
        <f>_xlfn.XLOOKUP(Tabla5[[#This Row],[EAN CORREGIDO]],'Tabla Articulos'!B:B,'Tabla Articulos'!D:D)</f>
        <v/>
      </c>
      <c r="Q2398" s="96">
        <f>_xlfn.XLOOKUP(S2398,'Tabla Articulos'!B:B,'Tabla Articulos'!E:E)</f>
        <v/>
      </c>
      <c r="R2398" s="96">
        <f>O2398*Q2398</f>
        <v/>
      </c>
      <c r="S2398" s="97">
        <f>TRIM(E2398)</f>
        <v/>
      </c>
    </row>
    <row r="2399" hidden="1">
      <c r="A2399" s="22" t="n">
        <v>2</v>
      </c>
      <c r="B2399" t="inlineStr">
        <is>
          <t xml:space="preserve">CD CIUDADELA                  </t>
        </is>
      </c>
      <c r="C2399" t="inlineStr">
        <is>
          <t xml:space="preserve">GRUPO L.                      </t>
        </is>
      </c>
      <c r="D2399" t="inlineStr">
        <is>
          <t>ENSALADERA CRISTAL</t>
        </is>
      </c>
      <c r="E2399" t="inlineStr">
        <is>
          <t xml:space="preserve">105445B             </t>
        </is>
      </c>
      <c r="F2399" t="n">
        <v>2006432</v>
      </c>
      <c r="G2399" t="inlineStr">
        <is>
          <t xml:space="preserve">ENSALADERA CRISTAL X600U BANDEX	   </t>
        </is>
      </c>
      <c r="H2399" t="inlineStr">
        <is>
          <t xml:space="preserve">UNIDAD              </t>
        </is>
      </c>
      <c r="I2399" t="n">
        <v>63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63</v>
      </c>
      <c r="P2399" s="96">
        <f>_xlfn.XLOOKUP(Tabla5[[#This Row],[EAN CORREGIDO]],'Tabla Articulos'!B:B,'Tabla Articulos'!D:D)</f>
        <v/>
      </c>
      <c r="Q2399" s="96">
        <f>_xlfn.XLOOKUP(S2399,'Tabla Articulos'!B:B,'Tabla Articulos'!E:E)</f>
        <v/>
      </c>
      <c r="R2399" s="96">
        <f>O2399*Q2399</f>
        <v/>
      </c>
      <c r="S2399" s="97">
        <f>TRIM(E2399)</f>
        <v/>
      </c>
    </row>
    <row r="2400" hidden="1">
      <c r="A2400" s="22" t="n">
        <v>2</v>
      </c>
      <c r="B2400" t="inlineStr">
        <is>
          <t xml:space="preserve">CD CIUDADELA                  </t>
        </is>
      </c>
      <c r="C2400" t="inlineStr">
        <is>
          <t xml:space="preserve">GRUPO L.                      </t>
        </is>
      </c>
      <c r="D2400" t="inlineStr">
        <is>
          <t>JAMON COCIDO</t>
        </is>
      </c>
      <c r="E2400" t="inlineStr">
        <is>
          <t xml:space="preserve">7798256423459       </t>
        </is>
      </c>
      <c r="F2400" t="n">
        <v>4017756</v>
      </c>
      <c r="G2400" t="inlineStr">
        <is>
          <t xml:space="preserve">JAMON COCIDO XKG CAMPO AUSTRAL     </t>
        </is>
      </c>
      <c r="H2400" t="inlineStr">
        <is>
          <t xml:space="preserve">Kgs                 </t>
        </is>
      </c>
      <c r="I2400" t="n">
        <v>685.72</v>
      </c>
      <c r="J2400" t="n">
        <v>0</v>
      </c>
      <c r="K2400" t="n">
        <v>0</v>
      </c>
      <c r="L2400" t="n">
        <v>194.12</v>
      </c>
      <c r="M2400" t="n">
        <v>194.12</v>
      </c>
      <c r="N2400" t="n">
        <v>0</v>
      </c>
      <c r="O2400" t="n">
        <v>297.48</v>
      </c>
      <c r="P2400" s="96">
        <f>_xlfn.XLOOKUP(Tabla5[[#This Row],[EAN CORREGIDO]],'Tabla Articulos'!B:B,'Tabla Articulos'!D:D)</f>
        <v/>
      </c>
      <c r="Q2400" s="96">
        <f>_xlfn.XLOOKUP(S2400,'Tabla Articulos'!B:B,'Tabla Articulos'!E:E)</f>
        <v/>
      </c>
      <c r="R2400" s="96">
        <f>O2400*Q2400</f>
        <v/>
      </c>
      <c r="S2400" s="97">
        <f>TRIM(E2400)</f>
        <v/>
      </c>
    </row>
    <row r="2401" hidden="1">
      <c r="A2401" s="22" t="n">
        <v>2</v>
      </c>
      <c r="B2401" t="inlineStr">
        <is>
          <t xml:space="preserve">CD CIUDADELA                  </t>
        </is>
      </c>
      <c r="C2401" t="inlineStr">
        <is>
          <t xml:space="preserve">GRUPO L.                      </t>
        </is>
      </c>
      <c r="D2401" t="inlineStr">
        <is>
          <t>PALMITO EN LATA</t>
        </is>
      </c>
      <c r="E2401" t="inlineStr">
        <is>
          <t xml:space="preserve">7798071200780       </t>
        </is>
      </c>
      <c r="F2401" t="n">
        <v>4024868</v>
      </c>
      <c r="G2401" t="inlineStr">
        <is>
          <t xml:space="preserve">PALMITOS ENT X800G ABRA            </t>
        </is>
      </c>
      <c r="H2401" t="inlineStr">
        <is>
          <t xml:space="preserve">UNIDAD              </t>
        </is>
      </c>
      <c r="I2401" t="n">
        <v>850</v>
      </c>
      <c r="J2401" t="n">
        <v>0</v>
      </c>
      <c r="K2401" t="n">
        <v>0</v>
      </c>
      <c r="L2401" t="n">
        <v>4</v>
      </c>
      <c r="M2401" t="n">
        <v>4</v>
      </c>
      <c r="N2401" t="n">
        <v>0</v>
      </c>
      <c r="O2401" t="n">
        <v>842</v>
      </c>
      <c r="P2401" s="96">
        <f>_xlfn.XLOOKUP(Tabla5[[#This Row],[EAN CORREGIDO]],'Tabla Articulos'!B:B,'Tabla Articulos'!D:D)</f>
        <v/>
      </c>
      <c r="Q2401" s="96">
        <f>_xlfn.XLOOKUP(S2401,'Tabla Articulos'!B:B,'Tabla Articulos'!E:E)</f>
        <v/>
      </c>
      <c r="R2401" s="96">
        <f>O2401*Q2401</f>
        <v/>
      </c>
      <c r="S2401" s="97">
        <f>TRIM(E2401)</f>
        <v/>
      </c>
    </row>
    <row r="2402" hidden="1">
      <c r="A2402" s="22" t="n">
        <v>2</v>
      </c>
      <c r="B2402" t="inlineStr">
        <is>
          <t xml:space="preserve">CD CIUDADELA                  </t>
        </is>
      </c>
      <c r="C2402" t="inlineStr">
        <is>
          <t xml:space="preserve">GRUPO L.                      </t>
        </is>
      </c>
      <c r="D2402" t="inlineStr">
        <is>
          <t>AJI MOLIDO</t>
        </is>
      </c>
      <c r="E2402" t="inlineStr">
        <is>
          <t xml:space="preserve">7793875360067       </t>
        </is>
      </c>
      <c r="F2402" t="n">
        <v>4020224</v>
      </c>
      <c r="G2402" t="inlineStr">
        <is>
          <t xml:space="preserve">AJI MOLIDO X25G AROMAS Y SABORES   </t>
        </is>
      </c>
      <c r="H2402" t="inlineStr">
        <is>
          <t xml:space="preserve">UNIDAD              </t>
        </is>
      </c>
      <c r="I2402" t="n">
        <v>757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757</v>
      </c>
      <c r="P2402" s="96">
        <f>_xlfn.XLOOKUP(Tabla5[[#This Row],[EAN CORREGIDO]],'Tabla Articulos'!B:B,'Tabla Articulos'!D:D)</f>
        <v/>
      </c>
      <c r="Q2402" s="96">
        <f>_xlfn.XLOOKUP(S2402,'Tabla Articulos'!B:B,'Tabla Articulos'!E:E)</f>
        <v/>
      </c>
      <c r="R2402" s="96">
        <f>O2402*Q2402</f>
        <v/>
      </c>
      <c r="S2402" s="97">
        <f>TRIM(E2402)</f>
        <v/>
      </c>
    </row>
    <row r="2403" hidden="1">
      <c r="A2403" s="22" t="n">
        <v>2</v>
      </c>
      <c r="B2403" t="inlineStr">
        <is>
          <t xml:space="preserve">CD CIUDADELA                  </t>
        </is>
      </c>
      <c r="C2403" t="inlineStr">
        <is>
          <t xml:space="preserve">GRUPO L.                      </t>
        </is>
      </c>
      <c r="D2403" t="inlineStr">
        <is>
          <t>CHOCLO CREM AMARILLO</t>
        </is>
      </c>
      <c r="E2403" t="inlineStr">
        <is>
          <t xml:space="preserve">7790499002489       </t>
        </is>
      </c>
      <c r="F2403" t="n">
        <v>4076655</v>
      </c>
      <c r="G2403" t="inlineStr">
        <is>
          <t xml:space="preserve">CHO. AMAR.CREMOSO TETRA 340GR LA   </t>
        </is>
      </c>
      <c r="H2403" t="inlineStr">
        <is>
          <t xml:space="preserve">UNIDAD              </t>
        </is>
      </c>
      <c r="I2403" t="n">
        <v>2770</v>
      </c>
      <c r="J2403" t="n">
        <v>0</v>
      </c>
      <c r="K2403" t="n">
        <v>0</v>
      </c>
      <c r="L2403" t="n">
        <v>58</v>
      </c>
      <c r="M2403" t="n">
        <v>58</v>
      </c>
      <c r="N2403" t="n">
        <v>0</v>
      </c>
      <c r="O2403" t="n">
        <v>2654</v>
      </c>
      <c r="P2403" s="96">
        <f>_xlfn.XLOOKUP(Tabla5[[#This Row],[EAN CORREGIDO]],'Tabla Articulos'!B:B,'Tabla Articulos'!D:D)</f>
        <v/>
      </c>
      <c r="Q2403" s="96">
        <f>_xlfn.XLOOKUP(S2403,'Tabla Articulos'!B:B,'Tabla Articulos'!E:E)</f>
        <v/>
      </c>
      <c r="R2403" s="96">
        <f>O2403*Q2403</f>
        <v/>
      </c>
      <c r="S2403" s="97">
        <f>TRIM(E2403)</f>
        <v/>
      </c>
    </row>
    <row r="2404" hidden="1">
      <c r="A2404" s="22" t="n">
        <v>2</v>
      </c>
      <c r="B2404" t="inlineStr">
        <is>
          <t xml:space="preserve">CD CIUDADELA                  </t>
        </is>
      </c>
      <c r="C2404" t="inlineStr">
        <is>
          <t xml:space="preserve">GRUPO L.                      </t>
        </is>
      </c>
      <c r="D2404" t="inlineStr">
        <is>
          <t>DULCE DE LECHE REPOST</t>
        </is>
      </c>
      <c r="E2404" t="inlineStr">
        <is>
          <t xml:space="preserve">7790616000305       </t>
        </is>
      </c>
      <c r="F2404" t="n">
        <v>4019660</v>
      </c>
      <c r="G2404" t="inlineStr">
        <is>
          <t xml:space="preserve">DULCE DE LECHE REPOS X4KG VACALIN  </t>
        </is>
      </c>
      <c r="H2404" t="inlineStr">
        <is>
          <t xml:space="preserve">UNIDAD              </t>
        </is>
      </c>
      <c r="I2404" t="n">
        <v>48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48</v>
      </c>
      <c r="P2404" s="96">
        <f>_xlfn.XLOOKUP(Tabla5[[#This Row],[EAN CORREGIDO]],'Tabla Articulos'!B:B,'Tabla Articulos'!D:D)</f>
        <v/>
      </c>
      <c r="Q2404" s="96">
        <f>_xlfn.XLOOKUP(S2404,'Tabla Articulos'!B:B,'Tabla Articulos'!E:E)</f>
        <v/>
      </c>
      <c r="R2404" s="96">
        <f>O2404*Q2404</f>
        <v/>
      </c>
      <c r="S2404" s="97">
        <f>TRIM(E2404)</f>
        <v/>
      </c>
    </row>
    <row r="2405" hidden="1">
      <c r="A2405" s="22" t="n">
        <v>2</v>
      </c>
      <c r="B2405" t="inlineStr">
        <is>
          <t xml:space="preserve">CD CIUDADELA                  </t>
        </is>
      </c>
      <c r="C2405" t="inlineStr">
        <is>
          <t xml:space="preserve">GRUPO L.                      </t>
        </is>
      </c>
      <c r="D2405" t="inlineStr">
        <is>
          <t>PREPIZZA PLACA</t>
        </is>
      </c>
      <c r="E2405" t="inlineStr">
        <is>
          <t xml:space="preserve">7790213010077       </t>
        </is>
      </c>
      <c r="F2405" t="n">
        <v>4018516</v>
      </c>
      <c r="G2405" t="inlineStr">
        <is>
          <t xml:space="preserve">PRE-PIZZA PLACA 40X60 X U          </t>
        </is>
      </c>
      <c r="H2405" t="inlineStr">
        <is>
          <t xml:space="preserve">UNIDAD              </t>
        </is>
      </c>
      <c r="I2405" t="n">
        <v>40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40</v>
      </c>
      <c r="P2405" s="96">
        <f>_xlfn.XLOOKUP(Tabla5[[#This Row],[EAN CORREGIDO]],'Tabla Articulos'!B:B,'Tabla Articulos'!D:D)</f>
        <v/>
      </c>
      <c r="Q2405" s="96">
        <f>_xlfn.XLOOKUP(S2405,'Tabla Articulos'!B:B,'Tabla Articulos'!E:E)</f>
        <v/>
      </c>
      <c r="R2405" s="96">
        <f>O2405*Q2405</f>
        <v/>
      </c>
      <c r="S2405" s="97">
        <f>TRIM(E2405)</f>
        <v/>
      </c>
    </row>
    <row r="2406" hidden="1">
      <c r="A2406" s="22" t="n">
        <v>2</v>
      </c>
      <c r="B2406" t="inlineStr">
        <is>
          <t xml:space="preserve">CD CIUDADELA                  </t>
        </is>
      </c>
      <c r="C2406" t="inlineStr">
        <is>
          <t xml:space="preserve">GRUPO L.                      </t>
        </is>
      </c>
      <c r="D2406" t="inlineStr">
        <is>
          <t>GARBANZOS REMOJADOS</t>
        </is>
      </c>
      <c r="E2406" t="inlineStr">
        <is>
          <t xml:space="preserve">7792350067538       </t>
        </is>
      </c>
      <c r="F2406" t="n">
        <v>4022894</v>
      </c>
      <c r="G2406" t="inlineStr">
        <is>
          <t xml:space="preserve">GARBANZO REMOJ 350G ALTO PAVON     </t>
        </is>
      </c>
      <c r="H2406" t="inlineStr">
        <is>
          <t xml:space="preserve">UNIDAD              </t>
        </is>
      </c>
      <c r="I2406" t="n">
        <v>22</v>
      </c>
      <c r="J2406" t="n">
        <v>0</v>
      </c>
      <c r="K2406" t="n">
        <v>0</v>
      </c>
      <c r="L2406" t="n">
        <v>4</v>
      </c>
      <c r="M2406" t="n">
        <v>4</v>
      </c>
      <c r="N2406" t="n">
        <v>0</v>
      </c>
      <c r="O2406" t="n">
        <v>14</v>
      </c>
      <c r="P2406" s="96">
        <f>_xlfn.XLOOKUP(Tabla5[[#This Row],[EAN CORREGIDO]],'Tabla Articulos'!B:B,'Tabla Articulos'!D:D)</f>
        <v/>
      </c>
      <c r="Q2406" s="96">
        <f>_xlfn.XLOOKUP(S2406,'Tabla Articulos'!B:B,'Tabla Articulos'!E:E)</f>
        <v/>
      </c>
      <c r="R2406" s="96">
        <f>O2406*Q2406</f>
        <v/>
      </c>
      <c r="S2406" s="97">
        <f>TRIM(E2406)</f>
        <v/>
      </c>
    </row>
    <row r="2407" hidden="1">
      <c r="A2407" s="22" t="n">
        <v>2</v>
      </c>
      <c r="B2407" t="inlineStr">
        <is>
          <t xml:space="preserve">CD CIUDADELA                  </t>
        </is>
      </c>
      <c r="C2407" t="inlineStr">
        <is>
          <t xml:space="preserve">GRUPO L.                      </t>
        </is>
      </c>
      <c r="D2407" t="inlineStr">
        <is>
          <t>BARRAS CEREAL</t>
        </is>
      </c>
      <c r="E2407" t="inlineStr">
        <is>
          <t xml:space="preserve">77986191            </t>
        </is>
      </c>
      <c r="F2407" t="n">
        <v>4021699</v>
      </c>
      <c r="G2407" t="inlineStr">
        <is>
          <t xml:space="preserve">MIX SNACK FRUT.SEC/GIR ZAFRAN 28   </t>
        </is>
      </c>
      <c r="H2407" t="inlineStr">
        <is>
          <t xml:space="preserve">UNIDAD              </t>
        </is>
      </c>
      <c r="I2407" t="n">
        <v>985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985</v>
      </c>
      <c r="P2407" s="96">
        <f>_xlfn.XLOOKUP(Tabla5[[#This Row],[EAN CORREGIDO]],'Tabla Articulos'!B:B,'Tabla Articulos'!D:D)</f>
        <v/>
      </c>
      <c r="Q2407" s="96">
        <f>_xlfn.XLOOKUP(S2407,'Tabla Articulos'!B:B,'Tabla Articulos'!E:E)</f>
        <v/>
      </c>
      <c r="R2407" s="96">
        <f>O2407*Q2407</f>
        <v/>
      </c>
      <c r="S2407" s="97">
        <f>TRIM(E2407)</f>
        <v/>
      </c>
    </row>
    <row r="2408" hidden="1">
      <c r="A2408" s="22" t="n">
        <v>2</v>
      </c>
      <c r="B2408" t="inlineStr">
        <is>
          <t xml:space="preserve">CD CIUDADELA                  </t>
        </is>
      </c>
      <c r="C2408" t="inlineStr">
        <is>
          <t xml:space="preserve">GRUPO L.                      </t>
        </is>
      </c>
      <c r="D2408" t="inlineStr">
        <is>
          <t>RESINITE PVC</t>
        </is>
      </c>
      <c r="E2408" t="inlineStr">
        <is>
          <t xml:space="preserve">7790000000227       </t>
        </is>
      </c>
      <c r="F2408" t="n">
        <v>2007183</v>
      </c>
      <c r="G2408" t="inlineStr">
        <is>
          <t xml:space="preserve">FILM PVC 30 CM  2,645 KG X1UN      </t>
        </is>
      </c>
      <c r="H2408" t="inlineStr">
        <is>
          <t xml:space="preserve">UNIDAD              </t>
        </is>
      </c>
      <c r="I2408" t="n">
        <v>88</v>
      </c>
      <c r="J2408" t="n">
        <v>0</v>
      </c>
      <c r="K2408" t="n">
        <v>0</v>
      </c>
      <c r="L2408" t="n">
        <v>22</v>
      </c>
      <c r="M2408" t="n">
        <v>22</v>
      </c>
      <c r="N2408" t="n">
        <v>0</v>
      </c>
      <c r="O2408" t="n">
        <v>44</v>
      </c>
      <c r="P2408" s="96">
        <f>_xlfn.XLOOKUP(Tabla5[[#This Row],[EAN CORREGIDO]],'Tabla Articulos'!B:B,'Tabla Articulos'!D:D)</f>
        <v/>
      </c>
      <c r="Q2408" s="96">
        <f>_xlfn.XLOOKUP(S2408,'Tabla Articulos'!B:B,'Tabla Articulos'!E:E)</f>
        <v/>
      </c>
      <c r="R2408" s="96">
        <f>O2408*Q2408</f>
        <v/>
      </c>
      <c r="S2408" s="97">
        <f>TRIM(E2408)</f>
        <v/>
      </c>
    </row>
    <row r="2409" hidden="1">
      <c r="A2409" s="22" t="n">
        <v>2</v>
      </c>
      <c r="B2409" t="inlineStr">
        <is>
          <t xml:space="preserve">CD CIUDADELA                  </t>
        </is>
      </c>
      <c r="C2409" t="inlineStr">
        <is>
          <t xml:space="preserve">GRUPO L.                      </t>
        </is>
      </c>
      <c r="D2409" t="inlineStr">
        <is>
          <t>QUESO FRESCO</t>
        </is>
      </c>
      <c r="E2409" t="inlineStr">
        <is>
          <t xml:space="preserve">7798041132476       </t>
        </is>
      </c>
      <c r="F2409" t="n">
        <v>4018209</v>
      </c>
      <c r="G2409" t="inlineStr">
        <is>
          <t xml:space="preserve">QUESO CREMOSO XKG LA PAULINA       </t>
        </is>
      </c>
      <c r="H2409" t="inlineStr">
        <is>
          <t xml:space="preserve">Kgs                 </t>
        </is>
      </c>
      <c r="I2409" t="n">
        <v>6358.515</v>
      </c>
      <c r="J2409" t="n">
        <v>0</v>
      </c>
      <c r="K2409" t="n">
        <v>0</v>
      </c>
      <c r="L2409" t="n">
        <v>241.06</v>
      </c>
      <c r="M2409" t="n">
        <v>241.06</v>
      </c>
      <c r="N2409" t="n">
        <v>0</v>
      </c>
      <c r="O2409" t="n">
        <v>5876.395</v>
      </c>
      <c r="P2409" s="96">
        <f>_xlfn.XLOOKUP(Tabla5[[#This Row],[EAN CORREGIDO]],'Tabla Articulos'!B:B,'Tabla Articulos'!D:D)</f>
        <v/>
      </c>
      <c r="Q2409" s="96">
        <f>_xlfn.XLOOKUP(S2409,'Tabla Articulos'!B:B,'Tabla Articulos'!E:E)</f>
        <v/>
      </c>
      <c r="R2409" s="96">
        <f>O2409*Q2409</f>
        <v/>
      </c>
      <c r="S2409" s="97">
        <f>TRIM(E2409)</f>
        <v/>
      </c>
    </row>
    <row r="2410" hidden="1">
      <c r="A2410" s="22" t="n">
        <v>2</v>
      </c>
      <c r="B2410" t="inlineStr">
        <is>
          <t xml:space="preserve">CD CIUDADELA                  </t>
        </is>
      </c>
      <c r="C2410" t="inlineStr">
        <is>
          <t xml:space="preserve">GRUPO L.                      </t>
        </is>
      </c>
      <c r="D2410" t="inlineStr">
        <is>
          <t>GELATINA ANANA</t>
        </is>
      </c>
      <c r="E2410" t="inlineStr">
        <is>
          <t xml:space="preserve">7790971002358       </t>
        </is>
      </c>
      <c r="F2410" t="n">
        <v>4022306</v>
      </c>
      <c r="G2410" t="inlineStr">
        <is>
          <t xml:space="preserve">GEL ANANA RAVANA 40GR              </t>
        </is>
      </c>
      <c r="H2410" t="inlineStr">
        <is>
          <t xml:space="preserve">UNIDAD              </t>
        </is>
      </c>
      <c r="I2410" t="n">
        <v>144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144</v>
      </c>
      <c r="P2410" s="96">
        <f>_xlfn.XLOOKUP(Tabla5[[#This Row],[EAN CORREGIDO]],'Tabla Articulos'!B:B,'Tabla Articulos'!D:D)</f>
        <v/>
      </c>
      <c r="Q2410" s="96">
        <f>_xlfn.XLOOKUP(S2410,'Tabla Articulos'!B:B,'Tabla Articulos'!E:E)</f>
        <v/>
      </c>
      <c r="R2410" s="96">
        <f>O2410*Q2410</f>
        <v/>
      </c>
      <c r="S2410" s="97">
        <f>TRIM(E2410)</f>
        <v/>
      </c>
    </row>
    <row r="2411" hidden="1">
      <c r="A2411" s="22" t="n">
        <v>2</v>
      </c>
      <c r="B2411" t="inlineStr">
        <is>
          <t xml:space="preserve">CD CIUDADELA                  </t>
        </is>
      </c>
      <c r="C2411" t="inlineStr">
        <is>
          <t xml:space="preserve">GRUPO L.                      </t>
        </is>
      </c>
      <c r="D2411" t="inlineStr">
        <is>
          <t>PAN CONGELADO</t>
        </is>
      </c>
      <c r="E2411" t="inlineStr">
        <is>
          <t xml:space="preserve">T748                </t>
        </is>
      </c>
      <c r="F2411" t="n">
        <v>4018457</v>
      </c>
      <c r="G2411" t="inlineStr">
        <is>
          <t xml:space="preserve">PANINI 125GRX 40U SELYGEL          </t>
        </is>
      </c>
      <c r="H2411" t="inlineStr">
        <is>
          <t xml:space="preserve">UNIDAD              </t>
        </is>
      </c>
      <c r="I2411" t="n">
        <v>9</v>
      </c>
      <c r="J2411" t="n">
        <v>0</v>
      </c>
      <c r="K2411" t="n">
        <v>0</v>
      </c>
      <c r="L2411" t="n">
        <v>0</v>
      </c>
      <c r="M2411" t="n">
        <v>0</v>
      </c>
      <c r="N2411" t="n">
        <v>8</v>
      </c>
      <c r="O2411" t="n">
        <v>1</v>
      </c>
      <c r="P2411" s="96">
        <f>_xlfn.XLOOKUP(Tabla5[[#This Row],[EAN CORREGIDO]],'Tabla Articulos'!B:B,'Tabla Articulos'!D:D)</f>
        <v/>
      </c>
      <c r="Q2411" s="96">
        <f>_xlfn.XLOOKUP(S2411,'Tabla Articulos'!B:B,'Tabla Articulos'!E:E)</f>
        <v/>
      </c>
      <c r="R2411" s="96">
        <f>O2411*Q2411</f>
        <v/>
      </c>
      <c r="S2411" s="97">
        <f>TRIM(E2411)</f>
        <v/>
      </c>
    </row>
    <row r="2412" hidden="1">
      <c r="A2412" s="22" t="n">
        <v>2</v>
      </c>
      <c r="B2412" t="inlineStr">
        <is>
          <t xml:space="preserve">CD CIUDADELA                  </t>
        </is>
      </c>
      <c r="C2412" t="inlineStr">
        <is>
          <t xml:space="preserve">GRUPO L.                      </t>
        </is>
      </c>
      <c r="D2412" t="inlineStr">
        <is>
          <t>CIRUELA DESHIDRATADA</t>
        </is>
      </c>
      <c r="E2412" t="inlineStr">
        <is>
          <t xml:space="preserve">724751080318        </t>
        </is>
      </c>
      <c r="F2412" t="n">
        <v>4024231</v>
      </c>
      <c r="G2412" t="inlineStr">
        <is>
          <t xml:space="preserve">CIR DESC X5KG PTO GOURMET          </t>
        </is>
      </c>
      <c r="H2412" t="inlineStr">
        <is>
          <t xml:space="preserve">UNIDAD              </t>
        </is>
      </c>
      <c r="I2412" t="n">
        <v>63</v>
      </c>
      <c r="J2412" t="n">
        <v>0</v>
      </c>
      <c r="K2412" t="n">
        <v>0</v>
      </c>
      <c r="L2412" t="n">
        <v>3</v>
      </c>
      <c r="M2412" t="n">
        <v>3</v>
      </c>
      <c r="N2412" t="n">
        <v>0</v>
      </c>
      <c r="O2412" t="n">
        <v>57</v>
      </c>
      <c r="P2412" s="96">
        <f>_xlfn.XLOOKUP(Tabla5[[#This Row],[EAN CORREGIDO]],'Tabla Articulos'!B:B,'Tabla Articulos'!D:D)</f>
        <v/>
      </c>
      <c r="Q2412" s="96">
        <f>_xlfn.XLOOKUP(S2412,'Tabla Articulos'!B:B,'Tabla Articulos'!E:E)</f>
        <v/>
      </c>
      <c r="R2412" s="96">
        <f>O2412*Q2412</f>
        <v/>
      </c>
      <c r="S2412" s="97">
        <f>TRIM(E2412)</f>
        <v/>
      </c>
    </row>
    <row r="2413" hidden="1">
      <c r="A2413" s="22" t="n">
        <v>2</v>
      </c>
      <c r="B2413" t="inlineStr">
        <is>
          <t xml:space="preserve">CD CIUDADELA                  </t>
        </is>
      </c>
      <c r="C2413" t="inlineStr">
        <is>
          <t xml:space="preserve">GRUPO L.                      </t>
        </is>
      </c>
      <c r="D2413" t="inlineStr">
        <is>
          <t>CHOCLO GRANO AMARILLO</t>
        </is>
      </c>
      <c r="E2413" t="inlineStr">
        <is>
          <t xml:space="preserve">7790199605690       </t>
        </is>
      </c>
      <c r="F2413" t="n">
        <v>4024533</v>
      </c>
      <c r="G2413" t="inlineStr">
        <is>
          <t xml:space="preserve">GL CHOCLO DULCE X300G MORIXE       </t>
        </is>
      </c>
      <c r="H2413" t="inlineStr">
        <is>
          <t xml:space="preserve">UNIDAD              </t>
        </is>
      </c>
      <c r="I2413" t="n">
        <v>1156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1156</v>
      </c>
      <c r="P2413" s="96">
        <f>_xlfn.XLOOKUP(Tabla5[[#This Row],[EAN CORREGIDO]],'Tabla Articulos'!B:B,'Tabla Articulos'!D:D)</f>
        <v/>
      </c>
      <c r="Q2413" s="96">
        <f>_xlfn.XLOOKUP(S2413,'Tabla Articulos'!B:B,'Tabla Articulos'!E:E)</f>
        <v/>
      </c>
      <c r="R2413" s="96">
        <f>O2413*Q2413</f>
        <v/>
      </c>
      <c r="S2413" s="97">
        <f>TRIM(E2413)</f>
        <v/>
      </c>
    </row>
    <row r="2414" hidden="1">
      <c r="A2414" s="22" t="n">
        <v>2</v>
      </c>
      <c r="B2414" t="inlineStr">
        <is>
          <t xml:space="preserve">CD CIUDADELA                  </t>
        </is>
      </c>
      <c r="C2414" t="inlineStr">
        <is>
          <t xml:space="preserve">GRUPO L.                      </t>
        </is>
      </c>
      <c r="D2414" t="inlineStr">
        <is>
          <t>BERENJENA</t>
        </is>
      </c>
      <c r="E2414" t="inlineStr">
        <is>
          <t xml:space="preserve">7790216012615       </t>
        </is>
      </c>
      <c r="F2414" t="n">
        <v>4018072</v>
      </c>
      <c r="G2414" t="inlineStr">
        <is>
          <t xml:space="preserve">BERENJENA X KG                     </t>
        </is>
      </c>
      <c r="H2414" t="inlineStr">
        <is>
          <t xml:space="preserve">Kgs                 </t>
        </is>
      </c>
      <c r="I2414" t="n">
        <v>1171.185</v>
      </c>
      <c r="J2414" t="n">
        <v>0</v>
      </c>
      <c r="K2414" t="n">
        <v>0</v>
      </c>
      <c r="L2414" t="n">
        <v>241.52</v>
      </c>
      <c r="M2414" t="n">
        <v>347.35</v>
      </c>
      <c r="N2414" t="n">
        <v>0</v>
      </c>
      <c r="O2414" t="n">
        <v>582.3150000000001</v>
      </c>
      <c r="P2414" s="96">
        <f>_xlfn.XLOOKUP(Tabla5[[#This Row],[EAN CORREGIDO]],'Tabla Articulos'!B:B,'Tabla Articulos'!D:D)</f>
        <v/>
      </c>
      <c r="Q2414" s="96">
        <f>_xlfn.XLOOKUP(S2414,'Tabla Articulos'!B:B,'Tabla Articulos'!E:E)</f>
        <v/>
      </c>
      <c r="R2414" s="96">
        <f>O2414*Q2414</f>
        <v/>
      </c>
      <c r="S2414" s="97">
        <f>TRIM(E2414)</f>
        <v/>
      </c>
    </row>
    <row r="2415" hidden="1">
      <c r="A2415" s="22" t="n">
        <v>2</v>
      </c>
      <c r="B2415" t="inlineStr">
        <is>
          <t xml:space="preserve">CD CIUDADELA                  </t>
        </is>
      </c>
      <c r="C2415" t="inlineStr">
        <is>
          <t xml:space="preserve">GRUPO L.                      </t>
        </is>
      </c>
      <c r="D2415" t="inlineStr">
        <is>
          <t>ALMIDON DE MAIZ CELIACO</t>
        </is>
      </c>
      <c r="E2415" t="inlineStr">
        <is>
          <t xml:space="preserve">7794000599475       </t>
        </is>
      </c>
      <c r="F2415" t="n">
        <v>4020197</v>
      </c>
      <c r="G2415" t="inlineStr">
        <is>
          <t xml:space="preserve">FECULA DE MAIZ X2KG MAIZENA        </t>
        </is>
      </c>
      <c r="H2415" t="inlineStr">
        <is>
          <t xml:space="preserve">UNIDAD              </t>
        </is>
      </c>
      <c r="I2415" t="n">
        <v>117</v>
      </c>
      <c r="J2415" t="n">
        <v>0</v>
      </c>
      <c r="K2415" t="n">
        <v>0</v>
      </c>
      <c r="L2415" t="n">
        <v>30</v>
      </c>
      <c r="M2415" t="n">
        <v>30</v>
      </c>
      <c r="N2415" t="n">
        <v>0</v>
      </c>
      <c r="O2415" t="n">
        <v>57</v>
      </c>
      <c r="P2415" s="96">
        <f>_xlfn.XLOOKUP(Tabla5[[#This Row],[EAN CORREGIDO]],'Tabla Articulos'!B:B,'Tabla Articulos'!D:D)</f>
        <v/>
      </c>
      <c r="Q2415" s="96">
        <f>_xlfn.XLOOKUP(S2415,'Tabla Articulos'!B:B,'Tabla Articulos'!E:E)</f>
        <v/>
      </c>
      <c r="R2415" s="96">
        <f>O2415*Q2415</f>
        <v/>
      </c>
      <c r="S2415" s="97">
        <f>TRIM(E2415)</f>
        <v/>
      </c>
    </row>
    <row r="2416" hidden="1">
      <c r="A2416" s="22" t="n">
        <v>2</v>
      </c>
      <c r="B2416" t="inlineStr">
        <is>
          <t xml:space="preserve">CD CIUDADELA                  </t>
        </is>
      </c>
      <c r="C2416" t="inlineStr">
        <is>
          <t xml:space="preserve">GRUPO L.                      </t>
        </is>
      </c>
      <c r="D2416" t="inlineStr">
        <is>
          <t>PANADERIA CONGELADA</t>
        </is>
      </c>
      <c r="E2416" t="inlineStr">
        <is>
          <t xml:space="preserve">17792180009101      </t>
        </is>
      </c>
      <c r="F2416" t="n">
        <v>4077142</v>
      </c>
      <c r="G2416" t="inlineStr">
        <is>
          <t xml:space="preserve">CHIPA CONG 20GRX150U CANUELAS      </t>
        </is>
      </c>
      <c r="H2416" t="inlineStr">
        <is>
          <t xml:space="preserve">UNIDAD              </t>
        </is>
      </c>
      <c r="I2416" t="n">
        <v>11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11</v>
      </c>
      <c r="P2416" s="96">
        <f>_xlfn.XLOOKUP(Tabla5[[#This Row],[EAN CORREGIDO]],'Tabla Articulos'!B:B,'Tabla Articulos'!D:D)</f>
        <v/>
      </c>
      <c r="Q2416" s="96">
        <f>_xlfn.XLOOKUP(S2416,'Tabla Articulos'!B:B,'Tabla Articulos'!E:E)</f>
        <v/>
      </c>
      <c r="R2416" s="96">
        <f>O2416*Q2416</f>
        <v/>
      </c>
      <c r="S2416" s="97">
        <f>TRIM(E2416)</f>
        <v/>
      </c>
    </row>
    <row r="2417" hidden="1">
      <c r="A2417" s="22" t="n">
        <v>2</v>
      </c>
      <c r="B2417" t="inlineStr">
        <is>
          <t xml:space="preserve">CD CIUDADELA                  </t>
        </is>
      </c>
      <c r="C2417" t="inlineStr">
        <is>
          <t xml:space="preserve">GRUPO L.                      </t>
        </is>
      </c>
      <c r="D2417" t="inlineStr">
        <is>
          <t>EDULCORANTE LIQUIDO</t>
        </is>
      </c>
      <c r="E2417" t="inlineStr">
        <is>
          <t xml:space="preserve">7790490998309       </t>
        </is>
      </c>
      <c r="F2417" t="n">
        <v>4019323</v>
      </c>
      <c r="G2417" t="inlineStr">
        <is>
          <t xml:space="preserve">EDULCORANTE LIQ X500CC HILERET     </t>
        </is>
      </c>
      <c r="H2417" t="inlineStr">
        <is>
          <t xml:space="preserve">UNIDAD              </t>
        </is>
      </c>
      <c r="I2417" t="n">
        <v>132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132</v>
      </c>
      <c r="P2417" s="96">
        <f>_xlfn.XLOOKUP(Tabla5[[#This Row],[EAN CORREGIDO]],'Tabla Articulos'!B:B,'Tabla Articulos'!D:D)</f>
        <v/>
      </c>
      <c r="Q2417" s="96">
        <f>_xlfn.XLOOKUP(S2417,'Tabla Articulos'!B:B,'Tabla Articulos'!E:E)</f>
        <v/>
      </c>
      <c r="R2417" s="96">
        <f>O2417*Q2417</f>
        <v/>
      </c>
      <c r="S2417" s="97">
        <f>TRIM(E2417)</f>
        <v/>
      </c>
    </row>
    <row r="2418" hidden="1">
      <c r="A2418" s="22" t="n">
        <v>2</v>
      </c>
      <c r="B2418" t="inlineStr">
        <is>
          <t xml:space="preserve">CD CIUDADELA                  </t>
        </is>
      </c>
      <c r="C2418" t="inlineStr">
        <is>
          <t xml:space="preserve">GRUPO L.                      </t>
        </is>
      </c>
      <c r="D2418" t="inlineStr">
        <is>
          <t>SESAMO BLANCO</t>
        </is>
      </c>
      <c r="E2418" t="inlineStr">
        <is>
          <t xml:space="preserve">7791885409332       </t>
        </is>
      </c>
      <c r="F2418" t="n">
        <v>4019907</v>
      </c>
      <c r="G2418" t="inlineStr">
        <is>
          <t xml:space="preserve">SEMILLA SESAMO BLANCO X1KG         </t>
        </is>
      </c>
      <c r="H2418" t="inlineStr">
        <is>
          <t xml:space="preserve">UNIDAD              </t>
        </is>
      </c>
      <c r="I2418" t="n">
        <v>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1</v>
      </c>
      <c r="P2418" s="96">
        <f>_xlfn.XLOOKUP(Tabla5[[#This Row],[EAN CORREGIDO]],'Tabla Articulos'!B:B,'Tabla Articulos'!D:D)</f>
        <v/>
      </c>
      <c r="Q2418" s="96">
        <f>_xlfn.XLOOKUP(S2418,'Tabla Articulos'!B:B,'Tabla Articulos'!E:E)</f>
        <v/>
      </c>
      <c r="R2418" s="96">
        <f>O2418*Q2418</f>
        <v/>
      </c>
      <c r="S2418" s="97">
        <f>TRIM(E2418)</f>
        <v/>
      </c>
    </row>
    <row r="2419" hidden="1">
      <c r="A2419" s="22" t="n">
        <v>2</v>
      </c>
      <c r="B2419" t="inlineStr">
        <is>
          <t xml:space="preserve">CD CIUDADELA                  </t>
        </is>
      </c>
      <c r="C2419" t="inlineStr">
        <is>
          <t xml:space="preserve">GRUPO L.                      </t>
        </is>
      </c>
      <c r="D2419" t="inlineStr">
        <is>
          <t>REBOZADOR CELIACO</t>
        </is>
      </c>
      <c r="E2419" t="inlineStr">
        <is>
          <t xml:space="preserve">7798082000294       </t>
        </is>
      </c>
      <c r="F2419" t="n">
        <v>4020795</v>
      </c>
      <c r="G2419" t="inlineStr">
        <is>
          <t xml:space="preserve">REBOZADOR S/TACC X450G NATUZEN     </t>
        </is>
      </c>
      <c r="H2419" t="inlineStr">
        <is>
          <t xml:space="preserve">UNIDAD              </t>
        </is>
      </c>
      <c r="I2419" t="n">
        <v>233</v>
      </c>
      <c r="J2419" t="n">
        <v>0</v>
      </c>
      <c r="K2419" t="n">
        <v>0</v>
      </c>
      <c r="L2419" t="n">
        <v>2</v>
      </c>
      <c r="M2419" t="n">
        <v>2</v>
      </c>
      <c r="N2419" t="n">
        <v>0</v>
      </c>
      <c r="O2419" t="n">
        <v>229</v>
      </c>
      <c r="P2419" s="96">
        <f>_xlfn.XLOOKUP(Tabla5[[#This Row],[EAN CORREGIDO]],'Tabla Articulos'!B:B,'Tabla Articulos'!D:D)</f>
        <v/>
      </c>
      <c r="Q2419" s="96">
        <f>_xlfn.XLOOKUP(S2419,'Tabla Articulos'!B:B,'Tabla Articulos'!E:E)</f>
        <v/>
      </c>
      <c r="R2419" s="96">
        <f>O2419*Q2419</f>
        <v/>
      </c>
      <c r="S2419" s="97">
        <f>TRIM(E2419)</f>
        <v/>
      </c>
    </row>
    <row r="2420" hidden="1">
      <c r="A2420" s="22" t="n">
        <v>2</v>
      </c>
      <c r="B2420" t="inlineStr">
        <is>
          <t xml:space="preserve">CD CIUDADELA                  </t>
        </is>
      </c>
      <c r="C2420" t="inlineStr">
        <is>
          <t xml:space="preserve">GRUPO L.                      </t>
        </is>
      </c>
      <c r="D2420" t="inlineStr">
        <is>
          <t>BARRA  ARROZ CELIACO</t>
        </is>
      </c>
      <c r="E2420" t="inlineStr">
        <is>
          <t xml:space="preserve">77965677            </t>
        </is>
      </c>
      <c r="F2420" t="n">
        <v>4022698</v>
      </c>
      <c r="G2420" t="inlineStr">
        <is>
          <t xml:space="preserve">BARRA ARROZ BAÑ/LIMON 12GR LULEM   </t>
        </is>
      </c>
      <c r="H2420" t="inlineStr">
        <is>
          <t xml:space="preserve">UNIDAD              </t>
        </is>
      </c>
      <c r="I2420" t="n">
        <v>1440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1440</v>
      </c>
      <c r="P2420" s="96">
        <f>_xlfn.XLOOKUP(Tabla5[[#This Row],[EAN CORREGIDO]],'Tabla Articulos'!B:B,'Tabla Articulos'!D:D)</f>
        <v/>
      </c>
      <c r="Q2420" s="96">
        <f>_xlfn.XLOOKUP(S2420,'Tabla Articulos'!B:B,'Tabla Articulos'!E:E)</f>
        <v/>
      </c>
      <c r="R2420" s="96">
        <f>O2420*Q2420</f>
        <v/>
      </c>
      <c r="S2420" s="97">
        <f>TRIM(E2420)</f>
        <v/>
      </c>
    </row>
    <row r="2421" hidden="1">
      <c r="A2421" s="22" t="n">
        <v>2</v>
      </c>
      <c r="B2421" t="inlineStr">
        <is>
          <t xml:space="preserve">CD CIUDADELA                  </t>
        </is>
      </c>
      <c r="C2421" t="inlineStr">
        <is>
          <t xml:space="preserve">GRUPO L.                      </t>
        </is>
      </c>
      <c r="D2421" t="inlineStr">
        <is>
          <t>PAPA BLANCA</t>
        </is>
      </c>
      <c r="E2421" t="inlineStr">
        <is>
          <t xml:space="preserve">7790216010042       </t>
        </is>
      </c>
      <c r="F2421" t="n">
        <v>4017998</v>
      </c>
      <c r="G2421" t="inlineStr">
        <is>
          <t xml:space="preserve">PAPA BLANCA X KG                   </t>
        </is>
      </c>
      <c r="H2421" t="inlineStr">
        <is>
          <t xml:space="preserve">Kgs                 </t>
        </is>
      </c>
      <c r="I2421" t="n">
        <v>2197.76</v>
      </c>
      <c r="J2421" t="n">
        <v>0</v>
      </c>
      <c r="K2421" t="n">
        <v>0</v>
      </c>
      <c r="L2421" t="n">
        <v>539.05</v>
      </c>
      <c r="M2421" t="n">
        <v>539.05</v>
      </c>
      <c r="N2421" t="n">
        <v>0</v>
      </c>
      <c r="O2421" t="n">
        <v>1119.66</v>
      </c>
      <c r="P2421" s="96">
        <f>_xlfn.XLOOKUP(Tabla5[[#This Row],[EAN CORREGIDO]],'Tabla Articulos'!B:B,'Tabla Articulos'!D:D)</f>
        <v/>
      </c>
      <c r="Q2421" s="96">
        <f>_xlfn.XLOOKUP(S2421,'Tabla Articulos'!B:B,'Tabla Articulos'!E:E)</f>
        <v/>
      </c>
      <c r="R2421" s="96">
        <f>O2421*Q2421</f>
        <v/>
      </c>
      <c r="S2421" s="97">
        <f>TRIM(E2421)</f>
        <v/>
      </c>
    </row>
    <row r="2422" hidden="1">
      <c r="A2422" s="22" t="n">
        <v>2</v>
      </c>
      <c r="B2422" t="inlineStr">
        <is>
          <t xml:space="preserve">CD CIUDADELA                  </t>
        </is>
      </c>
      <c r="C2422" t="inlineStr">
        <is>
          <t xml:space="preserve">GRUPO L.                      </t>
        </is>
      </c>
      <c r="D2422" t="inlineStr">
        <is>
          <t>MATAMBRES CERDO CONGELADO</t>
        </is>
      </c>
      <c r="E2422" t="inlineStr">
        <is>
          <t xml:space="preserve">7790212031273       </t>
        </is>
      </c>
      <c r="F2422" t="n">
        <v>4017697</v>
      </c>
      <c r="G2422" t="inlineStr">
        <is>
          <t xml:space="preserve">MATAMBRE CERDO C X KG              </t>
        </is>
      </c>
      <c r="H2422" t="inlineStr">
        <is>
          <t xml:space="preserve">Kgs                 </t>
        </is>
      </c>
      <c r="I2422" t="n">
        <v>360.77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360.77</v>
      </c>
      <c r="P2422" s="96">
        <f>_xlfn.XLOOKUP(Tabla5[[#This Row],[EAN CORREGIDO]],'Tabla Articulos'!B:B,'Tabla Articulos'!D:D)</f>
        <v/>
      </c>
      <c r="Q2422" s="96">
        <f>_xlfn.XLOOKUP(S2422,'Tabla Articulos'!B:B,'Tabla Articulos'!E:E)</f>
        <v/>
      </c>
      <c r="R2422" s="96">
        <f>O2422*Q2422</f>
        <v/>
      </c>
      <c r="S2422" s="97">
        <f>TRIM(E2422)</f>
        <v/>
      </c>
    </row>
    <row r="2423" hidden="1">
      <c r="A2423" s="22" t="n">
        <v>2</v>
      </c>
      <c r="B2423" t="inlineStr">
        <is>
          <t xml:space="preserve">CD CIUDADELA                  </t>
        </is>
      </c>
      <c r="C2423" t="inlineStr">
        <is>
          <t xml:space="preserve">GRUPO L.                      </t>
        </is>
      </c>
      <c r="D2423" t="inlineStr">
        <is>
          <t>GALLE DULCE</t>
        </is>
      </c>
      <c r="E2423" t="inlineStr">
        <is>
          <t xml:space="preserve">7796236000633       </t>
        </is>
      </c>
      <c r="F2423" t="n">
        <v>4077500</v>
      </c>
      <c r="G2423" t="inlineStr">
        <is>
          <t xml:space="preserve">SCONS X400G RIEDMAR                </t>
        </is>
      </c>
      <c r="H2423" t="inlineStr">
        <is>
          <t xml:space="preserve">UNIDAD              </t>
        </is>
      </c>
      <c r="I2423" t="n">
        <v>8060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8060</v>
      </c>
      <c r="P2423" s="96">
        <f>_xlfn.XLOOKUP(Tabla5[[#This Row],[EAN CORREGIDO]],'Tabla Articulos'!B:B,'Tabla Articulos'!D:D)</f>
        <v/>
      </c>
      <c r="Q2423" s="96">
        <f>_xlfn.XLOOKUP(S2423,'Tabla Articulos'!B:B,'Tabla Articulos'!E:E)</f>
        <v/>
      </c>
      <c r="R2423" s="96">
        <f>O2423*Q2423</f>
        <v/>
      </c>
      <c r="S2423" s="97">
        <f>TRIM(E2423)</f>
        <v/>
      </c>
    </row>
    <row r="2424" hidden="1">
      <c r="A2424" s="22" t="n">
        <v>2</v>
      </c>
      <c r="B2424" t="inlineStr">
        <is>
          <t xml:space="preserve">CD CIUDADELA                  </t>
        </is>
      </c>
      <c r="C2424" t="inlineStr">
        <is>
          <t xml:space="preserve">GRUPO L.                      </t>
        </is>
      </c>
      <c r="D2424" t="inlineStr">
        <is>
          <t>SEMILLA GIRASOL</t>
        </is>
      </c>
      <c r="E2424" t="inlineStr">
        <is>
          <t xml:space="preserve">7793323001894       </t>
        </is>
      </c>
      <c r="F2424" t="n">
        <v>4022812</v>
      </c>
      <c r="G2424" t="inlineStr">
        <is>
          <t xml:space="preserve">SEMILLAS GIRASOL PEL 1KG DICOMER   </t>
        </is>
      </c>
      <c r="H2424" t="inlineStr">
        <is>
          <t xml:space="preserve">UNIDAD              </t>
        </is>
      </c>
      <c r="I2424" t="n">
        <v>142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142</v>
      </c>
      <c r="P2424" s="96">
        <f>_xlfn.XLOOKUP(Tabla5[[#This Row],[EAN CORREGIDO]],'Tabla Articulos'!B:B,'Tabla Articulos'!D:D)</f>
        <v/>
      </c>
      <c r="Q2424" s="96">
        <f>_xlfn.XLOOKUP(S2424,'Tabla Articulos'!B:B,'Tabla Articulos'!E:E)</f>
        <v/>
      </c>
      <c r="R2424" s="96">
        <f>O2424*Q2424</f>
        <v/>
      </c>
      <c r="S2424" s="97">
        <f>TRIM(E2424)</f>
        <v/>
      </c>
    </row>
    <row r="2425" hidden="1">
      <c r="A2425" s="22" t="n">
        <v>2</v>
      </c>
      <c r="B2425" t="inlineStr">
        <is>
          <t xml:space="preserve">CD CIUDADELA                  </t>
        </is>
      </c>
      <c r="C2425" t="inlineStr">
        <is>
          <t xml:space="preserve">GRUPO L.                      </t>
        </is>
      </c>
      <c r="D2425" t="inlineStr">
        <is>
          <t>CARNE ENTERA</t>
        </is>
      </c>
      <c r="E2425" t="inlineStr">
        <is>
          <t xml:space="preserve">7790212031244       </t>
        </is>
      </c>
      <c r="F2425" t="n">
        <v>4017694</v>
      </c>
      <c r="G2425" t="inlineStr">
        <is>
          <t xml:space="preserve">MATAMBRE X KG                      </t>
        </is>
      </c>
      <c r="H2425" t="inlineStr">
        <is>
          <t xml:space="preserve">Kgs                 </t>
        </is>
      </c>
      <c r="I2425" t="n">
        <v>74.81999999999999</v>
      </c>
      <c r="J2425" t="n">
        <v>0</v>
      </c>
      <c r="K2425" t="n">
        <v>0</v>
      </c>
      <c r="L2425" t="n">
        <v>35.25</v>
      </c>
      <c r="M2425" t="n">
        <v>35.25</v>
      </c>
      <c r="N2425" t="n">
        <v>0</v>
      </c>
      <c r="O2425" t="n">
        <v>4.32</v>
      </c>
      <c r="P2425" s="96">
        <f>_xlfn.XLOOKUP(Tabla5[[#This Row],[EAN CORREGIDO]],'Tabla Articulos'!B:B,'Tabla Articulos'!D:D)</f>
        <v/>
      </c>
      <c r="Q2425" s="96">
        <f>_xlfn.XLOOKUP(S2425,'Tabla Articulos'!B:B,'Tabla Articulos'!E:E)</f>
        <v/>
      </c>
      <c r="R2425" s="96">
        <f>O2425*Q2425</f>
        <v/>
      </c>
      <c r="S2425" s="97">
        <f>TRIM(E2425)</f>
        <v/>
      </c>
    </row>
    <row r="2426" hidden="1">
      <c r="A2426" s="22" t="n">
        <v>2</v>
      </c>
      <c r="B2426" t="inlineStr">
        <is>
          <t xml:space="preserve">CD CIUDADELA                  </t>
        </is>
      </c>
      <c r="C2426" t="inlineStr">
        <is>
          <t xml:space="preserve">GRUPO L.                      </t>
        </is>
      </c>
      <c r="D2426" t="inlineStr">
        <is>
          <t>MOUSSE CHOCOLATE</t>
        </is>
      </c>
      <c r="E2426" t="inlineStr">
        <is>
          <t xml:space="preserve">7790971002488       </t>
        </is>
      </c>
      <c r="F2426" t="n">
        <v>4019790</v>
      </c>
      <c r="G2426" t="inlineStr">
        <is>
          <t xml:space="preserve">MOUSSE CHOC X500GR ORLOC           </t>
        </is>
      </c>
      <c r="H2426" t="inlineStr">
        <is>
          <t xml:space="preserve">UNIDAD              </t>
        </is>
      </c>
      <c r="I2426" t="n">
        <v>470</v>
      </c>
      <c r="J2426" t="n">
        <v>0</v>
      </c>
      <c r="K2426" t="n">
        <v>0</v>
      </c>
      <c r="L2426" t="n">
        <v>13</v>
      </c>
      <c r="M2426" t="n">
        <v>13</v>
      </c>
      <c r="N2426" t="n">
        <v>0</v>
      </c>
      <c r="O2426" t="n">
        <v>444</v>
      </c>
      <c r="P2426" s="96">
        <f>_xlfn.XLOOKUP(Tabla5[[#This Row],[EAN CORREGIDO]],'Tabla Articulos'!B:B,'Tabla Articulos'!D:D)</f>
        <v/>
      </c>
      <c r="Q2426" s="96">
        <f>_xlfn.XLOOKUP(S2426,'Tabla Articulos'!B:B,'Tabla Articulos'!E:E)</f>
        <v/>
      </c>
      <c r="R2426" s="96">
        <f>O2426*Q2426</f>
        <v/>
      </c>
      <c r="S2426" s="97">
        <f>TRIM(E2426)</f>
        <v/>
      </c>
    </row>
    <row r="2427" hidden="1">
      <c r="A2427" s="22" t="n">
        <v>2</v>
      </c>
      <c r="B2427" t="inlineStr">
        <is>
          <t xml:space="preserve">CD CIUDADELA                  </t>
        </is>
      </c>
      <c r="C2427" t="inlineStr">
        <is>
          <t xml:space="preserve">GRUPO L.                      </t>
        </is>
      </c>
      <c r="D2427" t="inlineStr">
        <is>
          <t>MANTEL LOGO GL</t>
        </is>
      </c>
      <c r="E2427" t="inlineStr">
        <is>
          <t xml:space="preserve">7790000000711       </t>
        </is>
      </c>
      <c r="F2427" t="n">
        <v>2016511</v>
      </c>
      <c r="G2427" t="inlineStr">
        <is>
          <t xml:space="preserve">MANTEL INDIV BLUE ESPECIAL X1000UN </t>
        </is>
      </c>
      <c r="H2427" t="inlineStr">
        <is>
          <t xml:space="preserve">UNIDAD              </t>
        </is>
      </c>
      <c r="I2427" t="n">
        <v>19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19</v>
      </c>
      <c r="P2427" s="96">
        <f>_xlfn.XLOOKUP(Tabla5[[#This Row],[EAN CORREGIDO]],'Tabla Articulos'!B:B,'Tabla Articulos'!D:D)</f>
        <v/>
      </c>
      <c r="Q2427" s="96">
        <f>_xlfn.XLOOKUP(S2427,'Tabla Articulos'!B:B,'Tabla Articulos'!E:E)</f>
        <v/>
      </c>
      <c r="R2427" s="96">
        <f>O2427*Q2427</f>
        <v/>
      </c>
      <c r="S2427" s="97">
        <f>TRIM(E2427)</f>
        <v/>
      </c>
    </row>
    <row r="2428" hidden="1">
      <c r="A2428" s="22" t="n">
        <v>2</v>
      </c>
      <c r="B2428" t="inlineStr">
        <is>
          <t xml:space="preserve">CD CIUDADELA                  </t>
        </is>
      </c>
      <c r="C2428" t="inlineStr">
        <is>
          <t xml:space="preserve">GRUPO L.                      </t>
        </is>
      </c>
      <c r="D2428" t="inlineStr">
        <is>
          <t>PERA</t>
        </is>
      </c>
      <c r="E2428" t="inlineStr">
        <is>
          <t xml:space="preserve">7790216020108       </t>
        </is>
      </c>
      <c r="F2428" t="n">
        <v>4017995</v>
      </c>
      <c r="G2428" t="inlineStr">
        <is>
          <t xml:space="preserve">FRUTA PERA X KG                    </t>
        </is>
      </c>
      <c r="H2428" t="inlineStr">
        <is>
          <t xml:space="preserve">Kgs                 </t>
        </is>
      </c>
      <c r="I2428" t="n">
        <v>44995.4</v>
      </c>
      <c r="J2428" t="n">
        <v>0</v>
      </c>
      <c r="K2428" t="n">
        <v>0</v>
      </c>
      <c r="L2428" t="n">
        <v>182.05</v>
      </c>
      <c r="M2428" t="n">
        <v>182.05</v>
      </c>
      <c r="N2428" t="n">
        <v>0</v>
      </c>
      <c r="O2428" t="n">
        <v>44631.3</v>
      </c>
      <c r="P2428" s="96">
        <f>_xlfn.XLOOKUP(Tabla5[[#This Row],[EAN CORREGIDO]],'Tabla Articulos'!B:B,'Tabla Articulos'!D:D)</f>
        <v/>
      </c>
      <c r="Q2428" s="96">
        <f>_xlfn.XLOOKUP(S2428,'Tabla Articulos'!B:B,'Tabla Articulos'!E:E)</f>
        <v/>
      </c>
      <c r="R2428" s="96">
        <f>O2428*Q2428</f>
        <v/>
      </c>
      <c r="S2428" s="97">
        <f>TRIM(E2428)</f>
        <v/>
      </c>
    </row>
    <row r="2429" hidden="1">
      <c r="A2429" s="22" t="n">
        <v>2</v>
      </c>
      <c r="B2429" t="inlineStr">
        <is>
          <t xml:space="preserve">CD CIUDADELA                  </t>
        </is>
      </c>
      <c r="C2429" t="inlineStr">
        <is>
          <t xml:space="preserve">GRUPO L.                      </t>
        </is>
      </c>
      <c r="D2429" t="inlineStr">
        <is>
          <t>TARTA VERDURA</t>
        </is>
      </c>
      <c r="E2429" t="inlineStr">
        <is>
          <t xml:space="preserve">7799132966524       </t>
        </is>
      </c>
      <c r="F2429" t="n">
        <v>4018703</v>
      </c>
      <c r="G2429" t="inlineStr">
        <is>
          <t xml:space="preserve">TARTA VERDU X320G X10U SELYGEL     </t>
        </is>
      </c>
      <c r="H2429" t="inlineStr">
        <is>
          <t xml:space="preserve">UNIDAD              </t>
        </is>
      </c>
      <c r="I2429" t="n">
        <v>10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10</v>
      </c>
      <c r="P2429" s="96">
        <f>_xlfn.XLOOKUP(Tabla5[[#This Row],[EAN CORREGIDO]],'Tabla Articulos'!B:B,'Tabla Articulos'!D:D)</f>
        <v/>
      </c>
      <c r="Q2429" s="96">
        <f>_xlfn.XLOOKUP(S2429,'Tabla Articulos'!B:B,'Tabla Articulos'!E:E)</f>
        <v/>
      </c>
      <c r="R2429" s="96">
        <f>O2429*Q2429</f>
        <v/>
      </c>
      <c r="S2429" s="97">
        <f>TRIM(E2429)</f>
        <v/>
      </c>
    </row>
    <row r="2430" hidden="1">
      <c r="A2430" s="22" t="n">
        <v>2</v>
      </c>
      <c r="B2430" t="inlineStr">
        <is>
          <t xml:space="preserve">CD CIUDADELA                  </t>
        </is>
      </c>
      <c r="C2430" t="inlineStr">
        <is>
          <t xml:space="preserve">GRUPO L.                      </t>
        </is>
      </c>
      <c r="D2430" t="inlineStr">
        <is>
          <t>VINO OPORTO</t>
        </is>
      </c>
      <c r="E2430" t="inlineStr">
        <is>
          <t xml:space="preserve">7792100000273       </t>
        </is>
      </c>
      <c r="F2430" t="n">
        <v>4021310</v>
      </c>
      <c r="G2430" t="inlineStr">
        <is>
          <t xml:space="preserve">VINO OPORTO X750CC FLORIO          </t>
        </is>
      </c>
      <c r="H2430" t="inlineStr">
        <is>
          <t xml:space="preserve">UNIDAD              </t>
        </is>
      </c>
      <c r="I2430" t="n">
        <v>88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88</v>
      </c>
      <c r="P2430" s="96">
        <f>_xlfn.XLOOKUP(Tabla5[[#This Row],[EAN CORREGIDO]],'Tabla Articulos'!B:B,'Tabla Articulos'!D:D)</f>
        <v/>
      </c>
      <c r="Q2430" s="96">
        <f>_xlfn.XLOOKUP(S2430,'Tabla Articulos'!B:B,'Tabla Articulos'!E:E)</f>
        <v/>
      </c>
      <c r="R2430" s="96">
        <f>O2430*Q2430</f>
        <v/>
      </c>
      <c r="S2430" s="97">
        <f>TRIM(E2430)</f>
        <v/>
      </c>
    </row>
    <row r="2431" hidden="1">
      <c r="A2431" s="22" t="n">
        <v>2</v>
      </c>
      <c r="B2431" t="inlineStr">
        <is>
          <t xml:space="preserve">CD CIUDADELA                  </t>
        </is>
      </c>
      <c r="C2431" t="inlineStr">
        <is>
          <t xml:space="preserve">GRUPO L.                      </t>
        </is>
      </c>
      <c r="D2431" t="inlineStr">
        <is>
          <t>COPOS MAIZ CHOCOLATE</t>
        </is>
      </c>
      <c r="E2431" t="inlineStr">
        <is>
          <t xml:space="preserve">7790045827306       </t>
        </is>
      </c>
      <c r="F2431" t="n">
        <v>4023839</v>
      </c>
      <c r="G2431" t="inlineStr">
        <is>
          <t xml:space="preserve">CER CHOC BALONCITOS X3KG GRANIX    </t>
        </is>
      </c>
      <c r="H2431" t="inlineStr">
        <is>
          <t xml:space="preserve">UNIDAD              </t>
        </is>
      </c>
      <c r="I2431" t="n">
        <v>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5</v>
      </c>
      <c r="P2431" s="96">
        <f>_xlfn.XLOOKUP(Tabla5[[#This Row],[EAN CORREGIDO]],'Tabla Articulos'!B:B,'Tabla Articulos'!D:D)</f>
        <v/>
      </c>
      <c r="Q2431" s="96">
        <f>_xlfn.XLOOKUP(S2431,'Tabla Articulos'!B:B,'Tabla Articulos'!E:E)</f>
        <v/>
      </c>
      <c r="R2431" s="96">
        <f>O2431*Q2431</f>
        <v/>
      </c>
      <c r="S2431" s="97">
        <f>TRIM(E2431)</f>
        <v/>
      </c>
    </row>
    <row r="2432" hidden="1">
      <c r="A2432" s="22" t="n">
        <v>2</v>
      </c>
      <c r="B2432" t="inlineStr">
        <is>
          <t xml:space="preserve">CD CIUDADELA                  </t>
        </is>
      </c>
      <c r="C2432" t="inlineStr">
        <is>
          <t xml:space="preserve">GRUPO L.                      </t>
        </is>
      </c>
      <c r="D2432" t="inlineStr">
        <is>
          <t>MATE COCIDO SOB S/TACC</t>
        </is>
      </c>
      <c r="E2432" t="inlineStr">
        <is>
          <t xml:space="preserve">7792198005341       </t>
        </is>
      </c>
      <c r="F2432" t="n">
        <v>4019717</v>
      </c>
      <c r="G2432" t="inlineStr">
        <is>
          <t xml:space="preserve">MATE COC EN SOB X50U NATURA        </t>
        </is>
      </c>
      <c r="H2432" t="inlineStr">
        <is>
          <t xml:space="preserve">UNIDAD              </t>
        </is>
      </c>
      <c r="I2432" t="n">
        <v>3508</v>
      </c>
      <c r="J2432" t="n">
        <v>0</v>
      </c>
      <c r="K2432" t="n">
        <v>0</v>
      </c>
      <c r="L2432" t="n">
        <v>31</v>
      </c>
      <c r="M2432" t="n">
        <v>31</v>
      </c>
      <c r="N2432" t="n">
        <v>0</v>
      </c>
      <c r="O2432" t="n">
        <v>3446</v>
      </c>
      <c r="P2432" s="96">
        <f>_xlfn.XLOOKUP(Tabla5[[#This Row],[EAN CORREGIDO]],'Tabla Articulos'!B:B,'Tabla Articulos'!D:D)</f>
        <v/>
      </c>
      <c r="Q2432" s="96">
        <f>_xlfn.XLOOKUP(S2432,'Tabla Articulos'!B:B,'Tabla Articulos'!E:E)</f>
        <v/>
      </c>
      <c r="R2432" s="96">
        <f>O2432*Q2432</f>
        <v/>
      </c>
      <c r="S2432" s="97">
        <f>TRIM(E2432)</f>
        <v/>
      </c>
    </row>
    <row r="2433" hidden="1">
      <c r="A2433" s="22" t="n">
        <v>2</v>
      </c>
      <c r="B2433" t="inlineStr">
        <is>
          <t xml:space="preserve">CD CIUDADELA                  </t>
        </is>
      </c>
      <c r="C2433" t="inlineStr">
        <is>
          <t xml:space="preserve">GRUPO L.                      </t>
        </is>
      </c>
      <c r="D2433" t="inlineStr">
        <is>
          <t>ACETO</t>
        </is>
      </c>
      <c r="E2433" t="inlineStr">
        <is>
          <t xml:space="preserve">7797470004708       </t>
        </is>
      </c>
      <c r="F2433" t="n">
        <v>4020208</v>
      </c>
      <c r="G2433" t="inlineStr">
        <is>
          <t xml:space="preserve">ACETO BALSAMICO X500CC MAROLIO     </t>
        </is>
      </c>
      <c r="H2433" t="inlineStr">
        <is>
          <t xml:space="preserve">UNIDAD              </t>
        </is>
      </c>
      <c r="I2433" t="n">
        <v>1481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1481</v>
      </c>
      <c r="P2433" s="96">
        <f>_xlfn.XLOOKUP(Tabla5[[#This Row],[EAN CORREGIDO]],'Tabla Articulos'!B:B,'Tabla Articulos'!D:D)</f>
        <v/>
      </c>
      <c r="Q2433" s="96">
        <f>_xlfn.XLOOKUP(S2433,'Tabla Articulos'!B:B,'Tabla Articulos'!E:E)</f>
        <v/>
      </c>
      <c r="R2433" s="96">
        <f>O2433*Q2433</f>
        <v/>
      </c>
      <c r="S2433" s="97">
        <f>TRIM(E2433)</f>
        <v/>
      </c>
    </row>
    <row r="2434" hidden="1">
      <c r="A2434" s="22" t="n">
        <v>2</v>
      </c>
      <c r="B2434" t="inlineStr">
        <is>
          <t xml:space="preserve">CD CIUDADELA                  </t>
        </is>
      </c>
      <c r="C2434" t="inlineStr">
        <is>
          <t xml:space="preserve">GRUPO L.                      </t>
        </is>
      </c>
      <c r="D2434" t="inlineStr">
        <is>
          <t>PANADERIA CONGELADA</t>
        </is>
      </c>
      <c r="E2434" t="inlineStr">
        <is>
          <t xml:space="preserve">7799132966513       </t>
        </is>
      </c>
      <c r="F2434" t="n">
        <v>4018478</v>
      </c>
      <c r="G2434" t="inlineStr">
        <is>
          <t xml:space="preserve">ALFAJOR MAICENA X30U SELYGEL       </t>
        </is>
      </c>
      <c r="H2434" t="inlineStr">
        <is>
          <t xml:space="preserve">UNIDAD              </t>
        </is>
      </c>
      <c r="I2434" t="n">
        <v>1</v>
      </c>
      <c r="J2434" t="n">
        <v>0</v>
      </c>
      <c r="K2434" t="n">
        <v>0</v>
      </c>
      <c r="L2434" t="n">
        <v>0</v>
      </c>
      <c r="M2434" t="n">
        <v>0</v>
      </c>
      <c r="N2434" t="n">
        <v>1</v>
      </c>
      <c r="O2434" t="n">
        <v>0</v>
      </c>
      <c r="P2434" s="96">
        <f>_xlfn.XLOOKUP(Tabla5[[#This Row],[EAN CORREGIDO]],'Tabla Articulos'!B:B,'Tabla Articulos'!D:D)</f>
        <v/>
      </c>
      <c r="Q2434" s="96">
        <f>_xlfn.XLOOKUP(S2434,'Tabla Articulos'!B:B,'Tabla Articulos'!E:E)</f>
        <v/>
      </c>
      <c r="R2434" s="96">
        <f>O2434*Q2434</f>
        <v/>
      </c>
      <c r="S2434" s="97">
        <f>TRIM(E2434)</f>
        <v/>
      </c>
    </row>
    <row r="2435" hidden="1">
      <c r="A2435" s="22" t="n">
        <v>2</v>
      </c>
      <c r="B2435" t="inlineStr">
        <is>
          <t xml:space="preserve">CD CIUDADELA                  </t>
        </is>
      </c>
      <c r="C2435" t="inlineStr">
        <is>
          <t xml:space="preserve">GRUPO L.                      </t>
        </is>
      </c>
      <c r="D2435" t="inlineStr">
        <is>
          <t xml:space="preserve">LECHE MATERNIZADA </t>
        </is>
      </c>
      <c r="E2435" t="inlineStr">
        <is>
          <t xml:space="preserve">7798181641435       </t>
        </is>
      </c>
      <c r="F2435" t="n">
        <v>4018402</v>
      </c>
      <c r="G2435" t="inlineStr">
        <is>
          <t xml:space="preserve">LECHE BB2 ADVANCEDX200CC SANC	     </t>
        </is>
      </c>
      <c r="H2435" t="inlineStr">
        <is>
          <t xml:space="preserve">UNIDAD              </t>
        </is>
      </c>
      <c r="I2435" t="n">
        <v>42636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42636</v>
      </c>
      <c r="P2435" s="96">
        <f>_xlfn.XLOOKUP(Tabla5[[#This Row],[EAN CORREGIDO]],'Tabla Articulos'!B:B,'Tabla Articulos'!D:D)</f>
        <v/>
      </c>
      <c r="Q2435" s="96">
        <f>_xlfn.XLOOKUP(S2435,'Tabla Articulos'!B:B,'Tabla Articulos'!E:E)</f>
        <v/>
      </c>
      <c r="R2435" s="96">
        <f>O2435*Q2435</f>
        <v/>
      </c>
      <c r="S2435" s="97">
        <f>TRIM(E2435)</f>
        <v/>
      </c>
    </row>
    <row r="2436" hidden="1">
      <c r="A2436" s="22" t="n">
        <v>2</v>
      </c>
      <c r="B2436" t="inlineStr">
        <is>
          <t xml:space="preserve">CD CIUDADELA                  </t>
        </is>
      </c>
      <c r="C2436" t="inlineStr">
        <is>
          <t xml:space="preserve">GRUPO L.                      </t>
        </is>
      </c>
      <c r="D2436" t="inlineStr">
        <is>
          <t>BOLSAS CUBIERTOS</t>
        </is>
      </c>
      <c r="E2436" t="inlineStr">
        <is>
          <t xml:space="preserve">7790321020992       </t>
        </is>
      </c>
      <c r="F2436" t="n">
        <v>2006692</v>
      </c>
      <c r="G2436" t="inlineStr">
        <is>
          <t xml:space="preserve">BOLSA CUBIERTOS 10X 25 X100 U      </t>
        </is>
      </c>
      <c r="H2436" t="inlineStr">
        <is>
          <t xml:space="preserve">UNIDAD              </t>
        </is>
      </c>
      <c r="I2436" t="n">
        <v>500</v>
      </c>
      <c r="J2436" t="n">
        <v>0</v>
      </c>
      <c r="K2436" t="n">
        <v>0</v>
      </c>
      <c r="L2436" t="n">
        <v>12</v>
      </c>
      <c r="M2436" t="n">
        <v>12</v>
      </c>
      <c r="N2436" t="n">
        <v>18</v>
      </c>
      <c r="O2436" t="n">
        <v>458</v>
      </c>
      <c r="P2436" s="96">
        <f>_xlfn.XLOOKUP(Tabla5[[#This Row],[EAN CORREGIDO]],'Tabla Articulos'!B:B,'Tabla Articulos'!D:D)</f>
        <v/>
      </c>
      <c r="Q2436" s="96">
        <f>_xlfn.XLOOKUP(S2436,'Tabla Articulos'!B:B,'Tabla Articulos'!E:E)</f>
        <v/>
      </c>
      <c r="R2436" s="96">
        <f>O2436*Q2436</f>
        <v/>
      </c>
      <c r="S2436" s="97">
        <f>TRIM(E2436)</f>
        <v/>
      </c>
    </row>
    <row r="2437" hidden="1">
      <c r="A2437" s="22" t="n">
        <v>2</v>
      </c>
      <c r="B2437" t="inlineStr">
        <is>
          <t xml:space="preserve">CD CIUDADELA                  </t>
        </is>
      </c>
      <c r="C2437" t="inlineStr">
        <is>
          <t xml:space="preserve">GRUPO L.                      </t>
        </is>
      </c>
      <c r="D2437" t="inlineStr">
        <is>
          <t>JUGO POLVO NARANJA</t>
        </is>
      </c>
      <c r="E2437" t="inlineStr">
        <is>
          <t xml:space="preserve">7790580143237       </t>
        </is>
      </c>
      <c r="F2437" t="n">
        <v>4021273</v>
      </c>
      <c r="G2437" t="inlineStr">
        <is>
          <t xml:space="preserve">JUGO POLVO NARAN X15GR ARCOR       </t>
        </is>
      </c>
      <c r="H2437" t="inlineStr">
        <is>
          <t xml:space="preserve">UNIDAD              </t>
        </is>
      </c>
      <c r="I2437" t="n">
        <v>6476</v>
      </c>
      <c r="J2437" t="n">
        <v>0</v>
      </c>
      <c r="K2437" t="n">
        <v>0</v>
      </c>
      <c r="L2437" t="n">
        <v>157</v>
      </c>
      <c r="M2437" t="n">
        <v>157</v>
      </c>
      <c r="N2437" t="n">
        <v>0</v>
      </c>
      <c r="O2437" t="n">
        <v>6162</v>
      </c>
      <c r="P2437" s="96">
        <f>_xlfn.XLOOKUP(Tabla5[[#This Row],[EAN CORREGIDO]],'Tabla Articulos'!B:B,'Tabla Articulos'!D:D)</f>
        <v/>
      </c>
      <c r="Q2437" s="96">
        <f>_xlfn.XLOOKUP(S2437,'Tabla Articulos'!B:B,'Tabla Articulos'!E:E)</f>
        <v/>
      </c>
      <c r="R2437" s="96">
        <f>O2437*Q2437</f>
        <v/>
      </c>
      <c r="S2437" s="97">
        <f>TRIM(E2437)</f>
        <v/>
      </c>
    </row>
    <row r="2438" hidden="1">
      <c r="A2438" s="22" t="n">
        <v>2</v>
      </c>
      <c r="B2438" t="inlineStr">
        <is>
          <t xml:space="preserve">CD CIUDADELA                  </t>
        </is>
      </c>
      <c r="C2438" t="inlineStr">
        <is>
          <t xml:space="preserve">GRUPO L.                      </t>
        </is>
      </c>
      <c r="D2438" t="inlineStr">
        <is>
          <t>GUANTE NITRILO</t>
        </is>
      </c>
      <c r="E2438" t="inlineStr">
        <is>
          <t xml:space="preserve">888277653934        </t>
        </is>
      </c>
      <c r="F2438" t="n">
        <v>2016734</v>
      </c>
      <c r="G2438" t="inlineStr">
        <is>
          <t xml:space="preserve">GUANTE NITRILO M X100U MEDLINE     </t>
        </is>
      </c>
      <c r="H2438" t="inlineStr">
        <is>
          <t xml:space="preserve">UNIDAD              </t>
        </is>
      </c>
      <c r="I2438" t="n">
        <v>63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63</v>
      </c>
      <c r="P2438" s="96">
        <f>_xlfn.XLOOKUP(Tabla5[[#This Row],[EAN CORREGIDO]],'Tabla Articulos'!B:B,'Tabla Articulos'!D:D)</f>
        <v/>
      </c>
      <c r="Q2438" s="96">
        <f>_xlfn.XLOOKUP(S2438,'Tabla Articulos'!B:B,'Tabla Articulos'!E:E)</f>
        <v/>
      </c>
      <c r="R2438" s="96">
        <f>O2438*Q2438</f>
        <v/>
      </c>
      <c r="S2438" s="97">
        <f>TRIM(E2438)</f>
        <v/>
      </c>
    </row>
    <row r="2439" hidden="1">
      <c r="A2439" s="22" t="n">
        <v>2</v>
      </c>
      <c r="B2439" t="inlineStr">
        <is>
          <t xml:space="preserve">CD CIUDADELA                  </t>
        </is>
      </c>
      <c r="C2439" t="inlineStr">
        <is>
          <t xml:space="preserve">GRUPO L.                      </t>
        </is>
      </c>
      <c r="D2439" t="inlineStr">
        <is>
          <t>ARROZ YAMANI</t>
        </is>
      </c>
      <c r="E2439" t="inlineStr">
        <is>
          <t xml:space="preserve">0724751080530       </t>
        </is>
      </c>
      <c r="F2439" t="n">
        <v>4019274</v>
      </c>
      <c r="G2439" t="inlineStr">
        <is>
          <t xml:space="preserve">ARROZ YAMANI X1KG PUERTO GOURMET	  </t>
        </is>
      </c>
      <c r="H2439" t="inlineStr">
        <is>
          <t xml:space="preserve">UNIDAD              </t>
        </is>
      </c>
      <c r="I2439" t="n">
        <v>30</v>
      </c>
      <c r="J2439" t="n">
        <v>0</v>
      </c>
      <c r="K2439" t="n">
        <v>0</v>
      </c>
      <c r="L2439" t="n">
        <v>7</v>
      </c>
      <c r="M2439" t="n">
        <v>7</v>
      </c>
      <c r="N2439" t="n">
        <v>0</v>
      </c>
      <c r="O2439" t="n">
        <v>16</v>
      </c>
      <c r="P2439" s="96">
        <f>_xlfn.XLOOKUP(Tabla5[[#This Row],[EAN CORREGIDO]],'Tabla Articulos'!B:B,'Tabla Articulos'!D:D)</f>
        <v/>
      </c>
      <c r="Q2439" s="96">
        <f>_xlfn.XLOOKUP(S2439,'Tabla Articulos'!B:B,'Tabla Articulos'!E:E)</f>
        <v/>
      </c>
      <c r="R2439" s="96">
        <f>O2439*Q2439</f>
        <v/>
      </c>
      <c r="S2439" s="97">
        <f>TRIM(E2439)</f>
        <v/>
      </c>
    </row>
    <row r="2440" hidden="1">
      <c r="A2440" s="22" t="n">
        <v>2</v>
      </c>
      <c r="B2440" t="inlineStr">
        <is>
          <t xml:space="preserve">CD CIUDADELA                  </t>
        </is>
      </c>
      <c r="C2440" t="inlineStr">
        <is>
          <t xml:space="preserve">GRUPO L.                      </t>
        </is>
      </c>
      <c r="D2440" t="inlineStr">
        <is>
          <t>BEBIDA ISOTONICA MONTAIN BLAST</t>
        </is>
      </c>
      <c r="E2440" t="inlineStr">
        <is>
          <t xml:space="preserve">7790895640025       </t>
        </is>
      </c>
      <c r="F2440" t="n">
        <v>4017197</v>
      </c>
      <c r="G2440" t="inlineStr">
        <is>
          <t xml:space="preserve">POWERADE MOUNTAIN BLAST X500CC     </t>
        </is>
      </c>
      <c r="H2440" t="inlineStr">
        <is>
          <t xml:space="preserve">UNIDAD              </t>
        </is>
      </c>
      <c r="I2440" t="n">
        <v>585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585</v>
      </c>
      <c r="P2440" s="96">
        <f>_xlfn.XLOOKUP(Tabla5[[#This Row],[EAN CORREGIDO]],'Tabla Articulos'!B:B,'Tabla Articulos'!D:D)</f>
        <v/>
      </c>
      <c r="Q2440" s="96">
        <f>_xlfn.XLOOKUP(S2440,'Tabla Articulos'!B:B,'Tabla Articulos'!E:E)</f>
        <v/>
      </c>
      <c r="R2440" s="96">
        <f>O2440*Q2440</f>
        <v/>
      </c>
      <c r="S2440" s="97">
        <f>TRIM(E2440)</f>
        <v/>
      </c>
    </row>
    <row r="2441" hidden="1">
      <c r="A2441" s="22" t="n">
        <v>2</v>
      </c>
      <c r="B2441" t="inlineStr">
        <is>
          <t xml:space="preserve">CD CIUDADELA                  </t>
        </is>
      </c>
      <c r="C2441" t="inlineStr">
        <is>
          <t xml:space="preserve">GRUPO L.                      </t>
        </is>
      </c>
      <c r="D2441" t="inlineStr">
        <is>
          <t>SAL FINA INDIVIDUAL</t>
        </is>
      </c>
      <c r="E2441" t="inlineStr">
        <is>
          <t xml:space="preserve">7798011977703       </t>
        </is>
      </c>
      <c r="F2441" t="n">
        <v>4076546</v>
      </c>
      <c r="G2441" t="inlineStr">
        <is>
          <t xml:space="preserve">SAL IND SOBRE X1000UN NUTRIRE      </t>
        </is>
      </c>
      <c r="H2441" t="inlineStr">
        <is>
          <t xml:space="preserve">UNIDAD              </t>
        </is>
      </c>
      <c r="I2441" t="n">
        <v>94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94</v>
      </c>
      <c r="P2441" s="96">
        <f>_xlfn.XLOOKUP(Tabla5[[#This Row],[EAN CORREGIDO]],'Tabla Articulos'!B:B,'Tabla Articulos'!D:D)</f>
        <v/>
      </c>
      <c r="Q2441" s="96">
        <f>_xlfn.XLOOKUP(S2441,'Tabla Articulos'!B:B,'Tabla Articulos'!E:E)</f>
        <v/>
      </c>
      <c r="R2441" s="96">
        <f>O2441*Q2441</f>
        <v/>
      </c>
      <c r="S2441" s="97">
        <f>TRIM(E2441)</f>
        <v/>
      </c>
    </row>
    <row r="2442" hidden="1">
      <c r="A2442" s="22" t="n">
        <v>2</v>
      </c>
      <c r="B2442" t="inlineStr">
        <is>
          <t xml:space="preserve">CD CIUDADELA                  </t>
        </is>
      </c>
      <c r="C2442" t="inlineStr">
        <is>
          <t xml:space="preserve">GRUPO L.                      </t>
        </is>
      </c>
      <c r="D2442" t="inlineStr">
        <is>
          <t>JUGO INDIVIDUAL MANZANA</t>
        </is>
      </c>
      <c r="E2442" t="inlineStr">
        <is>
          <t xml:space="preserve">7790895000720       </t>
        </is>
      </c>
      <c r="F2442" t="n">
        <v>4017343</v>
      </c>
      <c r="G2442" t="inlineStr">
        <is>
          <t xml:space="preserve">JUGO MANZANA X200ML CEPITA         </t>
        </is>
      </c>
      <c r="H2442" t="inlineStr">
        <is>
          <t xml:space="preserve">UNIDAD              </t>
        </is>
      </c>
      <c r="I2442" t="n">
        <v>1855</v>
      </c>
      <c r="J2442" t="n">
        <v>0</v>
      </c>
      <c r="K2442" t="n">
        <v>0</v>
      </c>
      <c r="L2442" t="n">
        <v>24</v>
      </c>
      <c r="M2442" t="n">
        <v>24</v>
      </c>
      <c r="N2442" t="n">
        <v>0</v>
      </c>
      <c r="O2442" t="n">
        <v>1807</v>
      </c>
      <c r="P2442" s="96">
        <f>_xlfn.XLOOKUP(Tabla5[[#This Row],[EAN CORREGIDO]],'Tabla Articulos'!B:B,'Tabla Articulos'!D:D)</f>
        <v/>
      </c>
      <c r="Q2442" s="96">
        <f>_xlfn.XLOOKUP(S2442,'Tabla Articulos'!B:B,'Tabla Articulos'!E:E)</f>
        <v/>
      </c>
      <c r="R2442" s="96">
        <f>O2442*Q2442</f>
        <v/>
      </c>
      <c r="S2442" s="97">
        <f>TRIM(E2442)</f>
        <v/>
      </c>
    </row>
    <row r="2443" hidden="1">
      <c r="A2443" s="22" t="n">
        <v>2</v>
      </c>
      <c r="B2443" t="inlineStr">
        <is>
          <t xml:space="preserve">CD CIUDADELA                  </t>
        </is>
      </c>
      <c r="C2443" t="inlineStr">
        <is>
          <t xml:space="preserve">GRUPO L.                      </t>
        </is>
      </c>
      <c r="D2443" t="inlineStr">
        <is>
          <t>DULCE BATATA</t>
        </is>
      </c>
      <c r="E2443" t="inlineStr">
        <is>
          <t xml:space="preserve">7791113000621       </t>
        </is>
      </c>
      <c r="F2443" t="n">
        <v>4020607</v>
      </c>
      <c r="G2443" t="inlineStr">
        <is>
          <t xml:space="preserve">DULCE BATATA X 5KG EMETH           </t>
        </is>
      </c>
      <c r="H2443" t="inlineStr">
        <is>
          <t xml:space="preserve">Kgs                 </t>
        </is>
      </c>
      <c r="I2443" t="n">
        <v>579</v>
      </c>
      <c r="J2443" t="n">
        <v>0</v>
      </c>
      <c r="K2443" t="n">
        <v>0</v>
      </c>
      <c r="L2443" t="n">
        <v>11</v>
      </c>
      <c r="M2443" t="n">
        <v>11</v>
      </c>
      <c r="N2443" t="n">
        <v>0</v>
      </c>
      <c r="O2443" t="n">
        <v>557</v>
      </c>
      <c r="P2443" s="96">
        <f>_xlfn.XLOOKUP(Tabla5[[#This Row],[EAN CORREGIDO]],'Tabla Articulos'!B:B,'Tabla Articulos'!D:D)</f>
        <v/>
      </c>
      <c r="Q2443" s="96">
        <f>_xlfn.XLOOKUP(S2443,'Tabla Articulos'!B:B,'Tabla Articulos'!E:E)</f>
        <v/>
      </c>
      <c r="R2443" s="96">
        <f>O2443*Q2443</f>
        <v/>
      </c>
      <c r="S2443" s="97">
        <f>TRIM(E2443)</f>
        <v/>
      </c>
    </row>
    <row r="2444" hidden="1">
      <c r="A2444" s="22" t="n">
        <v>2</v>
      </c>
      <c r="B2444" t="inlineStr">
        <is>
          <t xml:space="preserve">CD CIUDADELA                  </t>
        </is>
      </c>
      <c r="C2444" t="inlineStr">
        <is>
          <t xml:space="preserve">GRUPO L.                      </t>
        </is>
      </c>
      <c r="D2444" t="inlineStr">
        <is>
          <t>JALEA INDIV</t>
        </is>
      </c>
      <c r="E2444" t="inlineStr">
        <is>
          <t xml:space="preserve">7798011976959       </t>
        </is>
      </c>
      <c r="F2444" t="n">
        <v>4020500</v>
      </c>
      <c r="G2444" t="inlineStr">
        <is>
          <t xml:space="preserve">JALEA MEMBRILLO 20GX108U ABEDUL    </t>
        </is>
      </c>
      <c r="H2444" t="inlineStr">
        <is>
          <t xml:space="preserve">UNIDAD              </t>
        </is>
      </c>
      <c r="I2444" t="n">
        <v>14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14</v>
      </c>
      <c r="P2444" s="96">
        <f>_xlfn.XLOOKUP(Tabla5[[#This Row],[EAN CORREGIDO]],'Tabla Articulos'!B:B,'Tabla Articulos'!D:D)</f>
        <v/>
      </c>
      <c r="Q2444" s="96">
        <f>_xlfn.XLOOKUP(S2444,'Tabla Articulos'!B:B,'Tabla Articulos'!E:E)</f>
        <v/>
      </c>
      <c r="R2444" s="96">
        <f>O2444*Q2444</f>
        <v/>
      </c>
      <c r="S2444" s="97">
        <f>TRIM(E2444)</f>
        <v/>
      </c>
    </row>
    <row r="2445" hidden="1">
      <c r="A2445" s="22" t="n">
        <v>2</v>
      </c>
      <c r="B2445" t="inlineStr">
        <is>
          <t xml:space="preserve">CD CIUDADELA                  </t>
        </is>
      </c>
      <c r="C2445" t="inlineStr">
        <is>
          <t xml:space="preserve">GRUPO L.                      </t>
        </is>
      </c>
      <c r="D2445" t="inlineStr">
        <is>
          <t>EMPANADA CONG CARNE</t>
        </is>
      </c>
      <c r="E2445" t="inlineStr">
        <is>
          <t xml:space="preserve">17798398261065      </t>
        </is>
      </c>
      <c r="F2445" t="n">
        <v>4077453</v>
      </c>
      <c r="G2445" t="inlineStr">
        <is>
          <t>EMP CARNE CONG X48UN TIENDA DE EMP.</t>
        </is>
      </c>
      <c r="H2445" t="inlineStr">
        <is>
          <t xml:space="preserve">UNIDAD              </t>
        </is>
      </c>
      <c r="I2445" t="n">
        <v>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9</v>
      </c>
      <c r="P2445" s="96">
        <f>_xlfn.XLOOKUP(Tabla5[[#This Row],[EAN CORREGIDO]],'Tabla Articulos'!B:B,'Tabla Articulos'!D:D)</f>
        <v/>
      </c>
      <c r="Q2445" s="96">
        <f>_xlfn.XLOOKUP(S2445,'Tabla Articulos'!B:B,'Tabla Articulos'!E:E)</f>
        <v/>
      </c>
      <c r="R2445" s="96">
        <f>O2445*Q2445</f>
        <v/>
      </c>
      <c r="S2445" s="97">
        <f>TRIM(E2445)</f>
        <v/>
      </c>
    </row>
    <row r="2446" hidden="1">
      <c r="A2446" s="22" t="n">
        <v>2</v>
      </c>
      <c r="B2446" t="inlineStr">
        <is>
          <t xml:space="preserve">CD CIUDADELA                  </t>
        </is>
      </c>
      <c r="C2446" t="inlineStr">
        <is>
          <t xml:space="preserve">GRUPO L.                      </t>
        </is>
      </c>
      <c r="D2446" t="inlineStr">
        <is>
          <t>NUEZ PELADA</t>
        </is>
      </c>
      <c r="E2446" t="inlineStr">
        <is>
          <t xml:space="preserve">7793323003973       </t>
        </is>
      </c>
      <c r="F2446" t="n">
        <v>4024112</v>
      </c>
      <c r="G2446" t="inlineStr">
        <is>
          <t>NUEZ PELADA MARIPOSA X 1KG DICOMERE</t>
        </is>
      </c>
      <c r="H2446" t="inlineStr">
        <is>
          <t xml:space="preserve">UNIDAD              </t>
        </is>
      </c>
      <c r="I2446" t="n">
        <v>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9</v>
      </c>
      <c r="P2446" s="96">
        <f>_xlfn.XLOOKUP(Tabla5[[#This Row],[EAN CORREGIDO]],'Tabla Articulos'!B:B,'Tabla Articulos'!D:D)</f>
        <v/>
      </c>
      <c r="Q2446" s="96">
        <f>_xlfn.XLOOKUP(S2446,'Tabla Articulos'!B:B,'Tabla Articulos'!E:E)</f>
        <v/>
      </c>
      <c r="R2446" s="96">
        <f>O2446*Q2446</f>
        <v/>
      </c>
      <c r="S2446" s="97">
        <f>TRIM(E2446)</f>
        <v/>
      </c>
    </row>
    <row r="2447" hidden="1">
      <c r="A2447" s="22" t="n">
        <v>2</v>
      </c>
      <c r="B2447" t="inlineStr">
        <is>
          <t xml:space="preserve">CD CIUDADELA                  </t>
        </is>
      </c>
      <c r="C2447" t="inlineStr">
        <is>
          <t xml:space="preserve">GRUPO L.                      </t>
        </is>
      </c>
      <c r="D2447" t="inlineStr">
        <is>
          <t>QUINOA</t>
        </is>
      </c>
      <c r="E2447" t="inlineStr">
        <is>
          <t xml:space="preserve">7793323024909       </t>
        </is>
      </c>
      <c r="F2447" t="n">
        <v>4077269</v>
      </c>
      <c r="G2447" t="inlineStr">
        <is>
          <t xml:space="preserve"> SEMILLA QUINOA X1KG DICOMERE      </t>
        </is>
      </c>
      <c r="H2447" t="inlineStr">
        <is>
          <t xml:space="preserve">UNIDAD              </t>
        </is>
      </c>
      <c r="I2447" t="n">
        <v>249</v>
      </c>
      <c r="J2447" t="n">
        <v>0</v>
      </c>
      <c r="K2447" t="n">
        <v>0</v>
      </c>
      <c r="L2447" t="n">
        <v>1</v>
      </c>
      <c r="M2447" t="n">
        <v>1</v>
      </c>
      <c r="N2447" t="n">
        <v>0</v>
      </c>
      <c r="O2447" t="n">
        <v>247</v>
      </c>
      <c r="P2447" s="96">
        <f>_xlfn.XLOOKUP(Tabla5[[#This Row],[EAN CORREGIDO]],'Tabla Articulos'!B:B,'Tabla Articulos'!D:D)</f>
        <v/>
      </c>
      <c r="Q2447" s="96">
        <f>_xlfn.XLOOKUP(S2447,'Tabla Articulos'!B:B,'Tabla Articulos'!E:E)</f>
        <v/>
      </c>
      <c r="R2447" s="96">
        <f>O2447*Q2447</f>
        <v/>
      </c>
      <c r="S2447" s="97">
        <f>TRIM(E2447)</f>
        <v/>
      </c>
    </row>
    <row r="2448" hidden="1">
      <c r="A2448" s="22" t="n">
        <v>2</v>
      </c>
      <c r="B2448" t="inlineStr">
        <is>
          <t xml:space="preserve">CD CIUDADELA                  </t>
        </is>
      </c>
      <c r="C2448" t="inlineStr">
        <is>
          <t xml:space="preserve">GRUPO L.                      </t>
        </is>
      </c>
      <c r="D2448" t="inlineStr">
        <is>
          <t>OBLEAS BAÑADAS</t>
        </is>
      </c>
      <c r="E2448" t="inlineStr">
        <is>
          <t xml:space="preserve">7790580346508       </t>
        </is>
      </c>
      <c r="F2448" t="n">
        <v>4019175</v>
      </c>
      <c r="G2448" t="inlineStr">
        <is>
          <t xml:space="preserve">OBLEA RELL 30G X20U BON O BON      </t>
        </is>
      </c>
      <c r="H2448" t="inlineStr">
        <is>
          <t xml:space="preserve">BULTOS              </t>
        </is>
      </c>
      <c r="I2448" t="n">
        <v>198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198</v>
      </c>
      <c r="P2448" s="96">
        <f>_xlfn.XLOOKUP(Tabla5[[#This Row],[EAN CORREGIDO]],'Tabla Articulos'!B:B,'Tabla Articulos'!D:D)</f>
        <v/>
      </c>
      <c r="Q2448" s="96">
        <f>_xlfn.XLOOKUP(S2448,'Tabla Articulos'!B:B,'Tabla Articulos'!E:E)</f>
        <v/>
      </c>
      <c r="R2448" s="96">
        <f>O2448*Q2448</f>
        <v/>
      </c>
      <c r="S2448" s="97">
        <f>TRIM(E2448)</f>
        <v/>
      </c>
    </row>
    <row r="2449" hidden="1">
      <c r="A2449" s="22" t="n">
        <v>2</v>
      </c>
      <c r="B2449" t="inlineStr">
        <is>
          <t xml:space="preserve">CD CIUDADELA                  </t>
        </is>
      </c>
      <c r="C2449" t="inlineStr">
        <is>
          <t xml:space="preserve">GRUPO L.                      </t>
        </is>
      </c>
      <c r="D2449" t="inlineStr">
        <is>
          <t>SALSA DEMIGLASE</t>
        </is>
      </c>
      <c r="E2449" t="inlineStr">
        <is>
          <t xml:space="preserve">7794000600652       </t>
        </is>
      </c>
      <c r="F2449" t="n">
        <v>4020422</v>
      </c>
      <c r="G2449" t="inlineStr">
        <is>
          <t xml:space="preserve">SALSA DEMIGLASE X 1 KG KNORR       </t>
        </is>
      </c>
      <c r="H2449" t="inlineStr">
        <is>
          <t xml:space="preserve">UNIDAD              </t>
        </is>
      </c>
      <c r="I2449" t="n">
        <v>62</v>
      </c>
      <c r="J2449" t="n">
        <v>0</v>
      </c>
      <c r="K2449" t="n">
        <v>0</v>
      </c>
      <c r="L2449" t="n">
        <v>1</v>
      </c>
      <c r="M2449" t="n">
        <v>1</v>
      </c>
      <c r="N2449" t="n">
        <v>0</v>
      </c>
      <c r="O2449" t="n">
        <v>60</v>
      </c>
      <c r="P2449" s="96">
        <f>_xlfn.XLOOKUP(Tabla5[[#This Row],[EAN CORREGIDO]],'Tabla Articulos'!B:B,'Tabla Articulos'!D:D)</f>
        <v/>
      </c>
      <c r="Q2449" s="96">
        <f>_xlfn.XLOOKUP(S2449,'Tabla Articulos'!B:B,'Tabla Articulos'!E:E)</f>
        <v/>
      </c>
      <c r="R2449" s="96">
        <f>O2449*Q2449</f>
        <v/>
      </c>
      <c r="S2449" s="97">
        <f>TRIM(E2449)</f>
        <v/>
      </c>
    </row>
    <row r="2450" hidden="1">
      <c r="A2450" s="22" t="n">
        <v>2</v>
      </c>
      <c r="B2450" t="inlineStr">
        <is>
          <t xml:space="preserve">CD CIUDADELA                  </t>
        </is>
      </c>
      <c r="C2450" t="inlineStr">
        <is>
          <t xml:space="preserve">GRUPO L.                      </t>
        </is>
      </c>
      <c r="D2450" t="inlineStr">
        <is>
          <t>PIMENTON</t>
        </is>
      </c>
      <c r="E2450" t="inlineStr">
        <is>
          <t xml:space="preserve">7793875316132       </t>
        </is>
      </c>
      <c r="F2450" t="n">
        <v>4020622</v>
      </c>
      <c r="G2450" t="inlineStr">
        <is>
          <t xml:space="preserve">PIMENTON X250G AROMAS Y SABORES    </t>
        </is>
      </c>
      <c r="H2450" t="inlineStr">
        <is>
          <t xml:space="preserve">UNIDAD              </t>
        </is>
      </c>
      <c r="I2450" t="n">
        <v>8</v>
      </c>
      <c r="J2450" t="n">
        <v>0</v>
      </c>
      <c r="K2450" t="n">
        <v>0</v>
      </c>
      <c r="L2450" t="n">
        <v>4</v>
      </c>
      <c r="M2450" t="n">
        <v>4</v>
      </c>
      <c r="N2450" t="n">
        <v>0</v>
      </c>
      <c r="O2450" t="n">
        <v>0</v>
      </c>
      <c r="P2450" s="96">
        <f>_xlfn.XLOOKUP(Tabla5[[#This Row],[EAN CORREGIDO]],'Tabla Articulos'!B:B,'Tabla Articulos'!D:D)</f>
        <v/>
      </c>
      <c r="Q2450" s="96">
        <f>_xlfn.XLOOKUP(S2450,'Tabla Articulos'!B:B,'Tabla Articulos'!E:E)</f>
        <v/>
      </c>
      <c r="R2450" s="96">
        <f>O2450*Q2450</f>
        <v/>
      </c>
      <c r="S2450" s="97">
        <f>TRIM(E2450)</f>
        <v/>
      </c>
    </row>
    <row r="2451" hidden="1">
      <c r="A2451" s="22" t="n">
        <v>2</v>
      </c>
      <c r="B2451" t="inlineStr">
        <is>
          <t xml:space="preserve">CD CIUDADELA                  </t>
        </is>
      </c>
      <c r="C2451" t="inlineStr">
        <is>
          <t xml:space="preserve">GRUPO L.                      </t>
        </is>
      </c>
      <c r="D2451" t="inlineStr">
        <is>
          <t>ALFAJOR SIMPLE NEGRO</t>
        </is>
      </c>
      <c r="E2451" t="inlineStr">
        <is>
          <t xml:space="preserve">77934499            </t>
        </is>
      </c>
      <c r="F2451" t="n">
        <v>4077150</v>
      </c>
      <c r="G2451" t="inlineStr">
        <is>
          <t xml:space="preserve">ALFAJOR SIMP NEG CACHAFAZ 60GR     </t>
        </is>
      </c>
      <c r="H2451" t="inlineStr">
        <is>
          <t xml:space="preserve">UNIDAD              </t>
        </is>
      </c>
      <c r="I2451" t="n">
        <v>460</v>
      </c>
      <c r="J2451" t="n">
        <v>0</v>
      </c>
      <c r="K2451" t="n">
        <v>0</v>
      </c>
      <c r="L2451" t="n">
        <v>50</v>
      </c>
      <c r="M2451" t="n">
        <v>50</v>
      </c>
      <c r="N2451" t="n">
        <v>0</v>
      </c>
      <c r="O2451" t="n">
        <v>360</v>
      </c>
      <c r="P2451" s="96">
        <f>_xlfn.XLOOKUP(Tabla5[[#This Row],[EAN CORREGIDO]],'Tabla Articulos'!B:B,'Tabla Articulos'!D:D)</f>
        <v/>
      </c>
      <c r="Q2451" s="96">
        <f>_xlfn.XLOOKUP(S2451,'Tabla Articulos'!B:B,'Tabla Articulos'!E:E)</f>
        <v/>
      </c>
      <c r="R2451" s="96">
        <f>O2451*Q2451</f>
        <v/>
      </c>
      <c r="S2451" s="97">
        <f>TRIM(E2451)</f>
        <v/>
      </c>
    </row>
    <row r="2452" hidden="1">
      <c r="A2452" s="22" t="n">
        <v>2</v>
      </c>
      <c r="B2452" t="inlineStr">
        <is>
          <t xml:space="preserve">CD CIUDADELA                  </t>
        </is>
      </c>
      <c r="C2452" t="inlineStr">
        <is>
          <t xml:space="preserve">GRUPO L.                      </t>
        </is>
      </c>
      <c r="D2452" t="inlineStr">
        <is>
          <t>FLAN DDL</t>
        </is>
      </c>
      <c r="E2452" t="inlineStr">
        <is>
          <t xml:space="preserve">7790530370218       </t>
        </is>
      </c>
      <c r="F2452" t="n">
        <v>4019736</v>
      </c>
      <c r="G2452" t="inlineStr">
        <is>
          <t xml:space="preserve">FLAN DULCE LECHE X1KG BEDIAL       </t>
        </is>
      </c>
      <c r="H2452" t="inlineStr">
        <is>
          <t xml:space="preserve">UNIDAD              </t>
        </is>
      </c>
      <c r="I2452" t="n">
        <v>425</v>
      </c>
      <c r="J2452" t="n">
        <v>0</v>
      </c>
      <c r="K2452" t="n">
        <v>0</v>
      </c>
      <c r="L2452" t="n">
        <v>0</v>
      </c>
      <c r="M2452" t="n">
        <v>0</v>
      </c>
      <c r="N2452" t="n">
        <v>3</v>
      </c>
      <c r="O2452" t="n">
        <v>422</v>
      </c>
      <c r="P2452" s="96">
        <f>_xlfn.XLOOKUP(Tabla5[[#This Row],[EAN CORREGIDO]],'Tabla Articulos'!B:B,'Tabla Articulos'!D:D)</f>
        <v/>
      </c>
      <c r="Q2452" s="96">
        <f>_xlfn.XLOOKUP(S2452,'Tabla Articulos'!B:B,'Tabla Articulos'!E:E)</f>
        <v/>
      </c>
      <c r="R2452" s="96">
        <f>O2452*Q2452</f>
        <v/>
      </c>
      <c r="S2452" s="97">
        <f>TRIM(E2452)</f>
        <v/>
      </c>
    </row>
    <row r="2453" hidden="1">
      <c r="A2453" s="22" t="n">
        <v>2</v>
      </c>
      <c r="B2453" t="inlineStr">
        <is>
          <t xml:space="preserve">CD CIUDADELA                  </t>
        </is>
      </c>
      <c r="C2453" t="inlineStr">
        <is>
          <t xml:space="preserve">GRUPO L.                      </t>
        </is>
      </c>
      <c r="D2453" t="inlineStr">
        <is>
          <t>ESENCIA VAINILLA</t>
        </is>
      </c>
      <c r="E2453" t="inlineStr">
        <is>
          <t xml:space="preserve">7791113003271       </t>
        </is>
      </c>
      <c r="F2453" t="n">
        <v>4020655</v>
      </c>
      <c r="G2453" t="inlineStr">
        <is>
          <t xml:space="preserve">ESENCIA DE VAINILLA X1L EMETH      </t>
        </is>
      </c>
      <c r="H2453" t="inlineStr">
        <is>
          <t xml:space="preserve">UNIDAD              </t>
        </is>
      </c>
      <c r="I2453" t="n">
        <v>165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165</v>
      </c>
      <c r="P2453" s="96">
        <f>_xlfn.XLOOKUP(Tabla5[[#This Row],[EAN CORREGIDO]],'Tabla Articulos'!B:B,'Tabla Articulos'!D:D)</f>
        <v/>
      </c>
      <c r="Q2453" s="96">
        <f>_xlfn.XLOOKUP(S2453,'Tabla Articulos'!B:B,'Tabla Articulos'!E:E)</f>
        <v/>
      </c>
      <c r="R2453" s="96">
        <f>O2453*Q2453</f>
        <v/>
      </c>
      <c r="S2453" s="97">
        <f>TRIM(E2453)</f>
        <v/>
      </c>
    </row>
    <row r="2454" hidden="1">
      <c r="A2454" s="22" t="n">
        <v>2</v>
      </c>
      <c r="B2454" t="inlineStr">
        <is>
          <t xml:space="preserve">CD CIUDADELA                  </t>
        </is>
      </c>
      <c r="C2454" t="inlineStr">
        <is>
          <t xml:space="preserve">GRUPO L.                      </t>
        </is>
      </c>
      <c r="D2454" t="inlineStr">
        <is>
          <t>LOMO AHUMADO</t>
        </is>
      </c>
      <c r="E2454" t="inlineStr">
        <is>
          <t xml:space="preserve">7790625001220       </t>
        </is>
      </c>
      <c r="F2454" t="n">
        <v>4021561</v>
      </c>
      <c r="G2454" t="inlineStr">
        <is>
          <t xml:space="preserve">LOMO AHUMADO MARCA PROPIA XKG      </t>
        </is>
      </c>
      <c r="H2454" t="inlineStr">
        <is>
          <t xml:space="preserve">Kgs                 </t>
        </is>
      </c>
      <c r="I2454" t="n">
        <v>122.3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122.3</v>
      </c>
      <c r="P2454" s="96">
        <f>_xlfn.XLOOKUP(Tabla5[[#This Row],[EAN CORREGIDO]],'Tabla Articulos'!B:B,'Tabla Articulos'!D:D)</f>
        <v/>
      </c>
      <c r="Q2454" s="96">
        <f>_xlfn.XLOOKUP(S2454,'Tabla Articulos'!B:B,'Tabla Articulos'!E:E)</f>
        <v/>
      </c>
      <c r="R2454" s="96">
        <f>O2454*Q2454</f>
        <v/>
      </c>
      <c r="S2454" s="97">
        <f>TRIM(E2454)</f>
        <v/>
      </c>
    </row>
    <row r="2455" hidden="1">
      <c r="A2455" s="22" t="n">
        <v>2</v>
      </c>
      <c r="B2455" t="inlineStr">
        <is>
          <t xml:space="preserve">CD CIUDADELA                  </t>
        </is>
      </c>
      <c r="C2455" t="inlineStr">
        <is>
          <t xml:space="preserve">GRUPO L.                      </t>
        </is>
      </c>
      <c r="D2455" t="inlineStr">
        <is>
          <t>AGITADOR</t>
        </is>
      </c>
      <c r="E2455" t="inlineStr">
        <is>
          <t xml:space="preserve">13069000A           </t>
        </is>
      </c>
      <c r="F2455" t="n">
        <v>2006151</v>
      </c>
      <c r="G2455" t="inlineStr">
        <is>
          <t xml:space="preserve">AGITADOR X 1000 U                  </t>
        </is>
      </c>
      <c r="H2455" t="inlineStr">
        <is>
          <t xml:space="preserve">UNIDAD              </t>
        </is>
      </c>
      <c r="I2455" t="n">
        <v>55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55</v>
      </c>
      <c r="P2455" s="96">
        <f>_xlfn.XLOOKUP(Tabla5[[#This Row],[EAN CORREGIDO]],'Tabla Articulos'!B:B,'Tabla Articulos'!D:D)</f>
        <v/>
      </c>
      <c r="Q2455" s="96">
        <f>_xlfn.XLOOKUP(S2455,'Tabla Articulos'!B:B,'Tabla Articulos'!E:E)</f>
        <v/>
      </c>
      <c r="R2455" s="96">
        <f>O2455*Q2455</f>
        <v/>
      </c>
      <c r="S2455" s="97">
        <f>TRIM(E2455)</f>
        <v/>
      </c>
    </row>
    <row r="2456" hidden="1">
      <c r="A2456" s="22" t="n">
        <v>2</v>
      </c>
      <c r="B2456" t="inlineStr">
        <is>
          <t xml:space="preserve">CD CIUDADELA                  </t>
        </is>
      </c>
      <c r="C2456" t="inlineStr">
        <is>
          <t xml:space="preserve">GRUPO L.                      </t>
        </is>
      </c>
      <c r="D2456" t="inlineStr">
        <is>
          <t>TAPA 105</t>
        </is>
      </c>
      <c r="E2456" t="inlineStr">
        <is>
          <t xml:space="preserve">7790321020286       </t>
        </is>
      </c>
      <c r="F2456" t="n">
        <v>2006684</v>
      </c>
      <c r="G2456" t="inlineStr">
        <is>
          <t xml:space="preserve">TAPA 105 RECT X 50 U COTNYL        </t>
        </is>
      </c>
      <c r="H2456" t="inlineStr">
        <is>
          <t xml:space="preserve">UNIDAD              </t>
        </is>
      </c>
      <c r="I2456" t="n">
        <v>157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157</v>
      </c>
      <c r="P2456" s="96">
        <f>_xlfn.XLOOKUP(Tabla5[[#This Row],[EAN CORREGIDO]],'Tabla Articulos'!B:B,'Tabla Articulos'!D:D)</f>
        <v/>
      </c>
      <c r="Q2456" s="96">
        <f>_xlfn.XLOOKUP(S2456,'Tabla Articulos'!B:B,'Tabla Articulos'!E:E)</f>
        <v/>
      </c>
      <c r="R2456" s="96">
        <f>O2456*Q2456</f>
        <v/>
      </c>
      <c r="S2456" s="97">
        <f>TRIM(E2456)</f>
        <v/>
      </c>
    </row>
    <row r="2457" hidden="1">
      <c r="A2457" s="22" t="n">
        <v>2</v>
      </c>
      <c r="B2457" t="inlineStr">
        <is>
          <t xml:space="preserve">CD CIUDADELA                  </t>
        </is>
      </c>
      <c r="C2457" t="inlineStr">
        <is>
          <t xml:space="preserve">GRUPO L.                      </t>
        </is>
      </c>
      <c r="D2457" t="inlineStr">
        <is>
          <t>LECHE NUT AR</t>
        </is>
      </c>
      <c r="E2457" t="inlineStr">
        <is>
          <t xml:space="preserve">7795323772804       </t>
        </is>
      </c>
      <c r="F2457" t="n">
        <v>4018227</v>
      </c>
      <c r="G2457" t="inlineStr">
        <is>
          <t xml:space="preserve">LECHE EN POLVO X400G NUT AR1       </t>
        </is>
      </c>
      <c r="H2457" t="inlineStr">
        <is>
          <t xml:space="preserve">UNIDAD              </t>
        </is>
      </c>
      <c r="I2457" t="n">
        <v>24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24</v>
      </c>
      <c r="P2457" s="96">
        <f>_xlfn.XLOOKUP(Tabla5[[#This Row],[EAN CORREGIDO]],'Tabla Articulos'!B:B,'Tabla Articulos'!D:D)</f>
        <v/>
      </c>
      <c r="Q2457" s="96">
        <f>_xlfn.XLOOKUP(S2457,'Tabla Articulos'!B:B,'Tabla Articulos'!E:E)</f>
        <v/>
      </c>
      <c r="R2457" s="96">
        <f>O2457*Q2457</f>
        <v/>
      </c>
      <c r="S2457" s="97">
        <f>TRIM(E2457)</f>
        <v/>
      </c>
    </row>
    <row r="2458" hidden="1">
      <c r="A2458" s="22" t="n">
        <v>2</v>
      </c>
      <c r="B2458" t="inlineStr">
        <is>
          <t xml:space="preserve">CD CIUDADELA                  </t>
        </is>
      </c>
      <c r="C2458" t="inlineStr">
        <is>
          <t xml:space="preserve">GRUPO L.                      </t>
        </is>
      </c>
      <c r="D2458" t="inlineStr">
        <is>
          <t>CUCHILLOS COMPSTABLE</t>
        </is>
      </c>
      <c r="E2458" t="inlineStr">
        <is>
          <t xml:space="preserve">7790900031725       </t>
        </is>
      </c>
      <c r="F2458" t="n">
        <v>2016660</v>
      </c>
      <c r="G2458" t="inlineStr">
        <is>
          <t xml:space="preserve">CUCHARA 16CM COMPOSTABLE X100U     </t>
        </is>
      </c>
      <c r="H2458" t="inlineStr">
        <is>
          <t xml:space="preserve">UNIDAD              </t>
        </is>
      </c>
      <c r="I2458" t="n">
        <v>250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250</v>
      </c>
      <c r="P2458" s="96">
        <f>_xlfn.XLOOKUP(Tabla5[[#This Row],[EAN CORREGIDO]],'Tabla Articulos'!B:B,'Tabla Articulos'!D:D)</f>
        <v/>
      </c>
      <c r="Q2458" s="96">
        <f>_xlfn.XLOOKUP(S2458,'Tabla Articulos'!B:B,'Tabla Articulos'!E:E)</f>
        <v/>
      </c>
      <c r="R2458" s="96">
        <f>O2458*Q2458</f>
        <v/>
      </c>
      <c r="S2458" s="97">
        <f>TRIM(E2458)</f>
        <v/>
      </c>
    </row>
    <row r="2459" hidden="1">
      <c r="A2459" s="22" t="n">
        <v>2</v>
      </c>
      <c r="B2459" t="inlineStr">
        <is>
          <t xml:space="preserve">CD CIUDADELA                  </t>
        </is>
      </c>
      <c r="C2459" t="inlineStr">
        <is>
          <t xml:space="preserve">GRUPO L.                      </t>
        </is>
      </c>
      <c r="D2459" t="inlineStr">
        <is>
          <t>PIMIENTA BLANCA S/TACC</t>
        </is>
      </c>
      <c r="E2459" t="inlineStr">
        <is>
          <t xml:space="preserve">7797234000380       </t>
        </is>
      </c>
      <c r="F2459" t="n">
        <v>4020704</v>
      </c>
      <c r="G2459" t="inlineStr">
        <is>
          <t xml:space="preserve">PIMIENTA BLANCA X25G PERGOLA       </t>
        </is>
      </c>
      <c r="H2459" t="inlineStr">
        <is>
          <t xml:space="preserve">UNIDAD              </t>
        </is>
      </c>
      <c r="I2459" t="n">
        <v>180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180</v>
      </c>
      <c r="P2459" s="96">
        <f>_xlfn.XLOOKUP(Tabla5[[#This Row],[EAN CORREGIDO]],'Tabla Articulos'!B:B,'Tabla Articulos'!D:D)</f>
        <v/>
      </c>
      <c r="Q2459" s="96">
        <f>_xlfn.XLOOKUP(S2459,'Tabla Articulos'!B:B,'Tabla Articulos'!E:E)</f>
        <v/>
      </c>
      <c r="R2459" s="96">
        <f>O2459*Q2459</f>
        <v/>
      </c>
      <c r="S2459" s="97">
        <f>TRIM(E2459)</f>
        <v/>
      </c>
    </row>
    <row r="2460" hidden="1">
      <c r="A2460" s="22" t="n">
        <v>2</v>
      </c>
      <c r="B2460" t="inlineStr">
        <is>
          <t xml:space="preserve">CD CIUDADELA                  </t>
        </is>
      </c>
      <c r="C2460" t="inlineStr">
        <is>
          <t xml:space="preserve">GRUPO L.                      </t>
        </is>
      </c>
      <c r="D2460" t="inlineStr">
        <is>
          <t>JUGO INDIVIDUAL NARANJA</t>
        </is>
      </c>
      <c r="E2460" t="inlineStr">
        <is>
          <t xml:space="preserve">7790895649301       </t>
        </is>
      </c>
      <c r="F2460" t="n">
        <v>4017287</v>
      </c>
      <c r="G2460" t="inlineStr">
        <is>
          <t xml:space="preserve">JUGO NARANJA X200CC CEPITA	        </t>
        </is>
      </c>
      <c r="H2460" t="inlineStr">
        <is>
          <t xml:space="preserve">UNIDAD              </t>
        </is>
      </c>
      <c r="I2460" t="n">
        <v>10456</v>
      </c>
      <c r="J2460" t="n">
        <v>0</v>
      </c>
      <c r="K2460" t="n">
        <v>0</v>
      </c>
      <c r="L2460" t="n">
        <v>1719</v>
      </c>
      <c r="M2460" t="n">
        <v>1719</v>
      </c>
      <c r="N2460" t="n">
        <v>0</v>
      </c>
      <c r="O2460" t="n">
        <v>7018</v>
      </c>
      <c r="P2460" s="96">
        <f>_xlfn.XLOOKUP(Tabla5[[#This Row],[EAN CORREGIDO]],'Tabla Articulos'!B:B,'Tabla Articulos'!D:D)</f>
        <v/>
      </c>
      <c r="Q2460" s="96">
        <f>_xlfn.XLOOKUP(S2460,'Tabla Articulos'!B:B,'Tabla Articulos'!E:E)</f>
        <v/>
      </c>
      <c r="R2460" s="96">
        <f>O2460*Q2460</f>
        <v/>
      </c>
      <c r="S2460" s="97">
        <f>TRIM(E2460)</f>
        <v/>
      </c>
    </row>
    <row r="2461" hidden="1">
      <c r="A2461" s="22" t="n">
        <v>2</v>
      </c>
      <c r="B2461" t="inlineStr">
        <is>
          <t xml:space="preserve">CD CIUDADELA                  </t>
        </is>
      </c>
      <c r="C2461" t="inlineStr">
        <is>
          <t xml:space="preserve">GRUPO L.                      </t>
        </is>
      </c>
      <c r="D2461" t="inlineStr">
        <is>
          <t>FIDEOS LARGO</t>
        </is>
      </c>
      <c r="E2461" t="inlineStr">
        <is>
          <t xml:space="preserve">7790070336385       </t>
        </is>
      </c>
      <c r="F2461" t="n">
        <v>4019455</v>
      </c>
      <c r="G2461" t="inlineStr">
        <is>
          <t xml:space="preserve">FIDEO SPAGHETTI X500G LUCCHET      </t>
        </is>
      </c>
      <c r="H2461" t="inlineStr">
        <is>
          <t xml:space="preserve">UNIDAD              </t>
        </is>
      </c>
      <c r="I2461" t="n">
        <v>2320</v>
      </c>
      <c r="J2461" t="n">
        <v>0</v>
      </c>
      <c r="K2461" t="n">
        <v>1500</v>
      </c>
      <c r="L2461" t="n">
        <v>0</v>
      </c>
      <c r="M2461" t="n">
        <v>0</v>
      </c>
      <c r="N2461" t="n">
        <v>0</v>
      </c>
      <c r="O2461" t="n">
        <v>820</v>
      </c>
      <c r="P2461" s="96">
        <f>_xlfn.XLOOKUP(Tabla5[[#This Row],[EAN CORREGIDO]],'Tabla Articulos'!B:B,'Tabla Articulos'!D:D)</f>
        <v/>
      </c>
      <c r="Q2461" s="96">
        <f>_xlfn.XLOOKUP(S2461,'Tabla Articulos'!B:B,'Tabla Articulos'!E:E)</f>
        <v/>
      </c>
      <c r="R2461" s="96">
        <f>O2461*Q2461</f>
        <v/>
      </c>
      <c r="S2461" s="97">
        <f>TRIM(E2461)</f>
        <v/>
      </c>
    </row>
    <row r="2462" hidden="1">
      <c r="A2462" s="22" t="n">
        <v>2</v>
      </c>
      <c r="B2462" t="inlineStr">
        <is>
          <t xml:space="preserve">CD CIUDADELA                  </t>
        </is>
      </c>
      <c r="C2462" t="inlineStr">
        <is>
          <t xml:space="preserve">GRUPO L.                      </t>
        </is>
      </c>
      <c r="D2462" t="inlineStr">
        <is>
          <t>CAJA P/ PIZZA</t>
        </is>
      </c>
      <c r="E2462" t="inlineStr">
        <is>
          <t xml:space="preserve">16032005A           </t>
        </is>
      </c>
      <c r="F2462" t="n">
        <v>2006671</v>
      </c>
      <c r="G2462" t="inlineStr">
        <is>
          <t xml:space="preserve">CAJA P/PIZZA GRANDE X U	           </t>
        </is>
      </c>
      <c r="H2462" t="inlineStr">
        <is>
          <t xml:space="preserve">UNIDAD              </t>
        </is>
      </c>
      <c r="I2462" t="n">
        <v>75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75</v>
      </c>
      <c r="P2462" s="96">
        <f>_xlfn.XLOOKUP(Tabla5[[#This Row],[EAN CORREGIDO]],'Tabla Articulos'!B:B,'Tabla Articulos'!D:D)</f>
        <v/>
      </c>
      <c r="Q2462" s="96">
        <f>_xlfn.XLOOKUP(S2462,'Tabla Articulos'!B:B,'Tabla Articulos'!E:E)</f>
        <v/>
      </c>
      <c r="R2462" s="96">
        <f>O2462*Q2462</f>
        <v/>
      </c>
      <c r="S2462" s="97">
        <f>TRIM(E2462)</f>
        <v/>
      </c>
    </row>
    <row r="2463" hidden="1">
      <c r="A2463" s="22" t="n">
        <v>2</v>
      </c>
      <c r="B2463" t="inlineStr">
        <is>
          <t xml:space="preserve">CD CIUDADELA                  </t>
        </is>
      </c>
      <c r="C2463" t="inlineStr">
        <is>
          <t xml:space="preserve">GRUPO L.                      </t>
        </is>
      </c>
      <c r="D2463" t="inlineStr">
        <is>
          <t>MERLUZA A/A</t>
        </is>
      </c>
      <c r="E2463" t="inlineStr">
        <is>
          <t xml:space="preserve">7790748235149       </t>
        </is>
      </c>
      <c r="F2463" t="n">
        <v>4019656</v>
      </c>
      <c r="G2463" t="inlineStr">
        <is>
          <t xml:space="preserve">MERLUZA A/A X380GR PUGLISI         </t>
        </is>
      </c>
      <c r="H2463" t="inlineStr">
        <is>
          <t xml:space="preserve">UNIDAD              </t>
        </is>
      </c>
      <c r="I2463" t="n">
        <v>38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38</v>
      </c>
      <c r="P2463" s="96">
        <f>_xlfn.XLOOKUP(Tabla5[[#This Row],[EAN CORREGIDO]],'Tabla Articulos'!B:B,'Tabla Articulos'!D:D)</f>
        <v/>
      </c>
      <c r="Q2463" s="96">
        <f>_xlfn.XLOOKUP(S2463,'Tabla Articulos'!B:B,'Tabla Articulos'!E:E)</f>
        <v/>
      </c>
      <c r="R2463" s="96">
        <f>O2463*Q2463</f>
        <v/>
      </c>
      <c r="S2463" s="97">
        <f>TRIM(E2463)</f>
        <v/>
      </c>
    </row>
    <row r="2464" hidden="1">
      <c r="A2464" s="22" t="n">
        <v>2</v>
      </c>
      <c r="B2464" t="inlineStr">
        <is>
          <t xml:space="preserve">CD CIUDADELA                  </t>
        </is>
      </c>
      <c r="C2464" t="inlineStr">
        <is>
          <t xml:space="preserve">GRUPO L.                      </t>
        </is>
      </c>
      <c r="D2464" t="inlineStr">
        <is>
          <t>GALLE COCO INDIV</t>
        </is>
      </c>
      <c r="E2464" t="inlineStr">
        <is>
          <t xml:space="preserve">7798188380184       </t>
        </is>
      </c>
      <c r="F2464" t="n">
        <v>4024051</v>
      </c>
      <c r="G2464" t="inlineStr">
        <is>
          <t xml:space="preserve">GALLE IND COCO 25G CAUTIVA         </t>
        </is>
      </c>
      <c r="H2464" t="inlineStr">
        <is>
          <t xml:space="preserve">UNIDAD              </t>
        </is>
      </c>
      <c r="I2464" t="n">
        <v>19431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19431</v>
      </c>
      <c r="P2464" s="96">
        <f>_xlfn.XLOOKUP(Tabla5[[#This Row],[EAN CORREGIDO]],'Tabla Articulos'!B:B,'Tabla Articulos'!D:D)</f>
        <v/>
      </c>
      <c r="Q2464" s="96">
        <f>_xlfn.XLOOKUP(S2464,'Tabla Articulos'!B:B,'Tabla Articulos'!E:E)</f>
        <v/>
      </c>
      <c r="R2464" s="96">
        <f>O2464*Q2464</f>
        <v/>
      </c>
      <c r="S2464" s="97">
        <f>TRIM(E2464)</f>
        <v/>
      </c>
    </row>
    <row r="2465" hidden="1">
      <c r="A2465" s="22" t="n">
        <v>2</v>
      </c>
      <c r="B2465" t="inlineStr">
        <is>
          <t xml:space="preserve">CD CIUDADELA                  </t>
        </is>
      </c>
      <c r="C2465" t="inlineStr">
        <is>
          <t xml:space="preserve">GRUPO L.                      </t>
        </is>
      </c>
      <c r="D2465" t="inlineStr">
        <is>
          <t>POLLO ENTERO CONGELADO</t>
        </is>
      </c>
      <c r="E2465" t="inlineStr">
        <is>
          <t xml:space="preserve">7790212031266       </t>
        </is>
      </c>
      <c r="F2465" t="n">
        <v>4017748</v>
      </c>
      <c r="G2465" t="inlineStr">
        <is>
          <t xml:space="preserve">POLLO CONGELADO XKG GM             </t>
        </is>
      </c>
      <c r="H2465" t="inlineStr">
        <is>
          <t xml:space="preserve">Kgs                 </t>
        </is>
      </c>
      <c r="I2465" t="n">
        <v>378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378</v>
      </c>
      <c r="P2465" s="96">
        <f>_xlfn.XLOOKUP(Tabla5[[#This Row],[EAN CORREGIDO]],'Tabla Articulos'!B:B,'Tabla Articulos'!D:D)</f>
        <v/>
      </c>
      <c r="Q2465" s="96">
        <f>_xlfn.XLOOKUP(S2465,'Tabla Articulos'!B:B,'Tabla Articulos'!E:E)</f>
        <v/>
      </c>
      <c r="R2465" s="96">
        <f>O2465*Q2465</f>
        <v/>
      </c>
      <c r="S2465" s="97">
        <f>TRIM(E2465)</f>
        <v/>
      </c>
    </row>
    <row r="2466" hidden="1">
      <c r="A2466" s="22" t="n">
        <v>2</v>
      </c>
      <c r="B2466" t="inlineStr">
        <is>
          <t xml:space="preserve">CD CIUDADELA                  </t>
        </is>
      </c>
      <c r="C2466" t="inlineStr">
        <is>
          <t xml:space="preserve">GRUPO L.                      </t>
        </is>
      </c>
      <c r="D2466" t="inlineStr">
        <is>
          <t>SAL GRUESA S/TACC</t>
        </is>
      </c>
      <c r="E2466" t="inlineStr">
        <is>
          <t xml:space="preserve">7792900006949       </t>
        </is>
      </c>
      <c r="F2466" t="n">
        <v>4020402</v>
      </c>
      <c r="G2466" t="inlineStr">
        <is>
          <t xml:space="preserve">SAL GRUESA X500GR DOS ANCLAS       </t>
        </is>
      </c>
      <c r="H2466" t="inlineStr">
        <is>
          <t xml:space="preserve">UNIDAD              </t>
        </is>
      </c>
      <c r="I2466" t="n">
        <v>728</v>
      </c>
      <c r="J2466" t="n">
        <v>0</v>
      </c>
      <c r="K2466" t="n">
        <v>0</v>
      </c>
      <c r="L2466" t="n">
        <v>3</v>
      </c>
      <c r="M2466" t="n">
        <v>3</v>
      </c>
      <c r="N2466" t="n">
        <v>0</v>
      </c>
      <c r="O2466" t="n">
        <v>722</v>
      </c>
      <c r="P2466" s="96">
        <f>_xlfn.XLOOKUP(Tabla5[[#This Row],[EAN CORREGIDO]],'Tabla Articulos'!B:B,'Tabla Articulos'!D:D)</f>
        <v/>
      </c>
      <c r="Q2466" s="96">
        <f>_xlfn.XLOOKUP(S2466,'Tabla Articulos'!B:B,'Tabla Articulos'!E:E)</f>
        <v/>
      </c>
      <c r="R2466" s="96">
        <f>O2466*Q2466</f>
        <v/>
      </c>
      <c r="S2466" s="97">
        <f>TRIM(E2466)</f>
        <v/>
      </c>
    </row>
    <row r="2467" hidden="1">
      <c r="A2467" s="22" t="n">
        <v>2</v>
      </c>
      <c r="B2467" t="inlineStr">
        <is>
          <t xml:space="preserve">CD CIUDADELA                  </t>
        </is>
      </c>
      <c r="C2467" t="inlineStr">
        <is>
          <t xml:space="preserve">GRUPO L.                      </t>
        </is>
      </c>
      <c r="D2467" t="inlineStr">
        <is>
          <t>ARVEJA</t>
        </is>
      </c>
      <c r="E2467" t="inlineStr">
        <is>
          <t xml:space="preserve">7790790120257       </t>
        </is>
      </c>
      <c r="F2467" t="n">
        <v>4019665</v>
      </c>
      <c r="G2467" t="inlineStr">
        <is>
          <t xml:space="preserve">ARVEJA X 350 G INCA                </t>
        </is>
      </c>
      <c r="H2467" t="inlineStr">
        <is>
          <t xml:space="preserve">UNIDAD              </t>
        </is>
      </c>
      <c r="I2467" t="n">
        <v>10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10</v>
      </c>
      <c r="P2467" s="96">
        <f>_xlfn.XLOOKUP(Tabla5[[#This Row],[EAN CORREGIDO]],'Tabla Articulos'!B:B,'Tabla Articulos'!D:D)</f>
        <v/>
      </c>
      <c r="Q2467" s="96">
        <f>_xlfn.XLOOKUP(S2467,'Tabla Articulos'!B:B,'Tabla Articulos'!E:E)</f>
        <v/>
      </c>
      <c r="R2467" s="96">
        <f>O2467*Q2467</f>
        <v/>
      </c>
      <c r="S2467" s="97">
        <f>TRIM(E2467)</f>
        <v/>
      </c>
    </row>
    <row r="2468" hidden="1">
      <c r="A2468" s="22" t="n">
        <v>2</v>
      </c>
      <c r="B2468" t="inlineStr">
        <is>
          <t xml:space="preserve">CD CIUDADELA                  </t>
        </is>
      </c>
      <c r="C2468" t="inlineStr">
        <is>
          <t xml:space="preserve">GRUPO L.                      </t>
        </is>
      </c>
      <c r="D2468" t="inlineStr">
        <is>
          <t>CARNE ENTERA</t>
        </is>
      </c>
      <c r="E2468" t="inlineStr">
        <is>
          <t xml:space="preserve">7790212030062       </t>
        </is>
      </c>
      <c r="F2468" t="n">
        <v>4017744</v>
      </c>
      <c r="G2468" t="inlineStr">
        <is>
          <t xml:space="preserve">NALGA SIN TAPA X KG                </t>
        </is>
      </c>
      <c r="H2468" t="inlineStr">
        <is>
          <t xml:space="preserve">Kgs                 </t>
        </is>
      </c>
      <c r="I2468" t="n">
        <v>171.99</v>
      </c>
      <c r="J2468" t="n">
        <v>745.92</v>
      </c>
      <c r="K2468" t="n">
        <v>745.92</v>
      </c>
      <c r="L2468" t="n">
        <v>20</v>
      </c>
      <c r="M2468" t="n">
        <v>20</v>
      </c>
      <c r="N2468" t="n">
        <v>0</v>
      </c>
      <c r="O2468" t="n">
        <v>131.99</v>
      </c>
      <c r="P2468" s="96">
        <f>_xlfn.XLOOKUP(Tabla5[[#This Row],[EAN CORREGIDO]],'Tabla Articulos'!B:B,'Tabla Articulos'!D:D)</f>
        <v/>
      </c>
      <c r="Q2468" s="96">
        <f>_xlfn.XLOOKUP(S2468,'Tabla Articulos'!B:B,'Tabla Articulos'!E:E)</f>
        <v/>
      </c>
      <c r="R2468" s="96">
        <f>O2468*Q2468</f>
        <v/>
      </c>
      <c r="S2468" s="97">
        <f>TRIM(E2468)</f>
        <v/>
      </c>
    </row>
    <row r="2469" hidden="1">
      <c r="A2469" s="22" t="n">
        <v>2</v>
      </c>
      <c r="B2469" t="inlineStr">
        <is>
          <t xml:space="preserve">CD CIUDADELA                  </t>
        </is>
      </c>
      <c r="C2469" t="inlineStr">
        <is>
          <t xml:space="preserve">GRUPO L.                      </t>
        </is>
      </c>
      <c r="D2469" t="inlineStr">
        <is>
          <t>ARROZ PARBOIL</t>
        </is>
      </c>
      <c r="E2469" t="inlineStr">
        <is>
          <t xml:space="preserve">7790847060543       </t>
        </is>
      </c>
      <c r="F2469" t="n">
        <v>4019857</v>
      </c>
      <c r="G2469" t="inlineStr">
        <is>
          <t xml:space="preserve">ARROZ PARBOIL X 1KG DON MARCOS     </t>
        </is>
      </c>
      <c r="H2469" t="inlineStr">
        <is>
          <t xml:space="preserve">UNIDAD              </t>
        </is>
      </c>
      <c r="I2469" t="n">
        <v>1842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1842</v>
      </c>
      <c r="P2469" s="96">
        <f>_xlfn.XLOOKUP(Tabla5[[#This Row],[EAN CORREGIDO]],'Tabla Articulos'!B:B,'Tabla Articulos'!D:D)</f>
        <v/>
      </c>
      <c r="Q2469" s="96">
        <f>_xlfn.XLOOKUP(S2469,'Tabla Articulos'!B:B,'Tabla Articulos'!E:E)</f>
        <v/>
      </c>
      <c r="R2469" s="96">
        <f>O2469*Q2469</f>
        <v/>
      </c>
      <c r="S2469" s="97">
        <f>TRIM(E2469)</f>
        <v/>
      </c>
    </row>
    <row r="2470" hidden="1">
      <c r="A2470" s="22" t="n">
        <v>2</v>
      </c>
      <c r="B2470" t="inlineStr">
        <is>
          <t xml:space="preserve">CD CIUDADELA                  </t>
        </is>
      </c>
      <c r="C2470" t="inlineStr">
        <is>
          <t xml:space="preserve">GRUPO L.                      </t>
        </is>
      </c>
      <c r="D2470" t="inlineStr">
        <is>
          <t>FLAN DDL</t>
        </is>
      </c>
      <c r="E2470" t="inlineStr">
        <is>
          <t xml:space="preserve">7790530370300       </t>
        </is>
      </c>
      <c r="F2470" t="n">
        <v>4019839</v>
      </c>
      <c r="G2470" t="inlineStr">
        <is>
          <t xml:space="preserve">FLAN DULCE DE LECHE X 5K BEDIAL    </t>
        </is>
      </c>
      <c r="H2470" t="inlineStr">
        <is>
          <t xml:space="preserve">UNIDAD              </t>
        </is>
      </c>
      <c r="I2470" t="n">
        <v>29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29</v>
      </c>
      <c r="P2470" s="96">
        <f>_xlfn.XLOOKUP(Tabla5[[#This Row],[EAN CORREGIDO]],'Tabla Articulos'!B:B,'Tabla Articulos'!D:D)</f>
        <v/>
      </c>
      <c r="Q2470" s="96">
        <f>_xlfn.XLOOKUP(S2470,'Tabla Articulos'!B:B,'Tabla Articulos'!E:E)</f>
        <v/>
      </c>
      <c r="R2470" s="96">
        <f>O2470*Q2470</f>
        <v/>
      </c>
      <c r="S2470" s="97">
        <f>TRIM(E2470)</f>
        <v/>
      </c>
    </row>
    <row r="2471" hidden="1">
      <c r="A2471" s="22" t="n">
        <v>2</v>
      </c>
      <c r="B2471" t="inlineStr">
        <is>
          <t xml:space="preserve">CD CIUDADELA                  </t>
        </is>
      </c>
      <c r="C2471" t="inlineStr">
        <is>
          <t xml:space="preserve">GRUPO L.                      </t>
        </is>
      </c>
      <c r="D2471" t="inlineStr">
        <is>
          <t>JAMON CRUDO</t>
        </is>
      </c>
      <c r="E2471" t="inlineStr">
        <is>
          <t xml:space="preserve">7790212050099       </t>
        </is>
      </c>
      <c r="F2471" t="n">
        <v>4017770</v>
      </c>
      <c r="G2471" t="inlineStr">
        <is>
          <t xml:space="preserve">JAMON CRUDO X KG                   </t>
        </is>
      </c>
      <c r="H2471" t="inlineStr">
        <is>
          <t xml:space="preserve">Kgs                 </t>
        </is>
      </c>
      <c r="I2471" t="n">
        <v>47.1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47.1</v>
      </c>
      <c r="P2471" s="96">
        <f>_xlfn.XLOOKUP(Tabla5[[#This Row],[EAN CORREGIDO]],'Tabla Articulos'!B:B,'Tabla Articulos'!D:D)</f>
        <v/>
      </c>
      <c r="Q2471" s="96">
        <f>_xlfn.XLOOKUP(S2471,'Tabla Articulos'!B:B,'Tabla Articulos'!E:E)</f>
        <v/>
      </c>
      <c r="R2471" s="96">
        <f>O2471*Q2471</f>
        <v/>
      </c>
      <c r="S2471" s="97">
        <f>TRIM(E2471)</f>
        <v/>
      </c>
    </row>
    <row r="2472" hidden="1">
      <c r="A2472" s="22" t="n">
        <v>2</v>
      </c>
      <c r="B2472" t="inlineStr">
        <is>
          <t xml:space="preserve">CD CIUDADELA                  </t>
        </is>
      </c>
      <c r="C2472" t="inlineStr">
        <is>
          <t xml:space="preserve">GRUPO L.                      </t>
        </is>
      </c>
      <c r="D2472" t="inlineStr">
        <is>
          <t>TAPA VASO 300CC</t>
        </is>
      </c>
      <c r="E2472" t="inlineStr">
        <is>
          <t xml:space="preserve">7790321020328       </t>
        </is>
      </c>
      <c r="F2472" t="n">
        <v>2006472</v>
      </c>
      <c r="G2472" t="inlineStr">
        <is>
          <t xml:space="preserve">TAPA VASO TERMICO 300CC X100U      </t>
        </is>
      </c>
      <c r="H2472" t="inlineStr">
        <is>
          <t xml:space="preserve">UNIDAD              </t>
        </is>
      </c>
      <c r="I2472" t="n">
        <v>39</v>
      </c>
      <c r="J2472" t="n">
        <v>0</v>
      </c>
      <c r="K2472" t="n">
        <v>20</v>
      </c>
      <c r="L2472" t="n">
        <v>0</v>
      </c>
      <c r="M2472" t="n">
        <v>0</v>
      </c>
      <c r="N2472" t="n">
        <v>0</v>
      </c>
      <c r="O2472" t="n">
        <v>19</v>
      </c>
      <c r="P2472" s="96">
        <f>_xlfn.XLOOKUP(Tabla5[[#This Row],[EAN CORREGIDO]],'Tabla Articulos'!B:B,'Tabla Articulos'!D:D)</f>
        <v/>
      </c>
      <c r="Q2472" s="96">
        <f>_xlfn.XLOOKUP(S2472,'Tabla Articulos'!B:B,'Tabla Articulos'!E:E)</f>
        <v/>
      </c>
      <c r="R2472" s="96">
        <f>O2472*Q2472</f>
        <v/>
      </c>
      <c r="S2472" s="97">
        <f>TRIM(E2472)</f>
        <v/>
      </c>
    </row>
    <row r="2473" hidden="1">
      <c r="A2473" s="22" t="n">
        <v>2</v>
      </c>
      <c r="B2473" t="inlineStr">
        <is>
          <t xml:space="preserve">CD CIUDADELA                  </t>
        </is>
      </c>
      <c r="C2473" t="inlineStr">
        <is>
          <t xml:space="preserve">GRUPO L.                      </t>
        </is>
      </c>
      <c r="D2473" t="inlineStr">
        <is>
          <t xml:space="preserve">LECHE MATERNIZADA </t>
        </is>
      </c>
      <c r="E2473" t="inlineStr">
        <is>
          <t xml:space="preserve">7798181641411       </t>
        </is>
      </c>
      <c r="F2473" t="n">
        <v>4018214</v>
      </c>
      <c r="G2473" t="inlineStr">
        <is>
          <t xml:space="preserve">LECHE BB1 ADVANCEDX200CC SANC	     </t>
        </is>
      </c>
      <c r="H2473" t="inlineStr">
        <is>
          <t xml:space="preserve">UNIDAD              </t>
        </is>
      </c>
      <c r="I2473" t="n">
        <v>23179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23179</v>
      </c>
      <c r="P2473" s="96">
        <f>_xlfn.XLOOKUP(Tabla5[[#This Row],[EAN CORREGIDO]],'Tabla Articulos'!B:B,'Tabla Articulos'!D:D)</f>
        <v/>
      </c>
      <c r="Q2473" s="96">
        <f>_xlfn.XLOOKUP(S2473,'Tabla Articulos'!B:B,'Tabla Articulos'!E:E)</f>
        <v/>
      </c>
      <c r="R2473" s="96">
        <f>O2473*Q2473</f>
        <v/>
      </c>
      <c r="S2473" s="97">
        <f>TRIM(E2473)</f>
        <v/>
      </c>
    </row>
    <row r="2474" hidden="1">
      <c r="A2474" s="22" t="n">
        <v>2</v>
      </c>
      <c r="B2474" t="inlineStr">
        <is>
          <t xml:space="preserve">CD CIUDADELA                  </t>
        </is>
      </c>
      <c r="C2474" t="inlineStr">
        <is>
          <t xml:space="preserve">GRUPO L.                      </t>
        </is>
      </c>
      <c r="D2474" t="inlineStr">
        <is>
          <t>FIDEOS GUISEROS</t>
        </is>
      </c>
      <c r="E2474" t="inlineStr">
        <is>
          <t xml:space="preserve">7794080001561       </t>
        </is>
      </c>
      <c r="F2474" t="n">
        <v>4020073</v>
      </c>
      <c r="G2474" t="inlineStr">
        <is>
          <t>FIDEO GUIS TIRAB X500G DON BERNABEU</t>
        </is>
      </c>
      <c r="H2474" t="inlineStr">
        <is>
          <t xml:space="preserve">UNIDAD              </t>
        </is>
      </c>
      <c r="I2474" t="n">
        <v>15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15</v>
      </c>
      <c r="P2474" s="96">
        <f>_xlfn.XLOOKUP(Tabla5[[#This Row],[EAN CORREGIDO]],'Tabla Articulos'!B:B,'Tabla Articulos'!D:D)</f>
        <v/>
      </c>
      <c r="Q2474" s="96">
        <f>_xlfn.XLOOKUP(S2474,'Tabla Articulos'!B:B,'Tabla Articulos'!E:E)</f>
        <v/>
      </c>
      <c r="R2474" s="96">
        <f>O2474*Q2474</f>
        <v/>
      </c>
      <c r="S2474" s="97">
        <f>TRIM(E2474)</f>
        <v/>
      </c>
    </row>
    <row r="2475" hidden="1">
      <c r="A2475" s="22" t="n">
        <v>2</v>
      </c>
      <c r="B2475" t="inlineStr">
        <is>
          <t xml:space="preserve">CD CIUDADELA                  </t>
        </is>
      </c>
      <c r="C2475" t="inlineStr">
        <is>
          <t xml:space="preserve">GRUPO L.                      </t>
        </is>
      </c>
      <c r="D2475" t="inlineStr">
        <is>
          <t>GALLE SABORIZADAS</t>
        </is>
      </c>
      <c r="E2475" t="inlineStr">
        <is>
          <t xml:space="preserve">7790040003569       </t>
        </is>
      </c>
      <c r="F2475" t="n">
        <v>4018771</v>
      </c>
      <c r="G2475" t="inlineStr">
        <is>
          <t xml:space="preserve">GALLE SALADA X75G REX              </t>
        </is>
      </c>
      <c r="H2475" t="inlineStr">
        <is>
          <t xml:space="preserve">UNIDAD              </t>
        </is>
      </c>
      <c r="I2475" t="n">
        <v>745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745</v>
      </c>
      <c r="P2475" s="96">
        <f>_xlfn.XLOOKUP(Tabla5[[#This Row],[EAN CORREGIDO]],'Tabla Articulos'!B:B,'Tabla Articulos'!D:D)</f>
        <v/>
      </c>
      <c r="Q2475" s="96">
        <f>_xlfn.XLOOKUP(S2475,'Tabla Articulos'!B:B,'Tabla Articulos'!E:E)</f>
        <v/>
      </c>
      <c r="R2475" s="96">
        <f>O2475*Q2475</f>
        <v/>
      </c>
      <c r="S2475" s="97">
        <f>TRIM(E2475)</f>
        <v/>
      </c>
    </row>
    <row r="2476" hidden="1">
      <c r="A2476" s="22" t="n">
        <v>2</v>
      </c>
      <c r="B2476" t="inlineStr">
        <is>
          <t xml:space="preserve">CD CIUDADELA                  </t>
        </is>
      </c>
      <c r="C2476" t="inlineStr">
        <is>
          <t xml:space="preserve">GRUPO L.                      </t>
        </is>
      </c>
      <c r="D2476" t="inlineStr">
        <is>
          <t>JUGO MANZANA</t>
        </is>
      </c>
      <c r="E2476" t="inlineStr">
        <is>
          <t xml:space="preserve">7798290580090       </t>
        </is>
      </c>
      <c r="F2476" t="n">
        <v>4017326</v>
      </c>
      <c r="G2476" t="inlineStr">
        <is>
          <t xml:space="preserve">JUGO MANZANA X 1L TUTTI            </t>
        </is>
      </c>
      <c r="H2476" t="inlineStr">
        <is>
          <t xml:space="preserve">UNIDAD              </t>
        </is>
      </c>
      <c r="I2476" t="n">
        <v>203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203</v>
      </c>
      <c r="P2476" s="96">
        <f>_xlfn.XLOOKUP(Tabla5[[#This Row],[EAN CORREGIDO]],'Tabla Articulos'!B:B,'Tabla Articulos'!D:D)</f>
        <v/>
      </c>
      <c r="Q2476" s="96">
        <f>_xlfn.XLOOKUP(S2476,'Tabla Articulos'!B:B,'Tabla Articulos'!E:E)</f>
        <v/>
      </c>
      <c r="R2476" s="96">
        <f>O2476*Q2476</f>
        <v/>
      </c>
      <c r="S2476" s="97">
        <f>TRIM(E2476)</f>
        <v/>
      </c>
    </row>
    <row r="2477" hidden="1">
      <c r="A2477" s="22" t="n">
        <v>2</v>
      </c>
      <c r="B2477" t="inlineStr">
        <is>
          <t xml:space="preserve">CD CIUDADELA                  </t>
        </is>
      </c>
      <c r="C2477" t="inlineStr">
        <is>
          <t xml:space="preserve">GRUPO L.                      </t>
        </is>
      </c>
      <c r="D2477" t="inlineStr">
        <is>
          <t>MERMELADA IND DURAZNO</t>
        </is>
      </c>
      <c r="E2477" t="inlineStr">
        <is>
          <t xml:space="preserve">7798011976683       </t>
        </is>
      </c>
      <c r="F2477" t="n">
        <v>4020320</v>
      </c>
      <c r="G2477" t="inlineStr">
        <is>
          <t xml:space="preserve">MERM DURX20GX108U ABEDUL           </t>
        </is>
      </c>
      <c r="H2477" t="inlineStr">
        <is>
          <t xml:space="preserve">UNIDAD              </t>
        </is>
      </c>
      <c r="I2477" t="n">
        <v>169</v>
      </c>
      <c r="J2477" t="n">
        <v>0</v>
      </c>
      <c r="K2477" t="n">
        <v>0</v>
      </c>
      <c r="L2477" t="n">
        <v>34</v>
      </c>
      <c r="M2477" t="n">
        <v>34</v>
      </c>
      <c r="N2477" t="n">
        <v>0</v>
      </c>
      <c r="O2477" t="n">
        <v>101</v>
      </c>
      <c r="P2477" s="96">
        <f>_xlfn.XLOOKUP(Tabla5[[#This Row],[EAN CORREGIDO]],'Tabla Articulos'!B:B,'Tabla Articulos'!D:D)</f>
        <v/>
      </c>
      <c r="Q2477" s="96">
        <f>_xlfn.XLOOKUP(S2477,'Tabla Articulos'!B:B,'Tabla Articulos'!E:E)</f>
        <v/>
      </c>
      <c r="R2477" s="96">
        <f>O2477*Q2477</f>
        <v/>
      </c>
      <c r="S2477" s="97">
        <f>TRIM(E2477)</f>
        <v/>
      </c>
    </row>
    <row r="2478" hidden="1">
      <c r="A2478" s="22" t="n">
        <v>2</v>
      </c>
      <c r="B2478" t="inlineStr">
        <is>
          <t xml:space="preserve">CD CIUDADELA                  </t>
        </is>
      </c>
      <c r="C2478" t="inlineStr">
        <is>
          <t xml:space="preserve">GRUPO L.                      </t>
        </is>
      </c>
      <c r="D2478" t="inlineStr">
        <is>
          <t>ARVEJA PARTIDA</t>
        </is>
      </c>
      <c r="E2478" t="inlineStr">
        <is>
          <t xml:space="preserve">7798016190701       </t>
        </is>
      </c>
      <c r="F2478" t="n">
        <v>4024049</v>
      </c>
      <c r="G2478" t="inlineStr">
        <is>
          <t xml:space="preserve">ARVEJAS ENTERAS X 400 G AGROMAR    </t>
        </is>
      </c>
      <c r="H2478" t="inlineStr">
        <is>
          <t xml:space="preserve">UNIDAD              </t>
        </is>
      </c>
      <c r="I2478" t="n">
        <v>47</v>
      </c>
      <c r="J2478" t="n">
        <v>0</v>
      </c>
      <c r="K2478" t="n">
        <v>0</v>
      </c>
      <c r="L2478" t="n">
        <v>8</v>
      </c>
      <c r="M2478" t="n">
        <v>8</v>
      </c>
      <c r="N2478" t="n">
        <v>0</v>
      </c>
      <c r="O2478" t="n">
        <v>31</v>
      </c>
      <c r="P2478" s="96">
        <f>_xlfn.XLOOKUP(Tabla5[[#This Row],[EAN CORREGIDO]],'Tabla Articulos'!B:B,'Tabla Articulos'!D:D)</f>
        <v/>
      </c>
      <c r="Q2478" s="96">
        <f>_xlfn.XLOOKUP(S2478,'Tabla Articulos'!B:B,'Tabla Articulos'!E:E)</f>
        <v/>
      </c>
      <c r="R2478" s="96">
        <f>O2478*Q2478</f>
        <v/>
      </c>
      <c r="S2478" s="97">
        <f>TRIM(E2478)</f>
        <v/>
      </c>
    </row>
    <row r="2479" hidden="1">
      <c r="A2479" s="22" t="n">
        <v>2</v>
      </c>
      <c r="B2479" t="inlineStr">
        <is>
          <t xml:space="preserve">CD CIUDADELA                  </t>
        </is>
      </c>
      <c r="C2479" t="inlineStr">
        <is>
          <t xml:space="preserve">GRUPO L.                      </t>
        </is>
      </c>
      <c r="D2479" t="inlineStr">
        <is>
          <t>FORMITAS DE PAPA</t>
        </is>
      </c>
      <c r="E2479" t="inlineStr">
        <is>
          <t xml:space="preserve">7797906001028       </t>
        </is>
      </c>
      <c r="F2479" t="n">
        <v>4017952</v>
      </c>
      <c r="G2479" t="inlineStr">
        <is>
          <t xml:space="preserve">PAPAS CONGE SMILES X1.5KG MC CAIN  </t>
        </is>
      </c>
      <c r="H2479" t="inlineStr">
        <is>
          <t xml:space="preserve">UNIDAD              </t>
        </is>
      </c>
      <c r="I2479" t="n">
        <v>14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14</v>
      </c>
      <c r="P2479" s="96">
        <f>_xlfn.XLOOKUP(Tabla5[[#This Row],[EAN CORREGIDO]],'Tabla Articulos'!B:B,'Tabla Articulos'!D:D)</f>
        <v/>
      </c>
      <c r="Q2479" s="96">
        <f>_xlfn.XLOOKUP(S2479,'Tabla Articulos'!B:B,'Tabla Articulos'!E:E)</f>
        <v/>
      </c>
      <c r="R2479" s="96">
        <f>O2479*Q2479</f>
        <v/>
      </c>
      <c r="S2479" s="97">
        <f>TRIM(E2479)</f>
        <v/>
      </c>
    </row>
    <row r="2480" hidden="1">
      <c r="A2480" s="22" t="n">
        <v>2</v>
      </c>
      <c r="B2480" t="inlineStr">
        <is>
          <t xml:space="preserve">CD CIUDADELA                  </t>
        </is>
      </c>
      <c r="C2480" t="inlineStr">
        <is>
          <t xml:space="preserve">GRUPO L.                      </t>
        </is>
      </c>
      <c r="D2480" t="inlineStr">
        <is>
          <t>CARAMELOS MASTICABLES</t>
        </is>
      </c>
      <c r="E2480" t="inlineStr">
        <is>
          <t xml:space="preserve">7790580178208       </t>
        </is>
      </c>
      <c r="F2480" t="n">
        <v>4018952</v>
      </c>
      <c r="G2480" t="inlineStr">
        <is>
          <t xml:space="preserve">CARAMELOS MASTICABLES X800GR ARCOR </t>
        </is>
      </c>
      <c r="H2480" t="inlineStr">
        <is>
          <t xml:space="preserve">UNIDAD              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2</v>
      </c>
      <c r="P2480" s="96">
        <f>_xlfn.XLOOKUP(Tabla5[[#This Row],[EAN CORREGIDO]],'Tabla Articulos'!B:B,'Tabla Articulos'!D:D)</f>
        <v/>
      </c>
      <c r="Q2480" s="96">
        <f>_xlfn.XLOOKUP(S2480,'Tabla Articulos'!B:B,'Tabla Articulos'!E:E)</f>
        <v/>
      </c>
      <c r="R2480" s="96">
        <f>O2480*Q2480</f>
        <v/>
      </c>
      <c r="S2480" s="97">
        <f>TRIM(E2480)</f>
        <v/>
      </c>
    </row>
    <row r="2481" hidden="1">
      <c r="A2481" s="22" t="n">
        <v>2</v>
      </c>
      <c r="B2481" t="inlineStr">
        <is>
          <t xml:space="preserve">CD CIUDADELA                  </t>
        </is>
      </c>
      <c r="C2481" t="inlineStr">
        <is>
          <t xml:space="preserve">GRUPO L.                      </t>
        </is>
      </c>
      <c r="D2481" t="inlineStr">
        <is>
          <t>FIDEOS SOPEROS</t>
        </is>
      </c>
      <c r="E2481" t="inlineStr">
        <is>
          <t xml:space="preserve">7797470000939       </t>
        </is>
      </c>
      <c r="F2481" t="n">
        <v>4020082</v>
      </c>
      <c r="G2481" t="inlineStr">
        <is>
          <t xml:space="preserve">FIDEO SOP DEDALIT X 500G MAROL     </t>
        </is>
      </c>
      <c r="H2481" t="inlineStr">
        <is>
          <t xml:space="preserve">UNIDAD              </t>
        </is>
      </c>
      <c r="I2481" t="n">
        <v>322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322</v>
      </c>
      <c r="P2481" s="96">
        <f>_xlfn.XLOOKUP(Tabla5[[#This Row],[EAN CORREGIDO]],'Tabla Articulos'!B:B,'Tabla Articulos'!D:D)</f>
        <v/>
      </c>
      <c r="Q2481" s="96">
        <f>_xlfn.XLOOKUP(S2481,'Tabla Articulos'!B:B,'Tabla Articulos'!E:E)</f>
        <v/>
      </c>
      <c r="R2481" s="96">
        <f>O2481*Q2481</f>
        <v/>
      </c>
      <c r="S2481" s="97">
        <f>TRIM(E2481)</f>
        <v/>
      </c>
    </row>
    <row r="2482" hidden="1">
      <c r="A2482" s="22" t="n">
        <v>2</v>
      </c>
      <c r="B2482" t="inlineStr">
        <is>
          <t xml:space="preserve">CD CIUDADELA                  </t>
        </is>
      </c>
      <c r="C2482" t="inlineStr">
        <is>
          <t xml:space="preserve">GRUPO L.                      </t>
        </is>
      </c>
      <c r="D2482" t="inlineStr">
        <is>
          <t>PREMEZCLA BIZCOCHUELO CHOCO</t>
        </is>
      </c>
      <c r="E2482" t="inlineStr">
        <is>
          <t xml:space="preserve">7791113004605       </t>
        </is>
      </c>
      <c r="F2482" t="n">
        <v>4019680</v>
      </c>
      <c r="G2482" t="inlineStr">
        <is>
          <t xml:space="preserve">BIZCOCHUELO CHOCOLATE X450G EMETH  </t>
        </is>
      </c>
      <c r="H2482" t="inlineStr">
        <is>
          <t xml:space="preserve">UNIDAD              </t>
        </is>
      </c>
      <c r="I2482" t="n">
        <v>2402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2402</v>
      </c>
      <c r="P2482" s="96">
        <f>_xlfn.XLOOKUP(Tabla5[[#This Row],[EAN CORREGIDO]],'Tabla Articulos'!B:B,'Tabla Articulos'!D:D)</f>
        <v/>
      </c>
      <c r="Q2482" s="96">
        <f>_xlfn.XLOOKUP(S2482,'Tabla Articulos'!B:B,'Tabla Articulos'!E:E)</f>
        <v/>
      </c>
      <c r="R2482" s="96">
        <f>O2482*Q2482</f>
        <v/>
      </c>
      <c r="S2482" s="97">
        <f>TRIM(E2482)</f>
        <v/>
      </c>
    </row>
    <row r="2483" hidden="1">
      <c r="A2483" s="22" t="n">
        <v>2</v>
      </c>
      <c r="B2483" t="inlineStr">
        <is>
          <t xml:space="preserve">CD CIUDADELA                  </t>
        </is>
      </c>
      <c r="C2483" t="inlineStr">
        <is>
          <t xml:space="preserve">GRUPO L.                      </t>
        </is>
      </c>
      <c r="D2483" t="inlineStr">
        <is>
          <t>TOSTADA ARROZ C/S</t>
        </is>
      </c>
      <c r="E2483" t="inlineStr">
        <is>
          <t xml:space="preserve">7798146300308       </t>
        </is>
      </c>
      <c r="F2483" t="n">
        <v>4018919</v>
      </c>
      <c r="G2483" t="inlineStr">
        <is>
          <t xml:space="preserve">TOSTADA ARROZ S/TACC X120G LULEMUU </t>
        </is>
      </c>
      <c r="H2483" t="inlineStr">
        <is>
          <t xml:space="preserve">UNIDAD              </t>
        </is>
      </c>
      <c r="I2483" t="n">
        <v>5000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5000</v>
      </c>
      <c r="P2483" s="96">
        <f>_xlfn.XLOOKUP(Tabla5[[#This Row],[EAN CORREGIDO]],'Tabla Articulos'!B:B,'Tabla Articulos'!D:D)</f>
        <v/>
      </c>
      <c r="Q2483" s="96">
        <f>_xlfn.XLOOKUP(S2483,'Tabla Articulos'!B:B,'Tabla Articulos'!E:E)</f>
        <v/>
      </c>
      <c r="R2483" s="96">
        <f>O2483*Q2483</f>
        <v/>
      </c>
      <c r="S2483" s="97">
        <f>TRIM(E2483)</f>
        <v/>
      </c>
    </row>
    <row r="2484" hidden="1">
      <c r="A2484" s="22" t="n">
        <v>2</v>
      </c>
      <c r="B2484" t="inlineStr">
        <is>
          <t xml:space="preserve">CD CIUDADELA                  </t>
        </is>
      </c>
      <c r="C2484" t="inlineStr">
        <is>
          <t xml:space="preserve">GRUPO L.                      </t>
        </is>
      </c>
      <c r="D2484" t="inlineStr">
        <is>
          <t>POSTRE VAINILLA</t>
        </is>
      </c>
      <c r="E2484" t="inlineStr">
        <is>
          <t xml:space="preserve">714604058540        </t>
        </is>
      </c>
      <c r="F2484" t="n">
        <v>4022536</v>
      </c>
      <c r="G2484" t="inlineStr">
        <is>
          <t xml:space="preserve">POSTRE VAIN 1KG POREC              </t>
        </is>
      </c>
      <c r="H2484" t="inlineStr">
        <is>
          <t xml:space="preserve">UNIDAD              </t>
        </is>
      </c>
      <c r="I2484" t="n">
        <v>26</v>
      </c>
      <c r="J2484" t="n">
        <v>0</v>
      </c>
      <c r="K2484" t="n">
        <v>0</v>
      </c>
      <c r="L2484" t="n">
        <v>7</v>
      </c>
      <c r="M2484" t="n">
        <v>7</v>
      </c>
      <c r="N2484" t="n">
        <v>0</v>
      </c>
      <c r="O2484" t="n">
        <v>12</v>
      </c>
      <c r="P2484" s="96">
        <f>_xlfn.XLOOKUP(Tabla5[[#This Row],[EAN CORREGIDO]],'Tabla Articulos'!B:B,'Tabla Articulos'!D:D)</f>
        <v/>
      </c>
      <c r="Q2484" s="96">
        <f>_xlfn.XLOOKUP(S2484,'Tabla Articulos'!B:B,'Tabla Articulos'!E:E)</f>
        <v/>
      </c>
      <c r="R2484" s="96">
        <f>O2484*Q2484</f>
        <v/>
      </c>
      <c r="S2484" s="97">
        <f>TRIM(E2484)</f>
        <v/>
      </c>
    </row>
    <row r="2485" hidden="1">
      <c r="A2485" s="22" t="n">
        <v>2</v>
      </c>
      <c r="B2485" t="inlineStr">
        <is>
          <t xml:space="preserve">CD CIUDADELA                  </t>
        </is>
      </c>
      <c r="C2485" t="inlineStr">
        <is>
          <t xml:space="preserve">GRUPO L.                      </t>
        </is>
      </c>
      <c r="D2485" t="inlineStr">
        <is>
          <t>AJI</t>
        </is>
      </c>
      <c r="E2485" t="inlineStr">
        <is>
          <t xml:space="preserve">7790216010142       </t>
        </is>
      </c>
      <c r="F2485" t="n">
        <v>4018051</v>
      </c>
      <c r="G2485" t="inlineStr">
        <is>
          <t xml:space="preserve">AJI PIMIENTO X KG.                 </t>
        </is>
      </c>
      <c r="H2485" t="inlineStr">
        <is>
          <t xml:space="preserve">Kgs                 </t>
        </is>
      </c>
      <c r="I2485" t="n">
        <v>134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134</v>
      </c>
      <c r="P2485" s="96">
        <f>_xlfn.XLOOKUP(Tabla5[[#This Row],[EAN CORREGIDO]],'Tabla Articulos'!B:B,'Tabla Articulos'!D:D)</f>
        <v/>
      </c>
      <c r="Q2485" s="96">
        <f>_xlfn.XLOOKUP(S2485,'Tabla Articulos'!B:B,'Tabla Articulos'!E:E)</f>
        <v/>
      </c>
      <c r="R2485" s="96">
        <f>O2485*Q2485</f>
        <v/>
      </c>
      <c r="S2485" s="97">
        <f>TRIM(E2485)</f>
        <v/>
      </c>
    </row>
    <row r="2486" hidden="1">
      <c r="A2486" s="22" t="n">
        <v>2</v>
      </c>
      <c r="B2486" t="inlineStr">
        <is>
          <t xml:space="preserve">CD CIUDADELA                  </t>
        </is>
      </c>
      <c r="C2486" t="inlineStr">
        <is>
          <t xml:space="preserve">GRUPO L.                      </t>
        </is>
      </c>
      <c r="D2486" t="inlineStr">
        <is>
          <t>GELATINA ANANA LIGHT</t>
        </is>
      </c>
      <c r="E2486" t="inlineStr">
        <is>
          <t xml:space="preserve">790757899612        </t>
        </is>
      </c>
      <c r="F2486" t="n">
        <v>4022524</v>
      </c>
      <c r="G2486" t="inlineStr">
        <is>
          <t xml:space="preserve">GELATINA LIGHT ANANA 1KG POREC     </t>
        </is>
      </c>
      <c r="H2486" t="inlineStr">
        <is>
          <t xml:space="preserve">UNIDAD              </t>
        </is>
      </c>
      <c r="I2486" t="n">
        <v>43</v>
      </c>
      <c r="J2486" t="n">
        <v>0</v>
      </c>
      <c r="K2486" t="n">
        <v>0</v>
      </c>
      <c r="L2486" t="n">
        <v>2</v>
      </c>
      <c r="M2486" t="n">
        <v>2</v>
      </c>
      <c r="N2486" t="n">
        <v>0</v>
      </c>
      <c r="O2486" t="n">
        <v>39</v>
      </c>
      <c r="P2486" s="96">
        <f>_xlfn.XLOOKUP(Tabla5[[#This Row],[EAN CORREGIDO]],'Tabla Articulos'!B:B,'Tabla Articulos'!D:D)</f>
        <v/>
      </c>
      <c r="Q2486" s="96">
        <f>_xlfn.XLOOKUP(S2486,'Tabla Articulos'!B:B,'Tabla Articulos'!E:E)</f>
        <v/>
      </c>
      <c r="R2486" s="96">
        <f>O2486*Q2486</f>
        <v/>
      </c>
      <c r="S2486" s="97">
        <f>TRIM(E2486)</f>
        <v/>
      </c>
    </row>
    <row r="2487" hidden="1">
      <c r="A2487" s="22" t="n">
        <v>2</v>
      </c>
      <c r="B2487" t="inlineStr">
        <is>
          <t xml:space="preserve">CD CIUDADELA                  </t>
        </is>
      </c>
      <c r="C2487" t="inlineStr">
        <is>
          <t xml:space="preserve">GRUPO L.                      </t>
        </is>
      </c>
      <c r="D2487" t="inlineStr">
        <is>
          <t>GALLETITA QUESO</t>
        </is>
      </c>
      <c r="E2487" t="inlineStr">
        <is>
          <t xml:space="preserve">7790040003606       </t>
        </is>
      </c>
      <c r="F2487" t="n">
        <v>4019232</v>
      </c>
      <c r="G2487" t="inlineStr">
        <is>
          <t xml:space="preserve">GALLETITA QUESO X75G KESITAS       </t>
        </is>
      </c>
      <c r="H2487" t="inlineStr">
        <is>
          <t xml:space="preserve">UNIDAD              </t>
        </is>
      </c>
      <c r="I2487" t="n">
        <v>936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936</v>
      </c>
      <c r="P2487" s="96">
        <f>_xlfn.XLOOKUP(Tabla5[[#This Row],[EAN CORREGIDO]],'Tabla Articulos'!B:B,'Tabla Articulos'!D:D)</f>
        <v/>
      </c>
      <c r="Q2487" s="96">
        <f>_xlfn.XLOOKUP(S2487,'Tabla Articulos'!B:B,'Tabla Articulos'!E:E)</f>
        <v/>
      </c>
      <c r="R2487" s="96">
        <f>O2487*Q2487</f>
        <v/>
      </c>
      <c r="S2487" s="97">
        <f>TRIM(E2487)</f>
        <v/>
      </c>
    </row>
    <row r="2488" hidden="1">
      <c r="A2488" s="22" t="n">
        <v>2</v>
      </c>
      <c r="B2488" t="inlineStr">
        <is>
          <t xml:space="preserve">CD CIUDADELA                  </t>
        </is>
      </c>
      <c r="C2488" t="inlineStr">
        <is>
          <t xml:space="preserve">GRUPO L.                      </t>
        </is>
      </c>
      <c r="D2488" t="inlineStr">
        <is>
          <t>SAL FINA IND B/SODIO</t>
        </is>
      </c>
      <c r="E2488" t="inlineStr">
        <is>
          <t xml:space="preserve">7798011970322       </t>
        </is>
      </c>
      <c r="F2488" t="n">
        <v>4020345</v>
      </c>
      <c r="G2488" t="inlineStr">
        <is>
          <t>SAL IND B/SODIO 1 GR X 400 U ABEDUL</t>
        </is>
      </c>
      <c r="H2488" t="inlineStr">
        <is>
          <t xml:space="preserve">UNIDAD              </t>
        </is>
      </c>
      <c r="I2488" t="n">
        <v>192</v>
      </c>
      <c r="J2488" t="n">
        <v>0</v>
      </c>
      <c r="K2488" t="n">
        <v>0</v>
      </c>
      <c r="L2488" t="n">
        <v>21</v>
      </c>
      <c r="M2488" t="n">
        <v>21</v>
      </c>
      <c r="N2488" t="n">
        <v>0</v>
      </c>
      <c r="O2488" t="n">
        <v>150</v>
      </c>
      <c r="P2488" s="96">
        <f>_xlfn.XLOOKUP(Tabla5[[#This Row],[EAN CORREGIDO]],'Tabla Articulos'!B:B,'Tabla Articulos'!D:D)</f>
        <v/>
      </c>
      <c r="Q2488" s="96">
        <f>_xlfn.XLOOKUP(S2488,'Tabla Articulos'!B:B,'Tabla Articulos'!E:E)</f>
        <v/>
      </c>
      <c r="R2488" s="96">
        <f>O2488*Q2488</f>
        <v/>
      </c>
      <c r="S2488" s="97">
        <f>TRIM(E2488)</f>
        <v/>
      </c>
    </row>
    <row r="2489" hidden="1">
      <c r="A2489" s="22" t="n">
        <v>2</v>
      </c>
      <c r="B2489" t="inlineStr">
        <is>
          <t xml:space="preserve">CD CIUDADELA                  </t>
        </is>
      </c>
      <c r="C2489" t="inlineStr">
        <is>
          <t xml:space="preserve">GRUPO L.                      </t>
        </is>
      </c>
      <c r="D2489" t="inlineStr">
        <is>
          <t>CREMA DE LECHE ENTERA</t>
        </is>
      </c>
      <c r="E2489" t="inlineStr">
        <is>
          <t xml:space="preserve">7790787949083       </t>
        </is>
      </c>
      <c r="F2489" t="n">
        <v>4049038</v>
      </c>
      <c r="G2489" t="inlineStr">
        <is>
          <t xml:space="preserve">CREMA POT X350CC ILOLAY            </t>
        </is>
      </c>
      <c r="H2489" t="inlineStr">
        <is>
          <t xml:space="preserve">UNIDAD              </t>
        </is>
      </c>
      <c r="I2489" t="n">
        <v>400</v>
      </c>
      <c r="J2489" t="n">
        <v>0</v>
      </c>
      <c r="K2489" t="n">
        <v>0</v>
      </c>
      <c r="L2489" t="n">
        <v>74</v>
      </c>
      <c r="M2489" t="n">
        <v>74</v>
      </c>
      <c r="N2489" t="n">
        <v>0</v>
      </c>
      <c r="O2489" t="n">
        <v>252</v>
      </c>
      <c r="P2489" s="96">
        <f>_xlfn.XLOOKUP(Tabla5[[#This Row],[EAN CORREGIDO]],'Tabla Articulos'!B:B,'Tabla Articulos'!D:D)</f>
        <v/>
      </c>
      <c r="Q2489" s="96">
        <f>_xlfn.XLOOKUP(S2489,'Tabla Articulos'!B:B,'Tabla Articulos'!E:E)</f>
        <v/>
      </c>
      <c r="R2489" s="96">
        <f>O2489*Q2489</f>
        <v/>
      </c>
      <c r="S2489" s="97">
        <f>TRIM(E2489)</f>
        <v/>
      </c>
    </row>
    <row r="2490" hidden="1">
      <c r="A2490" s="22" t="n">
        <v>2</v>
      </c>
      <c r="B2490" t="inlineStr">
        <is>
          <t xml:space="preserve">CD CIUDADELA                  </t>
        </is>
      </c>
      <c r="C2490" t="inlineStr">
        <is>
          <t xml:space="preserve">GRUPO L.                      </t>
        </is>
      </c>
      <c r="D2490" t="inlineStr">
        <is>
          <t>FLAN VAINILLA</t>
        </is>
      </c>
      <c r="E2490" t="inlineStr">
        <is>
          <t xml:space="preserve">7791113001536       </t>
        </is>
      </c>
      <c r="F2490" t="n">
        <v>4019796</v>
      </c>
      <c r="G2490" t="inlineStr">
        <is>
          <t xml:space="preserve">FLAN VAINILLA X60G EMETH           </t>
        </is>
      </c>
      <c r="H2490" t="inlineStr">
        <is>
          <t xml:space="preserve">UNIDAD              </t>
        </is>
      </c>
      <c r="I2490" t="n">
        <v>183</v>
      </c>
      <c r="J2490" t="n">
        <v>0</v>
      </c>
      <c r="K2490" t="n">
        <v>0</v>
      </c>
      <c r="L2490" t="n">
        <v>67</v>
      </c>
      <c r="M2490" t="n">
        <v>67</v>
      </c>
      <c r="N2490" t="n">
        <v>0</v>
      </c>
      <c r="O2490" t="n">
        <v>49</v>
      </c>
      <c r="P2490" s="96">
        <f>_xlfn.XLOOKUP(Tabla5[[#This Row],[EAN CORREGIDO]],'Tabla Articulos'!B:B,'Tabla Articulos'!D:D)</f>
        <v/>
      </c>
      <c r="Q2490" s="96">
        <f>_xlfn.XLOOKUP(S2490,'Tabla Articulos'!B:B,'Tabla Articulos'!E:E)</f>
        <v/>
      </c>
      <c r="R2490" s="96">
        <f>O2490*Q2490</f>
        <v/>
      </c>
      <c r="S2490" s="97">
        <f>TRIM(E2490)</f>
        <v/>
      </c>
    </row>
    <row r="2491" hidden="1">
      <c r="A2491" s="22" t="n">
        <v>2</v>
      </c>
      <c r="B2491" t="inlineStr">
        <is>
          <t xml:space="preserve">CD CIUDADELA                  </t>
        </is>
      </c>
      <c r="C2491" t="inlineStr">
        <is>
          <t xml:space="preserve">GRUPO L.                      </t>
        </is>
      </c>
      <c r="D2491" t="inlineStr">
        <is>
          <t>SERVILLETA DESC S/LOGO</t>
        </is>
      </c>
      <c r="E2491" t="inlineStr">
        <is>
          <t xml:space="preserve">7790000000713       </t>
        </is>
      </c>
      <c r="F2491" t="n">
        <v>2016520</v>
      </c>
      <c r="G2491" t="inlineStr">
        <is>
          <t xml:space="preserve">SERV SIMIL TELA S/LOGO X2000U      </t>
        </is>
      </c>
      <c r="H2491" t="inlineStr">
        <is>
          <t xml:space="preserve">UNIDAD              </t>
        </is>
      </c>
      <c r="I2491" t="n">
        <v>39</v>
      </c>
      <c r="J2491" t="n">
        <v>0</v>
      </c>
      <c r="K2491" t="n">
        <v>0</v>
      </c>
      <c r="L2491" t="n">
        <v>1</v>
      </c>
      <c r="M2491" t="n">
        <v>1</v>
      </c>
      <c r="N2491" t="n">
        <v>0</v>
      </c>
      <c r="O2491" t="n">
        <v>37</v>
      </c>
      <c r="P2491" s="96">
        <f>_xlfn.XLOOKUP(Tabla5[[#This Row],[EAN CORREGIDO]],'Tabla Articulos'!B:B,'Tabla Articulos'!D:D)</f>
        <v/>
      </c>
      <c r="Q2491" s="96">
        <f>_xlfn.XLOOKUP(S2491,'Tabla Articulos'!B:B,'Tabla Articulos'!E:E)</f>
        <v/>
      </c>
      <c r="R2491" s="96">
        <f>O2491*Q2491</f>
        <v/>
      </c>
      <c r="S2491" s="97">
        <f>TRIM(E2491)</f>
        <v/>
      </c>
    </row>
    <row r="2492" hidden="1">
      <c r="A2492" s="22" t="n">
        <v>2</v>
      </c>
      <c r="B2492" t="inlineStr">
        <is>
          <t xml:space="preserve">CD CIUDADELA                  </t>
        </is>
      </c>
      <c r="C2492" t="inlineStr">
        <is>
          <t xml:space="preserve">GRUPO L.                      </t>
        </is>
      </c>
      <c r="D2492" t="inlineStr">
        <is>
          <t>SALSA DULCE DE LECHE</t>
        </is>
      </c>
      <c r="E2492" t="inlineStr">
        <is>
          <t xml:space="preserve">7798110340071       </t>
        </is>
      </c>
      <c r="F2492" t="n">
        <v>4024490</v>
      </c>
      <c r="G2492" t="inlineStr">
        <is>
          <t xml:space="preserve">SALSA DE DDL X0.5KG INDUAL         </t>
        </is>
      </c>
      <c r="H2492" t="inlineStr">
        <is>
          <t xml:space="preserve">UNIDAD              </t>
        </is>
      </c>
      <c r="I2492" t="n">
        <v>18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18</v>
      </c>
      <c r="P2492" s="96">
        <f>_xlfn.XLOOKUP(Tabla5[[#This Row],[EAN CORREGIDO]],'Tabla Articulos'!B:B,'Tabla Articulos'!D:D)</f>
        <v/>
      </c>
      <c r="Q2492" s="96">
        <f>_xlfn.XLOOKUP(S2492,'Tabla Articulos'!B:B,'Tabla Articulos'!E:E)</f>
        <v/>
      </c>
      <c r="R2492" s="96">
        <f>O2492*Q2492</f>
        <v/>
      </c>
      <c r="S2492" s="97">
        <f>TRIM(E2492)</f>
        <v/>
      </c>
    </row>
    <row r="2493" hidden="1">
      <c r="A2493" s="22" t="n">
        <v>2</v>
      </c>
      <c r="B2493" t="inlineStr">
        <is>
          <t xml:space="preserve">CD CIUDADELA                  </t>
        </is>
      </c>
      <c r="C2493" t="inlineStr">
        <is>
          <t xml:space="preserve">GRUPO L.                      </t>
        </is>
      </c>
      <c r="D2493" t="inlineStr">
        <is>
          <t>LOCRO</t>
        </is>
      </c>
      <c r="E2493" t="inlineStr">
        <is>
          <t xml:space="preserve">7798156760970       </t>
        </is>
      </c>
      <c r="F2493" t="n">
        <v>4020531</v>
      </c>
      <c r="G2493" t="inlineStr">
        <is>
          <t xml:space="preserve">LOCRO X500GR SABORES DEL VALLE     </t>
        </is>
      </c>
      <c r="H2493" t="inlineStr">
        <is>
          <t xml:space="preserve">UNIDAD              </t>
        </is>
      </c>
      <c r="I2493" t="n">
        <v>1219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1219</v>
      </c>
      <c r="P2493" s="96">
        <f>_xlfn.XLOOKUP(Tabla5[[#This Row],[EAN CORREGIDO]],'Tabla Articulos'!B:B,'Tabla Articulos'!D:D)</f>
        <v/>
      </c>
      <c r="Q2493" s="96">
        <f>_xlfn.XLOOKUP(S2493,'Tabla Articulos'!B:B,'Tabla Articulos'!E:E)</f>
        <v/>
      </c>
      <c r="R2493" s="96">
        <f>O2493*Q2493</f>
        <v/>
      </c>
      <c r="S2493" s="97">
        <f>TRIM(E2493)</f>
        <v/>
      </c>
    </row>
    <row r="2494" hidden="1">
      <c r="A2494" s="22" t="n">
        <v>2</v>
      </c>
      <c r="B2494" t="inlineStr">
        <is>
          <t xml:space="preserve">CD CIUDADELA                  </t>
        </is>
      </c>
      <c r="C2494" t="inlineStr">
        <is>
          <t xml:space="preserve">GRUPO L.                      </t>
        </is>
      </c>
      <c r="D2494" t="inlineStr">
        <is>
          <t xml:space="preserve">GALLE ARROZ DULCES </t>
        </is>
      </c>
      <c r="E2494" t="inlineStr">
        <is>
          <t xml:space="preserve">7798082000485       </t>
        </is>
      </c>
      <c r="F2494" t="n">
        <v>4018915</v>
      </c>
      <c r="G2494" t="inlineStr">
        <is>
          <t xml:space="preserve">GALLE ARRO DUL X95GR ARROZEN       </t>
        </is>
      </c>
      <c r="H2494" t="inlineStr">
        <is>
          <t xml:space="preserve">UNIDAD              </t>
        </is>
      </c>
      <c r="I2494" t="n">
        <v>1817</v>
      </c>
      <c r="J2494" t="n">
        <v>0</v>
      </c>
      <c r="K2494" t="n">
        <v>0</v>
      </c>
      <c r="L2494" t="n">
        <v>2</v>
      </c>
      <c r="M2494" t="n">
        <v>2</v>
      </c>
      <c r="N2494" t="n">
        <v>0</v>
      </c>
      <c r="O2494" t="n">
        <v>1813</v>
      </c>
      <c r="P2494" s="96">
        <f>_xlfn.XLOOKUP(Tabla5[[#This Row],[EAN CORREGIDO]],'Tabla Articulos'!B:B,'Tabla Articulos'!D:D)</f>
        <v/>
      </c>
      <c r="Q2494" s="96">
        <f>_xlfn.XLOOKUP(S2494,'Tabla Articulos'!B:B,'Tabla Articulos'!E:E)</f>
        <v/>
      </c>
      <c r="R2494" s="96">
        <f>O2494*Q2494</f>
        <v/>
      </c>
      <c r="S2494" s="97">
        <f>TRIM(E2494)</f>
        <v/>
      </c>
    </row>
    <row r="2495" hidden="1">
      <c r="A2495" s="22" t="n">
        <v>2</v>
      </c>
      <c r="B2495" t="inlineStr">
        <is>
          <t xml:space="preserve">CD CIUDADELA                  </t>
        </is>
      </c>
      <c r="C2495" t="inlineStr">
        <is>
          <t xml:space="preserve">GRUPO L.                      </t>
        </is>
      </c>
      <c r="D2495" t="inlineStr">
        <is>
          <t>NARANJA SAE</t>
        </is>
      </c>
      <c r="E2495" t="inlineStr">
        <is>
          <t xml:space="preserve">7790216020116       </t>
        </is>
      </c>
      <c r="F2495" t="n">
        <v>4018021</v>
      </c>
      <c r="G2495" t="inlineStr">
        <is>
          <t xml:space="preserve">FRUTA NARANJA SAE 100-130 XKG      </t>
        </is>
      </c>
      <c r="H2495" t="inlineStr">
        <is>
          <t xml:space="preserve">Kgs                 </t>
        </is>
      </c>
      <c r="I2495" t="n">
        <v>25445.505</v>
      </c>
      <c r="J2495" t="n">
        <v>0</v>
      </c>
      <c r="K2495" t="n">
        <v>0</v>
      </c>
      <c r="L2495" t="n">
        <v>1115.375</v>
      </c>
      <c r="M2495" t="n">
        <v>1115.375</v>
      </c>
      <c r="N2495" t="n">
        <v>0</v>
      </c>
      <c r="O2495" t="n">
        <v>23214.755</v>
      </c>
      <c r="P2495" s="96">
        <f>_xlfn.XLOOKUP(Tabla5[[#This Row],[EAN CORREGIDO]],'Tabla Articulos'!B:B,'Tabla Articulos'!D:D)</f>
        <v/>
      </c>
      <c r="Q2495" s="96">
        <f>_xlfn.XLOOKUP(S2495,'Tabla Articulos'!B:B,'Tabla Articulos'!E:E)</f>
        <v/>
      </c>
      <c r="R2495" s="96">
        <f>O2495*Q2495</f>
        <v/>
      </c>
      <c r="S2495" s="97">
        <f>TRIM(E2495)</f>
        <v/>
      </c>
    </row>
    <row r="2496" hidden="1">
      <c r="A2496" s="22" t="n">
        <v>2</v>
      </c>
      <c r="B2496" t="inlineStr">
        <is>
          <t xml:space="preserve">CD CIUDADELA                  </t>
        </is>
      </c>
      <c r="C2496" t="inlineStr">
        <is>
          <t xml:space="preserve">GRUPO L.                      </t>
        </is>
      </c>
      <c r="D2496" t="inlineStr">
        <is>
          <t>AJI MOLIDO</t>
        </is>
      </c>
      <c r="E2496" t="inlineStr">
        <is>
          <t xml:space="preserve">7798224212080       </t>
        </is>
      </c>
      <c r="F2496" t="n">
        <v>4020811</v>
      </c>
      <c r="G2496" t="inlineStr">
        <is>
          <t xml:space="preserve">AJI MOLIDO X15G PARMESANA          </t>
        </is>
      </c>
      <c r="H2496" t="inlineStr">
        <is>
          <t xml:space="preserve">UNIDAD              </t>
        </is>
      </c>
      <c r="I2496" t="n">
        <v>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9</v>
      </c>
      <c r="P2496" s="96">
        <f>_xlfn.XLOOKUP(Tabla5[[#This Row],[EAN CORREGIDO]],'Tabla Articulos'!B:B,'Tabla Articulos'!D:D)</f>
        <v/>
      </c>
      <c r="Q2496" s="96">
        <f>_xlfn.XLOOKUP(S2496,'Tabla Articulos'!B:B,'Tabla Articulos'!E:E)</f>
        <v/>
      </c>
      <c r="R2496" s="96">
        <f>O2496*Q2496</f>
        <v/>
      </c>
      <c r="S2496" s="97">
        <f>TRIM(E2496)</f>
        <v/>
      </c>
    </row>
    <row r="2497" hidden="1">
      <c r="A2497" s="22" t="n">
        <v>2</v>
      </c>
      <c r="B2497" t="inlineStr">
        <is>
          <t xml:space="preserve">CD CIUDADELA                  </t>
        </is>
      </c>
      <c r="C2497" t="inlineStr">
        <is>
          <t xml:space="preserve">GRUPO L.                      </t>
        </is>
      </c>
      <c r="D2497" t="inlineStr">
        <is>
          <t>PIMIENTA BLANCA</t>
        </is>
      </c>
      <c r="E2497" t="inlineStr">
        <is>
          <t xml:space="preserve">7793875360241       </t>
        </is>
      </c>
      <c r="F2497" t="n">
        <v>4020415</v>
      </c>
      <c r="G2497" t="inlineStr">
        <is>
          <t xml:space="preserve">PIMIENTA BLANCA x 1 KG AROMAS      </t>
        </is>
      </c>
      <c r="H2497" t="inlineStr">
        <is>
          <t xml:space="preserve">UNIDAD              </t>
        </is>
      </c>
      <c r="I2497" t="n">
        <v>128</v>
      </c>
      <c r="J2497" t="n">
        <v>0</v>
      </c>
      <c r="K2497" t="n">
        <v>0</v>
      </c>
      <c r="L2497" t="n">
        <v>1</v>
      </c>
      <c r="M2497" t="n">
        <v>1</v>
      </c>
      <c r="N2497" t="n">
        <v>0</v>
      </c>
      <c r="O2497" t="n">
        <v>126</v>
      </c>
      <c r="P2497" s="96">
        <f>_xlfn.XLOOKUP(Tabla5[[#This Row],[EAN CORREGIDO]],'Tabla Articulos'!B:B,'Tabla Articulos'!D:D)</f>
        <v/>
      </c>
      <c r="Q2497" s="96">
        <f>_xlfn.XLOOKUP(S2497,'Tabla Articulos'!B:B,'Tabla Articulos'!E:E)</f>
        <v/>
      </c>
      <c r="R2497" s="96">
        <f>O2497*Q2497</f>
        <v/>
      </c>
      <c r="S2497" s="97">
        <f>TRIM(E2497)</f>
        <v/>
      </c>
    </row>
    <row r="2498" hidden="1">
      <c r="A2498" s="22" t="n">
        <v>2</v>
      </c>
      <c r="B2498" t="inlineStr">
        <is>
          <t xml:space="preserve">CD CIUDADELA                  </t>
        </is>
      </c>
      <c r="C2498" t="inlineStr">
        <is>
          <t xml:space="preserve">GRUPO L.                      </t>
        </is>
      </c>
      <c r="D2498" t="inlineStr">
        <is>
          <t>FLAN LIGHT VAINILLA</t>
        </is>
      </c>
      <c r="E2498" t="inlineStr">
        <is>
          <t xml:space="preserve">7791113001840       </t>
        </is>
      </c>
      <c r="F2498" t="n">
        <v>4019866</v>
      </c>
      <c r="G2498" t="inlineStr">
        <is>
          <t xml:space="preserve">FLAN VAINILLA LIGHT X30G EMETH     </t>
        </is>
      </c>
      <c r="H2498" t="inlineStr">
        <is>
          <t xml:space="preserve">UNIDAD              </t>
        </is>
      </c>
      <c r="I2498" t="n">
        <v>666</v>
      </c>
      <c r="J2498" t="n">
        <v>0</v>
      </c>
      <c r="K2498" t="n">
        <v>0</v>
      </c>
      <c r="L2498" t="n">
        <v>169</v>
      </c>
      <c r="M2498" t="n">
        <v>169</v>
      </c>
      <c r="N2498" t="n">
        <v>0</v>
      </c>
      <c r="O2498" t="n">
        <v>328</v>
      </c>
      <c r="P2498" s="96">
        <f>_xlfn.XLOOKUP(Tabla5[[#This Row],[EAN CORREGIDO]],'Tabla Articulos'!B:B,'Tabla Articulos'!D:D)</f>
        <v/>
      </c>
      <c r="Q2498" s="96">
        <f>_xlfn.XLOOKUP(S2498,'Tabla Articulos'!B:B,'Tabla Articulos'!E:E)</f>
        <v/>
      </c>
      <c r="R2498" s="96">
        <f>O2498*Q2498</f>
        <v/>
      </c>
      <c r="S2498" s="97">
        <f>TRIM(E2498)</f>
        <v/>
      </c>
    </row>
    <row r="2499" hidden="1">
      <c r="A2499" s="22" t="n">
        <v>2</v>
      </c>
      <c r="B2499" t="inlineStr">
        <is>
          <t xml:space="preserve">CD CIUDADELA                  </t>
        </is>
      </c>
      <c r="C2499" t="inlineStr">
        <is>
          <t xml:space="preserve">GRUPO L.                      </t>
        </is>
      </c>
      <c r="D2499" t="inlineStr">
        <is>
          <t>CONDIM P/ARROZ</t>
        </is>
      </c>
      <c r="E2499" t="inlineStr">
        <is>
          <t xml:space="preserve">7793875312608       </t>
        </is>
      </c>
      <c r="F2499" t="n">
        <v>4020132</v>
      </c>
      <c r="G2499" t="inlineStr">
        <is>
          <t xml:space="preserve">CONDIMENTO PARA ARROZ X25GR AR     </t>
        </is>
      </c>
      <c r="H2499" t="inlineStr">
        <is>
          <t xml:space="preserve">UNIDAD              </t>
        </is>
      </c>
      <c r="I2499" t="n">
        <v>289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289</v>
      </c>
      <c r="P2499" s="96">
        <f>_xlfn.XLOOKUP(Tabla5[[#This Row],[EAN CORREGIDO]],'Tabla Articulos'!B:B,'Tabla Articulos'!D:D)</f>
        <v/>
      </c>
      <c r="Q2499" s="96">
        <f>_xlfn.XLOOKUP(S2499,'Tabla Articulos'!B:B,'Tabla Articulos'!E:E)</f>
        <v/>
      </c>
      <c r="R2499" s="96">
        <f>O2499*Q2499</f>
        <v/>
      </c>
      <c r="S2499" s="97">
        <f>TRIM(E2499)</f>
        <v/>
      </c>
    </row>
    <row r="2500" hidden="1">
      <c r="A2500" s="22" t="n">
        <v>2</v>
      </c>
      <c r="B2500" t="inlineStr">
        <is>
          <t xml:space="preserve">CD CIUDADELA                  </t>
        </is>
      </c>
      <c r="C2500" t="inlineStr">
        <is>
          <t xml:space="preserve">GRUPO L.                      </t>
        </is>
      </c>
      <c r="D2500" t="inlineStr">
        <is>
          <t>MANGA DESCARTABLE</t>
        </is>
      </c>
      <c r="E2500" t="inlineStr">
        <is>
          <t xml:space="preserve">7798044557721       </t>
        </is>
      </c>
      <c r="F2500" t="n">
        <v>5002962</v>
      </c>
      <c r="G2500" t="inlineStr">
        <is>
          <t xml:space="preserve">ROLLO MANGA REPOS N5 25X28X25U     </t>
        </is>
      </c>
      <c r="H2500" t="inlineStr">
        <is>
          <t xml:space="preserve">UNIDAD              </t>
        </is>
      </c>
      <c r="I2500" t="n">
        <v>348</v>
      </c>
      <c r="J2500" t="n">
        <v>0</v>
      </c>
      <c r="K2500" t="n">
        <v>0</v>
      </c>
      <c r="L2500" t="n">
        <v>4</v>
      </c>
      <c r="M2500" t="n">
        <v>4</v>
      </c>
      <c r="N2500" t="n">
        <v>0</v>
      </c>
      <c r="O2500" t="n">
        <v>340</v>
      </c>
      <c r="P2500" s="96">
        <f>_xlfn.XLOOKUP(Tabla5[[#This Row],[EAN CORREGIDO]],'Tabla Articulos'!B:B,'Tabla Articulos'!D:D)</f>
        <v/>
      </c>
      <c r="Q2500" s="96">
        <f>_xlfn.XLOOKUP(S2500,'Tabla Articulos'!B:B,'Tabla Articulos'!E:E)</f>
        <v/>
      </c>
      <c r="R2500" s="96">
        <f>O2500*Q2500</f>
        <v/>
      </c>
      <c r="S2500" s="97">
        <f>TRIM(E2500)</f>
        <v/>
      </c>
    </row>
    <row r="2501" hidden="1">
      <c r="A2501" s="22" t="n">
        <v>2</v>
      </c>
      <c r="B2501" t="inlineStr">
        <is>
          <t xml:space="preserve">CD CIUDADELA                  </t>
        </is>
      </c>
      <c r="C2501" t="inlineStr">
        <is>
          <t xml:space="preserve">GRUPO L.                      </t>
        </is>
      </c>
      <c r="D2501" t="inlineStr">
        <is>
          <t>GALLE SALVADO</t>
        </is>
      </c>
      <c r="E2501" t="inlineStr">
        <is>
          <t xml:space="preserve">7790045823209       </t>
        </is>
      </c>
      <c r="F2501" t="n">
        <v>4024243</v>
      </c>
      <c r="G2501" t="inlineStr">
        <is>
          <t xml:space="preserve">GALLETITA SALVADO X135G GRANIX     </t>
        </is>
      </c>
      <c r="H2501" t="inlineStr">
        <is>
          <t xml:space="preserve">UNIDAD              </t>
        </is>
      </c>
      <c r="I2501" t="n">
        <v>850</v>
      </c>
      <c r="J2501" t="n">
        <v>0</v>
      </c>
      <c r="K2501" t="n">
        <v>0</v>
      </c>
      <c r="L2501" t="n">
        <v>38</v>
      </c>
      <c r="M2501" t="n">
        <v>38</v>
      </c>
      <c r="N2501" t="n">
        <v>0</v>
      </c>
      <c r="O2501" t="n">
        <v>774</v>
      </c>
      <c r="P2501" s="96">
        <f>_xlfn.XLOOKUP(Tabla5[[#This Row],[EAN CORREGIDO]],'Tabla Articulos'!B:B,'Tabla Articulos'!D:D)</f>
        <v/>
      </c>
      <c r="Q2501" s="96">
        <f>_xlfn.XLOOKUP(S2501,'Tabla Articulos'!B:B,'Tabla Articulos'!E:E)</f>
        <v/>
      </c>
      <c r="R2501" s="96">
        <f>O2501*Q2501</f>
        <v/>
      </c>
      <c r="S2501" s="97">
        <f>TRIM(E2501)</f>
        <v/>
      </c>
    </row>
    <row r="2502" hidden="1">
      <c r="A2502" s="22" t="n">
        <v>2</v>
      </c>
      <c r="B2502" t="inlineStr">
        <is>
          <t xml:space="preserve">CD CIUDADELA                  </t>
        </is>
      </c>
      <c r="C2502" t="inlineStr">
        <is>
          <t xml:space="preserve">GRUPO L.                      </t>
        </is>
      </c>
      <c r="D2502" t="inlineStr">
        <is>
          <t>VIANDA PARA CELIACOS</t>
        </is>
      </c>
      <c r="E2502" t="inlineStr">
        <is>
          <t xml:space="preserve">7798131130798       </t>
        </is>
      </c>
      <c r="F2502" t="n">
        <v>4076554</v>
      </c>
      <c r="G2502" t="inlineStr">
        <is>
          <t xml:space="preserve">EMPANADAS POLLO X2 LA DELFINA      </t>
        </is>
      </c>
      <c r="H2502" t="inlineStr">
        <is>
          <t xml:space="preserve">UNIDAD              </t>
        </is>
      </c>
      <c r="I2502" t="n">
        <v>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5</v>
      </c>
      <c r="P2502" s="96">
        <f>_xlfn.XLOOKUP(Tabla5[[#This Row],[EAN CORREGIDO]],'Tabla Articulos'!B:B,'Tabla Articulos'!D:D)</f>
        <v/>
      </c>
      <c r="Q2502" s="96">
        <f>_xlfn.XLOOKUP(S2502,'Tabla Articulos'!B:B,'Tabla Articulos'!E:E)</f>
        <v/>
      </c>
      <c r="R2502" s="96">
        <f>O2502*Q2502</f>
        <v/>
      </c>
      <c r="S2502" s="97">
        <f>TRIM(E2502)</f>
        <v/>
      </c>
    </row>
    <row r="2503" hidden="1">
      <c r="A2503" s="22" t="n">
        <v>2</v>
      </c>
      <c r="B2503" t="inlineStr">
        <is>
          <t xml:space="preserve">CD CIUDADELA                  </t>
        </is>
      </c>
      <c r="C2503" t="inlineStr">
        <is>
          <t xml:space="preserve">GRUPO L.                      </t>
        </is>
      </c>
      <c r="D2503" t="inlineStr">
        <is>
          <t>TARTA POLLO Y PUERRO</t>
        </is>
      </c>
      <c r="E2503" t="inlineStr">
        <is>
          <t xml:space="preserve">7798088625419       </t>
        </is>
      </c>
      <c r="F2503" t="n">
        <v>4018570</v>
      </c>
      <c r="G2503" t="inlineStr">
        <is>
          <t>TARTA POLLO/PUERO X320G X10U SELYGE</t>
        </is>
      </c>
      <c r="H2503" t="inlineStr">
        <is>
          <t xml:space="preserve">UNIDAD              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1</v>
      </c>
      <c r="P2503" s="96">
        <f>_xlfn.XLOOKUP(Tabla5[[#This Row],[EAN CORREGIDO]],'Tabla Articulos'!B:B,'Tabla Articulos'!D:D)</f>
        <v/>
      </c>
      <c r="Q2503" s="96">
        <f>_xlfn.XLOOKUP(S2503,'Tabla Articulos'!B:B,'Tabla Articulos'!E:E)</f>
        <v/>
      </c>
      <c r="R2503" s="96">
        <f>O2503*Q2503</f>
        <v/>
      </c>
      <c r="S2503" s="97">
        <f>TRIM(E2503)</f>
        <v/>
      </c>
    </row>
    <row r="2504" hidden="1">
      <c r="A2504" s="22" t="n">
        <v>2</v>
      </c>
      <c r="B2504" t="inlineStr">
        <is>
          <t xml:space="preserve">CD CIUDADELA                  </t>
        </is>
      </c>
      <c r="C2504" t="inlineStr">
        <is>
          <t xml:space="preserve">GRUPO L.                      </t>
        </is>
      </c>
      <c r="D2504" t="inlineStr">
        <is>
          <t>TAPA P/PASCUALINA REDONDA</t>
        </is>
      </c>
      <c r="E2504" t="inlineStr">
        <is>
          <t xml:space="preserve">7795711000113       </t>
        </is>
      </c>
      <c r="F2504" t="n">
        <v>4022370</v>
      </c>
      <c r="G2504" t="inlineStr">
        <is>
          <t xml:space="preserve">TAPA PASC REDONDA X2U VILLA DAGRI  </t>
        </is>
      </c>
      <c r="H2504" t="inlineStr">
        <is>
          <t xml:space="preserve">UNIDAD              </t>
        </is>
      </c>
      <c r="I2504" t="n">
        <v>100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100</v>
      </c>
      <c r="P2504" s="96">
        <f>_xlfn.XLOOKUP(Tabla5[[#This Row],[EAN CORREGIDO]],'Tabla Articulos'!B:B,'Tabla Articulos'!D:D)</f>
        <v/>
      </c>
      <c r="Q2504" s="96">
        <f>_xlfn.XLOOKUP(S2504,'Tabla Articulos'!B:B,'Tabla Articulos'!E:E)</f>
        <v/>
      </c>
      <c r="R2504" s="96">
        <f>O2504*Q2504</f>
        <v/>
      </c>
      <c r="S2504" s="97">
        <f>TRIM(E2504)</f>
        <v/>
      </c>
    </row>
    <row r="2505" hidden="1">
      <c r="A2505" s="22" t="n">
        <v>2</v>
      </c>
      <c r="B2505" t="inlineStr">
        <is>
          <t xml:space="preserve">CD CIUDADELA                  </t>
        </is>
      </c>
      <c r="C2505" t="inlineStr">
        <is>
          <t xml:space="preserve">GRUPO L.                      </t>
        </is>
      </c>
      <c r="D2505" t="inlineStr">
        <is>
          <t>PROVENZAL</t>
        </is>
      </c>
      <c r="E2505" t="inlineStr">
        <is>
          <t xml:space="preserve">7793875322737       </t>
        </is>
      </c>
      <c r="F2505" t="n">
        <v>4020414</v>
      </c>
      <c r="G2505" t="inlineStr">
        <is>
          <t xml:space="preserve">PROVENZAL X250G AROMAS             </t>
        </is>
      </c>
      <c r="H2505" t="inlineStr">
        <is>
          <t xml:space="preserve">UNIDAD              </t>
        </is>
      </c>
      <c r="I2505" t="n">
        <v>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5</v>
      </c>
      <c r="P2505" s="96">
        <f>_xlfn.XLOOKUP(Tabla5[[#This Row],[EAN CORREGIDO]],'Tabla Articulos'!B:B,'Tabla Articulos'!D:D)</f>
        <v/>
      </c>
      <c r="Q2505" s="96">
        <f>_xlfn.XLOOKUP(S2505,'Tabla Articulos'!B:B,'Tabla Articulos'!E:E)</f>
        <v/>
      </c>
      <c r="R2505" s="96">
        <f>O2505*Q2505</f>
        <v/>
      </c>
      <c r="S2505" s="97">
        <f>TRIM(E2505)</f>
        <v/>
      </c>
    </row>
    <row r="2506" hidden="1">
      <c r="A2506" s="22" t="n">
        <v>2</v>
      </c>
      <c r="B2506" t="inlineStr">
        <is>
          <t xml:space="preserve">CD CIUDADELA                  </t>
        </is>
      </c>
      <c r="C2506" t="inlineStr">
        <is>
          <t xml:space="preserve">GRUPO L.                      </t>
        </is>
      </c>
      <c r="D2506" t="inlineStr">
        <is>
          <t>CHAMPIGNON ENTERO</t>
        </is>
      </c>
      <c r="E2506" t="inlineStr">
        <is>
          <t xml:space="preserve">7790499000546       </t>
        </is>
      </c>
      <c r="F2506" t="n">
        <v>4019730</v>
      </c>
      <c r="G2506" t="inlineStr">
        <is>
          <t xml:space="preserve">CHAMPINGNON ENTERO X400 LA BANDA   </t>
        </is>
      </c>
      <c r="H2506" t="inlineStr">
        <is>
          <t xml:space="preserve">UNIDAD              </t>
        </is>
      </c>
      <c r="I2506" t="n">
        <v>1029</v>
      </c>
      <c r="J2506" t="n">
        <v>0</v>
      </c>
      <c r="K2506" t="n">
        <v>0</v>
      </c>
      <c r="L2506" t="n">
        <v>24</v>
      </c>
      <c r="M2506" t="n">
        <v>24</v>
      </c>
      <c r="N2506" t="n">
        <v>0</v>
      </c>
      <c r="O2506" t="n">
        <v>981</v>
      </c>
      <c r="P2506" s="96">
        <f>_xlfn.XLOOKUP(Tabla5[[#This Row],[EAN CORREGIDO]],'Tabla Articulos'!B:B,'Tabla Articulos'!D:D)</f>
        <v/>
      </c>
      <c r="Q2506" s="96">
        <f>_xlfn.XLOOKUP(S2506,'Tabla Articulos'!B:B,'Tabla Articulos'!E:E)</f>
        <v/>
      </c>
      <c r="R2506" s="96">
        <f>O2506*Q2506</f>
        <v/>
      </c>
      <c r="S2506" s="97">
        <f>TRIM(E2506)</f>
        <v/>
      </c>
    </row>
    <row r="2507" hidden="1">
      <c r="A2507" s="22" t="n">
        <v>2</v>
      </c>
      <c r="B2507" t="inlineStr">
        <is>
          <t xml:space="preserve">CD CIUDADELA                  </t>
        </is>
      </c>
      <c r="C2507" t="inlineStr">
        <is>
          <t xml:space="preserve">GRUPO L.                      </t>
        </is>
      </c>
      <c r="D2507" t="inlineStr">
        <is>
          <t>GALLE CHOCO RELLENA</t>
        </is>
      </c>
      <c r="E2507" t="inlineStr">
        <is>
          <t xml:space="preserve">7790040143807       </t>
        </is>
      </c>
      <c r="F2507" t="n">
        <v>4018937</v>
      </c>
      <c r="G2507" t="inlineStr">
        <is>
          <t xml:space="preserve">GALLE CHOCO RELL X85G BON O BON    </t>
        </is>
      </c>
      <c r="H2507" t="inlineStr">
        <is>
          <t xml:space="preserve">UNIDAD              </t>
        </is>
      </c>
      <c r="I2507" t="n">
        <v>41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41</v>
      </c>
      <c r="P2507" s="96">
        <f>_xlfn.XLOOKUP(Tabla5[[#This Row],[EAN CORREGIDO]],'Tabla Articulos'!B:B,'Tabla Articulos'!D:D)</f>
        <v/>
      </c>
      <c r="Q2507" s="96">
        <f>_xlfn.XLOOKUP(S2507,'Tabla Articulos'!B:B,'Tabla Articulos'!E:E)</f>
        <v/>
      </c>
      <c r="R2507" s="96">
        <f>O2507*Q2507</f>
        <v/>
      </c>
      <c r="S2507" s="97">
        <f>TRIM(E2507)</f>
        <v/>
      </c>
    </row>
    <row r="2508" hidden="1">
      <c r="A2508" s="22" t="n">
        <v>2</v>
      </c>
      <c r="B2508" t="inlineStr">
        <is>
          <t xml:space="preserve">CD CIUDADELA                  </t>
        </is>
      </c>
      <c r="C2508" t="inlineStr">
        <is>
          <t xml:space="preserve">GRUPO L.                      </t>
        </is>
      </c>
      <c r="D2508" t="inlineStr">
        <is>
          <t>BOLSAS ARRANQUE</t>
        </is>
      </c>
      <c r="E2508" t="inlineStr">
        <is>
          <t xml:space="preserve">16204014A           </t>
        </is>
      </c>
      <c r="F2508" t="n">
        <v>2006487</v>
      </c>
      <c r="G2508" t="inlineStr">
        <is>
          <t xml:space="preserve">ROLLO BOLSA ARRANQUE 15X20         </t>
        </is>
      </c>
      <c r="H2508" t="inlineStr">
        <is>
          <t xml:space="preserve">UNIDAD              </t>
        </is>
      </c>
      <c r="I2508" t="n">
        <v>521</v>
      </c>
      <c r="J2508" t="n">
        <v>0</v>
      </c>
      <c r="K2508" t="n">
        <v>0</v>
      </c>
      <c r="L2508" t="n">
        <v>20</v>
      </c>
      <c r="M2508" t="n">
        <v>20</v>
      </c>
      <c r="N2508" t="n">
        <v>0</v>
      </c>
      <c r="O2508" t="n">
        <v>481</v>
      </c>
      <c r="P2508" s="96">
        <f>_xlfn.XLOOKUP(Tabla5[[#This Row],[EAN CORREGIDO]],'Tabla Articulos'!B:B,'Tabla Articulos'!D:D)</f>
        <v/>
      </c>
      <c r="Q2508" s="96">
        <f>_xlfn.XLOOKUP(S2508,'Tabla Articulos'!B:B,'Tabla Articulos'!E:E)</f>
        <v/>
      </c>
      <c r="R2508" s="96">
        <f>O2508*Q2508</f>
        <v/>
      </c>
      <c r="S2508" s="97">
        <f>TRIM(E2508)</f>
        <v/>
      </c>
    </row>
    <row r="2509" hidden="1">
      <c r="A2509" s="22" t="n">
        <v>2</v>
      </c>
      <c r="B2509" t="inlineStr">
        <is>
          <t xml:space="preserve">CD CIUDADELA                  </t>
        </is>
      </c>
      <c r="C2509" t="inlineStr">
        <is>
          <t xml:space="preserve">GRUPO L.                      </t>
        </is>
      </c>
      <c r="D2509" t="inlineStr">
        <is>
          <t>MOSTAZA INDIVIDUAL</t>
        </is>
      </c>
      <c r="E2509" t="inlineStr">
        <is>
          <t xml:space="preserve">67794000006500      </t>
        </is>
      </c>
      <c r="F2509" t="n">
        <v>4021269</v>
      </c>
      <c r="G2509" t="inlineStr">
        <is>
          <t xml:space="preserve">MOSTAZA IND X196U X8CC SAVORA      </t>
        </is>
      </c>
      <c r="H2509" t="inlineStr">
        <is>
          <t xml:space="preserve">UNIDAD              </t>
        </is>
      </c>
      <c r="I2509" t="n">
        <v>95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95</v>
      </c>
      <c r="P2509" s="96">
        <f>_xlfn.XLOOKUP(Tabla5[[#This Row],[EAN CORREGIDO]],'Tabla Articulos'!B:B,'Tabla Articulos'!D:D)</f>
        <v/>
      </c>
      <c r="Q2509" s="96">
        <f>_xlfn.XLOOKUP(S2509,'Tabla Articulos'!B:B,'Tabla Articulos'!E:E)</f>
        <v/>
      </c>
      <c r="R2509" s="96">
        <f>O2509*Q2509</f>
        <v/>
      </c>
      <c r="S2509" s="97">
        <f>TRIM(E2509)</f>
        <v/>
      </c>
    </row>
    <row r="2510" hidden="1">
      <c r="A2510" s="22" t="n">
        <v>2</v>
      </c>
      <c r="B2510" t="inlineStr">
        <is>
          <t xml:space="preserve">CD CIUDADELA                  </t>
        </is>
      </c>
      <c r="C2510" t="inlineStr">
        <is>
          <t xml:space="preserve">GRUPO L.                      </t>
        </is>
      </c>
      <c r="D2510" t="inlineStr">
        <is>
          <t>ALCAPARRAS</t>
        </is>
      </c>
      <c r="E2510" t="inlineStr">
        <is>
          <t xml:space="preserve">7793275000181       </t>
        </is>
      </c>
      <c r="F2510" t="n">
        <v>4020239</v>
      </c>
      <c r="G2510" t="inlineStr">
        <is>
          <t xml:space="preserve">ALCAPARRAS X750G REYGAL            </t>
        </is>
      </c>
      <c r="H2510" t="inlineStr">
        <is>
          <t xml:space="preserve">UNIDAD              </t>
        </is>
      </c>
      <c r="I2510" t="n">
        <v>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3</v>
      </c>
      <c r="P2510" s="96">
        <f>_xlfn.XLOOKUP(Tabla5[[#This Row],[EAN CORREGIDO]],'Tabla Articulos'!B:B,'Tabla Articulos'!D:D)</f>
        <v/>
      </c>
      <c r="Q2510" s="96">
        <f>_xlfn.XLOOKUP(S2510,'Tabla Articulos'!B:B,'Tabla Articulos'!E:E)</f>
        <v/>
      </c>
      <c r="R2510" s="96">
        <f>O2510*Q2510</f>
        <v/>
      </c>
      <c r="S2510" s="97">
        <f>TRIM(E2510)</f>
        <v/>
      </c>
    </row>
    <row r="2511" hidden="1">
      <c r="A2511" s="22" t="n">
        <v>2</v>
      </c>
      <c r="B2511" t="inlineStr">
        <is>
          <t xml:space="preserve">CD CIUDADELA                  </t>
        </is>
      </c>
      <c r="C2511" t="inlineStr">
        <is>
          <t xml:space="preserve">GRUPO L.                      </t>
        </is>
      </c>
      <c r="D2511" t="inlineStr">
        <is>
          <t>MANZANA 90-113</t>
        </is>
      </c>
      <c r="E2511" t="inlineStr">
        <is>
          <t xml:space="preserve">4023964             </t>
        </is>
      </c>
      <c r="F2511" t="n">
        <v>4023964</v>
      </c>
      <c r="G2511" t="inlineStr">
        <is>
          <t xml:space="preserve">MANZANA GRANNY ELEGIDA XKG         </t>
        </is>
      </c>
      <c r="H2511" t="inlineStr">
        <is>
          <t xml:space="preserve">Kgs                 </t>
        </is>
      </c>
      <c r="I2511" t="n">
        <v>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8</v>
      </c>
      <c r="P2511" s="96">
        <f>_xlfn.XLOOKUP(Tabla5[[#This Row],[EAN CORREGIDO]],'Tabla Articulos'!B:B,'Tabla Articulos'!D:D)</f>
        <v/>
      </c>
      <c r="Q2511" s="96">
        <f>_xlfn.XLOOKUP(S2511,'Tabla Articulos'!B:B,'Tabla Articulos'!E:E)</f>
        <v/>
      </c>
      <c r="R2511" s="96">
        <f>O2511*Q2511</f>
        <v/>
      </c>
      <c r="S2511" s="97">
        <f>TRIM(E2511)</f>
        <v/>
      </c>
    </row>
    <row r="2512" hidden="1">
      <c r="A2512" s="22" t="n">
        <v>2</v>
      </c>
      <c r="B2512" t="inlineStr">
        <is>
          <t xml:space="preserve">CD CIUDADELA                  </t>
        </is>
      </c>
      <c r="C2512" t="inlineStr">
        <is>
          <t xml:space="preserve">GRUPO L.                      </t>
        </is>
      </c>
      <c r="D2512" t="inlineStr">
        <is>
          <t>PROVENZAL</t>
        </is>
      </c>
      <c r="E2512" t="inlineStr">
        <is>
          <t xml:space="preserve">7793875360050       </t>
        </is>
      </c>
      <c r="F2512" t="n">
        <v>4020191</v>
      </c>
      <c r="G2512" t="inlineStr">
        <is>
          <t xml:space="preserve">PROVENZAL X 25 G AROMAS Y SABORES  </t>
        </is>
      </c>
      <c r="H2512" t="inlineStr">
        <is>
          <t xml:space="preserve">UNIDAD              </t>
        </is>
      </c>
      <c r="I2512" t="n">
        <v>6955</v>
      </c>
      <c r="J2512" t="n">
        <v>0</v>
      </c>
      <c r="K2512" t="n">
        <v>0</v>
      </c>
      <c r="L2512" t="n">
        <v>58</v>
      </c>
      <c r="M2512" t="n">
        <v>58</v>
      </c>
      <c r="N2512" t="n">
        <v>0</v>
      </c>
      <c r="O2512" t="n">
        <v>6839</v>
      </c>
      <c r="P2512" s="96">
        <f>_xlfn.XLOOKUP(Tabla5[[#This Row],[EAN CORREGIDO]],'Tabla Articulos'!B:B,'Tabla Articulos'!D:D)</f>
        <v/>
      </c>
      <c r="Q2512" s="96">
        <f>_xlfn.XLOOKUP(S2512,'Tabla Articulos'!B:B,'Tabla Articulos'!E:E)</f>
        <v/>
      </c>
      <c r="R2512" s="96">
        <f>O2512*Q2512</f>
        <v/>
      </c>
      <c r="S2512" s="97">
        <f>TRIM(E2512)</f>
        <v/>
      </c>
    </row>
    <row r="2513" hidden="1">
      <c r="A2513" s="22" t="n">
        <v>2</v>
      </c>
      <c r="B2513" t="inlineStr">
        <is>
          <t xml:space="preserve">CD CIUDADELA                  </t>
        </is>
      </c>
      <c r="C2513" t="inlineStr">
        <is>
          <t xml:space="preserve">GRUPO L.                      </t>
        </is>
      </c>
      <c r="D2513" t="inlineStr">
        <is>
          <t>GASEOSA POMELO INDIVIDUAL</t>
        </is>
      </c>
      <c r="E2513" t="inlineStr">
        <is>
          <t xml:space="preserve">7791813420385       </t>
        </is>
      </c>
      <c r="F2513" t="n">
        <v>4017411</v>
      </c>
      <c r="G2513" t="inlineStr">
        <is>
          <t xml:space="preserve">PASO DE LOS TOROS POM X500CC       </t>
        </is>
      </c>
      <c r="H2513" t="inlineStr">
        <is>
          <t xml:space="preserve">UNIDAD              </t>
        </is>
      </c>
      <c r="I2513" t="n">
        <v>264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264</v>
      </c>
      <c r="P2513" s="96">
        <f>_xlfn.XLOOKUP(Tabla5[[#This Row],[EAN CORREGIDO]],'Tabla Articulos'!B:B,'Tabla Articulos'!D:D)</f>
        <v/>
      </c>
      <c r="Q2513" s="96">
        <f>_xlfn.XLOOKUP(S2513,'Tabla Articulos'!B:B,'Tabla Articulos'!E:E)</f>
        <v/>
      </c>
      <c r="R2513" s="96">
        <f>O2513*Q2513</f>
        <v/>
      </c>
      <c r="S2513" s="97">
        <f>TRIM(E2513)</f>
        <v/>
      </c>
    </row>
    <row r="2514" hidden="1">
      <c r="A2514" s="22" t="n">
        <v>2</v>
      </c>
      <c r="B2514" t="inlineStr">
        <is>
          <t xml:space="preserve">CD CIUDADELA                  </t>
        </is>
      </c>
      <c r="C2514" t="inlineStr">
        <is>
          <t xml:space="preserve">GRUPO L.                      </t>
        </is>
      </c>
      <c r="D2514" t="inlineStr">
        <is>
          <t>MORCILLA</t>
        </is>
      </c>
      <c r="E2514" t="inlineStr">
        <is>
          <t xml:space="preserve">7790212031214       </t>
        </is>
      </c>
      <c r="F2514" t="n">
        <v>4021601</v>
      </c>
      <c r="G2514" t="inlineStr">
        <is>
          <t xml:space="preserve">MORCILLA X KG                      </t>
        </is>
      </c>
      <c r="H2514" t="inlineStr">
        <is>
          <t xml:space="preserve">Kgs                 </t>
        </is>
      </c>
      <c r="I2514" t="n">
        <v>90.90000000000001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90.90000000000001</v>
      </c>
      <c r="P2514" s="96">
        <f>_xlfn.XLOOKUP(Tabla5[[#This Row],[EAN CORREGIDO]],'Tabla Articulos'!B:B,'Tabla Articulos'!D:D)</f>
        <v/>
      </c>
      <c r="Q2514" s="96">
        <f>_xlfn.XLOOKUP(S2514,'Tabla Articulos'!B:B,'Tabla Articulos'!E:E)</f>
        <v/>
      </c>
      <c r="R2514" s="96">
        <f>O2514*Q2514</f>
        <v/>
      </c>
      <c r="S2514" s="97">
        <f>TRIM(E2514)</f>
        <v/>
      </c>
    </row>
    <row r="2515" hidden="1">
      <c r="A2515" s="22" t="n">
        <v>2</v>
      </c>
      <c r="B2515" t="inlineStr">
        <is>
          <t xml:space="preserve">CD CIUDADELA                  </t>
        </is>
      </c>
      <c r="C2515" t="inlineStr">
        <is>
          <t xml:space="preserve">GRUPO L.                      </t>
        </is>
      </c>
      <c r="D2515" t="inlineStr">
        <is>
          <t xml:space="preserve">PASAS </t>
        </is>
      </c>
      <c r="E2515" t="inlineStr">
        <is>
          <t xml:space="preserve">724751080455        </t>
        </is>
      </c>
      <c r="F2515" t="n">
        <v>4024237</v>
      </c>
      <c r="G2515" t="inlineStr">
        <is>
          <t>PASA UVA RUB S/SEM X1KG PTO.GOURMET</t>
        </is>
      </c>
      <c r="H2515" t="inlineStr">
        <is>
          <t xml:space="preserve">UNIDAD              </t>
        </is>
      </c>
      <c r="I2515" t="n">
        <v>3</v>
      </c>
      <c r="J2515" t="n">
        <v>0</v>
      </c>
      <c r="K2515" t="n">
        <v>0</v>
      </c>
      <c r="L2515" t="n">
        <v>1</v>
      </c>
      <c r="M2515" t="n">
        <v>1</v>
      </c>
      <c r="N2515" t="n">
        <v>0</v>
      </c>
      <c r="O2515" t="n">
        <v>1</v>
      </c>
      <c r="P2515" s="96">
        <f>_xlfn.XLOOKUP(Tabla5[[#This Row],[EAN CORREGIDO]],'Tabla Articulos'!B:B,'Tabla Articulos'!D:D)</f>
        <v/>
      </c>
      <c r="Q2515" s="96">
        <f>_xlfn.XLOOKUP(S2515,'Tabla Articulos'!B:B,'Tabla Articulos'!E:E)</f>
        <v/>
      </c>
      <c r="R2515" s="96">
        <f>O2515*Q2515</f>
        <v/>
      </c>
      <c r="S2515" s="97">
        <f>TRIM(E2515)</f>
        <v/>
      </c>
    </row>
    <row r="2516" hidden="1">
      <c r="A2516" s="22" t="n">
        <v>2</v>
      </c>
      <c r="B2516" t="inlineStr">
        <is>
          <t xml:space="preserve">CD CIUDADELA                  </t>
        </is>
      </c>
      <c r="C2516" t="inlineStr">
        <is>
          <t xml:space="preserve">GRUPO L.                      </t>
        </is>
      </c>
      <c r="D2516" t="inlineStr">
        <is>
          <t>ARROZ 00000</t>
        </is>
      </c>
      <c r="E2516" t="inlineStr">
        <is>
          <t xml:space="preserve">7790503199129       </t>
        </is>
      </c>
      <c r="F2516" t="n">
        <v>4022801</v>
      </c>
      <c r="G2516" t="inlineStr">
        <is>
          <t xml:space="preserve">ARROZ 00000 500GR DOS HERMANOS     </t>
        </is>
      </c>
      <c r="H2516" t="inlineStr">
        <is>
          <t xml:space="preserve">UNIDAD              </t>
        </is>
      </c>
      <c r="I2516" t="n">
        <v>61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61</v>
      </c>
      <c r="P2516" s="96">
        <f>_xlfn.XLOOKUP(Tabla5[[#This Row],[EAN CORREGIDO]],'Tabla Articulos'!B:B,'Tabla Articulos'!D:D)</f>
        <v/>
      </c>
      <c r="Q2516" s="96">
        <f>_xlfn.XLOOKUP(S2516,'Tabla Articulos'!B:B,'Tabla Articulos'!E:E)</f>
        <v/>
      </c>
      <c r="R2516" s="96">
        <f>O2516*Q2516</f>
        <v/>
      </c>
      <c r="S2516" s="97">
        <f>TRIM(E2516)</f>
        <v/>
      </c>
    </row>
    <row r="2517" hidden="1">
      <c r="A2517" s="22" t="n">
        <v>2</v>
      </c>
      <c r="B2517" t="inlineStr">
        <is>
          <t xml:space="preserve">CD CIUDADELA                  </t>
        </is>
      </c>
      <c r="C2517" t="inlineStr">
        <is>
          <t xml:space="preserve">GRUPO L.                      </t>
        </is>
      </c>
      <c r="D2517" t="inlineStr">
        <is>
          <t>PURE PAPA INSTANTANEO</t>
        </is>
      </c>
      <c r="E2517" t="inlineStr">
        <is>
          <t xml:space="preserve">7792180145352       </t>
        </is>
      </c>
      <c r="F2517" t="n">
        <v>4021279</v>
      </c>
      <c r="G2517" t="inlineStr">
        <is>
          <t xml:space="preserve">PURE DE PAPA DESH X3KG CAÑUELAS    </t>
        </is>
      </c>
      <c r="H2517" t="inlineStr">
        <is>
          <t xml:space="preserve">UNIDAD              </t>
        </is>
      </c>
      <c r="I2517" t="n">
        <v>92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92</v>
      </c>
      <c r="P2517" s="96">
        <f>_xlfn.XLOOKUP(Tabla5[[#This Row],[EAN CORREGIDO]],'Tabla Articulos'!B:B,'Tabla Articulos'!D:D)</f>
        <v/>
      </c>
      <c r="Q2517" s="96">
        <f>_xlfn.XLOOKUP(S2517,'Tabla Articulos'!B:B,'Tabla Articulos'!E:E)</f>
        <v/>
      </c>
      <c r="R2517" s="96">
        <f>O2517*Q2517</f>
        <v/>
      </c>
      <c r="S2517" s="97">
        <f>TRIM(E2517)</f>
        <v/>
      </c>
    </row>
    <row r="2518" hidden="1">
      <c r="A2518" s="22" t="n">
        <v>2</v>
      </c>
      <c r="B2518" t="inlineStr">
        <is>
          <t xml:space="preserve">CD CIUDADELA                  </t>
        </is>
      </c>
      <c r="C2518" t="inlineStr">
        <is>
          <t xml:space="preserve">GRUPO L.                      </t>
        </is>
      </c>
      <c r="D2518" t="inlineStr">
        <is>
          <t>POSTRE VAINILLA</t>
        </is>
      </c>
      <c r="E2518" t="inlineStr">
        <is>
          <t xml:space="preserve">7790971000859       </t>
        </is>
      </c>
      <c r="F2518" t="n">
        <v>4019600</v>
      </c>
      <c r="G2518" t="inlineStr">
        <is>
          <t xml:space="preserve">POSTRE VAINILLA X 5 KG ORLOC       </t>
        </is>
      </c>
      <c r="H2518" t="inlineStr">
        <is>
          <t xml:space="preserve">UNIDAD              </t>
        </is>
      </c>
      <c r="I2518" t="n">
        <v>136</v>
      </c>
      <c r="J2518" t="n">
        <v>0</v>
      </c>
      <c r="K2518" t="n">
        <v>0</v>
      </c>
      <c r="L2518" t="n">
        <v>2</v>
      </c>
      <c r="M2518" t="n">
        <v>2</v>
      </c>
      <c r="N2518" t="n">
        <v>0</v>
      </c>
      <c r="O2518" t="n">
        <v>132</v>
      </c>
      <c r="P2518" s="96">
        <f>_xlfn.XLOOKUP(Tabla5[[#This Row],[EAN CORREGIDO]],'Tabla Articulos'!B:B,'Tabla Articulos'!D:D)</f>
        <v/>
      </c>
      <c r="Q2518" s="96">
        <f>_xlfn.XLOOKUP(S2518,'Tabla Articulos'!B:B,'Tabla Articulos'!E:E)</f>
        <v/>
      </c>
      <c r="R2518" s="96">
        <f>O2518*Q2518</f>
        <v/>
      </c>
      <c r="S2518" s="97">
        <f>TRIM(E2518)</f>
        <v/>
      </c>
    </row>
    <row r="2519" hidden="1">
      <c r="A2519" s="22" t="n">
        <v>2</v>
      </c>
      <c r="B2519" t="inlineStr">
        <is>
          <t xml:space="preserve">CD CIUDADELA                  </t>
        </is>
      </c>
      <c r="C2519" t="inlineStr">
        <is>
          <t xml:space="preserve">GRUPO L.                      </t>
        </is>
      </c>
      <c r="D2519" t="inlineStr">
        <is>
          <t>RABANITO</t>
        </is>
      </c>
      <c r="E2519" t="inlineStr">
        <is>
          <t xml:space="preserve">7790216012608       </t>
        </is>
      </c>
      <c r="F2519" t="n">
        <v>4018086</v>
      </c>
      <c r="G2519" t="inlineStr">
        <is>
          <t xml:space="preserve">RABANITO X KG                      </t>
        </is>
      </c>
      <c r="H2519" t="inlineStr">
        <is>
          <t xml:space="preserve">Kgs                 </t>
        </is>
      </c>
      <c r="I2519" t="n">
        <v>3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3</v>
      </c>
      <c r="P2519" s="96">
        <f>_xlfn.XLOOKUP(Tabla5[[#This Row],[EAN CORREGIDO]],'Tabla Articulos'!B:B,'Tabla Articulos'!D:D)</f>
        <v/>
      </c>
      <c r="Q2519" s="96">
        <f>_xlfn.XLOOKUP(S2519,'Tabla Articulos'!B:B,'Tabla Articulos'!E:E)</f>
        <v/>
      </c>
      <c r="R2519" s="96">
        <f>O2519*Q2519</f>
        <v/>
      </c>
      <c r="S2519" s="97">
        <f>TRIM(E2519)</f>
        <v/>
      </c>
    </row>
    <row r="2520" hidden="1">
      <c r="A2520" s="22" t="n">
        <v>2</v>
      </c>
      <c r="B2520" t="inlineStr">
        <is>
          <t xml:space="preserve">CD CIUDADELA                  </t>
        </is>
      </c>
      <c r="C2520" t="inlineStr">
        <is>
          <t xml:space="preserve">GRUPO L.                      </t>
        </is>
      </c>
      <c r="D2520" t="inlineStr">
        <is>
          <t>TORTILLA INTEGRAL</t>
        </is>
      </c>
      <c r="E2520" t="inlineStr">
        <is>
          <t xml:space="preserve">7791218123805       </t>
        </is>
      </c>
      <c r="F2520" t="n">
        <v>4077447</v>
      </c>
      <c r="G2520" t="inlineStr">
        <is>
          <t xml:space="preserve">TORTILLA INTEGRAL X6U ORALI        </t>
        </is>
      </c>
      <c r="H2520" t="inlineStr">
        <is>
          <t xml:space="preserve">UNIDAD              </t>
        </is>
      </c>
      <c r="I2520" t="n">
        <v>95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95</v>
      </c>
      <c r="P2520" s="96">
        <f>_xlfn.XLOOKUP(Tabla5[[#This Row],[EAN CORREGIDO]],'Tabla Articulos'!B:B,'Tabla Articulos'!D:D)</f>
        <v/>
      </c>
      <c r="Q2520" s="96">
        <f>_xlfn.XLOOKUP(S2520,'Tabla Articulos'!B:B,'Tabla Articulos'!E:E)</f>
        <v/>
      </c>
      <c r="R2520" s="96">
        <f>O2520*Q2520</f>
        <v/>
      </c>
      <c r="S2520" s="97">
        <f>TRIM(E2520)</f>
        <v/>
      </c>
    </row>
    <row r="2521" hidden="1">
      <c r="A2521" s="22" t="n">
        <v>2</v>
      </c>
      <c r="B2521" t="inlineStr">
        <is>
          <t xml:space="preserve">CD CIUDADELA                  </t>
        </is>
      </c>
      <c r="C2521" t="inlineStr">
        <is>
          <t xml:space="preserve">GRUPO L.                      </t>
        </is>
      </c>
      <c r="D2521" t="inlineStr">
        <is>
          <t>SESAMO INTEGRAL</t>
        </is>
      </c>
      <c r="E2521" t="inlineStr">
        <is>
          <t xml:space="preserve">7793323002358       </t>
        </is>
      </c>
      <c r="F2521" t="n">
        <v>4021392</v>
      </c>
      <c r="G2521" t="inlineStr">
        <is>
          <t xml:space="preserve">SESAMO INTEGRAL DICOMERE X 1KG     </t>
        </is>
      </c>
      <c r="H2521" t="inlineStr">
        <is>
          <t xml:space="preserve">UNIDAD              </t>
        </is>
      </c>
      <c r="I2521" t="n">
        <v>55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55</v>
      </c>
      <c r="P2521" s="96">
        <f>_xlfn.XLOOKUP(Tabla5[[#This Row],[EAN CORREGIDO]],'Tabla Articulos'!B:B,'Tabla Articulos'!D:D)</f>
        <v/>
      </c>
      <c r="Q2521" s="96">
        <f>_xlfn.XLOOKUP(S2521,'Tabla Articulos'!B:B,'Tabla Articulos'!E:E)</f>
        <v/>
      </c>
      <c r="R2521" s="96">
        <f>O2521*Q2521</f>
        <v/>
      </c>
      <c r="S2521" s="97">
        <f>TRIM(E2521)</f>
        <v/>
      </c>
    </row>
    <row r="2522" hidden="1">
      <c r="A2522" s="22" t="n">
        <v>2</v>
      </c>
      <c r="B2522" t="inlineStr">
        <is>
          <t xml:space="preserve">CD CIUDADELA                  </t>
        </is>
      </c>
      <c r="C2522" t="inlineStr">
        <is>
          <t xml:space="preserve">GRUPO L.                      </t>
        </is>
      </c>
      <c r="D2522" t="inlineStr">
        <is>
          <t>ZUCHINI</t>
        </is>
      </c>
      <c r="E2522" t="inlineStr">
        <is>
          <t xml:space="preserve">7790216012630       </t>
        </is>
      </c>
      <c r="F2522" t="n">
        <v>4018044</v>
      </c>
      <c r="G2522" t="inlineStr">
        <is>
          <t xml:space="preserve">ZUCHINI X KG                       </t>
        </is>
      </c>
      <c r="H2522" t="inlineStr">
        <is>
          <t xml:space="preserve">Kgs                 </t>
        </is>
      </c>
      <c r="I2522" t="n">
        <v>605.42</v>
      </c>
      <c r="J2522" t="n">
        <v>0</v>
      </c>
      <c r="K2522" t="n">
        <v>0</v>
      </c>
      <c r="L2522" t="n">
        <v>226.995</v>
      </c>
      <c r="M2522" t="n">
        <v>282.245</v>
      </c>
      <c r="N2522" t="n">
        <v>0</v>
      </c>
      <c r="O2522" t="n">
        <v>96.18000000000001</v>
      </c>
      <c r="P2522" s="96">
        <f>_xlfn.XLOOKUP(Tabla5[[#This Row],[EAN CORREGIDO]],'Tabla Articulos'!B:B,'Tabla Articulos'!D:D)</f>
        <v/>
      </c>
      <c r="Q2522" s="96">
        <f>_xlfn.XLOOKUP(S2522,'Tabla Articulos'!B:B,'Tabla Articulos'!E:E)</f>
        <v/>
      </c>
      <c r="R2522" s="96">
        <f>O2522*Q2522</f>
        <v/>
      </c>
      <c r="S2522" s="97">
        <f>TRIM(E2522)</f>
        <v/>
      </c>
    </row>
    <row r="2523" hidden="1">
      <c r="A2523" s="22" t="n">
        <v>2</v>
      </c>
      <c r="B2523" t="inlineStr">
        <is>
          <t xml:space="preserve">CD CIUDADELA                  </t>
        </is>
      </c>
      <c r="C2523" t="inlineStr">
        <is>
          <t xml:space="preserve">GRUPO L.                      </t>
        </is>
      </c>
      <c r="D2523" t="inlineStr">
        <is>
          <t>GALLE DULCES CELIACO</t>
        </is>
      </c>
      <c r="E2523" t="inlineStr">
        <is>
          <t xml:space="preserve">7798082000539       </t>
        </is>
      </c>
      <c r="F2523" t="n">
        <v>4020796</v>
      </c>
      <c r="G2523" t="inlineStr">
        <is>
          <t xml:space="preserve">RUEDITAS CHOCO S/TACC X180G NATU   </t>
        </is>
      </c>
      <c r="H2523" t="inlineStr">
        <is>
          <t xml:space="preserve">UNIDAD              </t>
        </is>
      </c>
      <c r="I2523" t="n">
        <v>178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178</v>
      </c>
      <c r="P2523" s="96">
        <f>_xlfn.XLOOKUP(Tabla5[[#This Row],[EAN CORREGIDO]],'Tabla Articulos'!B:B,'Tabla Articulos'!D:D)</f>
        <v/>
      </c>
      <c r="Q2523" s="96">
        <f>_xlfn.XLOOKUP(S2523,'Tabla Articulos'!B:B,'Tabla Articulos'!E:E)</f>
        <v/>
      </c>
      <c r="R2523" s="96">
        <f>O2523*Q2523</f>
        <v/>
      </c>
      <c r="S2523" s="97">
        <f>TRIM(E2523)</f>
        <v/>
      </c>
    </row>
    <row r="2524" hidden="1">
      <c r="A2524" s="22" t="n">
        <v>2</v>
      </c>
      <c r="B2524" t="inlineStr">
        <is>
          <t xml:space="preserve">CD CIUDADELA                  </t>
        </is>
      </c>
      <c r="C2524" t="inlineStr">
        <is>
          <t xml:space="preserve">GRUPO L.                      </t>
        </is>
      </c>
      <c r="D2524" t="inlineStr">
        <is>
          <t>ANANA RODAJA LATA</t>
        </is>
      </c>
      <c r="E2524" t="inlineStr">
        <is>
          <t xml:space="preserve">7791885004841       </t>
        </is>
      </c>
      <c r="F2524" t="n">
        <v>4077270</v>
      </c>
      <c r="G2524" t="inlineStr">
        <is>
          <t xml:space="preserve">ANANA RODAJA X836G CUMANA          </t>
        </is>
      </c>
      <c r="H2524" t="inlineStr">
        <is>
          <t xml:space="preserve">UNIDAD              </t>
        </is>
      </c>
      <c r="I2524" t="n">
        <v>241</v>
      </c>
      <c r="J2524" t="n">
        <v>0</v>
      </c>
      <c r="K2524" t="n">
        <v>0</v>
      </c>
      <c r="L2524" t="n">
        <v>10</v>
      </c>
      <c r="M2524" t="n">
        <v>10</v>
      </c>
      <c r="N2524" t="n">
        <v>0</v>
      </c>
      <c r="O2524" t="n">
        <v>221</v>
      </c>
      <c r="P2524" s="96">
        <f>_xlfn.XLOOKUP(Tabla5[[#This Row],[EAN CORREGIDO]],'Tabla Articulos'!B:B,'Tabla Articulos'!D:D)</f>
        <v/>
      </c>
      <c r="Q2524" s="96">
        <f>_xlfn.XLOOKUP(S2524,'Tabla Articulos'!B:B,'Tabla Articulos'!E:E)</f>
        <v/>
      </c>
      <c r="R2524" s="96">
        <f>O2524*Q2524</f>
        <v/>
      </c>
      <c r="S2524" s="97">
        <f>TRIM(E2524)</f>
        <v/>
      </c>
    </row>
    <row r="2525" hidden="1">
      <c r="A2525" s="22" t="n">
        <v>2</v>
      </c>
      <c r="B2525" t="inlineStr">
        <is>
          <t xml:space="preserve">CD CIUDADELA                  </t>
        </is>
      </c>
      <c r="C2525" t="inlineStr">
        <is>
          <t xml:space="preserve">GRUPO L.                      </t>
        </is>
      </c>
      <c r="D2525" t="inlineStr">
        <is>
          <t>PANADERIA CONGELADA</t>
        </is>
      </c>
      <c r="E2525" t="inlineStr">
        <is>
          <t xml:space="preserve">9780201379723       </t>
        </is>
      </c>
      <c r="F2525" t="n">
        <v>4048887</v>
      </c>
      <c r="G2525" t="inlineStr">
        <is>
          <t xml:space="preserve">CHIPA CONG 2.5 KGX20G SELYGEL      </t>
        </is>
      </c>
      <c r="H2525" t="inlineStr">
        <is>
          <t xml:space="preserve">UNIDAD              </t>
        </is>
      </c>
      <c r="I2525" t="n">
        <v>12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12</v>
      </c>
      <c r="P2525" s="96">
        <f>_xlfn.XLOOKUP(Tabla5[[#This Row],[EAN CORREGIDO]],'Tabla Articulos'!B:B,'Tabla Articulos'!D:D)</f>
        <v/>
      </c>
      <c r="Q2525" s="96">
        <f>_xlfn.XLOOKUP(S2525,'Tabla Articulos'!B:B,'Tabla Articulos'!E:E)</f>
        <v/>
      </c>
      <c r="R2525" s="96">
        <f>O2525*Q2525</f>
        <v/>
      </c>
      <c r="S2525" s="97">
        <f>TRIM(E2525)</f>
        <v/>
      </c>
    </row>
    <row r="2526" hidden="1">
      <c r="A2526" s="22" t="n">
        <v>2</v>
      </c>
      <c r="B2526" t="inlineStr">
        <is>
          <t xml:space="preserve">CD CIUDADELA                  </t>
        </is>
      </c>
      <c r="C2526" t="inlineStr">
        <is>
          <t xml:space="preserve">GRUPO L.                      </t>
        </is>
      </c>
      <c r="D2526" t="inlineStr">
        <is>
          <t>GASEOSA COLA LIGHT INDIVIDUAL</t>
        </is>
      </c>
      <c r="E2526" t="inlineStr">
        <is>
          <t xml:space="preserve">7790895650864       </t>
        </is>
      </c>
      <c r="F2526" t="n">
        <v>4023913</v>
      </c>
      <c r="G2526" t="inlineStr">
        <is>
          <t xml:space="preserve">GAS COCA COLA LIGHT 600CC          </t>
        </is>
      </c>
      <c r="H2526" t="inlineStr">
        <is>
          <t xml:space="preserve">UNIDAD              </t>
        </is>
      </c>
      <c r="I2526" t="n">
        <v>476</v>
      </c>
      <c r="J2526" t="n">
        <v>0</v>
      </c>
      <c r="K2526" t="n">
        <v>0</v>
      </c>
      <c r="L2526" t="n">
        <v>24</v>
      </c>
      <c r="M2526" t="n">
        <v>24</v>
      </c>
      <c r="N2526" t="n">
        <v>0</v>
      </c>
      <c r="O2526" t="n">
        <v>428</v>
      </c>
      <c r="P2526" s="96">
        <f>_xlfn.XLOOKUP(Tabla5[[#This Row],[EAN CORREGIDO]],'Tabla Articulos'!B:B,'Tabla Articulos'!D:D)</f>
        <v/>
      </c>
      <c r="Q2526" s="96">
        <f>_xlfn.XLOOKUP(S2526,'Tabla Articulos'!B:B,'Tabla Articulos'!E:E)</f>
        <v/>
      </c>
      <c r="R2526" s="96">
        <f>O2526*Q2526</f>
        <v/>
      </c>
      <c r="S2526" s="97">
        <f>TRIM(E2526)</f>
        <v/>
      </c>
    </row>
    <row r="2527" hidden="1">
      <c r="A2527" s="22" t="n">
        <v>2</v>
      </c>
      <c r="B2527" t="inlineStr">
        <is>
          <t xml:space="preserve">CD CIUDADELA                  </t>
        </is>
      </c>
      <c r="C2527" t="inlineStr">
        <is>
          <t xml:space="preserve">GRUPO L.                      </t>
        </is>
      </c>
      <c r="D2527" t="inlineStr">
        <is>
          <t>ROMERO</t>
        </is>
      </c>
      <c r="E2527" t="inlineStr">
        <is>
          <t xml:space="preserve">7793875317146       </t>
        </is>
      </c>
      <c r="F2527" t="n">
        <v>4020188</v>
      </c>
      <c r="G2527" t="inlineStr">
        <is>
          <t xml:space="preserve">ROMERO X500GR AROMAS Y SABORES     </t>
        </is>
      </c>
      <c r="H2527" t="inlineStr">
        <is>
          <t xml:space="preserve">UNIDAD              </t>
        </is>
      </c>
      <c r="I2527" t="n">
        <v>222</v>
      </c>
      <c r="J2527" t="n">
        <v>0</v>
      </c>
      <c r="K2527" t="n">
        <v>0</v>
      </c>
      <c r="L2527" t="n">
        <v>2</v>
      </c>
      <c r="M2527" t="n">
        <v>2</v>
      </c>
      <c r="N2527" t="n">
        <v>0</v>
      </c>
      <c r="O2527" t="n">
        <v>218</v>
      </c>
      <c r="P2527" s="96">
        <f>_xlfn.XLOOKUP(Tabla5[[#This Row],[EAN CORREGIDO]],'Tabla Articulos'!B:B,'Tabla Articulos'!D:D)</f>
        <v/>
      </c>
      <c r="Q2527" s="96">
        <f>_xlfn.XLOOKUP(S2527,'Tabla Articulos'!B:B,'Tabla Articulos'!E:E)</f>
        <v/>
      </c>
      <c r="R2527" s="96">
        <f>O2527*Q2527</f>
        <v/>
      </c>
      <c r="S2527" s="97">
        <f>TRIM(E2527)</f>
        <v/>
      </c>
    </row>
    <row r="2528" hidden="1">
      <c r="A2528" s="22" t="n">
        <v>2</v>
      </c>
      <c r="B2528" t="inlineStr">
        <is>
          <t xml:space="preserve">CD CIUDADELA                  </t>
        </is>
      </c>
      <c r="C2528" t="inlineStr">
        <is>
          <t xml:space="preserve">GRUPO L.                      </t>
        </is>
      </c>
      <c r="D2528" t="inlineStr">
        <is>
          <t>YOGUR ENTERO INDIV FRUTILLA</t>
        </is>
      </c>
      <c r="E2528" t="inlineStr">
        <is>
          <t xml:space="preserve">7790787960446       </t>
        </is>
      </c>
      <c r="F2528" t="n">
        <v>4018253</v>
      </c>
      <c r="G2528" t="inlineStr">
        <is>
          <t>YOGUR FRUTILLA ENTERO X190 G ILOLAY</t>
        </is>
      </c>
      <c r="H2528" t="inlineStr">
        <is>
          <t xml:space="preserve">BULTOS              </t>
        </is>
      </c>
      <c r="I2528" t="n">
        <v>961</v>
      </c>
      <c r="J2528" t="n">
        <v>0</v>
      </c>
      <c r="K2528" t="n">
        <v>10</v>
      </c>
      <c r="L2528" t="n">
        <v>390</v>
      </c>
      <c r="M2528" t="n">
        <v>390</v>
      </c>
      <c r="N2528" t="n">
        <v>0</v>
      </c>
      <c r="O2528" t="n">
        <v>171</v>
      </c>
      <c r="P2528" s="96">
        <f>_xlfn.XLOOKUP(Tabla5[[#This Row],[EAN CORREGIDO]],'Tabla Articulos'!B:B,'Tabla Articulos'!D:D)</f>
        <v/>
      </c>
      <c r="Q2528" s="96">
        <f>_xlfn.XLOOKUP(S2528,'Tabla Articulos'!B:B,'Tabla Articulos'!E:E)</f>
        <v/>
      </c>
      <c r="R2528" s="96">
        <f>O2528*Q2528</f>
        <v/>
      </c>
      <c r="S2528" s="97">
        <f>TRIM(E2528)</f>
        <v/>
      </c>
    </row>
    <row r="2529" hidden="1">
      <c r="A2529" s="22" t="n">
        <v>2</v>
      </c>
      <c r="B2529" t="inlineStr">
        <is>
          <t xml:space="preserve">CD CIUDADELA                  </t>
        </is>
      </c>
      <c r="C2529" t="inlineStr">
        <is>
          <t xml:space="preserve">GRUPO L.                      </t>
        </is>
      </c>
      <c r="D2529" t="inlineStr">
        <is>
          <t>GARBANZOS REMOJADOS</t>
        </is>
      </c>
      <c r="E2529" t="inlineStr">
        <is>
          <t xml:space="preserve">7798096031703       </t>
        </is>
      </c>
      <c r="F2529" t="n">
        <v>4048948</v>
      </c>
      <c r="G2529" t="inlineStr">
        <is>
          <t xml:space="preserve">GARBANZOS REMOJ X340GR PAPPETTI    </t>
        </is>
      </c>
      <c r="H2529" t="inlineStr">
        <is>
          <t xml:space="preserve">UNIDAD              </t>
        </is>
      </c>
      <c r="I2529" t="n">
        <v>622</v>
      </c>
      <c r="J2529" t="n">
        <v>0</v>
      </c>
      <c r="K2529" t="n">
        <v>0</v>
      </c>
      <c r="L2529" t="n">
        <v>11</v>
      </c>
      <c r="M2529" t="n">
        <v>11</v>
      </c>
      <c r="N2529" t="n">
        <v>0</v>
      </c>
      <c r="O2529" t="n">
        <v>600</v>
      </c>
      <c r="P2529" s="96">
        <f>_xlfn.XLOOKUP(Tabla5[[#This Row],[EAN CORREGIDO]],'Tabla Articulos'!B:B,'Tabla Articulos'!D:D)</f>
        <v/>
      </c>
      <c r="Q2529" s="96">
        <f>_xlfn.XLOOKUP(S2529,'Tabla Articulos'!B:B,'Tabla Articulos'!E:E)</f>
        <v/>
      </c>
      <c r="R2529" s="96">
        <f>O2529*Q2529</f>
        <v/>
      </c>
      <c r="S2529" s="97">
        <f>TRIM(E2529)</f>
        <v/>
      </c>
    </row>
    <row r="2530" hidden="1">
      <c r="A2530" s="22" t="n">
        <v>2</v>
      </c>
      <c r="B2530" t="inlineStr">
        <is>
          <t xml:space="preserve">CD CIUDADELA                  </t>
        </is>
      </c>
      <c r="C2530" t="inlineStr">
        <is>
          <t xml:space="preserve">GRUPO L.                      </t>
        </is>
      </c>
      <c r="D2530" t="inlineStr">
        <is>
          <t>GALLE COCO</t>
        </is>
      </c>
      <c r="E2530" t="inlineStr">
        <is>
          <t xml:space="preserve">7790726120177       </t>
        </is>
      </c>
      <c r="F2530" t="n">
        <v>4018835</v>
      </c>
      <c r="G2530" t="inlineStr">
        <is>
          <t xml:space="preserve">GALLE COCO X350G DULCYPAS	         </t>
        </is>
      </c>
      <c r="H2530" t="inlineStr">
        <is>
          <t xml:space="preserve">UNIDAD              </t>
        </is>
      </c>
      <c r="I2530" t="n">
        <v>14</v>
      </c>
      <c r="J2530" t="n">
        <v>0</v>
      </c>
      <c r="K2530" t="n">
        <v>14</v>
      </c>
      <c r="L2530" t="n">
        <v>0</v>
      </c>
      <c r="M2530" t="n">
        <v>0</v>
      </c>
      <c r="N2530" t="n">
        <v>0</v>
      </c>
      <c r="O2530" t="n">
        <v>0</v>
      </c>
      <c r="P2530" s="96">
        <f>_xlfn.XLOOKUP(Tabla5[[#This Row],[EAN CORREGIDO]],'Tabla Articulos'!B:B,'Tabla Articulos'!D:D)</f>
        <v/>
      </c>
      <c r="Q2530" s="96">
        <f>_xlfn.XLOOKUP(S2530,'Tabla Articulos'!B:B,'Tabla Articulos'!E:E)</f>
        <v/>
      </c>
      <c r="R2530" s="96">
        <f>O2530*Q2530</f>
        <v/>
      </c>
      <c r="S2530" s="97">
        <f>TRIM(E2530)</f>
        <v/>
      </c>
    </row>
    <row r="2531" hidden="1">
      <c r="A2531" s="22" t="n">
        <v>2</v>
      </c>
      <c r="B2531" t="inlineStr">
        <is>
          <t xml:space="preserve">CD CIUDADELA                  </t>
        </is>
      </c>
      <c r="C2531" t="inlineStr">
        <is>
          <t xml:space="preserve">GRUPO L.                      </t>
        </is>
      </c>
      <c r="D2531" t="inlineStr">
        <is>
          <t>ARVEJA</t>
        </is>
      </c>
      <c r="E2531" t="inlineStr">
        <is>
          <t xml:space="preserve">7798156760024       </t>
        </is>
      </c>
      <c r="F2531" t="n">
        <v>4020530</v>
      </c>
      <c r="G2531" t="inlineStr">
        <is>
          <t xml:space="preserve">ARVEJAS TETRA X340G DEL VALLE      </t>
        </is>
      </c>
      <c r="H2531" t="inlineStr">
        <is>
          <t xml:space="preserve">UNIDAD              </t>
        </is>
      </c>
      <c r="I2531" t="n">
        <v>11688</v>
      </c>
      <c r="J2531" t="n">
        <v>0</v>
      </c>
      <c r="K2531" t="n">
        <v>0</v>
      </c>
      <c r="L2531" t="n">
        <v>2709</v>
      </c>
      <c r="M2531" t="n">
        <v>2709</v>
      </c>
      <c r="N2531" t="n">
        <v>0</v>
      </c>
      <c r="O2531" t="n">
        <v>6270</v>
      </c>
      <c r="P2531" s="96">
        <f>_xlfn.XLOOKUP(Tabla5[[#This Row],[EAN CORREGIDO]],'Tabla Articulos'!B:B,'Tabla Articulos'!D:D)</f>
        <v/>
      </c>
      <c r="Q2531" s="96">
        <f>_xlfn.XLOOKUP(S2531,'Tabla Articulos'!B:B,'Tabla Articulos'!E:E)</f>
        <v/>
      </c>
      <c r="R2531" s="96">
        <f>O2531*Q2531</f>
        <v/>
      </c>
      <c r="S2531" s="97">
        <f>TRIM(E2531)</f>
        <v/>
      </c>
    </row>
    <row r="2532" hidden="1">
      <c r="A2532" s="22" t="n">
        <v>2</v>
      </c>
      <c r="B2532" t="inlineStr">
        <is>
          <t xml:space="preserve">CD CIUDADELA                  </t>
        </is>
      </c>
      <c r="C2532" t="inlineStr">
        <is>
          <t xml:space="preserve">GRUPO L.                      </t>
        </is>
      </c>
      <c r="D2532" t="inlineStr">
        <is>
          <t>ÑOQUIS PAPA</t>
        </is>
      </c>
      <c r="E2532" t="inlineStr">
        <is>
          <t xml:space="preserve">7795711003596       </t>
        </is>
      </c>
      <c r="F2532" t="n">
        <v>4018714</v>
      </c>
      <c r="G2532" t="inlineStr">
        <is>
          <t xml:space="preserve">ÑOQUIS PAPA X500G VILLA DAGRI      </t>
        </is>
      </c>
      <c r="H2532" t="inlineStr">
        <is>
          <t xml:space="preserve">UNIDAD              </t>
        </is>
      </c>
      <c r="I2532" t="n">
        <v>249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249</v>
      </c>
      <c r="P2532" s="96">
        <f>_xlfn.XLOOKUP(Tabla5[[#This Row],[EAN CORREGIDO]],'Tabla Articulos'!B:B,'Tabla Articulos'!D:D)</f>
        <v/>
      </c>
      <c r="Q2532" s="96">
        <f>_xlfn.XLOOKUP(S2532,'Tabla Articulos'!B:B,'Tabla Articulos'!E:E)</f>
        <v/>
      </c>
      <c r="R2532" s="96">
        <f>O2532*Q2532</f>
        <v/>
      </c>
      <c r="S2532" s="97">
        <f>TRIM(E2532)</f>
        <v/>
      </c>
    </row>
    <row r="2533" hidden="1">
      <c r="A2533" s="22" t="n">
        <v>2</v>
      </c>
      <c r="B2533" t="inlineStr">
        <is>
          <t xml:space="preserve">CD CIUDADELA                  </t>
        </is>
      </c>
      <c r="C2533" t="inlineStr">
        <is>
          <t xml:space="preserve">GRUPO L.                      </t>
        </is>
      </c>
      <c r="D2533" t="inlineStr">
        <is>
          <t>BOLSAS CAMISETA</t>
        </is>
      </c>
      <c r="E2533" t="inlineStr">
        <is>
          <t xml:space="preserve">7795618001244       </t>
        </is>
      </c>
      <c r="F2533" t="n">
        <v>2006953</v>
      </c>
      <c r="G2533" t="inlineStr">
        <is>
          <t xml:space="preserve">BOLSA CAMISETA BCA 40X50X50UN      </t>
        </is>
      </c>
      <c r="H2533" t="inlineStr">
        <is>
          <t xml:space="preserve">UNIDAD              </t>
        </is>
      </c>
      <c r="I2533" t="n">
        <v>367</v>
      </c>
      <c r="J2533" t="n">
        <v>0</v>
      </c>
      <c r="K2533" t="n">
        <v>0</v>
      </c>
      <c r="L2533" t="n">
        <v>12</v>
      </c>
      <c r="M2533" t="n">
        <v>12</v>
      </c>
      <c r="N2533" t="n">
        <v>0</v>
      </c>
      <c r="O2533" t="n">
        <v>343</v>
      </c>
      <c r="P2533" s="96">
        <f>_xlfn.XLOOKUP(Tabla5[[#This Row],[EAN CORREGIDO]],'Tabla Articulos'!B:B,'Tabla Articulos'!D:D)</f>
        <v/>
      </c>
      <c r="Q2533" s="96">
        <f>_xlfn.XLOOKUP(S2533,'Tabla Articulos'!B:B,'Tabla Articulos'!E:E)</f>
        <v/>
      </c>
      <c r="R2533" s="96">
        <f>O2533*Q2533</f>
        <v/>
      </c>
      <c r="S2533" s="97">
        <f>TRIM(E2533)</f>
        <v/>
      </c>
    </row>
    <row r="2534" hidden="1">
      <c r="A2534" s="22" t="n">
        <v>2</v>
      </c>
      <c r="B2534" t="inlineStr">
        <is>
          <t xml:space="preserve">CD CIUDADELA                  </t>
        </is>
      </c>
      <c r="C2534" t="inlineStr">
        <is>
          <t xml:space="preserve">GRUPO L.                      </t>
        </is>
      </c>
      <c r="D2534" t="inlineStr">
        <is>
          <t>FIDEOS GUISEROS</t>
        </is>
      </c>
      <c r="E2534" t="inlineStr">
        <is>
          <t xml:space="preserve">7790070318619       </t>
        </is>
      </c>
      <c r="F2534" t="n">
        <v>4024325</v>
      </c>
      <c r="G2534" t="inlineStr">
        <is>
          <t xml:space="preserve">FIDEO CODITO X500GMATARAZZO        </t>
        </is>
      </c>
      <c r="H2534" t="inlineStr">
        <is>
          <t xml:space="preserve">UNIDAD              </t>
        </is>
      </c>
      <c r="I2534" t="n">
        <v>190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190</v>
      </c>
      <c r="P2534" s="96">
        <f>_xlfn.XLOOKUP(Tabla5[[#This Row],[EAN CORREGIDO]],'Tabla Articulos'!B:B,'Tabla Articulos'!D:D)</f>
        <v/>
      </c>
      <c r="Q2534" s="96">
        <f>_xlfn.XLOOKUP(S2534,'Tabla Articulos'!B:B,'Tabla Articulos'!E:E)</f>
        <v/>
      </c>
      <c r="R2534" s="96">
        <f>O2534*Q2534</f>
        <v/>
      </c>
      <c r="S2534" s="97">
        <f>TRIM(E2534)</f>
        <v/>
      </c>
    </row>
    <row r="2535" hidden="1">
      <c r="A2535" s="22" t="n">
        <v>2</v>
      </c>
      <c r="B2535" t="inlineStr">
        <is>
          <t xml:space="preserve">CD CIUDADELA                  </t>
        </is>
      </c>
      <c r="C2535" t="inlineStr">
        <is>
          <t xml:space="preserve">GRUPO L.                      </t>
        </is>
      </c>
      <c r="D2535" t="inlineStr">
        <is>
          <t>TAPA VASO TERMICO 240CC</t>
        </is>
      </c>
      <c r="E2535" t="inlineStr">
        <is>
          <t xml:space="preserve">7790321020329       </t>
        </is>
      </c>
      <c r="F2535" t="n">
        <v>2006179</v>
      </c>
      <c r="G2535" t="inlineStr">
        <is>
          <t xml:space="preserve">TAPA VASO TERMICO 240CCX50U        </t>
        </is>
      </c>
      <c r="H2535" t="inlineStr">
        <is>
          <t xml:space="preserve">UNIDAD              </t>
        </is>
      </c>
      <c r="I2535" t="n">
        <v>19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19</v>
      </c>
      <c r="P2535" s="96">
        <f>_xlfn.XLOOKUP(Tabla5[[#This Row],[EAN CORREGIDO]],'Tabla Articulos'!B:B,'Tabla Articulos'!D:D)</f>
        <v/>
      </c>
      <c r="Q2535" s="96">
        <f>_xlfn.XLOOKUP(S2535,'Tabla Articulos'!B:B,'Tabla Articulos'!E:E)</f>
        <v/>
      </c>
      <c r="R2535" s="96">
        <f>O2535*Q2535</f>
        <v/>
      </c>
      <c r="S2535" s="97">
        <f>TRIM(E2535)</f>
        <v/>
      </c>
    </row>
    <row r="2536" hidden="1">
      <c r="A2536" s="22" t="n">
        <v>2</v>
      </c>
      <c r="B2536" t="inlineStr">
        <is>
          <t xml:space="preserve">CD CIUDADELA                  </t>
        </is>
      </c>
      <c r="C2536" t="inlineStr">
        <is>
          <t xml:space="preserve">GRUPO L.                      </t>
        </is>
      </c>
      <c r="D2536" t="inlineStr">
        <is>
          <t>MANI CROCANTE</t>
        </is>
      </c>
      <c r="E2536" t="inlineStr">
        <is>
          <t xml:space="preserve">724751080462        </t>
        </is>
      </c>
      <c r="F2536" t="n">
        <v>4077056</v>
      </c>
      <c r="G2536" t="inlineStr">
        <is>
          <t xml:space="preserve">CROCANTE MANI 1KG PTO.GOURMET      </t>
        </is>
      </c>
      <c r="H2536" t="inlineStr">
        <is>
          <t xml:space="preserve">UNIDAD              </t>
        </is>
      </c>
      <c r="I2536" t="n">
        <v>19</v>
      </c>
      <c r="J2536" t="n">
        <v>0</v>
      </c>
      <c r="K2536" t="n">
        <v>0</v>
      </c>
      <c r="L2536" t="n">
        <v>2</v>
      </c>
      <c r="M2536" t="n">
        <v>2</v>
      </c>
      <c r="N2536" t="n">
        <v>0</v>
      </c>
      <c r="O2536" t="n">
        <v>15</v>
      </c>
      <c r="P2536" s="96">
        <f>_xlfn.XLOOKUP(Tabla5[[#This Row],[EAN CORREGIDO]],'Tabla Articulos'!B:B,'Tabla Articulos'!D:D)</f>
        <v/>
      </c>
      <c r="Q2536" s="96">
        <f>_xlfn.XLOOKUP(S2536,'Tabla Articulos'!B:B,'Tabla Articulos'!E:E)</f>
        <v/>
      </c>
      <c r="R2536" s="96">
        <f>O2536*Q2536</f>
        <v/>
      </c>
      <c r="S2536" s="97">
        <f>TRIM(E2536)</f>
        <v/>
      </c>
    </row>
    <row r="2537" hidden="1">
      <c r="A2537" s="22" t="n">
        <v>2</v>
      </c>
      <c r="B2537" t="inlineStr">
        <is>
          <t xml:space="preserve">CD CIUDADELA                  </t>
        </is>
      </c>
      <c r="C2537" t="inlineStr">
        <is>
          <t xml:space="preserve">GRUPO L.                      </t>
        </is>
      </c>
      <c r="D2537" t="inlineStr">
        <is>
          <t>NUEZ PELADA</t>
        </is>
      </c>
      <c r="E2537" t="inlineStr">
        <is>
          <t xml:space="preserve">724751080226        </t>
        </is>
      </c>
      <c r="F2537" t="n">
        <v>4022365</v>
      </c>
      <c r="G2537" t="inlineStr">
        <is>
          <t xml:space="preserve">NUECES PEL MARIPOSA GOURMET 1KG    </t>
        </is>
      </c>
      <c r="H2537" t="inlineStr">
        <is>
          <t xml:space="preserve">UNIDAD              </t>
        </is>
      </c>
      <c r="I2537" t="n">
        <v>109</v>
      </c>
      <c r="J2537" t="n">
        <v>0</v>
      </c>
      <c r="K2537" t="n">
        <v>0</v>
      </c>
      <c r="L2537" t="n">
        <v>2</v>
      </c>
      <c r="M2537" t="n">
        <v>2</v>
      </c>
      <c r="N2537" t="n">
        <v>0</v>
      </c>
      <c r="O2537" t="n">
        <v>105</v>
      </c>
      <c r="P2537" s="96">
        <f>_xlfn.XLOOKUP(Tabla5[[#This Row],[EAN CORREGIDO]],'Tabla Articulos'!B:B,'Tabla Articulos'!D:D)</f>
        <v/>
      </c>
      <c r="Q2537" s="96">
        <f>_xlfn.XLOOKUP(S2537,'Tabla Articulos'!B:B,'Tabla Articulos'!E:E)</f>
        <v/>
      </c>
      <c r="R2537" s="96">
        <f>O2537*Q2537</f>
        <v/>
      </c>
      <c r="S2537" s="97">
        <f>TRIM(E2537)</f>
        <v/>
      </c>
    </row>
    <row r="2538" hidden="1">
      <c r="A2538" s="22" t="n">
        <v>2</v>
      </c>
      <c r="B2538" t="inlineStr">
        <is>
          <t xml:space="preserve">CD CIUDADELA                  </t>
        </is>
      </c>
      <c r="C2538" t="inlineStr">
        <is>
          <t xml:space="preserve">GRUPO L.                      </t>
        </is>
      </c>
      <c r="D2538" t="inlineStr">
        <is>
          <t>GALLE LIMON</t>
        </is>
      </c>
      <c r="E2538" t="inlineStr">
        <is>
          <t xml:space="preserve">7796236000961       </t>
        </is>
      </c>
      <c r="F2538" t="n">
        <v>4076726</v>
      </c>
      <c r="G2538" t="inlineStr">
        <is>
          <t>GALLE ANILLITOS LIMON X400G RIEDMAR</t>
        </is>
      </c>
      <c r="H2538" t="inlineStr">
        <is>
          <t xml:space="preserve">UNIDAD              </t>
        </is>
      </c>
      <c r="I2538" t="n">
        <v>3625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3625</v>
      </c>
      <c r="P2538" s="96">
        <f>_xlfn.XLOOKUP(Tabla5[[#This Row],[EAN CORREGIDO]],'Tabla Articulos'!B:B,'Tabla Articulos'!D:D)</f>
        <v/>
      </c>
      <c r="Q2538" s="96">
        <f>_xlfn.XLOOKUP(S2538,'Tabla Articulos'!B:B,'Tabla Articulos'!E:E)</f>
        <v/>
      </c>
      <c r="R2538" s="96">
        <f>O2538*Q2538</f>
        <v/>
      </c>
      <c r="S2538" s="97">
        <f>TRIM(E2538)</f>
        <v/>
      </c>
    </row>
    <row r="2539" hidden="1">
      <c r="A2539" s="22" t="n">
        <v>2</v>
      </c>
      <c r="B2539" t="inlineStr">
        <is>
          <t xml:space="preserve">CD CIUDADELA                  </t>
        </is>
      </c>
      <c r="C2539" t="inlineStr">
        <is>
          <t xml:space="preserve">GRUPO L.                      </t>
        </is>
      </c>
      <c r="D2539" t="inlineStr">
        <is>
          <t>MERLUZA A/N</t>
        </is>
      </c>
      <c r="E2539" t="inlineStr">
        <is>
          <t xml:space="preserve">7792750001606       </t>
        </is>
      </c>
      <c r="F2539" t="n">
        <v>4020045</v>
      </c>
      <c r="G2539" t="inlineStr">
        <is>
          <t xml:space="preserve">MERLUZA NATURAL X340G MARBELLA     </t>
        </is>
      </c>
      <c r="H2539" t="inlineStr">
        <is>
          <t xml:space="preserve">UNIDAD              </t>
        </is>
      </c>
      <c r="I2539" t="n">
        <v>3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3</v>
      </c>
      <c r="P2539" s="96">
        <f>_xlfn.XLOOKUP(Tabla5[[#This Row],[EAN CORREGIDO]],'Tabla Articulos'!B:B,'Tabla Articulos'!D:D)</f>
        <v/>
      </c>
      <c r="Q2539" s="96">
        <f>_xlfn.XLOOKUP(S2539,'Tabla Articulos'!B:B,'Tabla Articulos'!E:E)</f>
        <v/>
      </c>
      <c r="R2539" s="96">
        <f>O2539*Q2539</f>
        <v/>
      </c>
      <c r="S2539" s="97">
        <f>TRIM(E2539)</f>
        <v/>
      </c>
    </row>
    <row r="2540" hidden="1">
      <c r="A2540" s="22" t="n">
        <v>2</v>
      </c>
      <c r="B2540" t="inlineStr">
        <is>
          <t xml:space="preserve">CD CIUDADELA                  </t>
        </is>
      </c>
      <c r="C2540" t="inlineStr">
        <is>
          <t xml:space="preserve">GRUPO L.                      </t>
        </is>
      </c>
      <c r="D2540" t="inlineStr">
        <is>
          <t>AJO MOLIDO</t>
        </is>
      </c>
      <c r="E2540" t="inlineStr">
        <is>
          <t xml:space="preserve">7790150411391       </t>
        </is>
      </c>
      <c r="F2540" t="n">
        <v>4024426</v>
      </c>
      <c r="G2540" t="inlineStr">
        <is>
          <t xml:space="preserve">AJO TRITURADO X50G ALICANTE        </t>
        </is>
      </c>
      <c r="H2540" t="inlineStr">
        <is>
          <t xml:space="preserve">UNIDAD              </t>
        </is>
      </c>
      <c r="I2540" t="n">
        <v>40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40</v>
      </c>
      <c r="P2540" s="96">
        <f>_xlfn.XLOOKUP(Tabla5[[#This Row],[EAN CORREGIDO]],'Tabla Articulos'!B:B,'Tabla Articulos'!D:D)</f>
        <v/>
      </c>
      <c r="Q2540" s="96">
        <f>_xlfn.XLOOKUP(S2540,'Tabla Articulos'!B:B,'Tabla Articulos'!E:E)</f>
        <v/>
      </c>
      <c r="R2540" s="96">
        <f>O2540*Q2540</f>
        <v/>
      </c>
      <c r="S2540" s="97">
        <f>TRIM(E2540)</f>
        <v/>
      </c>
    </row>
    <row r="2541" hidden="1">
      <c r="A2541" s="22" t="n">
        <v>2</v>
      </c>
      <c r="B2541" t="inlineStr">
        <is>
          <t xml:space="preserve">CD CIUDADELA                  </t>
        </is>
      </c>
      <c r="C2541" t="inlineStr">
        <is>
          <t xml:space="preserve">GRUPO L.                      </t>
        </is>
      </c>
      <c r="D2541" t="inlineStr">
        <is>
          <t>CURCUMA</t>
        </is>
      </c>
      <c r="E2541" t="inlineStr">
        <is>
          <t xml:space="preserve">7793875313032       </t>
        </is>
      </c>
      <c r="F2541" t="n">
        <v>4020755</v>
      </c>
      <c r="G2541" t="inlineStr">
        <is>
          <t xml:space="preserve">CURCUMA x 250G AROMA Y SABORES     </t>
        </is>
      </c>
      <c r="H2541" t="inlineStr">
        <is>
          <t xml:space="preserve">UNIDAD              </t>
        </is>
      </c>
      <c r="I2541" t="n">
        <v>351</v>
      </c>
      <c r="J2541" t="n">
        <v>0</v>
      </c>
      <c r="K2541" t="n">
        <v>0</v>
      </c>
      <c r="L2541" t="n">
        <v>5</v>
      </c>
      <c r="M2541" t="n">
        <v>5</v>
      </c>
      <c r="N2541" t="n">
        <v>0</v>
      </c>
      <c r="O2541" t="n">
        <v>341</v>
      </c>
      <c r="P2541" s="96">
        <f>_xlfn.XLOOKUP(Tabla5[[#This Row],[EAN CORREGIDO]],'Tabla Articulos'!B:B,'Tabla Articulos'!D:D)</f>
        <v/>
      </c>
      <c r="Q2541" s="96">
        <f>_xlfn.XLOOKUP(S2541,'Tabla Articulos'!B:B,'Tabla Articulos'!E:E)</f>
        <v/>
      </c>
      <c r="R2541" s="96">
        <f>O2541*Q2541</f>
        <v/>
      </c>
      <c r="S2541" s="97">
        <f>TRIM(E2541)</f>
        <v/>
      </c>
    </row>
    <row r="2542" hidden="1">
      <c r="A2542" s="22" t="n">
        <v>2</v>
      </c>
      <c r="B2542" t="inlineStr">
        <is>
          <t xml:space="preserve">CD CIUDADELA                  </t>
        </is>
      </c>
      <c r="C2542" t="inlineStr">
        <is>
          <t xml:space="preserve">GRUPO L.                      </t>
        </is>
      </c>
      <c r="D2542" t="inlineStr">
        <is>
          <t>PANADERIA CONGELADA</t>
        </is>
      </c>
      <c r="E2542" t="inlineStr">
        <is>
          <t xml:space="preserve">7798041132483       </t>
        </is>
      </c>
      <c r="F2542" t="n">
        <v>4018524</v>
      </c>
      <c r="G2542" t="inlineStr">
        <is>
          <t xml:space="preserve">LEMON PIE X9U SELYGEL              </t>
        </is>
      </c>
      <c r="H2542" t="inlineStr">
        <is>
          <t xml:space="preserve">UNIDAD              </t>
        </is>
      </c>
      <c r="I2542" t="n">
        <v>6</v>
      </c>
      <c r="J2542" t="n">
        <v>0</v>
      </c>
      <c r="K2542" t="n">
        <v>0</v>
      </c>
      <c r="L2542" t="n">
        <v>0</v>
      </c>
      <c r="M2542" t="n">
        <v>0</v>
      </c>
      <c r="N2542" t="n">
        <v>6</v>
      </c>
      <c r="O2542" t="n">
        <v>0</v>
      </c>
      <c r="P2542" s="96">
        <f>_xlfn.XLOOKUP(Tabla5[[#This Row],[EAN CORREGIDO]],'Tabla Articulos'!B:B,'Tabla Articulos'!D:D)</f>
        <v/>
      </c>
      <c r="Q2542" s="96">
        <f>_xlfn.XLOOKUP(S2542,'Tabla Articulos'!B:B,'Tabla Articulos'!E:E)</f>
        <v/>
      </c>
      <c r="R2542" s="96">
        <f>O2542*Q2542</f>
        <v/>
      </c>
      <c r="S2542" s="97">
        <f>TRIM(E2542)</f>
        <v/>
      </c>
    </row>
    <row r="2543" hidden="1">
      <c r="A2543" s="22" t="n">
        <v>2</v>
      </c>
      <c r="B2543" t="inlineStr">
        <is>
          <t xml:space="preserve">CD CIUDADELA                  </t>
        </is>
      </c>
      <c r="C2543" t="inlineStr">
        <is>
          <t xml:space="preserve">GRUPO L.                      </t>
        </is>
      </c>
      <c r="D2543" t="inlineStr">
        <is>
          <t>FIDEOS GUISEROS</t>
        </is>
      </c>
      <c r="E2543" t="inlineStr">
        <is>
          <t xml:space="preserve">7790070336149       </t>
        </is>
      </c>
      <c r="F2543" t="n">
        <v>4019420</v>
      </c>
      <c r="G2543" t="inlineStr">
        <is>
          <t xml:space="preserve">FIDEO GUIS MOSTA X500G LUCCHETTI   </t>
        </is>
      </c>
      <c r="H2543" t="inlineStr">
        <is>
          <t xml:space="preserve">UNIDAD              </t>
        </is>
      </c>
      <c r="I2543" t="n">
        <v>14</v>
      </c>
      <c r="J2543" t="n">
        <v>0</v>
      </c>
      <c r="K2543" t="n">
        <v>0</v>
      </c>
      <c r="L2543" t="n">
        <v>3</v>
      </c>
      <c r="M2543" t="n">
        <v>3</v>
      </c>
      <c r="N2543" t="n">
        <v>0</v>
      </c>
      <c r="O2543" t="n">
        <v>8</v>
      </c>
      <c r="P2543" s="96">
        <f>_xlfn.XLOOKUP(Tabla5[[#This Row],[EAN CORREGIDO]],'Tabla Articulos'!B:B,'Tabla Articulos'!D:D)</f>
        <v/>
      </c>
      <c r="Q2543" s="96">
        <f>_xlfn.XLOOKUP(S2543,'Tabla Articulos'!B:B,'Tabla Articulos'!E:E)</f>
        <v/>
      </c>
      <c r="R2543" s="96">
        <f>O2543*Q2543</f>
        <v/>
      </c>
      <c r="S2543" s="97">
        <f>TRIM(E2543)</f>
        <v/>
      </c>
    </row>
    <row r="2544" hidden="1">
      <c r="A2544" s="22" t="n">
        <v>2</v>
      </c>
      <c r="B2544" t="inlineStr">
        <is>
          <t xml:space="preserve">CD CIUDADELA                  </t>
        </is>
      </c>
      <c r="C2544" t="inlineStr">
        <is>
          <t xml:space="preserve">GRUPO L.                      </t>
        </is>
      </c>
      <c r="D2544" t="inlineStr">
        <is>
          <t>HUEVO</t>
        </is>
      </c>
      <c r="E2544" t="inlineStr">
        <is>
          <t xml:space="preserve">7790212030066       </t>
        </is>
      </c>
      <c r="F2544" t="n">
        <v>4017623</v>
      </c>
      <c r="G2544" t="inlineStr">
        <is>
          <t xml:space="preserve">HUEVOS X U GRADO A PESO MIN 50     </t>
        </is>
      </c>
      <c r="H2544" t="inlineStr">
        <is>
          <t xml:space="preserve">UNIDAD              </t>
        </is>
      </c>
      <c r="I2544" t="n">
        <v>49955</v>
      </c>
      <c r="J2544" t="n">
        <v>0</v>
      </c>
      <c r="K2544" t="n">
        <v>0</v>
      </c>
      <c r="L2544" t="n">
        <v>9506</v>
      </c>
      <c r="M2544" t="n">
        <v>9900</v>
      </c>
      <c r="N2544" t="n">
        <v>0</v>
      </c>
      <c r="O2544" t="n">
        <v>30549</v>
      </c>
      <c r="P2544" s="96">
        <f>_xlfn.XLOOKUP(Tabla5[[#This Row],[EAN CORREGIDO]],'Tabla Articulos'!B:B,'Tabla Articulos'!D:D)</f>
        <v/>
      </c>
      <c r="Q2544" s="96">
        <f>_xlfn.XLOOKUP(S2544,'Tabla Articulos'!B:B,'Tabla Articulos'!E:E)</f>
        <v/>
      </c>
      <c r="R2544" s="96">
        <f>O2544*Q2544</f>
        <v/>
      </c>
      <c r="S2544" s="97">
        <f>TRIM(E2544)</f>
        <v/>
      </c>
    </row>
    <row r="2545" hidden="1">
      <c r="A2545" s="22" t="n">
        <v>2</v>
      </c>
      <c r="B2545" t="inlineStr">
        <is>
          <t xml:space="preserve">CD CIUDADELA                  </t>
        </is>
      </c>
      <c r="C2545" t="inlineStr">
        <is>
          <t xml:space="preserve">GRUPO L.                      </t>
        </is>
      </c>
      <c r="D2545" t="inlineStr">
        <is>
          <t>TORTELLETIS</t>
        </is>
      </c>
      <c r="E2545" t="inlineStr">
        <is>
          <t xml:space="preserve">7795711000069       </t>
        </is>
      </c>
      <c r="F2545" t="n">
        <v>4077445</v>
      </c>
      <c r="G2545" t="inlineStr">
        <is>
          <t>TORTELLETTIS CAR/POLLO/ESP X500 VIL</t>
        </is>
      </c>
      <c r="H2545" t="inlineStr">
        <is>
          <t xml:space="preserve">UNIDAD              </t>
        </is>
      </c>
      <c r="I2545" t="n">
        <v>60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60</v>
      </c>
      <c r="P2545" s="96">
        <f>_xlfn.XLOOKUP(Tabla5[[#This Row],[EAN CORREGIDO]],'Tabla Articulos'!B:B,'Tabla Articulos'!D:D)</f>
        <v/>
      </c>
      <c r="Q2545" s="96">
        <f>_xlfn.XLOOKUP(S2545,'Tabla Articulos'!B:B,'Tabla Articulos'!E:E)</f>
        <v/>
      </c>
      <c r="R2545" s="96">
        <f>O2545*Q2545</f>
        <v/>
      </c>
      <c r="S2545" s="97">
        <f>TRIM(E2545)</f>
        <v/>
      </c>
    </row>
    <row r="2546" hidden="1">
      <c r="A2546" s="22" t="n">
        <v>2</v>
      </c>
      <c r="B2546" t="inlineStr">
        <is>
          <t xml:space="preserve">CD CIUDADELA                  </t>
        </is>
      </c>
      <c r="C2546" t="inlineStr">
        <is>
          <t xml:space="preserve">GRUPO L.                      </t>
        </is>
      </c>
      <c r="D2546" t="inlineStr">
        <is>
          <t>BOLSAS ARRANQUE</t>
        </is>
      </c>
      <c r="E2546" t="inlineStr">
        <is>
          <t xml:space="preserve">7790000000480       </t>
        </is>
      </c>
      <c r="F2546" t="n">
        <v>2007506</v>
      </c>
      <c r="G2546" t="inlineStr">
        <is>
          <t xml:space="preserve">ROLLO BOLSA ARRANQ 40X60 MPROP     </t>
        </is>
      </c>
      <c r="H2546" t="inlineStr">
        <is>
          <t xml:space="preserve">UNIDAD              </t>
        </is>
      </c>
      <c r="I2546" t="n">
        <v>194</v>
      </c>
      <c r="J2546" t="n">
        <v>0</v>
      </c>
      <c r="K2546" t="n">
        <v>0</v>
      </c>
      <c r="L2546" t="n">
        <v>5</v>
      </c>
      <c r="M2546" t="n">
        <v>5</v>
      </c>
      <c r="N2546" t="n">
        <v>0</v>
      </c>
      <c r="O2546" t="n">
        <v>184</v>
      </c>
      <c r="P2546" s="96">
        <f>_xlfn.XLOOKUP(Tabla5[[#This Row],[EAN CORREGIDO]],'Tabla Articulos'!B:B,'Tabla Articulos'!D:D)</f>
        <v/>
      </c>
      <c r="Q2546" s="96">
        <f>_xlfn.XLOOKUP(S2546,'Tabla Articulos'!B:B,'Tabla Articulos'!E:E)</f>
        <v/>
      </c>
      <c r="R2546" s="96">
        <f>O2546*Q2546</f>
        <v/>
      </c>
      <c r="S2546" s="97">
        <f>TRIM(E2546)</f>
        <v/>
      </c>
    </row>
    <row r="2547" hidden="1">
      <c r="A2547" s="22" t="n">
        <v>2</v>
      </c>
      <c r="B2547" t="inlineStr">
        <is>
          <t xml:space="preserve">CD CIUDADELA                  </t>
        </is>
      </c>
      <c r="C2547" t="inlineStr">
        <is>
          <t xml:space="preserve">GRUPO L.                      </t>
        </is>
      </c>
      <c r="D2547" t="inlineStr">
        <is>
          <t>EXTRACTO DE TOMATE</t>
        </is>
      </c>
      <c r="E2547" t="inlineStr">
        <is>
          <t xml:space="preserve">7793360129889       </t>
        </is>
      </c>
      <c r="F2547" t="n">
        <v>4020617</v>
      </c>
      <c r="G2547" t="inlineStr">
        <is>
          <t xml:space="preserve">EXTRACTO TOMATE X180G LA CAMPAÑOLA </t>
        </is>
      </c>
      <c r="H2547" t="inlineStr">
        <is>
          <t xml:space="preserve">UNIDAD              </t>
        </is>
      </c>
      <c r="I2547" t="n">
        <v>18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18</v>
      </c>
      <c r="P2547" s="96">
        <f>_xlfn.XLOOKUP(Tabla5[[#This Row],[EAN CORREGIDO]],'Tabla Articulos'!B:B,'Tabla Articulos'!D:D)</f>
        <v/>
      </c>
      <c r="Q2547" s="96">
        <f>_xlfn.XLOOKUP(S2547,'Tabla Articulos'!B:B,'Tabla Articulos'!E:E)</f>
        <v/>
      </c>
      <c r="R2547" s="96">
        <f>O2547*Q2547</f>
        <v/>
      </c>
      <c r="S2547" s="97">
        <f>TRIM(E2547)</f>
        <v/>
      </c>
    </row>
    <row r="2548" hidden="1">
      <c r="A2548" s="22" t="n">
        <v>2</v>
      </c>
      <c r="B2548" t="inlineStr">
        <is>
          <t xml:space="preserve">CD CIUDADELA                  </t>
        </is>
      </c>
      <c r="C2548" t="inlineStr">
        <is>
          <t xml:space="preserve">GRUPO L.                      </t>
        </is>
      </c>
      <c r="D2548" t="inlineStr">
        <is>
          <t>BARRA DE CHOCOLATE</t>
        </is>
      </c>
      <c r="E2548" t="inlineStr">
        <is>
          <t xml:space="preserve">7798401690076       </t>
        </is>
      </c>
      <c r="F2548" t="n">
        <v>4076940</v>
      </c>
      <c r="G2548" t="inlineStr">
        <is>
          <t xml:space="preserve">BARRA QUINOA CHOCO X20G WAKE UP    </t>
        </is>
      </c>
      <c r="H2548" t="inlineStr">
        <is>
          <t xml:space="preserve">UNIDAD              </t>
        </is>
      </c>
      <c r="I2548" t="n">
        <v>320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320</v>
      </c>
      <c r="P2548" s="96">
        <f>_xlfn.XLOOKUP(Tabla5[[#This Row],[EAN CORREGIDO]],'Tabla Articulos'!B:B,'Tabla Articulos'!D:D)</f>
        <v/>
      </c>
      <c r="Q2548" s="96">
        <f>_xlfn.XLOOKUP(S2548,'Tabla Articulos'!B:B,'Tabla Articulos'!E:E)</f>
        <v/>
      </c>
      <c r="R2548" s="96">
        <f>O2548*Q2548</f>
        <v/>
      </c>
      <c r="S2548" s="97">
        <f>TRIM(E2548)</f>
        <v/>
      </c>
    </row>
    <row r="2549" hidden="1">
      <c r="A2549" s="22" t="n">
        <v>2</v>
      </c>
      <c r="B2549" t="inlineStr">
        <is>
          <t xml:space="preserve">CD CIUDADELA                  </t>
        </is>
      </c>
      <c r="C2549" t="inlineStr">
        <is>
          <t xml:space="preserve">GRUPO L.                      </t>
        </is>
      </c>
      <c r="D2549" t="inlineStr">
        <is>
          <t>GALLE DULCES CELIACO</t>
        </is>
      </c>
      <c r="E2549" t="inlineStr">
        <is>
          <t xml:space="preserve">7798082000492       </t>
        </is>
      </c>
      <c r="F2549" t="n">
        <v>4020359</v>
      </c>
      <c r="G2549" t="inlineStr">
        <is>
          <t>RUEDITAS DE VAINILLA CEL X 180 G NA</t>
        </is>
      </c>
      <c r="H2549" t="inlineStr">
        <is>
          <t xml:space="preserve">UNIDAD              </t>
        </is>
      </c>
      <c r="I2549" t="n">
        <v>2065</v>
      </c>
      <c r="J2549" t="n">
        <v>0</v>
      </c>
      <c r="K2549" t="n">
        <v>0</v>
      </c>
      <c r="L2549" t="n">
        <v>59</v>
      </c>
      <c r="M2549" t="n">
        <v>59</v>
      </c>
      <c r="N2549" t="n">
        <v>0</v>
      </c>
      <c r="O2549" t="n">
        <v>1947</v>
      </c>
      <c r="P2549" s="96">
        <f>_xlfn.XLOOKUP(Tabla5[[#This Row],[EAN CORREGIDO]],'Tabla Articulos'!B:B,'Tabla Articulos'!D:D)</f>
        <v/>
      </c>
      <c r="Q2549" s="96">
        <f>_xlfn.XLOOKUP(S2549,'Tabla Articulos'!B:B,'Tabla Articulos'!E:E)</f>
        <v/>
      </c>
      <c r="R2549" s="96">
        <f>O2549*Q2549</f>
        <v/>
      </c>
      <c r="S2549" s="97">
        <f>TRIM(E2549)</f>
        <v/>
      </c>
    </row>
    <row r="2550" hidden="1">
      <c r="A2550" s="22" t="n">
        <v>2</v>
      </c>
      <c r="B2550" t="inlineStr">
        <is>
          <t xml:space="preserve">CD CIUDADELA                  </t>
        </is>
      </c>
      <c r="C2550" t="inlineStr">
        <is>
          <t xml:space="preserve">GRUPO L.                      </t>
        </is>
      </c>
      <c r="D2550" t="inlineStr">
        <is>
          <t>JUGO MANZANA</t>
        </is>
      </c>
      <c r="E2550" t="inlineStr">
        <is>
          <t xml:space="preserve">7790895647017       </t>
        </is>
      </c>
      <c r="F2550" t="n">
        <v>4017351</v>
      </c>
      <c r="G2550" t="inlineStr">
        <is>
          <t xml:space="preserve">JUGO MANZANA 25% X1L CEPITA        </t>
        </is>
      </c>
      <c r="H2550" t="inlineStr">
        <is>
          <t xml:space="preserve">UNIDAD              </t>
        </is>
      </c>
      <c r="I2550" t="n">
        <v>154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154</v>
      </c>
      <c r="P2550" s="96">
        <f>_xlfn.XLOOKUP(Tabla5[[#This Row],[EAN CORREGIDO]],'Tabla Articulos'!B:B,'Tabla Articulos'!D:D)</f>
        <v/>
      </c>
      <c r="Q2550" s="96">
        <f>_xlfn.XLOOKUP(S2550,'Tabla Articulos'!B:B,'Tabla Articulos'!E:E)</f>
        <v/>
      </c>
      <c r="R2550" s="96">
        <f>O2550*Q2550</f>
        <v/>
      </c>
      <c r="S2550" s="97">
        <f>TRIM(E2550)</f>
        <v/>
      </c>
    </row>
    <row r="2551" hidden="1">
      <c r="A2551" s="22" t="n">
        <v>2</v>
      </c>
      <c r="B2551" t="inlineStr">
        <is>
          <t xml:space="preserve">CD CIUDADELA                  </t>
        </is>
      </c>
      <c r="C2551" t="inlineStr">
        <is>
          <t xml:space="preserve">GRUPO L.                      </t>
        </is>
      </c>
      <c r="D2551" t="inlineStr">
        <is>
          <t>VINAGRE INDIV</t>
        </is>
      </c>
      <c r="E2551" t="inlineStr">
        <is>
          <t xml:space="preserve">7798011976485       </t>
        </is>
      </c>
      <c r="F2551" t="n">
        <v>4020710</v>
      </c>
      <c r="G2551" t="inlineStr">
        <is>
          <t xml:space="preserve">VINAGRE IND X8CC X198U ABEDUL      </t>
        </is>
      </c>
      <c r="H2551" t="inlineStr">
        <is>
          <t xml:space="preserve">UNIDAD              </t>
        </is>
      </c>
      <c r="I2551" t="n">
        <v>152</v>
      </c>
      <c r="J2551" t="n">
        <v>0</v>
      </c>
      <c r="K2551" t="n">
        <v>0</v>
      </c>
      <c r="L2551" t="n">
        <v>2</v>
      </c>
      <c r="M2551" t="n">
        <v>2</v>
      </c>
      <c r="N2551" t="n">
        <v>0</v>
      </c>
      <c r="O2551" t="n">
        <v>148</v>
      </c>
      <c r="P2551" s="96">
        <f>_xlfn.XLOOKUP(Tabla5[[#This Row],[EAN CORREGIDO]],'Tabla Articulos'!B:B,'Tabla Articulos'!D:D)</f>
        <v/>
      </c>
      <c r="Q2551" s="96">
        <f>_xlfn.XLOOKUP(S2551,'Tabla Articulos'!B:B,'Tabla Articulos'!E:E)</f>
        <v/>
      </c>
      <c r="R2551" s="96">
        <f>O2551*Q2551</f>
        <v/>
      </c>
      <c r="S2551" s="97">
        <f>TRIM(E2551)</f>
        <v/>
      </c>
    </row>
    <row r="2552" hidden="1">
      <c r="A2552" s="22" t="n">
        <v>2</v>
      </c>
      <c r="B2552" t="inlineStr">
        <is>
          <t xml:space="preserve">CD CIUDADELA                  </t>
        </is>
      </c>
      <c r="C2552" t="inlineStr">
        <is>
          <t xml:space="preserve">GRUPO L.                      </t>
        </is>
      </c>
      <c r="D2552" t="inlineStr">
        <is>
          <t>NARANJA 90-100</t>
        </is>
      </c>
      <c r="E2552" t="inlineStr">
        <is>
          <t xml:space="preserve">7790216020107       </t>
        </is>
      </c>
      <c r="F2552" t="n">
        <v>4018061</v>
      </c>
      <c r="G2552" t="inlineStr">
        <is>
          <t xml:space="preserve">FRUTA NARANJA 90-110 XKG           </t>
        </is>
      </c>
      <c r="H2552" t="inlineStr">
        <is>
          <t xml:space="preserve">Kgs                 </t>
        </is>
      </c>
      <c r="I2552" t="n">
        <v>1907.25</v>
      </c>
      <c r="J2552" t="n">
        <v>0</v>
      </c>
      <c r="K2552" t="n">
        <v>0</v>
      </c>
      <c r="L2552" t="n">
        <v>2.35</v>
      </c>
      <c r="M2552" t="n">
        <v>2.35</v>
      </c>
      <c r="N2552" t="n">
        <v>0</v>
      </c>
      <c r="O2552" t="n">
        <v>1902.55</v>
      </c>
      <c r="P2552" s="96">
        <f>_xlfn.XLOOKUP(Tabla5[[#This Row],[EAN CORREGIDO]],'Tabla Articulos'!B:B,'Tabla Articulos'!D:D)</f>
        <v/>
      </c>
      <c r="Q2552" s="96">
        <f>_xlfn.XLOOKUP(S2552,'Tabla Articulos'!B:B,'Tabla Articulos'!E:E)</f>
        <v/>
      </c>
      <c r="R2552" s="96">
        <f>O2552*Q2552</f>
        <v/>
      </c>
      <c r="S2552" s="97">
        <f>TRIM(E2552)</f>
        <v/>
      </c>
    </row>
    <row r="2553" hidden="1">
      <c r="A2553" s="22" t="n">
        <v>2</v>
      </c>
      <c r="B2553" t="inlineStr">
        <is>
          <t xml:space="preserve">CD CIUDADELA                  </t>
        </is>
      </c>
      <c r="C2553" t="inlineStr">
        <is>
          <t xml:space="preserve">GRUPO L.                      </t>
        </is>
      </c>
      <c r="D2553" t="inlineStr">
        <is>
          <t>BATATA</t>
        </is>
      </c>
      <c r="E2553" t="inlineStr">
        <is>
          <t xml:space="preserve">7790216010012       </t>
        </is>
      </c>
      <c r="F2553" t="n">
        <v>4018011</v>
      </c>
      <c r="G2553" t="inlineStr">
        <is>
          <t xml:space="preserve">BATATA X KG                        </t>
        </is>
      </c>
      <c r="H2553" t="inlineStr">
        <is>
          <t xml:space="preserve">Kgs                 </t>
        </is>
      </c>
      <c r="I2553" t="n">
        <v>2245.91</v>
      </c>
      <c r="J2553" t="n">
        <v>0</v>
      </c>
      <c r="K2553" t="n">
        <v>0</v>
      </c>
      <c r="L2553" t="n">
        <v>274.19</v>
      </c>
      <c r="M2553" t="n">
        <v>274.19</v>
      </c>
      <c r="N2553" t="n">
        <v>0</v>
      </c>
      <c r="O2553" t="n">
        <v>1697.53</v>
      </c>
      <c r="P2553" s="96">
        <f>_xlfn.XLOOKUP(Tabla5[[#This Row],[EAN CORREGIDO]],'Tabla Articulos'!B:B,'Tabla Articulos'!D:D)</f>
        <v/>
      </c>
      <c r="Q2553" s="96">
        <f>_xlfn.XLOOKUP(S2553,'Tabla Articulos'!B:B,'Tabla Articulos'!E:E)</f>
        <v/>
      </c>
      <c r="R2553" s="96">
        <f>O2553*Q2553</f>
        <v/>
      </c>
      <c r="S2553" s="97">
        <f>TRIM(E2553)</f>
        <v/>
      </c>
    </row>
    <row r="2554" hidden="1">
      <c r="A2554" s="22" t="n">
        <v>2</v>
      </c>
      <c r="B2554" t="inlineStr">
        <is>
          <t xml:space="preserve">CD CIUDADELA                  </t>
        </is>
      </c>
      <c r="C2554" t="inlineStr">
        <is>
          <t xml:space="preserve">GRUPO L.                      </t>
        </is>
      </c>
      <c r="D2554" t="inlineStr">
        <is>
          <t>JUGO INDIVIDUAL MANZANA</t>
        </is>
      </c>
      <c r="E2554" t="inlineStr">
        <is>
          <t xml:space="preserve">7798290580083       </t>
        </is>
      </c>
      <c r="F2554" t="n">
        <v>4017223</v>
      </c>
      <c r="G2554" t="inlineStr">
        <is>
          <t xml:space="preserve">JUGO MANZANA X200CC TUTTI          </t>
        </is>
      </c>
      <c r="H2554" t="inlineStr">
        <is>
          <t xml:space="preserve">UNIDAD              </t>
        </is>
      </c>
      <c r="I2554" t="n">
        <v>1623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1623</v>
      </c>
      <c r="P2554" s="96">
        <f>_xlfn.XLOOKUP(Tabla5[[#This Row],[EAN CORREGIDO]],'Tabla Articulos'!B:B,'Tabla Articulos'!D:D)</f>
        <v/>
      </c>
      <c r="Q2554" s="96">
        <f>_xlfn.XLOOKUP(S2554,'Tabla Articulos'!B:B,'Tabla Articulos'!E:E)</f>
        <v/>
      </c>
      <c r="R2554" s="96">
        <f>O2554*Q2554</f>
        <v/>
      </c>
      <c r="S2554" s="97">
        <f>TRIM(E2554)</f>
        <v/>
      </c>
    </row>
    <row r="2555" hidden="1">
      <c r="A2555" s="22" t="n">
        <v>2</v>
      </c>
      <c r="B2555" t="inlineStr">
        <is>
          <t xml:space="preserve">CD CIUDADELA                  </t>
        </is>
      </c>
      <c r="C2555" t="inlineStr">
        <is>
          <t xml:space="preserve">GRUPO L.                      </t>
        </is>
      </c>
      <c r="D2555" t="inlineStr">
        <is>
          <t>EDULCORANTE SOBRE FINOCHIETTO</t>
        </is>
      </c>
      <c r="E2555" t="inlineStr">
        <is>
          <t xml:space="preserve">7798011977260       </t>
        </is>
      </c>
      <c r="F2555" t="n">
        <v>4020382</v>
      </c>
      <c r="G2555" t="inlineStr">
        <is>
          <t xml:space="preserve">EDULCORANTE FINOC X8GX400U ABEDUL  </t>
        </is>
      </c>
      <c r="H2555" t="inlineStr">
        <is>
          <t xml:space="preserve">UNIDAD              </t>
        </is>
      </c>
      <c r="I2555" t="n">
        <v>86</v>
      </c>
      <c r="J2555" t="n">
        <v>0</v>
      </c>
      <c r="K2555" t="n">
        <v>0</v>
      </c>
      <c r="L2555" t="n">
        <v>20</v>
      </c>
      <c r="M2555" t="n">
        <v>20</v>
      </c>
      <c r="N2555" t="n">
        <v>0</v>
      </c>
      <c r="O2555" t="n">
        <v>46</v>
      </c>
      <c r="P2555" s="96">
        <f>_xlfn.XLOOKUP(Tabla5[[#This Row],[EAN CORREGIDO]],'Tabla Articulos'!B:B,'Tabla Articulos'!D:D)</f>
        <v/>
      </c>
      <c r="Q2555" s="96">
        <f>_xlfn.XLOOKUP(S2555,'Tabla Articulos'!B:B,'Tabla Articulos'!E:E)</f>
        <v/>
      </c>
      <c r="R2555" s="96">
        <f>O2555*Q2555</f>
        <v/>
      </c>
      <c r="S2555" s="97">
        <f>TRIM(E2555)</f>
        <v/>
      </c>
    </row>
    <row r="2556" hidden="1">
      <c r="A2556" s="22" t="n">
        <v>2</v>
      </c>
      <c r="B2556" t="inlineStr">
        <is>
          <t xml:space="preserve">CD CIUDADELA                  </t>
        </is>
      </c>
      <c r="C2556" t="inlineStr">
        <is>
          <t xml:space="preserve">GRUPO L.                      </t>
        </is>
      </c>
      <c r="D2556" t="inlineStr">
        <is>
          <t>GELATINA CEREZA</t>
        </is>
      </c>
      <c r="E2556" t="inlineStr">
        <is>
          <t xml:space="preserve">7790530850192       </t>
        </is>
      </c>
      <c r="F2556" t="n">
        <v>4019577</v>
      </c>
      <c r="G2556" t="inlineStr">
        <is>
          <t xml:space="preserve">GELATINA CEREZA X 1 KG BEDIAL      </t>
        </is>
      </c>
      <c r="H2556" t="inlineStr">
        <is>
          <t xml:space="preserve">UNIDAD              </t>
        </is>
      </c>
      <c r="I2556" t="n">
        <v>402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402</v>
      </c>
      <c r="P2556" s="96">
        <f>_xlfn.XLOOKUP(Tabla5[[#This Row],[EAN CORREGIDO]],'Tabla Articulos'!B:B,'Tabla Articulos'!D:D)</f>
        <v/>
      </c>
      <c r="Q2556" s="96">
        <f>_xlfn.XLOOKUP(S2556,'Tabla Articulos'!B:B,'Tabla Articulos'!E:E)</f>
        <v/>
      </c>
      <c r="R2556" s="96">
        <f>O2556*Q2556</f>
        <v/>
      </c>
      <c r="S2556" s="97">
        <f>TRIM(E2556)</f>
        <v/>
      </c>
    </row>
    <row r="2557" hidden="1">
      <c r="A2557" s="22" t="n">
        <v>2</v>
      </c>
      <c r="B2557" t="inlineStr">
        <is>
          <t xml:space="preserve">CD CIUDADELA                  </t>
        </is>
      </c>
      <c r="C2557" t="inlineStr">
        <is>
          <t xml:space="preserve">GRUPO L.                      </t>
        </is>
      </c>
      <c r="D2557" t="inlineStr">
        <is>
          <t>PAN INTEGRAL x KG</t>
        </is>
      </c>
      <c r="E2557" t="inlineStr">
        <is>
          <t xml:space="preserve">7790213012196       </t>
        </is>
      </c>
      <c r="F2557" t="n">
        <v>4018577</v>
      </c>
      <c r="G2557" t="inlineStr">
        <is>
          <t xml:space="preserve">PAN INTEGRAL X KG                  </t>
        </is>
      </c>
      <c r="H2557" t="inlineStr">
        <is>
          <t xml:space="preserve">Kgs                 </t>
        </is>
      </c>
      <c r="I2557" t="n">
        <v>0.1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0.1</v>
      </c>
      <c r="P2557" s="96">
        <f>_xlfn.XLOOKUP(Tabla5[[#This Row],[EAN CORREGIDO]],'Tabla Articulos'!B:B,'Tabla Articulos'!D:D)</f>
        <v/>
      </c>
      <c r="Q2557" s="96">
        <f>_xlfn.XLOOKUP(S2557,'Tabla Articulos'!B:B,'Tabla Articulos'!E:E)</f>
        <v/>
      </c>
      <c r="R2557" s="96">
        <f>O2557*Q2557</f>
        <v/>
      </c>
      <c r="S2557" s="97">
        <f>TRIM(E2557)</f>
        <v/>
      </c>
    </row>
    <row r="2558" hidden="1">
      <c r="A2558" s="22" t="n">
        <v>2</v>
      </c>
      <c r="B2558" t="inlineStr">
        <is>
          <t xml:space="preserve">CD CIUDADELA                  </t>
        </is>
      </c>
      <c r="C2558" t="inlineStr">
        <is>
          <t xml:space="preserve">GRUPO L.                      </t>
        </is>
      </c>
      <c r="D2558" t="inlineStr">
        <is>
          <t>DULCE DE LECHE GRANEL</t>
        </is>
      </c>
      <c r="E2558" t="inlineStr">
        <is>
          <t xml:space="preserve">7798001562742       </t>
        </is>
      </c>
      <c r="F2558" t="n">
        <v>4024580</v>
      </c>
      <c r="G2558" t="inlineStr">
        <is>
          <t xml:space="preserve">DULCE DE LECHE 5KG CREMIGAL        </t>
        </is>
      </c>
      <c r="H2558" t="inlineStr">
        <is>
          <t xml:space="preserve">UNIDAD              </t>
        </is>
      </c>
      <c r="I2558" t="n">
        <v>51</v>
      </c>
      <c r="J2558" t="n">
        <v>0</v>
      </c>
      <c r="K2558" t="n">
        <v>0</v>
      </c>
      <c r="L2558" t="n">
        <v>1</v>
      </c>
      <c r="M2558" t="n">
        <v>1</v>
      </c>
      <c r="N2558" t="n">
        <v>0</v>
      </c>
      <c r="O2558" t="n">
        <v>49</v>
      </c>
      <c r="P2558" s="96">
        <f>_xlfn.XLOOKUP(Tabla5[[#This Row],[EAN CORREGIDO]],'Tabla Articulos'!B:B,'Tabla Articulos'!D:D)</f>
        <v/>
      </c>
      <c r="Q2558" s="96">
        <f>_xlfn.XLOOKUP(S2558,'Tabla Articulos'!B:B,'Tabla Articulos'!E:E)</f>
        <v/>
      </c>
      <c r="R2558" s="96">
        <f>O2558*Q2558</f>
        <v/>
      </c>
      <c r="S2558" s="97">
        <f>TRIM(E2558)</f>
        <v/>
      </c>
    </row>
    <row r="2559" hidden="1">
      <c r="A2559" s="22" t="n">
        <v>2</v>
      </c>
      <c r="B2559" t="inlineStr">
        <is>
          <t xml:space="preserve">CD CIUDADELA                  </t>
        </is>
      </c>
      <c r="C2559" t="inlineStr">
        <is>
          <t xml:space="preserve">GRUPO L.                      </t>
        </is>
      </c>
      <c r="D2559" t="inlineStr">
        <is>
          <t>VINO BLANCO</t>
        </is>
      </c>
      <c r="E2559" t="inlineStr">
        <is>
          <t xml:space="preserve">7798039590229       </t>
        </is>
      </c>
      <c r="F2559" t="n">
        <v>4017360</v>
      </c>
      <c r="G2559" t="inlineStr">
        <is>
          <t xml:space="preserve">VINO BLANCO X750CC TOCORNAL	       </t>
        </is>
      </c>
      <c r="H2559" t="inlineStr">
        <is>
          <t xml:space="preserve">UNIDAD              </t>
        </is>
      </c>
      <c r="I2559" t="n">
        <v>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2</v>
      </c>
      <c r="P2559" s="96">
        <f>_xlfn.XLOOKUP(Tabla5[[#This Row],[EAN CORREGIDO]],'Tabla Articulos'!B:B,'Tabla Articulos'!D:D)</f>
        <v/>
      </c>
      <c r="Q2559" s="96">
        <f>_xlfn.XLOOKUP(S2559,'Tabla Articulos'!B:B,'Tabla Articulos'!E:E)</f>
        <v/>
      </c>
      <c r="R2559" s="96">
        <f>O2559*Q2559</f>
        <v/>
      </c>
      <c r="S2559" s="97">
        <f>TRIM(E2559)</f>
        <v/>
      </c>
    </row>
    <row r="2560" hidden="1">
      <c r="A2560" s="22" t="n">
        <v>2</v>
      </c>
      <c r="B2560" t="inlineStr">
        <is>
          <t xml:space="preserve">CD CIUDADELA                  </t>
        </is>
      </c>
      <c r="C2560" t="inlineStr">
        <is>
          <t xml:space="preserve">GRUPO L.                      </t>
        </is>
      </c>
      <c r="D2560" t="inlineStr">
        <is>
          <t>CARNE ENTERA</t>
        </is>
      </c>
      <c r="E2560" t="inlineStr">
        <is>
          <t xml:space="preserve">7790212031238       </t>
        </is>
      </c>
      <c r="F2560" t="n">
        <v>4021324</v>
      </c>
      <c r="G2560" t="inlineStr">
        <is>
          <t xml:space="preserve">BIFE DE CHORIZO X KG               </t>
        </is>
      </c>
      <c r="H2560" t="inlineStr">
        <is>
          <t xml:space="preserve">Kgs                 </t>
        </is>
      </c>
      <c r="I2560" t="n">
        <v>422.38</v>
      </c>
      <c r="J2560" t="n">
        <v>0</v>
      </c>
      <c r="K2560" t="n">
        <v>309.2</v>
      </c>
      <c r="L2560" t="n">
        <v>25</v>
      </c>
      <c r="M2560" t="n">
        <v>25</v>
      </c>
      <c r="N2560" t="n">
        <v>0</v>
      </c>
      <c r="O2560" t="n">
        <v>63.18</v>
      </c>
      <c r="P2560" s="96">
        <f>_xlfn.XLOOKUP(Tabla5[[#This Row],[EAN CORREGIDO]],'Tabla Articulos'!B:B,'Tabla Articulos'!D:D)</f>
        <v/>
      </c>
      <c r="Q2560" s="96">
        <f>_xlfn.XLOOKUP(S2560,'Tabla Articulos'!B:B,'Tabla Articulos'!E:E)</f>
        <v/>
      </c>
      <c r="R2560" s="96">
        <f>O2560*Q2560</f>
        <v/>
      </c>
      <c r="S2560" s="97">
        <f>TRIM(E2560)</f>
        <v/>
      </c>
    </row>
    <row r="2561" hidden="1">
      <c r="A2561" s="22" t="n">
        <v>2</v>
      </c>
      <c r="B2561" t="inlineStr">
        <is>
          <t xml:space="preserve">CD CIUDADELA                  </t>
        </is>
      </c>
      <c r="C2561" t="inlineStr">
        <is>
          <t xml:space="preserve">GRUPO L.                      </t>
        </is>
      </c>
      <c r="D2561" t="inlineStr">
        <is>
          <t>AZUCAR INDIV</t>
        </is>
      </c>
      <c r="E2561" t="inlineStr">
        <is>
          <t xml:space="preserve">7798011977697       </t>
        </is>
      </c>
      <c r="F2561" t="n">
        <v>4076545</v>
      </c>
      <c r="G2561" t="inlineStr">
        <is>
          <t xml:space="preserve">AZUCAR IND SOBRE X800UN NUTRIRE    </t>
        </is>
      </c>
      <c r="H2561" t="inlineStr">
        <is>
          <t xml:space="preserve">UNIDAD              </t>
        </is>
      </c>
      <c r="I2561" t="n">
        <v>196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196</v>
      </c>
      <c r="P2561" s="96">
        <f>_xlfn.XLOOKUP(Tabla5[[#This Row],[EAN CORREGIDO]],'Tabla Articulos'!B:B,'Tabla Articulos'!D:D)</f>
        <v/>
      </c>
      <c r="Q2561" s="96">
        <f>_xlfn.XLOOKUP(S2561,'Tabla Articulos'!B:B,'Tabla Articulos'!E:E)</f>
        <v/>
      </c>
      <c r="R2561" s="96">
        <f>O2561*Q2561</f>
        <v/>
      </c>
      <c r="S2561" s="97">
        <f>TRIM(E2561)</f>
        <v/>
      </c>
    </row>
    <row r="2562" hidden="1">
      <c r="A2562" s="22" t="n">
        <v>2</v>
      </c>
      <c r="B2562" t="inlineStr">
        <is>
          <t xml:space="preserve">CD CIUDADELA                  </t>
        </is>
      </c>
      <c r="C2562" t="inlineStr">
        <is>
          <t xml:space="preserve">GRUPO L.                      </t>
        </is>
      </c>
      <c r="D2562" t="inlineStr">
        <is>
          <t>GARBANZOS SECOS</t>
        </is>
      </c>
      <c r="E2562" t="inlineStr">
        <is>
          <t xml:space="preserve">7791476021059       </t>
        </is>
      </c>
      <c r="F2562" t="n">
        <v>4024849</v>
      </c>
      <c r="G2562" t="inlineStr">
        <is>
          <t xml:space="preserve">GARBANZOS X5KG EGRAN               </t>
        </is>
      </c>
      <c r="H2562" t="inlineStr">
        <is>
          <t xml:space="preserve">UNIDAD              </t>
        </is>
      </c>
      <c r="I2562" t="n">
        <v>114</v>
      </c>
      <c r="J2562" t="n">
        <v>0</v>
      </c>
      <c r="K2562" t="n">
        <v>0</v>
      </c>
      <c r="L2562" t="n">
        <v>5</v>
      </c>
      <c r="M2562" t="n">
        <v>5</v>
      </c>
      <c r="N2562" t="n">
        <v>0</v>
      </c>
      <c r="O2562" t="n">
        <v>104</v>
      </c>
      <c r="P2562" s="96">
        <f>_xlfn.XLOOKUP(Tabla5[[#This Row],[EAN CORREGIDO]],'Tabla Articulos'!B:B,'Tabla Articulos'!D:D)</f>
        <v/>
      </c>
      <c r="Q2562" s="96">
        <f>_xlfn.XLOOKUP(S2562,'Tabla Articulos'!B:B,'Tabla Articulos'!E:E)</f>
        <v/>
      </c>
      <c r="R2562" s="96">
        <f>O2562*Q2562</f>
        <v/>
      </c>
      <c r="S2562" s="97">
        <f>TRIM(E2562)</f>
        <v/>
      </c>
    </row>
    <row r="2563" hidden="1">
      <c r="A2563" s="22" t="n">
        <v>2</v>
      </c>
      <c r="B2563" t="inlineStr">
        <is>
          <t xml:space="preserve">CD CIUDADELA                  </t>
        </is>
      </c>
      <c r="C2563" t="inlineStr">
        <is>
          <t xml:space="preserve">GRUPO L.                      </t>
        </is>
      </c>
      <c r="D2563" t="inlineStr">
        <is>
          <t>PALMITO EN LATA</t>
        </is>
      </c>
      <c r="E2563" t="inlineStr">
        <is>
          <t xml:space="preserve">7798071200797       </t>
        </is>
      </c>
      <c r="F2563" t="n">
        <v>4024866</v>
      </c>
      <c r="G2563" t="inlineStr">
        <is>
          <t xml:space="preserve">PALMITOS E/TROZ X800G ABRA         </t>
        </is>
      </c>
      <c r="H2563" t="inlineStr">
        <is>
          <t xml:space="preserve">UNIDAD              </t>
        </is>
      </c>
      <c r="I2563" t="n">
        <v>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4</v>
      </c>
      <c r="P2563" s="96">
        <f>_xlfn.XLOOKUP(Tabla5[[#This Row],[EAN CORREGIDO]],'Tabla Articulos'!B:B,'Tabla Articulos'!D:D)</f>
        <v/>
      </c>
      <c r="Q2563" s="96">
        <f>_xlfn.XLOOKUP(S2563,'Tabla Articulos'!B:B,'Tabla Articulos'!E:E)</f>
        <v/>
      </c>
      <c r="R2563" s="96">
        <f>O2563*Q2563</f>
        <v/>
      </c>
      <c r="S2563" s="97">
        <f>TRIM(E2563)</f>
        <v/>
      </c>
    </row>
    <row r="2564" hidden="1">
      <c r="A2564" s="22" t="n">
        <v>2</v>
      </c>
      <c r="B2564" t="inlineStr">
        <is>
          <t xml:space="preserve">CD CIUDADELA                  </t>
        </is>
      </c>
      <c r="C2564" t="inlineStr">
        <is>
          <t xml:space="preserve">GRUPO L.                      </t>
        </is>
      </c>
      <c r="D2564" t="inlineStr">
        <is>
          <t>GALLE CON CONFITES</t>
        </is>
      </c>
      <c r="E2564" t="inlineStr">
        <is>
          <t xml:space="preserve">7790580327408       </t>
        </is>
      </c>
      <c r="F2564" t="n">
        <v>4024634</v>
      </c>
      <c r="G2564" t="inlineStr">
        <is>
          <t xml:space="preserve">CONFIT CHOC 48GX18U ROCKLETS       </t>
        </is>
      </c>
      <c r="H2564" t="inlineStr">
        <is>
          <t xml:space="preserve">UNIDAD              </t>
        </is>
      </c>
      <c r="I2564" t="n">
        <v>30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30</v>
      </c>
      <c r="P2564" s="96">
        <f>_xlfn.XLOOKUP(Tabla5[[#This Row],[EAN CORREGIDO]],'Tabla Articulos'!B:B,'Tabla Articulos'!D:D)</f>
        <v/>
      </c>
      <c r="Q2564" s="96">
        <f>_xlfn.XLOOKUP(S2564,'Tabla Articulos'!B:B,'Tabla Articulos'!E:E)</f>
        <v/>
      </c>
      <c r="R2564" s="96">
        <f>O2564*Q2564</f>
        <v/>
      </c>
      <c r="S2564" s="97">
        <f>TRIM(E2564)</f>
        <v/>
      </c>
    </row>
    <row r="2565" hidden="1">
      <c r="A2565" s="22" t="n">
        <v>2</v>
      </c>
      <c r="B2565" t="inlineStr">
        <is>
          <t xml:space="preserve">CD CIUDADELA                  </t>
        </is>
      </c>
      <c r="C2565" t="inlineStr">
        <is>
          <t xml:space="preserve">GRUPO L.                      </t>
        </is>
      </c>
      <c r="D2565" t="inlineStr">
        <is>
          <t>CAFE SAQUITO</t>
        </is>
      </c>
      <c r="E2565" t="inlineStr">
        <is>
          <t xml:space="preserve">7790150079904       </t>
        </is>
      </c>
      <c r="F2565" t="n">
        <v>4019375</v>
      </c>
      <c r="G2565" t="inlineStr">
        <is>
          <t xml:space="preserve">CAFE EN SAQUITOS X20U LA VIRGINIA  </t>
        </is>
      </c>
      <c r="H2565" t="inlineStr">
        <is>
          <t xml:space="preserve">UNIDAD              </t>
        </is>
      </c>
      <c r="I2565" t="n">
        <v>525</v>
      </c>
      <c r="J2565" t="n">
        <v>0</v>
      </c>
      <c r="K2565" t="n">
        <v>0</v>
      </c>
      <c r="L2565" t="n">
        <v>62</v>
      </c>
      <c r="M2565" t="n">
        <v>62</v>
      </c>
      <c r="N2565" t="n">
        <v>0</v>
      </c>
      <c r="O2565" t="n">
        <v>401</v>
      </c>
      <c r="P2565" s="96">
        <f>_xlfn.XLOOKUP(Tabla5[[#This Row],[EAN CORREGIDO]],'Tabla Articulos'!B:B,'Tabla Articulos'!D:D)</f>
        <v/>
      </c>
      <c r="Q2565" s="96">
        <f>_xlfn.XLOOKUP(S2565,'Tabla Articulos'!B:B,'Tabla Articulos'!E:E)</f>
        <v/>
      </c>
      <c r="R2565" s="96">
        <f>O2565*Q2565</f>
        <v/>
      </c>
      <c r="S2565" s="97">
        <f>TRIM(E2565)</f>
        <v/>
      </c>
    </row>
    <row r="2566" hidden="1">
      <c r="A2566" s="22" t="n">
        <v>2</v>
      </c>
      <c r="B2566" t="inlineStr">
        <is>
          <t xml:space="preserve">CD CIUDADELA                  </t>
        </is>
      </c>
      <c r="C2566" t="inlineStr">
        <is>
          <t xml:space="preserve">GRUPO L.                      </t>
        </is>
      </c>
      <c r="D2566" t="inlineStr">
        <is>
          <t>GALLE DULCE VAINILLA</t>
        </is>
      </c>
      <c r="E2566" t="inlineStr">
        <is>
          <t xml:space="preserve">7791376000970       </t>
        </is>
      </c>
      <c r="F2566" t="n">
        <v>4022888</v>
      </c>
      <c r="G2566" t="inlineStr">
        <is>
          <t xml:space="preserve">GALL ANILLOS VAIN 250GR GOLCI      </t>
        </is>
      </c>
      <c r="H2566" t="inlineStr">
        <is>
          <t xml:space="preserve">UNIDAD              </t>
        </is>
      </c>
      <c r="I2566" t="n">
        <v>12850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12850</v>
      </c>
      <c r="P2566" s="96">
        <f>_xlfn.XLOOKUP(Tabla5[[#This Row],[EAN CORREGIDO]],'Tabla Articulos'!B:B,'Tabla Articulos'!D:D)</f>
        <v/>
      </c>
      <c r="Q2566" s="96">
        <f>_xlfn.XLOOKUP(S2566,'Tabla Articulos'!B:B,'Tabla Articulos'!E:E)</f>
        <v/>
      </c>
      <c r="R2566" s="96">
        <f>O2566*Q2566</f>
        <v/>
      </c>
      <c r="S2566" s="97">
        <f>TRIM(E2566)</f>
        <v/>
      </c>
    </row>
    <row r="2567" hidden="1">
      <c r="A2567" s="22" t="n">
        <v>2</v>
      </c>
      <c r="B2567" t="inlineStr">
        <is>
          <t xml:space="preserve">CD CIUDADELA                  </t>
        </is>
      </c>
      <c r="C2567" t="inlineStr">
        <is>
          <t xml:space="preserve">GRUPO L.                      </t>
        </is>
      </c>
      <c r="D2567" t="inlineStr">
        <is>
          <t>CHOCOLATE TAZA</t>
        </is>
      </c>
      <c r="E2567" t="inlineStr">
        <is>
          <t xml:space="preserve">7790407031273       </t>
        </is>
      </c>
      <c r="F2567" t="n">
        <v>4019613</v>
      </c>
      <c r="G2567" t="inlineStr">
        <is>
          <t xml:space="preserve">CHOCOLATE TAZA X 150G AGUILA       </t>
        </is>
      </c>
      <c r="H2567" t="inlineStr">
        <is>
          <t xml:space="preserve">UNIDAD              </t>
        </is>
      </c>
      <c r="I2567" t="n">
        <v>1036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1036</v>
      </c>
      <c r="P2567" s="96">
        <f>_xlfn.XLOOKUP(Tabla5[[#This Row],[EAN CORREGIDO]],'Tabla Articulos'!B:B,'Tabla Articulos'!D:D)</f>
        <v/>
      </c>
      <c r="Q2567" s="96">
        <f>_xlfn.XLOOKUP(S2567,'Tabla Articulos'!B:B,'Tabla Articulos'!E:E)</f>
        <v/>
      </c>
      <c r="R2567" s="96">
        <f>O2567*Q2567</f>
        <v/>
      </c>
      <c r="S2567" s="97">
        <f>TRIM(E2567)</f>
        <v/>
      </c>
    </row>
    <row r="2568" hidden="1">
      <c r="A2568" s="22" t="n">
        <v>2</v>
      </c>
      <c r="B2568" t="inlineStr">
        <is>
          <t xml:space="preserve">CD CIUDADELA                  </t>
        </is>
      </c>
      <c r="C2568" t="inlineStr">
        <is>
          <t xml:space="preserve">GRUPO L.                      </t>
        </is>
      </c>
      <c r="D2568" t="inlineStr">
        <is>
          <t>PAN RALLADO</t>
        </is>
      </c>
      <c r="E2568" t="inlineStr">
        <is>
          <t xml:space="preserve">7790199603399       </t>
        </is>
      </c>
      <c r="F2568" t="n">
        <v>4019562</v>
      </c>
      <c r="G2568" t="inlineStr">
        <is>
          <t xml:space="preserve">PAN RALLADO X 5K MORIXE            </t>
        </is>
      </c>
      <c r="H2568" t="inlineStr">
        <is>
          <t xml:space="preserve">UNIDAD              </t>
        </is>
      </c>
      <c r="I2568" t="n">
        <v>792</v>
      </c>
      <c r="J2568" t="n">
        <v>0</v>
      </c>
      <c r="K2568" t="n">
        <v>0</v>
      </c>
      <c r="L2568" t="n">
        <v>18</v>
      </c>
      <c r="M2568" t="n">
        <v>18</v>
      </c>
      <c r="N2568" t="n">
        <v>0</v>
      </c>
      <c r="O2568" t="n">
        <v>756</v>
      </c>
      <c r="P2568" s="96">
        <f>_xlfn.XLOOKUP(Tabla5[[#This Row],[EAN CORREGIDO]],'Tabla Articulos'!B:B,'Tabla Articulos'!D:D)</f>
        <v/>
      </c>
      <c r="Q2568" s="96">
        <f>_xlfn.XLOOKUP(S2568,'Tabla Articulos'!B:B,'Tabla Articulos'!E:E)</f>
        <v/>
      </c>
      <c r="R2568" s="96">
        <f>O2568*Q2568</f>
        <v/>
      </c>
      <c r="S2568" s="97">
        <f>TRIM(E2568)</f>
        <v/>
      </c>
    </row>
    <row r="2569" hidden="1">
      <c r="A2569" s="22" t="n">
        <v>2</v>
      </c>
      <c r="B2569" t="inlineStr">
        <is>
          <t xml:space="preserve">CD CIUDADELA                  </t>
        </is>
      </c>
      <c r="C2569" t="inlineStr">
        <is>
          <t xml:space="preserve">GRUPO L.                      </t>
        </is>
      </c>
      <c r="D2569" t="inlineStr">
        <is>
          <t>DULCE BATATA</t>
        </is>
      </c>
      <c r="E2569" t="inlineStr">
        <is>
          <t xml:space="preserve">7791113001543       </t>
        </is>
      </c>
      <c r="F2569" t="n">
        <v>4020481</v>
      </c>
      <c r="G2569" t="inlineStr">
        <is>
          <t xml:space="preserve">DULCE BATATA X 500 G EMETH         </t>
        </is>
      </c>
      <c r="H2569" t="inlineStr">
        <is>
          <t xml:space="preserve">UNIDAD              </t>
        </is>
      </c>
      <c r="I2569" t="n">
        <v>463</v>
      </c>
      <c r="J2569" t="n">
        <v>0</v>
      </c>
      <c r="K2569" t="n">
        <v>0</v>
      </c>
      <c r="L2569" t="n">
        <v>5</v>
      </c>
      <c r="M2569" t="n">
        <v>5</v>
      </c>
      <c r="N2569" t="n">
        <v>0</v>
      </c>
      <c r="O2569" t="n">
        <v>453</v>
      </c>
      <c r="P2569" s="96">
        <f>_xlfn.XLOOKUP(Tabla5[[#This Row],[EAN CORREGIDO]],'Tabla Articulos'!B:B,'Tabla Articulos'!D:D)</f>
        <v/>
      </c>
      <c r="Q2569" s="96">
        <f>_xlfn.XLOOKUP(S2569,'Tabla Articulos'!B:B,'Tabla Articulos'!E:E)</f>
        <v/>
      </c>
      <c r="R2569" s="96">
        <f>O2569*Q2569</f>
        <v/>
      </c>
      <c r="S2569" s="97">
        <f>TRIM(E2569)</f>
        <v/>
      </c>
    </row>
    <row r="2570" hidden="1">
      <c r="A2570" s="22" t="n">
        <v>2</v>
      </c>
      <c r="B2570" t="inlineStr">
        <is>
          <t xml:space="preserve">CD CIUDADELA                  </t>
        </is>
      </c>
      <c r="C2570" t="inlineStr">
        <is>
          <t xml:space="preserve">GRUPO L.                      </t>
        </is>
      </c>
      <c r="D2570" t="inlineStr">
        <is>
          <t>CEBOLLA DE VERDEO</t>
        </is>
      </c>
      <c r="E2570" t="inlineStr">
        <is>
          <t xml:space="preserve">7790216012650       </t>
        </is>
      </c>
      <c r="F2570" t="n">
        <v>4017965</v>
      </c>
      <c r="G2570" t="inlineStr">
        <is>
          <t xml:space="preserve">CEBOLLA DE VERDEO X KG             </t>
        </is>
      </c>
      <c r="H2570" t="inlineStr">
        <is>
          <t xml:space="preserve">Kgs                 </t>
        </is>
      </c>
      <c r="I2570" t="n">
        <v>113.965</v>
      </c>
      <c r="J2570" t="n">
        <v>-0.5</v>
      </c>
      <c r="K2570" t="n">
        <v>0</v>
      </c>
      <c r="L2570" t="n">
        <v>13.9</v>
      </c>
      <c r="M2570" t="n">
        <v>23.9</v>
      </c>
      <c r="N2570" t="n">
        <v>0</v>
      </c>
      <c r="O2570" t="n">
        <v>75.66500000000001</v>
      </c>
      <c r="P2570" s="96">
        <f>_xlfn.XLOOKUP(Tabla5[[#This Row],[EAN CORREGIDO]],'Tabla Articulos'!B:B,'Tabla Articulos'!D:D)</f>
        <v/>
      </c>
      <c r="Q2570" s="96">
        <f>_xlfn.XLOOKUP(S2570,'Tabla Articulos'!B:B,'Tabla Articulos'!E:E)</f>
        <v/>
      </c>
      <c r="R2570" s="96">
        <f>O2570*Q2570</f>
        <v/>
      </c>
      <c r="S2570" s="97">
        <f>TRIM(E2570)</f>
        <v/>
      </c>
    </row>
    <row r="2571" hidden="1">
      <c r="A2571" s="22" t="n">
        <v>2</v>
      </c>
      <c r="B2571" t="inlineStr">
        <is>
          <t xml:space="preserve">CD CIUDADELA                  </t>
        </is>
      </c>
      <c r="C2571" t="inlineStr">
        <is>
          <t xml:space="preserve">GRUPO L.                      </t>
        </is>
      </c>
      <c r="D2571" t="inlineStr">
        <is>
          <t>ANCO</t>
        </is>
      </c>
      <c r="E2571" t="inlineStr">
        <is>
          <t xml:space="preserve">7790216010062       </t>
        </is>
      </c>
      <c r="F2571" t="n">
        <v>4018041</v>
      </c>
      <c r="G2571" t="inlineStr">
        <is>
          <t xml:space="preserve">ZAPALLO ANCO X KG                  </t>
        </is>
      </c>
      <c r="H2571" t="inlineStr">
        <is>
          <t xml:space="preserve">Kgs                 </t>
        </is>
      </c>
      <c r="I2571" t="n">
        <v>6407.842</v>
      </c>
      <c r="J2571" t="n">
        <v>0</v>
      </c>
      <c r="K2571" t="n">
        <v>0</v>
      </c>
      <c r="L2571" t="n">
        <v>1591.745</v>
      </c>
      <c r="M2571" t="n">
        <v>1591.745</v>
      </c>
      <c r="N2571" t="n">
        <v>0</v>
      </c>
      <c r="O2571" t="n">
        <v>3224.352</v>
      </c>
      <c r="P2571" s="96">
        <f>_xlfn.XLOOKUP(Tabla5[[#This Row],[EAN CORREGIDO]],'Tabla Articulos'!B:B,'Tabla Articulos'!D:D)</f>
        <v/>
      </c>
      <c r="Q2571" s="96">
        <f>_xlfn.XLOOKUP(S2571,'Tabla Articulos'!B:B,'Tabla Articulos'!E:E)</f>
        <v/>
      </c>
      <c r="R2571" s="96">
        <f>O2571*Q2571</f>
        <v/>
      </c>
      <c r="S2571" s="97">
        <f>TRIM(E2571)</f>
        <v/>
      </c>
    </row>
    <row r="2572" hidden="1">
      <c r="A2572" s="22" t="n">
        <v>2</v>
      </c>
      <c r="B2572" t="inlineStr">
        <is>
          <t xml:space="preserve">CD CIUDADELA                  </t>
        </is>
      </c>
      <c r="C2572" t="inlineStr">
        <is>
          <t xml:space="preserve">GRUPO L.                      </t>
        </is>
      </c>
      <c r="D2572" t="inlineStr">
        <is>
          <t>DULCE MEMBRILLO LIGHT</t>
        </is>
      </c>
      <c r="E2572" t="inlineStr">
        <is>
          <t xml:space="preserve">7791113006401       </t>
        </is>
      </c>
      <c r="F2572" t="n">
        <v>4020585</v>
      </c>
      <c r="G2572" t="inlineStr">
        <is>
          <t xml:space="preserve">DULCE MEMBRILLO LIGHT X480G EMETH  </t>
        </is>
      </c>
      <c r="H2572" t="inlineStr">
        <is>
          <t xml:space="preserve">UNIDAD              </t>
        </is>
      </c>
      <c r="I2572" t="n">
        <v>26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26</v>
      </c>
      <c r="P2572" s="96">
        <f>_xlfn.XLOOKUP(Tabla5[[#This Row],[EAN CORREGIDO]],'Tabla Articulos'!B:B,'Tabla Articulos'!D:D)</f>
        <v/>
      </c>
      <c r="Q2572" s="96">
        <f>_xlfn.XLOOKUP(S2572,'Tabla Articulos'!B:B,'Tabla Articulos'!E:E)</f>
        <v/>
      </c>
      <c r="R2572" s="96">
        <f>O2572*Q2572</f>
        <v/>
      </c>
      <c r="S2572" s="97">
        <f>TRIM(E2572)</f>
        <v/>
      </c>
    </row>
    <row r="2573" hidden="1">
      <c r="A2573" s="22" t="n">
        <v>2</v>
      </c>
      <c r="B2573" t="inlineStr">
        <is>
          <t xml:space="preserve">CD CIUDADELA                  </t>
        </is>
      </c>
      <c r="C2573" t="inlineStr">
        <is>
          <t xml:space="preserve">GRUPO L.                      </t>
        </is>
      </c>
      <c r="D2573" t="inlineStr">
        <is>
          <t>MORRONES EN LATA</t>
        </is>
      </c>
      <c r="E2573" t="inlineStr">
        <is>
          <t xml:space="preserve">7790499000164       </t>
        </is>
      </c>
      <c r="F2573" t="n">
        <v>4019481</v>
      </c>
      <c r="G2573" t="inlineStr">
        <is>
          <t xml:space="preserve">MORRONES ENTEROS X 780GR LA BANDA  </t>
        </is>
      </c>
      <c r="H2573" t="inlineStr">
        <is>
          <t xml:space="preserve">UNIDAD              </t>
        </is>
      </c>
      <c r="I2573" t="n">
        <v>260</v>
      </c>
      <c r="J2573" t="n">
        <v>0</v>
      </c>
      <c r="K2573" t="n">
        <v>0</v>
      </c>
      <c r="L2573" t="n">
        <v>1</v>
      </c>
      <c r="M2573" t="n">
        <v>1</v>
      </c>
      <c r="N2573" t="n">
        <v>0</v>
      </c>
      <c r="O2573" t="n">
        <v>258</v>
      </c>
      <c r="P2573" s="96">
        <f>_xlfn.XLOOKUP(Tabla5[[#This Row],[EAN CORREGIDO]],'Tabla Articulos'!B:B,'Tabla Articulos'!D:D)</f>
        <v/>
      </c>
      <c r="Q2573" s="96">
        <f>_xlfn.XLOOKUP(S2573,'Tabla Articulos'!B:B,'Tabla Articulos'!E:E)</f>
        <v/>
      </c>
      <c r="R2573" s="96">
        <f>O2573*Q2573</f>
        <v/>
      </c>
      <c r="S2573" s="97">
        <f>TRIM(E2573)</f>
        <v/>
      </c>
    </row>
    <row r="2574" hidden="1">
      <c r="A2574" s="22" t="n">
        <v>2</v>
      </c>
      <c r="B2574" t="inlineStr">
        <is>
          <t xml:space="preserve">CD CIUDADELA                  </t>
        </is>
      </c>
      <c r="C2574" t="inlineStr">
        <is>
          <t xml:space="preserve">GRUPO L.                      </t>
        </is>
      </c>
      <c r="D2574" t="inlineStr">
        <is>
          <t>PERA</t>
        </is>
      </c>
      <c r="E2574" t="inlineStr">
        <is>
          <t xml:space="preserve">7790216020066       </t>
        </is>
      </c>
      <c r="F2574" t="n">
        <v>4017993</v>
      </c>
      <c r="G2574" t="inlineStr">
        <is>
          <t xml:space="preserve">FRUTA PERA X U                     </t>
        </is>
      </c>
      <c r="H2574" t="inlineStr">
        <is>
          <t xml:space="preserve">UNIDAD              </t>
        </is>
      </c>
      <c r="I2574" t="n">
        <v>40224.98</v>
      </c>
      <c r="J2574" t="n">
        <v>0</v>
      </c>
      <c r="K2574" t="n">
        <v>0</v>
      </c>
      <c r="L2574" t="n">
        <v>438</v>
      </c>
      <c r="M2574" t="n">
        <v>37378</v>
      </c>
      <c r="N2574" t="n">
        <v>0</v>
      </c>
      <c r="O2574" t="n">
        <v>2408.98</v>
      </c>
      <c r="P2574" s="96">
        <f>_xlfn.XLOOKUP(Tabla5[[#This Row],[EAN CORREGIDO]],'Tabla Articulos'!B:B,'Tabla Articulos'!D:D)</f>
        <v/>
      </c>
      <c r="Q2574" s="96">
        <f>_xlfn.XLOOKUP(S2574,'Tabla Articulos'!B:B,'Tabla Articulos'!E:E)</f>
        <v/>
      </c>
      <c r="R2574" s="96">
        <f>O2574*Q2574</f>
        <v/>
      </c>
      <c r="S2574" s="97">
        <f>TRIM(E2574)</f>
        <v/>
      </c>
    </row>
    <row r="2575" hidden="1">
      <c r="A2575" s="22" t="n">
        <v>2</v>
      </c>
      <c r="B2575" t="inlineStr">
        <is>
          <t xml:space="preserve">CD CIUDADELA                  </t>
        </is>
      </c>
      <c r="C2575" t="inlineStr">
        <is>
          <t xml:space="preserve">GRUPO L.                      </t>
        </is>
      </c>
      <c r="D2575" t="inlineStr">
        <is>
          <t>LIMA</t>
        </is>
      </c>
      <c r="E2575" t="inlineStr">
        <is>
          <t xml:space="preserve">7790216020102       </t>
        </is>
      </c>
      <c r="F2575" t="n">
        <v>4018078</v>
      </c>
      <c r="G2575" t="inlineStr">
        <is>
          <t xml:space="preserve">LIMA x KG                          </t>
        </is>
      </c>
      <c r="H2575" t="inlineStr">
        <is>
          <t xml:space="preserve">Kgs                 </t>
        </is>
      </c>
      <c r="I2575" t="n">
        <v>36.4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36.4</v>
      </c>
      <c r="P2575" s="96">
        <f>_xlfn.XLOOKUP(Tabla5[[#This Row],[EAN CORREGIDO]],'Tabla Articulos'!B:B,'Tabla Articulos'!D:D)</f>
        <v/>
      </c>
      <c r="Q2575" s="96">
        <f>_xlfn.XLOOKUP(S2575,'Tabla Articulos'!B:B,'Tabla Articulos'!E:E)</f>
        <v/>
      </c>
      <c r="R2575" s="96">
        <f>O2575*Q2575</f>
        <v/>
      </c>
      <c r="S2575" s="97">
        <f>TRIM(E2575)</f>
        <v/>
      </c>
    </row>
    <row r="2576" hidden="1">
      <c r="A2576" s="22" t="n">
        <v>2</v>
      </c>
      <c r="B2576" t="inlineStr">
        <is>
          <t xml:space="preserve">CD CIUDADELA                  </t>
        </is>
      </c>
      <c r="C2576" t="inlineStr">
        <is>
          <t xml:space="preserve">GRUPO L.                      </t>
        </is>
      </c>
      <c r="D2576" t="inlineStr">
        <is>
          <t>JUGO LIMON</t>
        </is>
      </c>
      <c r="E2576" t="inlineStr">
        <is>
          <t xml:space="preserve">7798071200483       </t>
        </is>
      </c>
      <c r="F2576" t="n">
        <v>4021571</v>
      </c>
      <c r="G2576" t="inlineStr">
        <is>
          <t xml:space="preserve">JUGO DE LIMON X 5LT ABRA           </t>
        </is>
      </c>
      <c r="H2576" t="inlineStr">
        <is>
          <t xml:space="preserve">UNIDAD              </t>
        </is>
      </c>
      <c r="I2576" t="n">
        <v>263</v>
      </c>
      <c r="J2576" t="n">
        <v>0</v>
      </c>
      <c r="K2576" t="n">
        <v>0</v>
      </c>
      <c r="L2576" t="n">
        <v>14</v>
      </c>
      <c r="M2576" t="n">
        <v>14</v>
      </c>
      <c r="N2576" t="n">
        <v>0</v>
      </c>
      <c r="O2576" t="n">
        <v>235</v>
      </c>
      <c r="P2576" s="96">
        <f>_xlfn.XLOOKUP(Tabla5[[#This Row],[EAN CORREGIDO]],'Tabla Articulos'!B:B,'Tabla Articulos'!D:D)</f>
        <v/>
      </c>
      <c r="Q2576" s="96">
        <f>_xlfn.XLOOKUP(S2576,'Tabla Articulos'!B:B,'Tabla Articulos'!E:E)</f>
        <v/>
      </c>
      <c r="R2576" s="96">
        <f>O2576*Q2576</f>
        <v/>
      </c>
      <c r="S2576" s="97">
        <f>TRIM(E2576)</f>
        <v/>
      </c>
    </row>
    <row r="2577" hidden="1">
      <c r="A2577" s="22" t="n">
        <v>2</v>
      </c>
      <c r="B2577" t="inlineStr">
        <is>
          <t xml:space="preserve">CD CIUDADELA                  </t>
        </is>
      </c>
      <c r="C2577" t="inlineStr">
        <is>
          <t xml:space="preserve">GRUPO L.                      </t>
        </is>
      </c>
      <c r="D2577" t="inlineStr">
        <is>
          <t>QUESO UNTABLE</t>
        </is>
      </c>
      <c r="E2577" t="inlineStr">
        <is>
          <t xml:space="preserve">7794990879656       </t>
        </is>
      </c>
      <c r="F2577" t="n">
        <v>4018327</v>
      </c>
      <c r="G2577" t="inlineStr">
        <is>
          <t xml:space="preserve">QUESO CREMA TRAD.PAULINAX290       </t>
        </is>
      </c>
      <c r="H2577" t="inlineStr">
        <is>
          <t xml:space="preserve">UNIDAD              </t>
        </is>
      </c>
      <c r="I2577" t="n">
        <v>106</v>
      </c>
      <c r="J2577" t="n">
        <v>0</v>
      </c>
      <c r="K2577" t="n">
        <v>0</v>
      </c>
      <c r="L2577" t="n">
        <v>3</v>
      </c>
      <c r="M2577" t="n">
        <v>3</v>
      </c>
      <c r="N2577" t="n">
        <v>0</v>
      </c>
      <c r="O2577" t="n">
        <v>100</v>
      </c>
      <c r="P2577" s="96">
        <f>_xlfn.XLOOKUP(Tabla5[[#This Row],[EAN CORREGIDO]],'Tabla Articulos'!B:B,'Tabla Articulos'!D:D)</f>
        <v/>
      </c>
      <c r="Q2577" s="96">
        <f>_xlfn.XLOOKUP(S2577,'Tabla Articulos'!B:B,'Tabla Articulos'!E:E)</f>
        <v/>
      </c>
      <c r="R2577" s="96">
        <f>O2577*Q2577</f>
        <v/>
      </c>
      <c r="S2577" s="97">
        <f>TRIM(E2577)</f>
        <v/>
      </c>
    </row>
    <row r="2578" hidden="1">
      <c r="A2578" s="22" t="n">
        <v>2</v>
      </c>
      <c r="B2578" t="inlineStr">
        <is>
          <t xml:space="preserve">CD CIUDADELA                  </t>
        </is>
      </c>
      <c r="C2578" t="inlineStr">
        <is>
          <t xml:space="preserve">GRUPO L.                      </t>
        </is>
      </c>
      <c r="D2578" t="inlineStr">
        <is>
          <t>CALDO CUBOS GALLINA</t>
        </is>
      </c>
      <c r="E2578" t="inlineStr">
        <is>
          <t xml:space="preserve">7790989004306       </t>
        </is>
      </c>
      <c r="F2578" t="n">
        <v>4019863</v>
      </c>
      <c r="G2578" t="inlineStr">
        <is>
          <t xml:space="preserve">CALDO GALLINA X12U LA MERE MIC     </t>
        </is>
      </c>
      <c r="H2578" t="inlineStr">
        <is>
          <t xml:space="preserve">UNIDAD              </t>
        </is>
      </c>
      <c r="I2578" t="n">
        <v>694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694</v>
      </c>
      <c r="P2578" s="96">
        <f>_xlfn.XLOOKUP(Tabla5[[#This Row],[EAN CORREGIDO]],'Tabla Articulos'!B:B,'Tabla Articulos'!D:D)</f>
        <v/>
      </c>
      <c r="Q2578" s="96">
        <f>_xlfn.XLOOKUP(S2578,'Tabla Articulos'!B:B,'Tabla Articulos'!E:E)</f>
        <v/>
      </c>
      <c r="R2578" s="96">
        <f>O2578*Q2578</f>
        <v/>
      </c>
      <c r="S2578" s="97">
        <f>TRIM(E2578)</f>
        <v/>
      </c>
    </row>
    <row r="2579" hidden="1">
      <c r="A2579" s="22" t="n">
        <v>2</v>
      </c>
      <c r="B2579" t="inlineStr">
        <is>
          <t xml:space="preserve">CD CIUDADELA                  </t>
        </is>
      </c>
      <c r="C2579" t="inlineStr">
        <is>
          <t xml:space="preserve">GRUPO L.                      </t>
        </is>
      </c>
      <c r="D2579" t="inlineStr">
        <is>
          <t>FLAN LIGHT VAINILLA</t>
        </is>
      </c>
      <c r="E2579" t="inlineStr">
        <is>
          <t xml:space="preserve">7790971000378       </t>
        </is>
      </c>
      <c r="F2579" t="n">
        <v>4020647</v>
      </c>
      <c r="G2579" t="inlineStr">
        <is>
          <t xml:space="preserve">FLAN VAIN LIGHT X1KG ORLOC         </t>
        </is>
      </c>
      <c r="H2579" t="inlineStr">
        <is>
          <t xml:space="preserve">UNIDAD              </t>
        </is>
      </c>
      <c r="I2579" t="n">
        <v>246</v>
      </c>
      <c r="J2579" t="n">
        <v>0</v>
      </c>
      <c r="K2579" t="n">
        <v>0</v>
      </c>
      <c r="L2579" t="n">
        <v>2</v>
      </c>
      <c r="M2579" t="n">
        <v>2</v>
      </c>
      <c r="N2579" t="n">
        <v>0</v>
      </c>
      <c r="O2579" t="n">
        <v>242</v>
      </c>
      <c r="P2579" s="96">
        <f>_xlfn.XLOOKUP(Tabla5[[#This Row],[EAN CORREGIDO]],'Tabla Articulos'!B:B,'Tabla Articulos'!D:D)</f>
        <v/>
      </c>
      <c r="Q2579" s="96">
        <f>_xlfn.XLOOKUP(S2579,'Tabla Articulos'!B:B,'Tabla Articulos'!E:E)</f>
        <v/>
      </c>
      <c r="R2579" s="96">
        <f>O2579*Q2579</f>
        <v/>
      </c>
      <c r="S2579" s="97">
        <f>TRIM(E2579)</f>
        <v/>
      </c>
    </row>
    <row r="2580" hidden="1">
      <c r="A2580" s="22" t="n">
        <v>2</v>
      </c>
      <c r="B2580" t="inlineStr">
        <is>
          <t xml:space="preserve">CD CIUDADELA                  </t>
        </is>
      </c>
      <c r="C2580" t="inlineStr">
        <is>
          <t xml:space="preserve">GRUPO L.                      </t>
        </is>
      </c>
      <c r="D2580" t="inlineStr">
        <is>
          <t>QUESO POR SALUT S/SAL</t>
        </is>
      </c>
      <c r="E2580" t="inlineStr">
        <is>
          <t xml:space="preserve">7790000000764       </t>
        </is>
      </c>
      <c r="F2580" t="n">
        <v>4076948</v>
      </c>
      <c r="G2580" t="inlineStr">
        <is>
          <t>QUESO P/SALUD S/SAL DESC XKG LUZ AZ</t>
        </is>
      </c>
      <c r="H2580" t="inlineStr">
        <is>
          <t xml:space="preserve">Kgs                 </t>
        </is>
      </c>
      <c r="I2580" t="n">
        <v>82.98</v>
      </c>
      <c r="J2580" t="n">
        <v>0</v>
      </c>
      <c r="K2580" t="n">
        <v>0</v>
      </c>
      <c r="L2580" t="n">
        <v>2.36</v>
      </c>
      <c r="M2580" t="n">
        <v>2.36</v>
      </c>
      <c r="N2580" t="n">
        <v>0</v>
      </c>
      <c r="O2580" t="n">
        <v>78.26000000000001</v>
      </c>
      <c r="P2580" s="96">
        <f>_xlfn.XLOOKUP(Tabla5[[#This Row],[EAN CORREGIDO]],'Tabla Articulos'!B:B,'Tabla Articulos'!D:D)</f>
        <v/>
      </c>
      <c r="Q2580" s="96">
        <f>_xlfn.XLOOKUP(S2580,'Tabla Articulos'!B:B,'Tabla Articulos'!E:E)</f>
        <v/>
      </c>
      <c r="R2580" s="96">
        <f>O2580*Q2580</f>
        <v/>
      </c>
      <c r="S2580" s="97">
        <f>TRIM(E2580)</f>
        <v/>
      </c>
    </row>
    <row r="2581" hidden="1">
      <c r="A2581" s="22" t="n">
        <v>2</v>
      </c>
      <c r="B2581" t="inlineStr">
        <is>
          <t xml:space="preserve">CD CIUDADELA                  </t>
        </is>
      </c>
      <c r="C2581" t="inlineStr">
        <is>
          <t xml:space="preserve">GRUPO L.                      </t>
        </is>
      </c>
      <c r="D2581" t="inlineStr">
        <is>
          <t>CALDO CUBOS VERDURA</t>
        </is>
      </c>
      <c r="E2581" t="inlineStr">
        <is>
          <t xml:space="preserve">7794000008557       </t>
        </is>
      </c>
      <c r="F2581" t="n">
        <v>4076753</v>
      </c>
      <c r="G2581" t="inlineStr">
        <is>
          <t xml:space="preserve">CALDO VERDURA CAJAX12U KNORR       </t>
        </is>
      </c>
      <c r="H2581" t="inlineStr">
        <is>
          <t xml:space="preserve">UNIDAD              </t>
        </is>
      </c>
      <c r="I2581" t="n">
        <v>6</v>
      </c>
      <c r="J2581" t="n">
        <v>0</v>
      </c>
      <c r="K2581" t="n">
        <v>0</v>
      </c>
      <c r="L2581" t="n">
        <v>2</v>
      </c>
      <c r="M2581" t="n">
        <v>2</v>
      </c>
      <c r="N2581" t="n">
        <v>0</v>
      </c>
      <c r="O2581" t="n">
        <v>2</v>
      </c>
      <c r="P2581" s="96">
        <f>_xlfn.XLOOKUP(Tabla5[[#This Row],[EAN CORREGIDO]],'Tabla Articulos'!B:B,'Tabla Articulos'!D:D)</f>
        <v/>
      </c>
      <c r="Q2581" s="96">
        <f>_xlfn.XLOOKUP(S2581,'Tabla Articulos'!B:B,'Tabla Articulos'!E:E)</f>
        <v/>
      </c>
      <c r="R2581" s="96">
        <f>O2581*Q2581</f>
        <v/>
      </c>
      <c r="S2581" s="97">
        <f>TRIM(E2581)</f>
        <v/>
      </c>
    </row>
    <row r="2582" hidden="1">
      <c r="A2582" s="22" t="n">
        <v>2</v>
      </c>
      <c r="B2582" t="inlineStr">
        <is>
          <t xml:space="preserve">CD CIUDADELA                  </t>
        </is>
      </c>
      <c r="C2582" t="inlineStr">
        <is>
          <t xml:space="preserve">GRUPO L.                      </t>
        </is>
      </c>
      <c r="D2582" t="inlineStr">
        <is>
          <t>DULCE BATATA</t>
        </is>
      </c>
      <c r="E2582" t="inlineStr">
        <is>
          <t xml:space="preserve">7792260000533       </t>
        </is>
      </c>
      <c r="F2582" t="n">
        <v>4024068</v>
      </c>
      <c r="G2582" t="inlineStr">
        <is>
          <t xml:space="preserve">DULCE BATATA VAINILLA 500G ORIET   </t>
        </is>
      </c>
      <c r="H2582" t="inlineStr">
        <is>
          <t xml:space="preserve">UNIDAD              </t>
        </is>
      </c>
      <c r="I2582" t="n">
        <v>18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18</v>
      </c>
      <c r="P2582" s="96">
        <f>_xlfn.XLOOKUP(Tabla5[[#This Row],[EAN CORREGIDO]],'Tabla Articulos'!B:B,'Tabla Articulos'!D:D)</f>
        <v/>
      </c>
      <c r="Q2582" s="96">
        <f>_xlfn.XLOOKUP(S2582,'Tabla Articulos'!B:B,'Tabla Articulos'!E:E)</f>
        <v/>
      </c>
      <c r="R2582" s="96">
        <f>O2582*Q2582</f>
        <v/>
      </c>
      <c r="S2582" s="97">
        <f>TRIM(E2582)</f>
        <v/>
      </c>
    </row>
    <row r="2583" hidden="1">
      <c r="A2583" s="22" t="n">
        <v>2</v>
      </c>
      <c r="B2583" t="inlineStr">
        <is>
          <t xml:space="preserve">CD CIUDADELA                  </t>
        </is>
      </c>
      <c r="C2583" t="inlineStr">
        <is>
          <t xml:space="preserve">GRUPO L.                      </t>
        </is>
      </c>
      <c r="D2583" t="inlineStr">
        <is>
          <t>DURAZNO LIGHT LATA</t>
        </is>
      </c>
      <c r="E2583" t="inlineStr">
        <is>
          <t xml:space="preserve">7798132920404       </t>
        </is>
      </c>
      <c r="F2583" t="n">
        <v>4020454</v>
      </c>
      <c r="G2583" t="inlineStr">
        <is>
          <t xml:space="preserve">DURAZNO LIGHT X820G ALCO	          </t>
        </is>
      </c>
      <c r="H2583" t="inlineStr">
        <is>
          <t xml:space="preserve">UNIDAD              </t>
        </is>
      </c>
      <c r="I2583" t="n">
        <v>1243</v>
      </c>
      <c r="J2583" t="n">
        <v>0</v>
      </c>
      <c r="K2583" t="n">
        <v>0</v>
      </c>
      <c r="L2583" t="n">
        <v>136</v>
      </c>
      <c r="M2583" t="n">
        <v>136</v>
      </c>
      <c r="N2583" t="n">
        <v>0</v>
      </c>
      <c r="O2583" t="n">
        <v>971</v>
      </c>
      <c r="P2583" s="96">
        <f>_xlfn.XLOOKUP(Tabla5[[#This Row],[EAN CORREGIDO]],'Tabla Articulos'!B:B,'Tabla Articulos'!D:D)</f>
        <v/>
      </c>
      <c r="Q2583" s="96">
        <f>_xlfn.XLOOKUP(S2583,'Tabla Articulos'!B:B,'Tabla Articulos'!E:E)</f>
        <v/>
      </c>
      <c r="R2583" s="96">
        <f>O2583*Q2583</f>
        <v/>
      </c>
      <c r="S2583" s="97">
        <f>TRIM(E2583)</f>
        <v/>
      </c>
    </row>
    <row r="2584" hidden="1">
      <c r="A2584" s="22" t="n">
        <v>2</v>
      </c>
      <c r="B2584" t="inlineStr">
        <is>
          <t xml:space="preserve">CD CIUDADELA                  </t>
        </is>
      </c>
      <c r="C2584" t="inlineStr">
        <is>
          <t xml:space="preserve">GRUPO L.                      </t>
        </is>
      </c>
      <c r="D2584" t="inlineStr">
        <is>
          <t>MANDARINA SAE</t>
        </is>
      </c>
      <c r="E2584" t="inlineStr">
        <is>
          <t xml:space="preserve">7790216020113       </t>
        </is>
      </c>
      <c r="F2584" t="n">
        <v>4018040</v>
      </c>
      <c r="G2584" t="inlineStr">
        <is>
          <t xml:space="preserve">FRUTA MANDARINA SAE 100-130 XU     </t>
        </is>
      </c>
      <c r="H2584" t="inlineStr">
        <is>
          <t xml:space="preserve">UNIDAD              </t>
        </is>
      </c>
      <c r="I2584" t="n">
        <v>6377</v>
      </c>
      <c r="J2584" t="n">
        <v>0</v>
      </c>
      <c r="K2584" t="n">
        <v>0</v>
      </c>
      <c r="L2584" t="n">
        <v>1897</v>
      </c>
      <c r="M2584" t="n">
        <v>2797</v>
      </c>
      <c r="N2584" t="n">
        <v>0</v>
      </c>
      <c r="O2584" t="n">
        <v>1683</v>
      </c>
      <c r="P2584" s="96">
        <f>_xlfn.XLOOKUP(Tabla5[[#This Row],[EAN CORREGIDO]],'Tabla Articulos'!B:B,'Tabla Articulos'!D:D)</f>
        <v/>
      </c>
      <c r="Q2584" s="96">
        <f>_xlfn.XLOOKUP(S2584,'Tabla Articulos'!B:B,'Tabla Articulos'!E:E)</f>
        <v/>
      </c>
      <c r="R2584" s="96">
        <f>O2584*Q2584</f>
        <v/>
      </c>
      <c r="S2584" s="97">
        <f>TRIM(E2584)</f>
        <v/>
      </c>
    </row>
    <row r="2585" hidden="1">
      <c r="A2585" s="22" t="n">
        <v>2</v>
      </c>
      <c r="B2585" t="inlineStr">
        <is>
          <t xml:space="preserve">CD CIUDADELA                  </t>
        </is>
      </c>
      <c r="C2585" t="inlineStr">
        <is>
          <t xml:space="preserve">GRUPO L.                      </t>
        </is>
      </c>
      <c r="D2585" t="inlineStr">
        <is>
          <t>YOGUR ENTERO FRUTILLA</t>
        </is>
      </c>
      <c r="E2585" t="inlineStr">
        <is>
          <t xml:space="preserve">7790787960514       </t>
        </is>
      </c>
      <c r="F2585" t="n">
        <v>4018316</v>
      </c>
      <c r="G2585" t="inlineStr">
        <is>
          <t xml:space="preserve">YOGUR ENT FRUTILLA X900G ILOLAY    </t>
        </is>
      </c>
      <c r="H2585" t="inlineStr">
        <is>
          <t xml:space="preserve">UNIDAD              </t>
        </is>
      </c>
      <c r="I2585" t="n">
        <v>11888</v>
      </c>
      <c r="J2585" t="n">
        <v>0</v>
      </c>
      <c r="K2585" t="n">
        <v>0</v>
      </c>
      <c r="L2585" t="n">
        <v>43</v>
      </c>
      <c r="M2585" t="n">
        <v>43</v>
      </c>
      <c r="N2585" t="n">
        <v>0</v>
      </c>
      <c r="O2585" t="n">
        <v>11802</v>
      </c>
      <c r="P2585" s="96">
        <f>_xlfn.XLOOKUP(Tabla5[[#This Row],[EAN CORREGIDO]],'Tabla Articulos'!B:B,'Tabla Articulos'!D:D)</f>
        <v/>
      </c>
      <c r="Q2585" s="96">
        <f>_xlfn.XLOOKUP(S2585,'Tabla Articulos'!B:B,'Tabla Articulos'!E:E)</f>
        <v/>
      </c>
      <c r="R2585" s="96">
        <f>O2585*Q2585</f>
        <v/>
      </c>
      <c r="S2585" s="97">
        <f>TRIM(E2585)</f>
        <v/>
      </c>
    </row>
    <row r="2586" hidden="1">
      <c r="A2586" s="22" t="n">
        <v>2</v>
      </c>
      <c r="B2586" t="inlineStr">
        <is>
          <t xml:space="preserve">CD CIUDADELA                  </t>
        </is>
      </c>
      <c r="C2586" t="inlineStr">
        <is>
          <t xml:space="preserve">GRUPO L.                      </t>
        </is>
      </c>
      <c r="D2586" t="inlineStr">
        <is>
          <t>TOSTADA INDIVIDUAL S/SAL</t>
        </is>
      </c>
      <c r="E2586" t="inlineStr">
        <is>
          <t xml:space="preserve">7798120180728       </t>
        </is>
      </c>
      <c r="F2586" t="n">
        <v>4018879</v>
      </c>
      <c r="G2586" t="inlineStr">
        <is>
          <t xml:space="preserve">TOSTADA IND S/SAL X17G MANIERI     </t>
        </is>
      </c>
      <c r="H2586" t="inlineStr">
        <is>
          <t xml:space="preserve">UNIDAD              </t>
        </is>
      </c>
      <c r="I2586" t="n">
        <v>3480</v>
      </c>
      <c r="J2586" t="n">
        <v>0</v>
      </c>
      <c r="K2586" t="n">
        <v>0</v>
      </c>
      <c r="L2586" t="n">
        <v>360</v>
      </c>
      <c r="M2586" t="n">
        <v>360</v>
      </c>
      <c r="N2586" t="n">
        <v>0</v>
      </c>
      <c r="O2586" t="n">
        <v>2760</v>
      </c>
      <c r="P2586" s="96">
        <f>_xlfn.XLOOKUP(Tabla5[[#This Row],[EAN CORREGIDO]],'Tabla Articulos'!B:B,'Tabla Articulos'!D:D)</f>
        <v/>
      </c>
      <c r="Q2586" s="96">
        <f>_xlfn.XLOOKUP(S2586,'Tabla Articulos'!B:B,'Tabla Articulos'!E:E)</f>
        <v/>
      </c>
      <c r="R2586" s="96">
        <f>O2586*Q2586</f>
        <v/>
      </c>
      <c r="S2586" s="97">
        <f>TRIM(E2586)</f>
        <v/>
      </c>
    </row>
    <row r="2587" hidden="1">
      <c r="A2587" s="22" t="n">
        <v>2</v>
      </c>
      <c r="B2587" t="inlineStr">
        <is>
          <t xml:space="preserve">CD CIUDADELA                  </t>
        </is>
      </c>
      <c r="C2587" t="inlineStr">
        <is>
          <t xml:space="preserve">GRUPO L.                      </t>
        </is>
      </c>
      <c r="D2587" t="inlineStr">
        <is>
          <t>VASO PLASTICO</t>
        </is>
      </c>
      <c r="E2587" t="inlineStr">
        <is>
          <t xml:space="preserve">7790000000675       </t>
        </is>
      </c>
      <c r="F2587" t="n">
        <v>2011433</v>
      </c>
      <c r="G2587" t="inlineStr">
        <is>
          <t xml:space="preserve">VASO 14OZ POLIP B.CAFE X50U ETISOL </t>
        </is>
      </c>
      <c r="H2587" t="inlineStr">
        <is>
          <t xml:space="preserve">UNIDAD              </t>
        </is>
      </c>
      <c r="I2587" t="n">
        <v>8</v>
      </c>
      <c r="J2587" t="n">
        <v>0</v>
      </c>
      <c r="K2587" t="n">
        <v>0</v>
      </c>
      <c r="L2587" t="n">
        <v>0</v>
      </c>
      <c r="M2587" t="n">
        <v>0</v>
      </c>
      <c r="N2587" t="n">
        <v>2</v>
      </c>
      <c r="O2587" t="n">
        <v>6</v>
      </c>
      <c r="P2587" s="96">
        <f>_xlfn.XLOOKUP(Tabla5[[#This Row],[EAN CORREGIDO]],'Tabla Articulos'!B:B,'Tabla Articulos'!D:D)</f>
        <v/>
      </c>
      <c r="Q2587" s="96">
        <f>_xlfn.XLOOKUP(S2587,'Tabla Articulos'!B:B,'Tabla Articulos'!E:E)</f>
        <v/>
      </c>
      <c r="R2587" s="96">
        <f>O2587*Q2587</f>
        <v/>
      </c>
      <c r="S2587" s="97">
        <f>TRIM(E2587)</f>
        <v/>
      </c>
    </row>
    <row r="2588" hidden="1">
      <c r="A2588" s="22" t="n">
        <v>2</v>
      </c>
      <c r="B2588" t="inlineStr">
        <is>
          <t xml:space="preserve">CD CIUDADELA                  </t>
        </is>
      </c>
      <c r="C2588" t="inlineStr">
        <is>
          <t xml:space="preserve">GRUPO L.                      </t>
        </is>
      </c>
      <c r="D2588" t="inlineStr">
        <is>
          <t>AVELLANAS PELADAS ENT</t>
        </is>
      </c>
      <c r="E2588" t="inlineStr">
        <is>
          <t xml:space="preserve">7793323025074       </t>
        </is>
      </c>
      <c r="F2588" t="n">
        <v>4077317</v>
      </c>
      <c r="G2588" t="inlineStr">
        <is>
          <t xml:space="preserve">AVELLANA PELADA X500GR DICOMERE    </t>
        </is>
      </c>
      <c r="H2588" t="inlineStr">
        <is>
          <t xml:space="preserve">UNIDAD              </t>
        </is>
      </c>
      <c r="I2588" t="n">
        <v>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2</v>
      </c>
      <c r="P2588" s="96">
        <f>_xlfn.XLOOKUP(Tabla5[[#This Row],[EAN CORREGIDO]],'Tabla Articulos'!B:B,'Tabla Articulos'!D:D)</f>
        <v/>
      </c>
      <c r="Q2588" s="96">
        <f>_xlfn.XLOOKUP(S2588,'Tabla Articulos'!B:B,'Tabla Articulos'!E:E)</f>
        <v/>
      </c>
      <c r="R2588" s="96">
        <f>O2588*Q2588</f>
        <v/>
      </c>
      <c r="S2588" s="97">
        <f>TRIM(E2588)</f>
        <v/>
      </c>
    </row>
    <row r="2589" hidden="1">
      <c r="A2589" s="22" t="n">
        <v>2</v>
      </c>
      <c r="B2589" t="inlineStr">
        <is>
          <t xml:space="preserve">CD CIUDADELA                  </t>
        </is>
      </c>
      <c r="C2589" t="inlineStr">
        <is>
          <t xml:space="preserve">GRUPO L.                      </t>
        </is>
      </c>
      <c r="D2589" t="inlineStr">
        <is>
          <t>CACAO</t>
        </is>
      </c>
      <c r="E2589" t="inlineStr">
        <is>
          <t xml:space="preserve">7791113006296       </t>
        </is>
      </c>
      <c r="F2589" t="n">
        <v>4019811</v>
      </c>
      <c r="G2589" t="inlineStr">
        <is>
          <t xml:space="preserve">CACAO X 180GR EMETH                </t>
        </is>
      </c>
      <c r="H2589" t="inlineStr">
        <is>
          <t xml:space="preserve">UNIDAD              </t>
        </is>
      </c>
      <c r="I2589" t="n">
        <v>46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46</v>
      </c>
      <c r="P2589" s="96">
        <f>_xlfn.XLOOKUP(Tabla5[[#This Row],[EAN CORREGIDO]],'Tabla Articulos'!B:B,'Tabla Articulos'!D:D)</f>
        <v/>
      </c>
      <c r="Q2589" s="96">
        <f>_xlfn.XLOOKUP(S2589,'Tabla Articulos'!B:B,'Tabla Articulos'!E:E)</f>
        <v/>
      </c>
      <c r="R2589" s="96">
        <f>O2589*Q2589</f>
        <v/>
      </c>
      <c r="S2589" s="97">
        <f>TRIM(E2589)</f>
        <v/>
      </c>
    </row>
    <row r="2590" hidden="1">
      <c r="A2590" s="22" t="n">
        <v>2</v>
      </c>
      <c r="B2590" t="inlineStr">
        <is>
          <t xml:space="preserve">CD CIUDADELA                  </t>
        </is>
      </c>
      <c r="C2590" t="inlineStr">
        <is>
          <t xml:space="preserve">GRUPO L.                      </t>
        </is>
      </c>
      <c r="D2590" t="inlineStr">
        <is>
          <t>PAN HAMBURGUESA</t>
        </is>
      </c>
      <c r="E2590" t="inlineStr">
        <is>
          <t xml:space="preserve">7790606026728       </t>
        </is>
      </c>
      <c r="F2590" t="n">
        <v>4018412</v>
      </c>
      <c r="G2590" t="inlineStr">
        <is>
          <t xml:space="preserve">PAN HAMBURGUESA X4U NOLY           </t>
        </is>
      </c>
      <c r="H2590" t="inlineStr">
        <is>
          <t xml:space="preserve">UNIDAD              </t>
        </is>
      </c>
      <c r="I2590" t="n">
        <v>299</v>
      </c>
      <c r="J2590" t="n">
        <v>0</v>
      </c>
      <c r="K2590" t="n">
        <v>0</v>
      </c>
      <c r="L2590" t="n">
        <v>45</v>
      </c>
      <c r="M2590" t="n">
        <v>45</v>
      </c>
      <c r="N2590" t="n">
        <v>0</v>
      </c>
      <c r="O2590" t="n">
        <v>209</v>
      </c>
      <c r="P2590" s="96">
        <f>_xlfn.XLOOKUP(Tabla5[[#This Row],[EAN CORREGIDO]],'Tabla Articulos'!B:B,'Tabla Articulos'!D:D)</f>
        <v/>
      </c>
      <c r="Q2590" s="96">
        <f>_xlfn.XLOOKUP(S2590,'Tabla Articulos'!B:B,'Tabla Articulos'!E:E)</f>
        <v/>
      </c>
      <c r="R2590" s="96">
        <f>O2590*Q2590</f>
        <v/>
      </c>
      <c r="S2590" s="97">
        <f>TRIM(E2590)</f>
        <v/>
      </c>
    </row>
    <row r="2591" hidden="1">
      <c r="A2591" s="22" t="n">
        <v>2</v>
      </c>
      <c r="B2591" t="inlineStr">
        <is>
          <t xml:space="preserve">CD CIUDADELA                  </t>
        </is>
      </c>
      <c r="C2591" t="inlineStr">
        <is>
          <t xml:space="preserve">GRUPO L.                      </t>
        </is>
      </c>
      <c r="D2591" t="inlineStr">
        <is>
          <t>PANCETA</t>
        </is>
      </c>
      <c r="E2591" t="inlineStr">
        <is>
          <t xml:space="preserve">7790212050101       </t>
        </is>
      </c>
      <c r="F2591" t="n">
        <v>4017772</v>
      </c>
      <c r="G2591" t="inlineStr">
        <is>
          <t xml:space="preserve">PANCETA X KG                       </t>
        </is>
      </c>
      <c r="H2591" t="inlineStr">
        <is>
          <t xml:space="preserve">Kgs                 </t>
        </is>
      </c>
      <c r="I2591" t="n">
        <v>34.5</v>
      </c>
      <c r="J2591" t="n">
        <v>0</v>
      </c>
      <c r="K2591" t="n">
        <v>0</v>
      </c>
      <c r="L2591" t="n">
        <v>0.6</v>
      </c>
      <c r="M2591" t="n">
        <v>0.6</v>
      </c>
      <c r="N2591" t="n">
        <v>0</v>
      </c>
      <c r="O2591" t="n">
        <v>33.3</v>
      </c>
      <c r="P2591" s="96">
        <f>_xlfn.XLOOKUP(Tabla5[[#This Row],[EAN CORREGIDO]],'Tabla Articulos'!B:B,'Tabla Articulos'!D:D)</f>
        <v/>
      </c>
      <c r="Q2591" s="96">
        <f>_xlfn.XLOOKUP(S2591,'Tabla Articulos'!B:B,'Tabla Articulos'!E:E)</f>
        <v/>
      </c>
      <c r="R2591" s="96">
        <f>O2591*Q2591</f>
        <v/>
      </c>
      <c r="S2591" s="97">
        <f>TRIM(E2591)</f>
        <v/>
      </c>
    </row>
    <row r="2592" hidden="1">
      <c r="A2592" s="22" t="n">
        <v>2</v>
      </c>
      <c r="B2592" t="inlineStr">
        <is>
          <t xml:space="preserve">CD CIUDADELA                  </t>
        </is>
      </c>
      <c r="C2592" t="inlineStr">
        <is>
          <t xml:space="preserve">GRUPO L.                      </t>
        </is>
      </c>
      <c r="D2592" t="inlineStr">
        <is>
          <t>ACEITE OLIVA IND</t>
        </is>
      </c>
      <c r="E2592" t="inlineStr">
        <is>
          <t xml:space="preserve">7798011976478       </t>
        </is>
      </c>
      <c r="F2592" t="n">
        <v>4020278</v>
      </c>
      <c r="G2592" t="inlineStr">
        <is>
          <t xml:space="preserve">ACEITE OLIVA IND X198U ABEDUL      </t>
        </is>
      </c>
      <c r="H2592" t="inlineStr">
        <is>
          <t xml:space="preserve">UNIDAD              </t>
        </is>
      </c>
      <c r="I2592" t="n">
        <v>163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163</v>
      </c>
      <c r="P2592" s="96">
        <f>_xlfn.XLOOKUP(Tabla5[[#This Row],[EAN CORREGIDO]],'Tabla Articulos'!B:B,'Tabla Articulos'!D:D)</f>
        <v/>
      </c>
      <c r="Q2592" s="96">
        <f>_xlfn.XLOOKUP(S2592,'Tabla Articulos'!B:B,'Tabla Articulos'!E:E)</f>
        <v/>
      </c>
      <c r="R2592" s="96">
        <f>O2592*Q2592</f>
        <v/>
      </c>
      <c r="S2592" s="97">
        <f>TRIM(E2592)</f>
        <v/>
      </c>
    </row>
    <row r="2593" hidden="1">
      <c r="A2593" s="22" t="n">
        <v>2</v>
      </c>
      <c r="B2593" t="inlineStr">
        <is>
          <t xml:space="preserve">CD CIUDADELA                  </t>
        </is>
      </c>
      <c r="C2593" t="inlineStr">
        <is>
          <t xml:space="preserve">GRUPO L.                      </t>
        </is>
      </c>
      <c r="D2593" t="inlineStr">
        <is>
          <t>SORRENTINOS</t>
        </is>
      </c>
      <c r="E2593" t="inlineStr">
        <is>
          <t xml:space="preserve">7795711000199       </t>
        </is>
      </c>
      <c r="F2593" t="n">
        <v>4018729</v>
      </c>
      <c r="G2593" t="inlineStr">
        <is>
          <t xml:space="preserve">SORRENTINOS X500GR RICOTAYQUESO    </t>
        </is>
      </c>
      <c r="H2593" t="inlineStr">
        <is>
          <t xml:space="preserve">UNIDAD              </t>
        </is>
      </c>
      <c r="I2593" t="n">
        <v>255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255</v>
      </c>
      <c r="P2593" s="96">
        <f>_xlfn.XLOOKUP(Tabla5[[#This Row],[EAN CORREGIDO]],'Tabla Articulos'!B:B,'Tabla Articulos'!D:D)</f>
        <v/>
      </c>
      <c r="Q2593" s="96">
        <f>_xlfn.XLOOKUP(S2593,'Tabla Articulos'!B:B,'Tabla Articulos'!E:E)</f>
        <v/>
      </c>
      <c r="R2593" s="96">
        <f>O2593*Q2593</f>
        <v/>
      </c>
      <c r="S2593" s="97">
        <f>TRIM(E2593)</f>
        <v/>
      </c>
    </row>
    <row r="2594" hidden="1">
      <c r="A2594" s="22" t="n">
        <v>2</v>
      </c>
      <c r="B2594" t="inlineStr">
        <is>
          <t xml:space="preserve">CD CIUDADELA                  </t>
        </is>
      </c>
      <c r="C2594" t="inlineStr">
        <is>
          <t xml:space="preserve">GRUPO L.                      </t>
        </is>
      </c>
      <c r="D2594" t="inlineStr">
        <is>
          <t>BANDEJA 105 CUADRADA</t>
        </is>
      </c>
      <c r="E2594" t="inlineStr">
        <is>
          <t xml:space="preserve">7798011210077       </t>
        </is>
      </c>
      <c r="F2594" t="n">
        <v>2011497</v>
      </c>
      <c r="G2594" t="inlineStr">
        <is>
          <t xml:space="preserve">BANDEJA 105 X100U COTNYL           </t>
        </is>
      </c>
      <c r="H2594" t="inlineStr">
        <is>
          <t xml:space="preserve">UNIDAD              </t>
        </is>
      </c>
      <c r="I2594" t="n">
        <v>266</v>
      </c>
      <c r="J2594" t="n">
        <v>0</v>
      </c>
      <c r="K2594" t="n">
        <v>0</v>
      </c>
      <c r="L2594" t="n">
        <v>10</v>
      </c>
      <c r="M2594" t="n">
        <v>10</v>
      </c>
      <c r="N2594" t="n">
        <v>0</v>
      </c>
      <c r="O2594" t="n">
        <v>246</v>
      </c>
      <c r="P2594" s="96">
        <f>_xlfn.XLOOKUP(Tabla5[[#This Row],[EAN CORREGIDO]],'Tabla Articulos'!B:B,'Tabla Articulos'!D:D)</f>
        <v/>
      </c>
      <c r="Q2594" s="96">
        <f>_xlfn.XLOOKUP(S2594,'Tabla Articulos'!B:B,'Tabla Articulos'!E:E)</f>
        <v/>
      </c>
      <c r="R2594" s="96">
        <f>O2594*Q2594</f>
        <v/>
      </c>
      <c r="S2594" s="97">
        <f>TRIM(E2594)</f>
        <v/>
      </c>
    </row>
    <row r="2595" hidden="1">
      <c r="A2595" s="22" t="n">
        <v>2</v>
      </c>
      <c r="B2595" t="inlineStr">
        <is>
          <t xml:space="preserve">CD CIUDADELA                  </t>
        </is>
      </c>
      <c r="C2595" t="inlineStr">
        <is>
          <t xml:space="preserve">GRUPO L.                      </t>
        </is>
      </c>
      <c r="D2595" t="inlineStr">
        <is>
          <t>BARRA DE CHOCOLATE</t>
        </is>
      </c>
      <c r="E2595" t="inlineStr">
        <is>
          <t xml:space="preserve">7798401690083       </t>
        </is>
      </c>
      <c r="F2595" t="n">
        <v>4076941</v>
      </c>
      <c r="G2595" t="inlineStr">
        <is>
          <t>BARRA QUINOA CHOCO BCO X20G WAKE UP</t>
        </is>
      </c>
      <c r="H2595" t="inlineStr">
        <is>
          <t xml:space="preserve">UNIDAD              </t>
        </is>
      </c>
      <c r="I2595" t="n">
        <v>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2</v>
      </c>
      <c r="P2595" s="96">
        <f>_xlfn.XLOOKUP(Tabla5[[#This Row],[EAN CORREGIDO]],'Tabla Articulos'!B:B,'Tabla Articulos'!D:D)</f>
        <v/>
      </c>
      <c r="Q2595" s="96">
        <f>_xlfn.XLOOKUP(S2595,'Tabla Articulos'!B:B,'Tabla Articulos'!E:E)</f>
        <v/>
      </c>
      <c r="R2595" s="96">
        <f>O2595*Q2595</f>
        <v/>
      </c>
      <c r="S2595" s="97">
        <f>TRIM(E2595)</f>
        <v/>
      </c>
    </row>
    <row r="2596" hidden="1">
      <c r="A2596" s="22" t="n">
        <v>2</v>
      </c>
      <c r="B2596" t="inlineStr">
        <is>
          <t xml:space="preserve">CD CIUDADELA                  </t>
        </is>
      </c>
      <c r="C2596" t="inlineStr">
        <is>
          <t xml:space="preserve">GRUPO L.                      </t>
        </is>
      </c>
      <c r="D2596" t="inlineStr">
        <is>
          <t>MANZANA</t>
        </is>
      </c>
      <c r="E2596" t="inlineStr">
        <is>
          <t xml:space="preserve">7790216020105       </t>
        </is>
      </c>
      <c r="F2596" t="n">
        <v>4018079</v>
      </c>
      <c r="G2596" t="inlineStr">
        <is>
          <t xml:space="preserve">MANZANA x KG                       </t>
        </is>
      </c>
      <c r="H2596" t="inlineStr">
        <is>
          <t xml:space="preserve">Kgs                 </t>
        </is>
      </c>
      <c r="I2596" t="n">
        <v>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1</v>
      </c>
      <c r="P2596" s="96">
        <f>_xlfn.XLOOKUP(Tabla5[[#This Row],[EAN CORREGIDO]],'Tabla Articulos'!B:B,'Tabla Articulos'!D:D)</f>
        <v/>
      </c>
      <c r="Q2596" s="96">
        <f>_xlfn.XLOOKUP(S2596,'Tabla Articulos'!B:B,'Tabla Articulos'!E:E)</f>
        <v/>
      </c>
      <c r="R2596" s="96">
        <f>O2596*Q2596</f>
        <v/>
      </c>
      <c r="S2596" s="97">
        <f>TRIM(E2596)</f>
        <v/>
      </c>
    </row>
    <row r="2597" hidden="1">
      <c r="A2597" s="22" t="n">
        <v>2</v>
      </c>
      <c r="B2597" t="inlineStr">
        <is>
          <t xml:space="preserve">CD CIUDADELA                  </t>
        </is>
      </c>
      <c r="C2597" t="inlineStr">
        <is>
          <t xml:space="preserve">GRUPO L.                      </t>
        </is>
      </c>
      <c r="D2597" t="inlineStr">
        <is>
          <t>COCTAIL COMUN</t>
        </is>
      </c>
      <c r="E2597" t="inlineStr">
        <is>
          <t xml:space="preserve">7790696002176       </t>
        </is>
      </c>
      <c r="F2597" t="n">
        <v>4076789</v>
      </c>
      <c r="G2597" t="inlineStr">
        <is>
          <t xml:space="preserve">COCTEL DE FRUTAS X820G ABETO       </t>
        </is>
      </c>
      <c r="H2597" t="inlineStr">
        <is>
          <t xml:space="preserve">UNIDAD              </t>
        </is>
      </c>
      <c r="I2597" t="n">
        <v>1560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1560</v>
      </c>
      <c r="P2597" s="96">
        <f>_xlfn.XLOOKUP(Tabla5[[#This Row],[EAN CORREGIDO]],'Tabla Articulos'!B:B,'Tabla Articulos'!D:D)</f>
        <v/>
      </c>
      <c r="Q2597" s="96">
        <f>_xlfn.XLOOKUP(S2597,'Tabla Articulos'!B:B,'Tabla Articulos'!E:E)</f>
        <v/>
      </c>
      <c r="R2597" s="96">
        <f>O2597*Q2597</f>
        <v/>
      </c>
      <c r="S2597" s="97">
        <f>TRIM(E2597)</f>
        <v/>
      </c>
    </row>
    <row r="2598" hidden="1">
      <c r="A2598" s="22" t="n">
        <v>2</v>
      </c>
      <c r="B2598" t="inlineStr">
        <is>
          <t xml:space="preserve">CD CIUDADELA                  </t>
        </is>
      </c>
      <c r="C2598" t="inlineStr">
        <is>
          <t xml:space="preserve">GRUPO L.                      </t>
        </is>
      </c>
      <c r="D2598" t="inlineStr">
        <is>
          <t>CARNE ENTERA</t>
        </is>
      </c>
      <c r="E2598" t="inlineStr">
        <is>
          <t xml:space="preserve">7790212031247       </t>
        </is>
      </c>
      <c r="F2598" t="n">
        <v>4021326</v>
      </c>
      <c r="G2598" t="inlineStr">
        <is>
          <t xml:space="preserve">TAPA DE ASADO X KG                 </t>
        </is>
      </c>
      <c r="H2598" t="inlineStr">
        <is>
          <t xml:space="preserve">Kgs                 </t>
        </is>
      </c>
      <c r="I2598" t="n">
        <v>1182.5</v>
      </c>
      <c r="J2598" t="n">
        <v>0</v>
      </c>
      <c r="K2598" t="n">
        <v>0</v>
      </c>
      <c r="L2598" t="n">
        <v>153.3</v>
      </c>
      <c r="M2598" t="n">
        <v>153.3</v>
      </c>
      <c r="N2598" t="n">
        <v>0</v>
      </c>
      <c r="O2598" t="n">
        <v>875.9</v>
      </c>
      <c r="P2598" s="96">
        <f>_xlfn.XLOOKUP(Tabla5[[#This Row],[EAN CORREGIDO]],'Tabla Articulos'!B:B,'Tabla Articulos'!D:D)</f>
        <v/>
      </c>
      <c r="Q2598" s="96">
        <f>_xlfn.XLOOKUP(S2598,'Tabla Articulos'!B:B,'Tabla Articulos'!E:E)</f>
        <v/>
      </c>
      <c r="R2598" s="96">
        <f>O2598*Q2598</f>
        <v/>
      </c>
      <c r="S2598" s="97">
        <f>TRIM(E2598)</f>
        <v/>
      </c>
    </row>
    <row r="2599" hidden="1">
      <c r="A2599" s="22" t="n">
        <v>2</v>
      </c>
      <c r="B2599" t="inlineStr">
        <is>
          <t xml:space="preserve">CD CIUDADELA                  </t>
        </is>
      </c>
      <c r="C2599" t="inlineStr">
        <is>
          <t xml:space="preserve">GRUPO L.                      </t>
        </is>
      </c>
      <c r="D2599" t="inlineStr">
        <is>
          <t>MAYONESA INDIVIDUAL</t>
        </is>
      </c>
      <c r="E2599" t="inlineStr">
        <is>
          <t xml:space="preserve">67794000006036      </t>
        </is>
      </c>
      <c r="F2599" t="n">
        <v>4023605</v>
      </c>
      <c r="G2599" t="inlineStr">
        <is>
          <t xml:space="preserve">MAYONESA X196UN HELLMANNS          </t>
        </is>
      </c>
      <c r="H2599" t="inlineStr">
        <is>
          <t xml:space="preserve">UNIDAD              </t>
        </is>
      </c>
      <c r="I2599" t="n">
        <v>377</v>
      </c>
      <c r="J2599" t="n">
        <v>0</v>
      </c>
      <c r="K2599" t="n">
        <v>0</v>
      </c>
      <c r="L2599" t="n">
        <v>8</v>
      </c>
      <c r="M2599" t="n">
        <v>8</v>
      </c>
      <c r="N2599" t="n">
        <v>0</v>
      </c>
      <c r="O2599" t="n">
        <v>361</v>
      </c>
      <c r="P2599" s="96">
        <f>_xlfn.XLOOKUP(Tabla5[[#This Row],[EAN CORREGIDO]],'Tabla Articulos'!B:B,'Tabla Articulos'!D:D)</f>
        <v/>
      </c>
      <c r="Q2599" s="96">
        <f>_xlfn.XLOOKUP(S2599,'Tabla Articulos'!B:B,'Tabla Articulos'!E:E)</f>
        <v/>
      </c>
      <c r="R2599" s="96">
        <f>O2599*Q2599</f>
        <v/>
      </c>
      <c r="S2599" s="97">
        <f>TRIM(E2599)</f>
        <v/>
      </c>
    </row>
    <row r="2600" hidden="1">
      <c r="A2600" s="22" t="n">
        <v>2</v>
      </c>
      <c r="B2600" t="inlineStr">
        <is>
          <t xml:space="preserve">CD CIUDADELA                  </t>
        </is>
      </c>
      <c r="C2600" t="inlineStr">
        <is>
          <t xml:space="preserve">GRUPO L.                      </t>
        </is>
      </c>
      <c r="D2600" t="inlineStr">
        <is>
          <t>TE INTI ZEN</t>
        </is>
      </c>
      <c r="E2600" t="inlineStr">
        <is>
          <t xml:space="preserve">7798104307905       </t>
        </is>
      </c>
      <c r="F2600" t="n">
        <v>4049026</v>
      </c>
      <c r="G2600" t="inlineStr">
        <is>
          <t xml:space="preserve">TE ZEN INCA ROSE INTIZEN X15UN     </t>
        </is>
      </c>
      <c r="H2600" t="inlineStr">
        <is>
          <t xml:space="preserve">UNIDAD              </t>
        </is>
      </c>
      <c r="I2600" t="n">
        <v>87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87</v>
      </c>
      <c r="P2600" s="96">
        <f>_xlfn.XLOOKUP(Tabla5[[#This Row],[EAN CORREGIDO]],'Tabla Articulos'!B:B,'Tabla Articulos'!D:D)</f>
        <v/>
      </c>
      <c r="Q2600" s="96">
        <f>_xlfn.XLOOKUP(S2600,'Tabla Articulos'!B:B,'Tabla Articulos'!E:E)</f>
        <v/>
      </c>
      <c r="R2600" s="96">
        <f>O2600*Q2600</f>
        <v/>
      </c>
      <c r="S2600" s="97">
        <f>TRIM(E2600)</f>
        <v/>
      </c>
    </row>
    <row r="2601" hidden="1">
      <c r="A2601" s="22" t="n">
        <v>2</v>
      </c>
      <c r="B2601" t="inlineStr">
        <is>
          <t xml:space="preserve">CD CIUDADELA                  </t>
        </is>
      </c>
      <c r="C2601" t="inlineStr">
        <is>
          <t xml:space="preserve">GRUPO L.                      </t>
        </is>
      </c>
      <c r="D2601" t="inlineStr">
        <is>
          <t>CERDO DESHUESADO REF</t>
        </is>
      </c>
      <c r="E2601" t="inlineStr">
        <is>
          <t xml:space="preserve">7790212031274       </t>
        </is>
      </c>
      <c r="F2601" t="n">
        <v>4017707</v>
      </c>
      <c r="G2601" t="inlineStr">
        <is>
          <t xml:space="preserve">CARRE DESHUESADO REF X KG          </t>
        </is>
      </c>
      <c r="H2601" t="inlineStr">
        <is>
          <t xml:space="preserve">Kgs                 </t>
        </is>
      </c>
      <c r="I2601" t="n">
        <v>416.56</v>
      </c>
      <c r="J2601" t="n">
        <v>0</v>
      </c>
      <c r="K2601" t="n">
        <v>0</v>
      </c>
      <c r="L2601" t="n">
        <v>97</v>
      </c>
      <c r="M2601" t="n">
        <v>97</v>
      </c>
      <c r="N2601" t="n">
        <v>0</v>
      </c>
      <c r="O2601" t="n">
        <v>222.56</v>
      </c>
      <c r="P2601" s="96">
        <f>_xlfn.XLOOKUP(Tabla5[[#This Row],[EAN CORREGIDO]],'Tabla Articulos'!B:B,'Tabla Articulos'!D:D)</f>
        <v/>
      </c>
      <c r="Q2601" s="96">
        <f>_xlfn.XLOOKUP(S2601,'Tabla Articulos'!B:B,'Tabla Articulos'!E:E)</f>
        <v/>
      </c>
      <c r="R2601" s="96">
        <f>O2601*Q2601</f>
        <v/>
      </c>
      <c r="S2601" s="97">
        <f>TRIM(E2601)</f>
        <v/>
      </c>
    </row>
    <row r="2602" hidden="1">
      <c r="A2602" s="22" t="n">
        <v>2</v>
      </c>
      <c r="B2602" t="inlineStr">
        <is>
          <t xml:space="preserve">CD CIUDADELA                  </t>
        </is>
      </c>
      <c r="C2602" t="inlineStr">
        <is>
          <t xml:space="preserve">GRUPO L.                      </t>
        </is>
      </c>
      <c r="D2602" t="inlineStr">
        <is>
          <t xml:space="preserve">REPOLLO COLORADO  </t>
        </is>
      </c>
      <c r="E2602" t="inlineStr">
        <is>
          <t xml:space="preserve">7790216012656       </t>
        </is>
      </c>
      <c r="F2602" t="n">
        <v>4018034</v>
      </c>
      <c r="G2602" t="inlineStr">
        <is>
          <t xml:space="preserve">REPOLLO COLORADO X KG              </t>
        </is>
      </c>
      <c r="H2602" t="inlineStr">
        <is>
          <t xml:space="preserve">Kgs                 </t>
        </is>
      </c>
      <c r="I2602" t="n">
        <v>66.59999999999999</v>
      </c>
      <c r="J2602" t="n">
        <v>0</v>
      </c>
      <c r="K2602" t="n">
        <v>0</v>
      </c>
      <c r="L2602" t="n">
        <v>1</v>
      </c>
      <c r="M2602" t="n">
        <v>1</v>
      </c>
      <c r="N2602" t="n">
        <v>0</v>
      </c>
      <c r="O2602" t="n">
        <v>64.59999999999999</v>
      </c>
      <c r="P2602" s="96">
        <f>_xlfn.XLOOKUP(Tabla5[[#This Row],[EAN CORREGIDO]],'Tabla Articulos'!B:B,'Tabla Articulos'!D:D)</f>
        <v/>
      </c>
      <c r="Q2602" s="96">
        <f>_xlfn.XLOOKUP(S2602,'Tabla Articulos'!B:B,'Tabla Articulos'!E:E)</f>
        <v/>
      </c>
      <c r="R2602" s="96">
        <f>O2602*Q2602</f>
        <v/>
      </c>
      <c r="S2602" s="97">
        <f>TRIM(E2602)</f>
        <v/>
      </c>
    </row>
    <row r="2603" hidden="1">
      <c r="A2603" s="22" t="n">
        <v>2</v>
      </c>
      <c r="B2603" t="inlineStr">
        <is>
          <t xml:space="preserve">CD CIUDADELA                  </t>
        </is>
      </c>
      <c r="C2603" t="inlineStr">
        <is>
          <t xml:space="preserve">GRUPO L.                      </t>
        </is>
      </c>
      <c r="D2603" t="inlineStr">
        <is>
          <t>EDULC SOB BLUE CATERING</t>
        </is>
      </c>
      <c r="E2603" t="inlineStr">
        <is>
          <t xml:space="preserve">7798011977758       </t>
        </is>
      </c>
      <c r="F2603" t="n">
        <v>4076542</v>
      </c>
      <c r="G2603" t="inlineStr">
        <is>
          <t>EDULCORANTE IND SOBRE X400U BLUE CA</t>
        </is>
      </c>
      <c r="H2603" t="inlineStr">
        <is>
          <t xml:space="preserve">UNIDAD              </t>
        </is>
      </c>
      <c r="I2603" t="n">
        <v>296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296</v>
      </c>
      <c r="P2603" s="96">
        <f>_xlfn.XLOOKUP(Tabla5[[#This Row],[EAN CORREGIDO]],'Tabla Articulos'!B:B,'Tabla Articulos'!D:D)</f>
        <v/>
      </c>
      <c r="Q2603" s="96">
        <f>_xlfn.XLOOKUP(S2603,'Tabla Articulos'!B:B,'Tabla Articulos'!E:E)</f>
        <v/>
      </c>
      <c r="R2603" s="96">
        <f>O2603*Q2603</f>
        <v/>
      </c>
      <c r="S2603" s="97">
        <f>TRIM(E2603)</f>
        <v/>
      </c>
    </row>
    <row r="2604" hidden="1">
      <c r="A2604" s="22" t="n">
        <v>2</v>
      </c>
      <c r="B2604" t="inlineStr">
        <is>
          <t xml:space="preserve">CD CIUDADELA                  </t>
        </is>
      </c>
      <c r="C2604" t="inlineStr">
        <is>
          <t xml:space="preserve">GRUPO L.                      </t>
        </is>
      </c>
      <c r="D2604" t="inlineStr">
        <is>
          <t>LECHE LV ENTERA</t>
        </is>
      </c>
      <c r="E2604" t="inlineStr">
        <is>
          <t xml:space="preserve">7791058000731       </t>
        </is>
      </c>
      <c r="F2604" t="n">
        <v>4018179</v>
      </c>
      <c r="G2604" t="inlineStr">
        <is>
          <t xml:space="preserve">LECHE ENTERA LV X 1 L MANFREY      </t>
        </is>
      </c>
      <c r="H2604" t="inlineStr">
        <is>
          <t xml:space="preserve">UNIDAD              </t>
        </is>
      </c>
      <c r="I2604" t="n">
        <v>115507</v>
      </c>
      <c r="J2604" t="n">
        <v>0</v>
      </c>
      <c r="K2604" t="n">
        <v>0</v>
      </c>
      <c r="L2604" t="n">
        <v>10024</v>
      </c>
      <c r="M2604" t="n">
        <v>10024</v>
      </c>
      <c r="N2604" t="n">
        <v>0</v>
      </c>
      <c r="O2604" t="n">
        <v>95459</v>
      </c>
      <c r="P2604" s="96">
        <f>_xlfn.XLOOKUP(Tabla5[[#This Row],[EAN CORREGIDO]],'Tabla Articulos'!B:B,'Tabla Articulos'!D:D)</f>
        <v/>
      </c>
      <c r="Q2604" s="96">
        <f>_xlfn.XLOOKUP(S2604,'Tabla Articulos'!B:B,'Tabla Articulos'!E:E)</f>
        <v/>
      </c>
      <c r="R2604" s="96">
        <f>O2604*Q2604</f>
        <v/>
      </c>
      <c r="S2604" s="97">
        <f>TRIM(E2604)</f>
        <v/>
      </c>
    </row>
    <row r="2605" hidden="1">
      <c r="A2605" s="22" t="n">
        <v>2</v>
      </c>
      <c r="B2605" t="inlineStr">
        <is>
          <t xml:space="preserve">CD CIUDADELA                  </t>
        </is>
      </c>
      <c r="C2605" t="inlineStr">
        <is>
          <t xml:space="preserve">GRUPO L.                      </t>
        </is>
      </c>
      <c r="D2605" t="inlineStr">
        <is>
          <t>MARGARINA</t>
        </is>
      </c>
      <c r="E2605" t="inlineStr">
        <is>
          <t xml:space="preserve">7791620187600       </t>
        </is>
      </c>
      <c r="F2605" t="n">
        <v>4018390</v>
      </c>
      <c r="G2605" t="inlineStr">
        <is>
          <t xml:space="preserve">MARGARINA X5KG PRIMOR              </t>
        </is>
      </c>
      <c r="H2605" t="inlineStr">
        <is>
          <t xml:space="preserve">UNIDAD              </t>
        </is>
      </c>
      <c r="I2605" t="n">
        <v>32</v>
      </c>
      <c r="J2605" t="n">
        <v>0</v>
      </c>
      <c r="K2605" t="n">
        <v>0</v>
      </c>
      <c r="L2605" t="n">
        <v>1</v>
      </c>
      <c r="M2605" t="n">
        <v>1</v>
      </c>
      <c r="N2605" t="n">
        <v>0</v>
      </c>
      <c r="O2605" t="n">
        <v>30</v>
      </c>
      <c r="P2605" s="96">
        <f>_xlfn.XLOOKUP(Tabla5[[#This Row],[EAN CORREGIDO]],'Tabla Articulos'!B:B,'Tabla Articulos'!D:D)</f>
        <v/>
      </c>
      <c r="Q2605" s="96">
        <f>_xlfn.XLOOKUP(S2605,'Tabla Articulos'!B:B,'Tabla Articulos'!E:E)</f>
        <v/>
      </c>
      <c r="R2605" s="96">
        <f>O2605*Q2605</f>
        <v/>
      </c>
      <c r="S2605" s="97">
        <f>TRIM(E2605)</f>
        <v/>
      </c>
    </row>
    <row r="2606" hidden="1">
      <c r="A2606" s="22" t="n">
        <v>2</v>
      </c>
      <c r="B2606" t="inlineStr">
        <is>
          <t xml:space="preserve">CD CIUDADELA                  </t>
        </is>
      </c>
      <c r="C2606" t="inlineStr">
        <is>
          <t xml:space="preserve">GRUPO L.                      </t>
        </is>
      </c>
      <c r="D2606" t="inlineStr">
        <is>
          <t xml:space="preserve">AJO </t>
        </is>
      </c>
      <c r="E2606" t="inlineStr">
        <is>
          <t xml:space="preserve">7790616077936       </t>
        </is>
      </c>
      <c r="F2606" t="n">
        <v>4018090</v>
      </c>
      <c r="G2606" t="inlineStr">
        <is>
          <t xml:space="preserve">AJO XKG                            </t>
        </is>
      </c>
      <c r="H2606" t="inlineStr">
        <is>
          <t xml:space="preserve">Kgs                 </t>
        </is>
      </c>
      <c r="I2606" t="n">
        <v>38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38</v>
      </c>
      <c r="P2606" s="96">
        <f>_xlfn.XLOOKUP(Tabla5[[#This Row],[EAN CORREGIDO]],'Tabla Articulos'!B:B,'Tabla Articulos'!D:D)</f>
        <v/>
      </c>
      <c r="Q2606" s="96">
        <f>_xlfn.XLOOKUP(S2606,'Tabla Articulos'!B:B,'Tabla Articulos'!E:E)</f>
        <v/>
      </c>
      <c r="R2606" s="96">
        <f>O2606*Q2606</f>
        <v/>
      </c>
      <c r="S2606" s="97">
        <f>TRIM(E2606)</f>
        <v/>
      </c>
    </row>
    <row r="2607" hidden="1">
      <c r="A2607" s="22" t="n">
        <v>2</v>
      </c>
      <c r="B2607" t="inlineStr">
        <is>
          <t xml:space="preserve">CD CIUDADELA                  </t>
        </is>
      </c>
      <c r="C2607" t="inlineStr">
        <is>
          <t xml:space="preserve">GRUPO L.                      </t>
        </is>
      </c>
      <c r="D2607" t="inlineStr">
        <is>
          <t>GALLE DULCE VAINILLA</t>
        </is>
      </c>
      <c r="E2607" t="inlineStr">
        <is>
          <t xml:space="preserve">7796236000954       </t>
        </is>
      </c>
      <c r="F2607" t="n">
        <v>4019188</v>
      </c>
      <c r="G2607" t="inlineStr">
        <is>
          <t>GALLE ANILLITOS VAINI X400G RIEDMAR</t>
        </is>
      </c>
      <c r="H2607" t="inlineStr">
        <is>
          <t xml:space="preserve">UNIDAD              </t>
        </is>
      </c>
      <c r="I2607" t="n">
        <v>10692</v>
      </c>
      <c r="J2607" t="n">
        <v>0</v>
      </c>
      <c r="K2607" t="n">
        <v>0</v>
      </c>
      <c r="L2607" t="n">
        <v>30</v>
      </c>
      <c r="M2607" t="n">
        <v>30</v>
      </c>
      <c r="N2607" t="n">
        <v>0</v>
      </c>
      <c r="O2607" t="n">
        <v>10632</v>
      </c>
      <c r="P2607" s="96">
        <f>_xlfn.XLOOKUP(Tabla5[[#This Row],[EAN CORREGIDO]],'Tabla Articulos'!B:B,'Tabla Articulos'!D:D)</f>
        <v/>
      </c>
      <c r="Q2607" s="96">
        <f>_xlfn.XLOOKUP(S2607,'Tabla Articulos'!B:B,'Tabla Articulos'!E:E)</f>
        <v/>
      </c>
      <c r="R2607" s="96">
        <f>O2607*Q2607</f>
        <v/>
      </c>
      <c r="S2607" s="97">
        <f>TRIM(E2607)</f>
        <v/>
      </c>
    </row>
    <row r="2608" hidden="1">
      <c r="A2608" s="22" t="n">
        <v>2</v>
      </c>
      <c r="B2608" t="inlineStr">
        <is>
          <t xml:space="preserve">CD CIUDADELA                  </t>
        </is>
      </c>
      <c r="C2608" t="inlineStr">
        <is>
          <t xml:space="preserve">GRUPO L.                      </t>
        </is>
      </c>
      <c r="D2608" t="inlineStr">
        <is>
          <t>POMELO</t>
        </is>
      </c>
      <c r="E2608" t="inlineStr">
        <is>
          <t xml:space="preserve">7790216020100       </t>
        </is>
      </c>
      <c r="F2608" t="n">
        <v>4018004</v>
      </c>
      <c r="G2608" t="inlineStr">
        <is>
          <t xml:space="preserve">POMELO X KG                        </t>
        </is>
      </c>
      <c r="H2608" t="inlineStr">
        <is>
          <t xml:space="preserve">Kgs                 </t>
        </is>
      </c>
      <c r="I2608" t="n">
        <v>35.3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35.3</v>
      </c>
      <c r="P2608" s="96">
        <f>_xlfn.XLOOKUP(Tabla5[[#This Row],[EAN CORREGIDO]],'Tabla Articulos'!B:B,'Tabla Articulos'!D:D)</f>
        <v/>
      </c>
      <c r="Q2608" s="96">
        <f>_xlfn.XLOOKUP(S2608,'Tabla Articulos'!B:B,'Tabla Articulos'!E:E)</f>
        <v/>
      </c>
      <c r="R2608" s="96">
        <f>O2608*Q2608</f>
        <v/>
      </c>
      <c r="S2608" s="97">
        <f>TRIM(E2608)</f>
        <v/>
      </c>
    </row>
    <row r="2609" hidden="1">
      <c r="A2609" s="22" t="n">
        <v>2</v>
      </c>
      <c r="B2609" t="inlineStr">
        <is>
          <t xml:space="preserve">CD CIUDADELA                  </t>
        </is>
      </c>
      <c r="C2609" t="inlineStr">
        <is>
          <t xml:space="preserve">GRUPO L.                      </t>
        </is>
      </c>
      <c r="D2609" t="inlineStr">
        <is>
          <t>BAND ALUMINIO R5</t>
        </is>
      </c>
      <c r="E2609" t="inlineStr">
        <is>
          <t xml:space="preserve">7790321020066       </t>
        </is>
      </c>
      <c r="F2609" t="n">
        <v>2006795</v>
      </c>
      <c r="G2609" t="inlineStr">
        <is>
          <t xml:space="preserve">BAND ALUM R5/F2100 X 600 U VASSOI  </t>
        </is>
      </c>
      <c r="H2609" t="inlineStr">
        <is>
          <t xml:space="preserve">UNIDAD              </t>
        </is>
      </c>
      <c r="I2609" t="n">
        <v>20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20</v>
      </c>
      <c r="P2609" s="96">
        <f>_xlfn.XLOOKUP(Tabla5[[#This Row],[EAN CORREGIDO]],'Tabla Articulos'!B:B,'Tabla Articulos'!D:D)</f>
        <v/>
      </c>
      <c r="Q2609" s="96">
        <f>_xlfn.XLOOKUP(S2609,'Tabla Articulos'!B:B,'Tabla Articulos'!E:E)</f>
        <v/>
      </c>
      <c r="R2609" s="96">
        <f>O2609*Q2609</f>
        <v/>
      </c>
      <c r="S2609" s="97">
        <f>TRIM(E2609)</f>
        <v/>
      </c>
    </row>
    <row r="2610" hidden="1">
      <c r="A2610" s="22" t="n">
        <v>2</v>
      </c>
      <c r="B2610" t="inlineStr">
        <is>
          <t xml:space="preserve">CD CIUDADELA                  </t>
        </is>
      </c>
      <c r="C2610" t="inlineStr">
        <is>
          <t xml:space="preserve">GRUPO L.                      </t>
        </is>
      </c>
      <c r="D2610" t="inlineStr">
        <is>
          <t>QUESO FONTINA</t>
        </is>
      </c>
      <c r="E2610" t="inlineStr">
        <is>
          <t xml:space="preserve">7790000000896       </t>
        </is>
      </c>
      <c r="F2610" t="n">
        <v>4077480</v>
      </c>
      <c r="G2610" t="inlineStr">
        <is>
          <t xml:space="preserve">QUESO FONTINA XKG MARCA PROPIA     </t>
        </is>
      </c>
      <c r="H2610" t="inlineStr">
        <is>
          <t xml:space="preserve">Kgs                 </t>
        </is>
      </c>
      <c r="I2610" t="n">
        <v>0</v>
      </c>
      <c r="J2610" t="n">
        <v>70.58</v>
      </c>
      <c r="K2610" t="n">
        <v>0</v>
      </c>
      <c r="L2610" t="n">
        <v>0</v>
      </c>
      <c r="M2610" t="n">
        <v>0</v>
      </c>
      <c r="N2610" t="n">
        <v>0</v>
      </c>
      <c r="O2610" t="n">
        <v>70.58</v>
      </c>
      <c r="P2610" s="96">
        <f>_xlfn.XLOOKUP(Tabla5[[#This Row],[EAN CORREGIDO]],'Tabla Articulos'!B:B,'Tabla Articulos'!D:D)</f>
        <v/>
      </c>
      <c r="Q2610" s="96">
        <f>_xlfn.XLOOKUP(S2610,'Tabla Articulos'!B:B,'Tabla Articulos'!E:E)</f>
        <v/>
      </c>
      <c r="R2610" s="96">
        <f>O2610*Q2610</f>
        <v/>
      </c>
      <c r="S2610" s="97">
        <f>TRIM(E2610)</f>
        <v/>
      </c>
    </row>
    <row r="2611" hidden="1">
      <c r="A2611" s="22" t="n">
        <v>2</v>
      </c>
      <c r="B2611" t="inlineStr">
        <is>
          <t xml:space="preserve">CD CIUDADELA                  </t>
        </is>
      </c>
      <c r="C2611" t="inlineStr">
        <is>
          <t xml:space="preserve">GRUPO L.                      </t>
        </is>
      </c>
      <c r="D2611" t="inlineStr">
        <is>
          <t>PAN FRANCES X KG</t>
        </is>
      </c>
      <c r="E2611" t="inlineStr">
        <is>
          <t xml:space="preserve">7798165392639       </t>
        </is>
      </c>
      <c r="F2611" t="n">
        <v>4018513</v>
      </c>
      <c r="G2611" t="inlineStr">
        <is>
          <t xml:space="preserve">PAN XKG                            </t>
        </is>
      </c>
      <c r="H2611" t="inlineStr">
        <is>
          <t xml:space="preserve">Kgs                 </t>
        </is>
      </c>
      <c r="I2611" t="n">
        <v>1758.13</v>
      </c>
      <c r="J2611" t="n">
        <v>0</v>
      </c>
      <c r="K2611" t="n">
        <v>816.04</v>
      </c>
      <c r="L2611" t="n">
        <v>14.19</v>
      </c>
      <c r="M2611" t="n">
        <v>14.19</v>
      </c>
      <c r="N2611" t="n">
        <v>0</v>
      </c>
      <c r="O2611" t="n">
        <v>913.71</v>
      </c>
      <c r="P2611" s="96">
        <f>_xlfn.XLOOKUP(Tabla5[[#This Row],[EAN CORREGIDO]],'Tabla Articulos'!B:B,'Tabla Articulos'!D:D)</f>
        <v/>
      </c>
      <c r="Q2611" s="96">
        <f>_xlfn.XLOOKUP(S2611,'Tabla Articulos'!B:B,'Tabla Articulos'!E:E)</f>
        <v/>
      </c>
      <c r="R2611" s="96">
        <f>O2611*Q2611</f>
        <v/>
      </c>
      <c r="S2611" s="97">
        <f>TRIM(E2611)</f>
        <v/>
      </c>
    </row>
    <row r="2612" hidden="1">
      <c r="A2612" s="22" t="n">
        <v>2</v>
      </c>
      <c r="B2612" t="inlineStr">
        <is>
          <t xml:space="preserve">CD CIUDADELA                  </t>
        </is>
      </c>
      <c r="C2612" t="inlineStr">
        <is>
          <t xml:space="preserve">GRUPO L.                      </t>
        </is>
      </c>
      <c r="D2612" t="inlineStr">
        <is>
          <t>SESAMO BLANCO</t>
        </is>
      </c>
      <c r="E2612" t="inlineStr">
        <is>
          <t xml:space="preserve">7793323002341       </t>
        </is>
      </c>
      <c r="F2612" t="n">
        <v>4020615</v>
      </c>
      <c r="G2612" t="inlineStr">
        <is>
          <t xml:space="preserve">SESAMO BLANCO X1KG DICOMERE        </t>
        </is>
      </c>
      <c r="H2612" t="inlineStr">
        <is>
          <t xml:space="preserve">UNIDAD              </t>
        </is>
      </c>
      <c r="I2612" t="n">
        <v>206</v>
      </c>
      <c r="J2612" t="n">
        <v>0</v>
      </c>
      <c r="K2612" t="n">
        <v>0</v>
      </c>
      <c r="L2612" t="n">
        <v>2</v>
      </c>
      <c r="M2612" t="n">
        <v>2</v>
      </c>
      <c r="N2612" t="n">
        <v>0</v>
      </c>
      <c r="O2612" t="n">
        <v>202</v>
      </c>
      <c r="P2612" s="96">
        <f>_xlfn.XLOOKUP(Tabla5[[#This Row],[EAN CORREGIDO]],'Tabla Articulos'!B:B,'Tabla Articulos'!D:D)</f>
        <v/>
      </c>
      <c r="Q2612" s="96">
        <f>_xlfn.XLOOKUP(S2612,'Tabla Articulos'!B:B,'Tabla Articulos'!E:E)</f>
        <v/>
      </c>
      <c r="R2612" s="96">
        <f>O2612*Q2612</f>
        <v/>
      </c>
      <c r="S2612" s="97">
        <f>TRIM(E2612)</f>
        <v/>
      </c>
    </row>
    <row r="2613" hidden="1">
      <c r="A2613" s="22" t="n">
        <v>2</v>
      </c>
      <c r="B2613" t="inlineStr">
        <is>
          <t xml:space="preserve">CD CIUDADELA                  </t>
        </is>
      </c>
      <c r="C2613" t="inlineStr">
        <is>
          <t xml:space="preserve">GRUPO L.                      </t>
        </is>
      </c>
      <c r="D2613" t="inlineStr">
        <is>
          <t>QUESO UNTABLE</t>
        </is>
      </c>
      <c r="E2613" t="inlineStr">
        <is>
          <t xml:space="preserve">7794990879939       </t>
        </is>
      </c>
      <c r="F2613" t="n">
        <v>4018199</v>
      </c>
      <c r="G2613" t="inlineStr">
        <is>
          <t xml:space="preserve">QUESO CREMA ENTERO  X 4KG PAULINA  </t>
        </is>
      </c>
      <c r="H2613" t="inlineStr">
        <is>
          <t xml:space="preserve">UNIDAD              </t>
        </is>
      </c>
      <c r="I2613" t="n">
        <v>164</v>
      </c>
      <c r="J2613" t="n">
        <v>0</v>
      </c>
      <c r="K2613" t="n">
        <v>0</v>
      </c>
      <c r="L2613" t="n">
        <v>13</v>
      </c>
      <c r="M2613" t="n">
        <v>13</v>
      </c>
      <c r="N2613" t="n">
        <v>0</v>
      </c>
      <c r="O2613" t="n">
        <v>138</v>
      </c>
      <c r="P2613" s="96">
        <f>_xlfn.XLOOKUP(Tabla5[[#This Row],[EAN CORREGIDO]],'Tabla Articulos'!B:B,'Tabla Articulos'!D:D)</f>
        <v/>
      </c>
      <c r="Q2613" s="96">
        <f>_xlfn.XLOOKUP(S2613,'Tabla Articulos'!B:B,'Tabla Articulos'!E:E)</f>
        <v/>
      </c>
      <c r="R2613" s="96">
        <f>O2613*Q2613</f>
        <v/>
      </c>
      <c r="S2613" s="97">
        <f>TRIM(E2613)</f>
        <v/>
      </c>
    </row>
    <row r="2614" hidden="1">
      <c r="A2614" s="22" t="n">
        <v>2</v>
      </c>
      <c r="B2614" t="inlineStr">
        <is>
          <t xml:space="preserve">CD CIUDADELA                  </t>
        </is>
      </c>
      <c r="C2614" t="inlineStr">
        <is>
          <t xml:space="preserve">GRUPO L.                      </t>
        </is>
      </c>
      <c r="D2614" t="inlineStr">
        <is>
          <t>MAYONESA</t>
        </is>
      </c>
      <c r="E2614" t="inlineStr">
        <is>
          <t xml:space="preserve">7798138553330       </t>
        </is>
      </c>
      <c r="F2614" t="n">
        <v>4022542</v>
      </c>
      <c r="G2614" t="inlineStr">
        <is>
          <t xml:space="preserve">MAYONESA 500GR MOLTO DISP          </t>
        </is>
      </c>
      <c r="H2614" t="inlineStr">
        <is>
          <t xml:space="preserve">UNIDAD              </t>
        </is>
      </c>
      <c r="I2614" t="n">
        <v>2149</v>
      </c>
      <c r="J2614" t="n">
        <v>0</v>
      </c>
      <c r="K2614" t="n">
        <v>0</v>
      </c>
      <c r="L2614" t="n">
        <v>19</v>
      </c>
      <c r="M2614" t="n">
        <v>19</v>
      </c>
      <c r="N2614" t="n">
        <v>0</v>
      </c>
      <c r="O2614" t="n">
        <v>2111</v>
      </c>
      <c r="P2614" s="96">
        <f>_xlfn.XLOOKUP(Tabla5[[#This Row],[EAN CORREGIDO]],'Tabla Articulos'!B:B,'Tabla Articulos'!D:D)</f>
        <v/>
      </c>
      <c r="Q2614" s="96">
        <f>_xlfn.XLOOKUP(S2614,'Tabla Articulos'!B:B,'Tabla Articulos'!E:E)</f>
        <v/>
      </c>
      <c r="R2614" s="96">
        <f>O2614*Q2614</f>
        <v/>
      </c>
      <c r="S2614" s="97">
        <f>TRIM(E2614)</f>
        <v/>
      </c>
    </row>
    <row r="2615" hidden="1">
      <c r="A2615" s="22" t="n">
        <v>2</v>
      </c>
      <c r="B2615" t="inlineStr">
        <is>
          <t xml:space="preserve">CD CIUDADELA                  </t>
        </is>
      </c>
      <c r="C2615" t="inlineStr">
        <is>
          <t xml:space="preserve">GRUPO L.                      </t>
        </is>
      </c>
      <c r="D2615" t="inlineStr">
        <is>
          <t>EDULCORANTE SOBRE 9 DICIEMBRE</t>
        </is>
      </c>
      <c r="E2615" t="inlineStr">
        <is>
          <t xml:space="preserve">7798011977437       </t>
        </is>
      </c>
      <c r="F2615" t="n">
        <v>4021615</v>
      </c>
      <c r="G2615" t="inlineStr">
        <is>
          <t xml:space="preserve">EDULCO. IND 9 DE DICIEMBRE X400U   </t>
        </is>
      </c>
      <c r="H2615" t="inlineStr">
        <is>
          <t xml:space="preserve">UNIDAD              </t>
        </is>
      </c>
      <c r="I2615" t="n">
        <v>20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20</v>
      </c>
      <c r="P2615" s="96">
        <f>_xlfn.XLOOKUP(Tabla5[[#This Row],[EAN CORREGIDO]],'Tabla Articulos'!B:B,'Tabla Articulos'!D:D)</f>
        <v/>
      </c>
      <c r="Q2615" s="96">
        <f>_xlfn.XLOOKUP(S2615,'Tabla Articulos'!B:B,'Tabla Articulos'!E:E)</f>
        <v/>
      </c>
      <c r="R2615" s="96">
        <f>O2615*Q2615</f>
        <v/>
      </c>
      <c r="S2615" s="97">
        <f>TRIM(E2615)</f>
        <v/>
      </c>
    </row>
    <row r="2616" hidden="1">
      <c r="A2616" s="22" t="n">
        <v>2</v>
      </c>
      <c r="B2616" t="inlineStr">
        <is>
          <t xml:space="preserve">CD CIUDADELA                  </t>
        </is>
      </c>
      <c r="C2616" t="inlineStr">
        <is>
          <t xml:space="preserve">GRUPO L.                      </t>
        </is>
      </c>
      <c r="D2616" t="inlineStr">
        <is>
          <t>DULCE DE LECHE</t>
        </is>
      </c>
      <c r="E2616" t="inlineStr">
        <is>
          <t xml:space="preserve">7798058690108       </t>
        </is>
      </c>
      <c r="F2616" t="n">
        <v>4020508</v>
      </c>
      <c r="G2616" t="inlineStr">
        <is>
          <t>DULCE DE LECHE X 400 G EL QUEBRACHA</t>
        </is>
      </c>
      <c r="H2616" t="inlineStr">
        <is>
          <t xml:space="preserve">UNIDAD              </t>
        </is>
      </c>
      <c r="I2616" t="n">
        <v>5064</v>
      </c>
      <c r="J2616" t="n">
        <v>0</v>
      </c>
      <c r="K2616" t="n">
        <v>0</v>
      </c>
      <c r="L2616" t="n">
        <v>2442</v>
      </c>
      <c r="M2616" t="n">
        <v>2442</v>
      </c>
      <c r="N2616" t="n">
        <v>0</v>
      </c>
      <c r="O2616" t="n">
        <v>180</v>
      </c>
      <c r="P2616" s="96">
        <f>_xlfn.XLOOKUP(Tabla5[[#This Row],[EAN CORREGIDO]],'Tabla Articulos'!B:B,'Tabla Articulos'!D:D)</f>
        <v/>
      </c>
      <c r="Q2616" s="96">
        <f>_xlfn.XLOOKUP(S2616,'Tabla Articulos'!B:B,'Tabla Articulos'!E:E)</f>
        <v/>
      </c>
      <c r="R2616" s="96">
        <f>O2616*Q2616</f>
        <v/>
      </c>
      <c r="S2616" s="97">
        <f>TRIM(E2616)</f>
        <v/>
      </c>
    </row>
    <row r="2617" hidden="1">
      <c r="A2617" s="22" t="n">
        <v>2</v>
      </c>
      <c r="B2617" t="inlineStr">
        <is>
          <t xml:space="preserve">CD CIUDADELA                  </t>
        </is>
      </c>
      <c r="C2617" t="inlineStr">
        <is>
          <t xml:space="preserve">GRUPO L.                      </t>
        </is>
      </c>
      <c r="D2617" t="inlineStr">
        <is>
          <t>GELATINA ANANA</t>
        </is>
      </c>
      <c r="E2617" t="inlineStr">
        <is>
          <t xml:space="preserve">7791113002168       </t>
        </is>
      </c>
      <c r="F2617" t="n">
        <v>4020153</v>
      </c>
      <c r="G2617" t="inlineStr">
        <is>
          <t xml:space="preserve">GELATINA ANANA X70GR EMETH         </t>
        </is>
      </c>
      <c r="H2617" t="inlineStr">
        <is>
          <t xml:space="preserve">UNIDAD              </t>
        </is>
      </c>
      <c r="I2617" t="n">
        <v>1048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1048</v>
      </c>
      <c r="P2617" s="96">
        <f>_xlfn.XLOOKUP(Tabla5[[#This Row],[EAN CORREGIDO]],'Tabla Articulos'!B:B,'Tabla Articulos'!D:D)</f>
        <v/>
      </c>
      <c r="Q2617" s="96">
        <f>_xlfn.XLOOKUP(S2617,'Tabla Articulos'!B:B,'Tabla Articulos'!E:E)</f>
        <v/>
      </c>
      <c r="R2617" s="96">
        <f>O2617*Q2617</f>
        <v/>
      </c>
      <c r="S2617" s="97">
        <f>TRIM(E2617)</f>
        <v/>
      </c>
    </row>
    <row r="2618" hidden="1">
      <c r="A2618" s="22" t="n">
        <v>2</v>
      </c>
      <c r="B2618" t="inlineStr">
        <is>
          <t xml:space="preserve">CD CIUDADELA                  </t>
        </is>
      </c>
      <c r="C2618" t="inlineStr">
        <is>
          <t xml:space="preserve">GRUPO L.                      </t>
        </is>
      </c>
      <c r="D2618" t="inlineStr">
        <is>
          <t>ALMENDRA</t>
        </is>
      </c>
      <c r="E2618" t="inlineStr">
        <is>
          <t xml:space="preserve">7793323002471       </t>
        </is>
      </c>
      <c r="F2618" t="n">
        <v>4020616</v>
      </c>
      <c r="G2618" t="inlineStr">
        <is>
          <t xml:space="preserve">ALMENDRA GUARA x1kg DICOMERE       </t>
        </is>
      </c>
      <c r="H2618" t="inlineStr">
        <is>
          <t xml:space="preserve">UNIDAD              </t>
        </is>
      </c>
      <c r="I2618" t="n">
        <v>439</v>
      </c>
      <c r="J2618" t="n">
        <v>0</v>
      </c>
      <c r="K2618" t="n">
        <v>0</v>
      </c>
      <c r="L2618" t="n">
        <v>1</v>
      </c>
      <c r="M2618" t="n">
        <v>1</v>
      </c>
      <c r="N2618" t="n">
        <v>0</v>
      </c>
      <c r="O2618" t="n">
        <v>437</v>
      </c>
      <c r="P2618" s="96">
        <f>_xlfn.XLOOKUP(Tabla5[[#This Row],[EAN CORREGIDO]],'Tabla Articulos'!B:B,'Tabla Articulos'!D:D)</f>
        <v/>
      </c>
      <c r="Q2618" s="96">
        <f>_xlfn.XLOOKUP(S2618,'Tabla Articulos'!B:B,'Tabla Articulos'!E:E)</f>
        <v/>
      </c>
      <c r="R2618" s="96">
        <f>O2618*Q2618</f>
        <v/>
      </c>
      <c r="S2618" s="97">
        <f>TRIM(E2618)</f>
        <v/>
      </c>
    </row>
    <row r="2619" hidden="1">
      <c r="A2619" s="22" t="n">
        <v>2</v>
      </c>
      <c r="B2619" t="inlineStr">
        <is>
          <t xml:space="preserve">CD CIUDADELA                  </t>
        </is>
      </c>
      <c r="C2619" t="inlineStr">
        <is>
          <t xml:space="preserve">GRUPO L.                      </t>
        </is>
      </c>
      <c r="D2619" t="inlineStr">
        <is>
          <t>JUGO DE LIMON INDIV</t>
        </is>
      </c>
      <c r="E2619" t="inlineStr">
        <is>
          <t xml:space="preserve">7798011976508       </t>
        </is>
      </c>
      <c r="F2619" t="n">
        <v>4020301</v>
      </c>
      <c r="G2619" t="inlineStr">
        <is>
          <t xml:space="preserve">JUGO LIMON 8CC X 198 U. ABEDUL     </t>
        </is>
      </c>
      <c r="H2619" t="inlineStr">
        <is>
          <t xml:space="preserve">UNIDAD              </t>
        </is>
      </c>
      <c r="I2619" t="n">
        <v>201</v>
      </c>
      <c r="J2619" t="n">
        <v>0</v>
      </c>
      <c r="K2619" t="n">
        <v>0</v>
      </c>
      <c r="L2619" t="n">
        <v>22</v>
      </c>
      <c r="M2619" t="n">
        <v>22</v>
      </c>
      <c r="N2619" t="n">
        <v>0</v>
      </c>
      <c r="O2619" t="n">
        <v>157</v>
      </c>
      <c r="P2619" s="96">
        <f>_xlfn.XLOOKUP(Tabla5[[#This Row],[EAN CORREGIDO]],'Tabla Articulos'!B:B,'Tabla Articulos'!D:D)</f>
        <v/>
      </c>
      <c r="Q2619" s="96">
        <f>_xlfn.XLOOKUP(S2619,'Tabla Articulos'!B:B,'Tabla Articulos'!E:E)</f>
        <v/>
      </c>
      <c r="R2619" s="96">
        <f>O2619*Q2619</f>
        <v/>
      </c>
      <c r="S2619" s="97">
        <f>TRIM(E2619)</f>
        <v/>
      </c>
    </row>
    <row r="2620" hidden="1">
      <c r="A2620" s="22" t="n">
        <v>2</v>
      </c>
      <c r="B2620" t="inlineStr">
        <is>
          <t xml:space="preserve">CD CIUDADELA                  </t>
        </is>
      </c>
      <c r="C2620" t="inlineStr">
        <is>
          <t xml:space="preserve">GRUPO L.                      </t>
        </is>
      </c>
      <c r="D2620" t="inlineStr">
        <is>
          <t>PAN RALLADO</t>
        </is>
      </c>
      <c r="E2620" t="inlineStr">
        <is>
          <t xml:space="preserve">7792590003150       </t>
        </is>
      </c>
      <c r="F2620" t="n">
        <v>4020695</v>
      </c>
      <c r="G2620" t="inlineStr">
        <is>
          <t xml:space="preserve">PAN RALLADO X500GR CASERITA        </t>
        </is>
      </c>
      <c r="H2620" t="inlineStr">
        <is>
          <t xml:space="preserve">UNIDAD              </t>
        </is>
      </c>
      <c r="I2620" t="n">
        <v>22338</v>
      </c>
      <c r="J2620" t="n">
        <v>0</v>
      </c>
      <c r="K2620" t="n">
        <v>22338</v>
      </c>
      <c r="L2620" t="n">
        <v>10</v>
      </c>
      <c r="M2620" t="n">
        <v>-40</v>
      </c>
      <c r="N2620" t="n">
        <v>0</v>
      </c>
      <c r="O2620" t="n">
        <v>30</v>
      </c>
      <c r="P2620" s="96">
        <f>_xlfn.XLOOKUP(Tabla5[[#This Row],[EAN CORREGIDO]],'Tabla Articulos'!B:B,'Tabla Articulos'!D:D)</f>
        <v/>
      </c>
      <c r="Q2620" s="96">
        <f>_xlfn.XLOOKUP(S2620,'Tabla Articulos'!B:B,'Tabla Articulos'!E:E)</f>
        <v/>
      </c>
      <c r="R2620" s="96">
        <f>O2620*Q2620</f>
        <v/>
      </c>
      <c r="S2620" s="97">
        <f>TRIM(E2620)</f>
        <v/>
      </c>
    </row>
    <row r="2621" hidden="1">
      <c r="A2621" s="22" t="n">
        <v>2</v>
      </c>
      <c r="B2621" t="inlineStr">
        <is>
          <t xml:space="preserve">CD CIUDADELA                  </t>
        </is>
      </c>
      <c r="C2621" t="inlineStr">
        <is>
          <t xml:space="preserve">GRUPO L.                      </t>
        </is>
      </c>
      <c r="D2621" t="inlineStr">
        <is>
          <t>OREGANO</t>
        </is>
      </c>
      <c r="E2621" t="inlineStr">
        <is>
          <t xml:space="preserve">7793875360289       </t>
        </is>
      </c>
      <c r="F2621" t="n">
        <v>4020060</v>
      </c>
      <c r="G2621" t="inlineStr">
        <is>
          <t xml:space="preserve">OREGANO X 1 KG AROMAS              </t>
        </is>
      </c>
      <c r="H2621" t="inlineStr">
        <is>
          <t xml:space="preserve">UNIDAD              </t>
        </is>
      </c>
      <c r="I2621" t="n">
        <v>668</v>
      </c>
      <c r="J2621" t="n">
        <v>0</v>
      </c>
      <c r="K2621" t="n">
        <v>0</v>
      </c>
      <c r="L2621" t="n">
        <v>5</v>
      </c>
      <c r="M2621" t="n">
        <v>5</v>
      </c>
      <c r="N2621" t="n">
        <v>0</v>
      </c>
      <c r="O2621" t="n">
        <v>658</v>
      </c>
      <c r="P2621" s="96">
        <f>_xlfn.XLOOKUP(Tabla5[[#This Row],[EAN CORREGIDO]],'Tabla Articulos'!B:B,'Tabla Articulos'!D:D)</f>
        <v/>
      </c>
      <c r="Q2621" s="96">
        <f>_xlfn.XLOOKUP(S2621,'Tabla Articulos'!B:B,'Tabla Articulos'!E:E)</f>
        <v/>
      </c>
      <c r="R2621" s="96">
        <f>O2621*Q2621</f>
        <v/>
      </c>
      <c r="S2621" s="97">
        <f>TRIM(E2621)</f>
        <v/>
      </c>
    </row>
    <row r="2622" hidden="1">
      <c r="A2622" s="22" t="n">
        <v>2</v>
      </c>
      <c r="B2622" t="inlineStr">
        <is>
          <t xml:space="preserve">CD CIUDADELA                  </t>
        </is>
      </c>
      <c r="C2622" t="inlineStr">
        <is>
          <t xml:space="preserve">GRUPO L.                      </t>
        </is>
      </c>
      <c r="D2622" t="inlineStr">
        <is>
          <t>TAPA P/EMP ROTIS CRIOLLA</t>
        </is>
      </c>
      <c r="E2622" t="inlineStr">
        <is>
          <t xml:space="preserve">7791218123003       </t>
        </is>
      </c>
      <c r="F2622" t="n">
        <v>4018709</v>
      </c>
      <c r="G2622" t="inlineStr">
        <is>
          <t xml:space="preserve">TAPA EMP ROTISERA CRIOLLA X12U O   </t>
        </is>
      </c>
      <c r="H2622" t="inlineStr">
        <is>
          <t xml:space="preserve">UNIDAD              </t>
        </is>
      </c>
      <c r="I2622" t="n">
        <v>540</v>
      </c>
      <c r="J2622" t="n">
        <v>0</v>
      </c>
      <c r="K2622" t="n">
        <v>0</v>
      </c>
      <c r="L2622" t="n">
        <v>70</v>
      </c>
      <c r="M2622" t="n">
        <v>70</v>
      </c>
      <c r="N2622" t="n">
        <v>0</v>
      </c>
      <c r="O2622" t="n">
        <v>400</v>
      </c>
      <c r="P2622" s="96">
        <f>_xlfn.XLOOKUP(Tabla5[[#This Row],[EAN CORREGIDO]],'Tabla Articulos'!B:B,'Tabla Articulos'!D:D)</f>
        <v/>
      </c>
      <c r="Q2622" s="96">
        <f>_xlfn.XLOOKUP(S2622,'Tabla Articulos'!B:B,'Tabla Articulos'!E:E)</f>
        <v/>
      </c>
      <c r="R2622" s="96">
        <f>O2622*Q2622</f>
        <v/>
      </c>
      <c r="S2622" s="97">
        <f>TRIM(E2622)</f>
        <v/>
      </c>
    </row>
    <row r="2623" hidden="1">
      <c r="A2623" s="22" t="n">
        <v>2</v>
      </c>
      <c r="B2623" t="inlineStr">
        <is>
          <t xml:space="preserve">CD CIUDADELA                  </t>
        </is>
      </c>
      <c r="C2623" t="inlineStr">
        <is>
          <t xml:space="preserve">GRUPO L.                      </t>
        </is>
      </c>
      <c r="D2623" t="inlineStr">
        <is>
          <t>BEBIDA ISOTONICA FRUTOS TROP</t>
        </is>
      </c>
      <c r="E2623" t="inlineStr">
        <is>
          <t xml:space="preserve">7790895641183       </t>
        </is>
      </c>
      <c r="F2623" t="n">
        <v>4017240</v>
      </c>
      <c r="G2623" t="inlineStr">
        <is>
          <t xml:space="preserve">POWERADE FRUTA TROPICAL X500CC     </t>
        </is>
      </c>
      <c r="H2623" t="inlineStr">
        <is>
          <t xml:space="preserve">UNIDAD              </t>
        </is>
      </c>
      <c r="I2623" t="n">
        <v>644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644</v>
      </c>
      <c r="P2623" s="96">
        <f>_xlfn.XLOOKUP(Tabla5[[#This Row],[EAN CORREGIDO]],'Tabla Articulos'!B:B,'Tabla Articulos'!D:D)</f>
        <v/>
      </c>
      <c r="Q2623" s="96">
        <f>_xlfn.XLOOKUP(S2623,'Tabla Articulos'!B:B,'Tabla Articulos'!E:E)</f>
        <v/>
      </c>
      <c r="R2623" s="96">
        <f>O2623*Q2623</f>
        <v/>
      </c>
      <c r="S2623" s="97">
        <f>TRIM(E2623)</f>
        <v/>
      </c>
    </row>
    <row r="2624" hidden="1">
      <c r="A2624" s="22" t="n">
        <v>2</v>
      </c>
      <c r="B2624" t="inlineStr">
        <is>
          <t xml:space="preserve">CD CIUDADELA                  </t>
        </is>
      </c>
      <c r="C2624" t="inlineStr">
        <is>
          <t xml:space="preserve">GRUPO L.                      </t>
        </is>
      </c>
      <c r="D2624" t="inlineStr">
        <is>
          <t>GASEOSA LIMA LIGHT INDIVIDUAL</t>
        </is>
      </c>
      <c r="E2624" t="inlineStr">
        <is>
          <t xml:space="preserve">7790895650895       </t>
        </is>
      </c>
      <c r="F2624" t="n">
        <v>4023931</v>
      </c>
      <c r="G2624" t="inlineStr">
        <is>
          <t xml:space="preserve">GAS SPRITE ZERO 600CC              </t>
        </is>
      </c>
      <c r="H2624" t="inlineStr">
        <is>
          <t xml:space="preserve">UNIDAD              </t>
        </is>
      </c>
      <c r="I2624" t="n">
        <v>2203</v>
      </c>
      <c r="J2624" t="n">
        <v>0</v>
      </c>
      <c r="K2624" t="n">
        <v>0</v>
      </c>
      <c r="L2624" t="n">
        <v>18</v>
      </c>
      <c r="M2624" t="n">
        <v>18</v>
      </c>
      <c r="N2624" t="n">
        <v>0</v>
      </c>
      <c r="O2624" t="n">
        <v>2167</v>
      </c>
      <c r="P2624" s="96">
        <f>_xlfn.XLOOKUP(Tabla5[[#This Row],[EAN CORREGIDO]],'Tabla Articulos'!B:B,'Tabla Articulos'!D:D)</f>
        <v/>
      </c>
      <c r="Q2624" s="96">
        <f>_xlfn.XLOOKUP(S2624,'Tabla Articulos'!B:B,'Tabla Articulos'!E:E)</f>
        <v/>
      </c>
      <c r="R2624" s="96">
        <f>O2624*Q2624</f>
        <v/>
      </c>
      <c r="S2624" s="97">
        <f>TRIM(E2624)</f>
        <v/>
      </c>
    </row>
    <row r="2625" hidden="1">
      <c r="A2625" s="22" t="n">
        <v>2</v>
      </c>
      <c r="B2625" t="inlineStr">
        <is>
          <t xml:space="preserve">CD CIUDADELA                  </t>
        </is>
      </c>
      <c r="C2625" t="inlineStr">
        <is>
          <t xml:space="preserve">GRUPO L.                      </t>
        </is>
      </c>
      <c r="D2625" t="inlineStr">
        <is>
          <t>SALSA DE SOJA</t>
        </is>
      </c>
      <c r="E2625" t="inlineStr">
        <is>
          <t xml:space="preserve">7798048981018       </t>
        </is>
      </c>
      <c r="F2625" t="n">
        <v>4020563</v>
      </c>
      <c r="G2625" t="inlineStr">
        <is>
          <t xml:space="preserve">SALSA DE SOJA X 1L FUMEIGA         </t>
        </is>
      </c>
      <c r="H2625" t="inlineStr">
        <is>
          <t xml:space="preserve">UNIDAD              </t>
        </is>
      </c>
      <c r="I2625" t="n">
        <v>452</v>
      </c>
      <c r="J2625" t="n">
        <v>0</v>
      </c>
      <c r="K2625" t="n">
        <v>0</v>
      </c>
      <c r="L2625" t="n">
        <v>2</v>
      </c>
      <c r="M2625" t="n">
        <v>2</v>
      </c>
      <c r="N2625" t="n">
        <v>0</v>
      </c>
      <c r="O2625" t="n">
        <v>448</v>
      </c>
      <c r="P2625" s="96">
        <f>_xlfn.XLOOKUP(Tabla5[[#This Row],[EAN CORREGIDO]],'Tabla Articulos'!B:B,'Tabla Articulos'!D:D)</f>
        <v/>
      </c>
      <c r="Q2625" s="96">
        <f>_xlfn.XLOOKUP(S2625,'Tabla Articulos'!B:B,'Tabla Articulos'!E:E)</f>
        <v/>
      </c>
      <c r="R2625" s="96">
        <f>O2625*Q2625</f>
        <v/>
      </c>
      <c r="S2625" s="97">
        <f>TRIM(E2625)</f>
        <v/>
      </c>
    </row>
    <row r="2626" hidden="1">
      <c r="A2626" s="22" t="n">
        <v>2</v>
      </c>
      <c r="B2626" t="inlineStr">
        <is>
          <t xml:space="preserve">CD CIUDADELA                  </t>
        </is>
      </c>
      <c r="C2626" t="inlineStr">
        <is>
          <t xml:space="preserve">GRUPO L.                      </t>
        </is>
      </c>
      <c r="D2626" t="inlineStr">
        <is>
          <t>HARINA 000</t>
        </is>
      </c>
      <c r="E2626" t="inlineStr">
        <is>
          <t xml:space="preserve">7792590000159       </t>
        </is>
      </c>
      <c r="F2626" t="n">
        <v>4019981</v>
      </c>
      <c r="G2626" t="inlineStr">
        <is>
          <t xml:space="preserve">HARINA 000 XKG CASERITA            </t>
        </is>
      </c>
      <c r="H2626" t="inlineStr">
        <is>
          <t xml:space="preserve">UNIDAD              </t>
        </is>
      </c>
      <c r="I2626" t="n">
        <v>2398</v>
      </c>
      <c r="J2626" t="n">
        <v>0</v>
      </c>
      <c r="K2626" t="n">
        <v>0</v>
      </c>
      <c r="L2626" t="n">
        <v>253</v>
      </c>
      <c r="M2626" t="n">
        <v>253</v>
      </c>
      <c r="N2626" t="n">
        <v>0</v>
      </c>
      <c r="O2626" t="n">
        <v>1892</v>
      </c>
      <c r="P2626" s="96">
        <f>_xlfn.XLOOKUP(Tabla5[[#This Row],[EAN CORREGIDO]],'Tabla Articulos'!B:B,'Tabla Articulos'!D:D)</f>
        <v/>
      </c>
      <c r="Q2626" s="96">
        <f>_xlfn.XLOOKUP(S2626,'Tabla Articulos'!B:B,'Tabla Articulos'!E:E)</f>
        <v/>
      </c>
      <c r="R2626" s="96">
        <f>O2626*Q2626</f>
        <v/>
      </c>
      <c r="S2626" s="97">
        <f>TRIM(E2626)</f>
        <v/>
      </c>
    </row>
    <row r="2627" hidden="1">
      <c r="A2627" s="22" t="n">
        <v>2</v>
      </c>
      <c r="B2627" t="inlineStr">
        <is>
          <t xml:space="preserve">CD CIUDADELA                  </t>
        </is>
      </c>
      <c r="C2627" t="inlineStr">
        <is>
          <t xml:space="preserve">GRUPO L.                      </t>
        </is>
      </c>
      <c r="D2627" t="n">
        <v/>
      </c>
      <c r="E2627" t="inlineStr">
        <is>
          <t xml:space="preserve">7798104880415       </t>
        </is>
      </c>
      <c r="F2627" t="n">
        <v>4022725</v>
      </c>
      <c r="G2627" t="inlineStr">
        <is>
          <t xml:space="preserve">FECULA DE MAIZ 1KG DEWEY           </t>
        </is>
      </c>
      <c r="H2627" t="inlineStr">
        <is>
          <t xml:space="preserve">UNIDAD              </t>
        </is>
      </c>
      <c r="I2627" t="n">
        <v>300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300</v>
      </c>
      <c r="P2627" s="96">
        <f>_xlfn.XLOOKUP(Tabla5[[#This Row],[EAN CORREGIDO]],'Tabla Articulos'!B:B,'Tabla Articulos'!D:D)</f>
        <v/>
      </c>
      <c r="Q2627" s="96">
        <f>_xlfn.XLOOKUP(S2627,'Tabla Articulos'!B:B,'Tabla Articulos'!E:E)</f>
        <v/>
      </c>
      <c r="R2627" s="96">
        <f>O2627*Q2627</f>
        <v/>
      </c>
      <c r="S2627" s="97">
        <f>TRIM(E2627)</f>
        <v/>
      </c>
    </row>
    <row r="2628" hidden="1">
      <c r="A2628" s="22" t="n">
        <v>2</v>
      </c>
      <c r="B2628" t="inlineStr">
        <is>
          <t xml:space="preserve">CD CIUDADELA                  </t>
        </is>
      </c>
      <c r="C2628" t="inlineStr">
        <is>
          <t xml:space="preserve">GRUPO L.                      </t>
        </is>
      </c>
      <c r="D2628" t="inlineStr">
        <is>
          <t>PANADERIA CONGELADA</t>
        </is>
      </c>
      <c r="E2628" t="inlineStr">
        <is>
          <t xml:space="preserve">7798088625420       </t>
        </is>
      </c>
      <c r="F2628" t="n">
        <v>4018460</v>
      </c>
      <c r="G2628" t="inlineStr">
        <is>
          <t>BUDIN ENTERO FRUTOS SECOS XU SELYGE</t>
        </is>
      </c>
      <c r="H2628" t="inlineStr">
        <is>
          <t xml:space="preserve">UNIDAD              </t>
        </is>
      </c>
      <c r="I2628" t="n">
        <v>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4</v>
      </c>
      <c r="P2628" s="96">
        <f>_xlfn.XLOOKUP(Tabla5[[#This Row],[EAN CORREGIDO]],'Tabla Articulos'!B:B,'Tabla Articulos'!D:D)</f>
        <v/>
      </c>
      <c r="Q2628" s="96">
        <f>_xlfn.XLOOKUP(S2628,'Tabla Articulos'!B:B,'Tabla Articulos'!E:E)</f>
        <v/>
      </c>
      <c r="R2628" s="96">
        <f>O2628*Q2628</f>
        <v/>
      </c>
      <c r="S2628" s="97">
        <f>TRIM(E2628)</f>
        <v/>
      </c>
    </row>
    <row r="2629" hidden="1">
      <c r="A2629" s="22" t="n">
        <v>2</v>
      </c>
      <c r="B2629" t="inlineStr">
        <is>
          <t xml:space="preserve">CD CIUDADELA                  </t>
        </is>
      </c>
      <c r="C2629" t="inlineStr">
        <is>
          <t xml:space="preserve">GRUPO L.                      </t>
        </is>
      </c>
      <c r="D2629" t="inlineStr">
        <is>
          <t>DULCE DE LECHE REPOST</t>
        </is>
      </c>
      <c r="E2629" t="inlineStr">
        <is>
          <t xml:space="preserve">7798001562780       </t>
        </is>
      </c>
      <c r="F2629" t="n">
        <v>4020319</v>
      </c>
      <c r="G2629" t="inlineStr">
        <is>
          <t xml:space="preserve">DULCE LECHE REP X5KG CREMIGAL      </t>
        </is>
      </c>
      <c r="H2629" t="inlineStr">
        <is>
          <t xml:space="preserve">UNIDAD              </t>
        </is>
      </c>
      <c r="I2629" t="n">
        <v>64</v>
      </c>
      <c r="J2629" t="n">
        <v>0</v>
      </c>
      <c r="K2629" t="n">
        <v>0</v>
      </c>
      <c r="L2629" t="n">
        <v>13</v>
      </c>
      <c r="M2629" t="n">
        <v>13</v>
      </c>
      <c r="N2629" t="n">
        <v>0</v>
      </c>
      <c r="O2629" t="n">
        <v>38</v>
      </c>
      <c r="P2629" s="96">
        <f>_xlfn.XLOOKUP(Tabla5[[#This Row],[EAN CORREGIDO]],'Tabla Articulos'!B:B,'Tabla Articulos'!D:D)</f>
        <v/>
      </c>
      <c r="Q2629" s="96">
        <f>_xlfn.XLOOKUP(S2629,'Tabla Articulos'!B:B,'Tabla Articulos'!E:E)</f>
        <v/>
      </c>
      <c r="R2629" s="96">
        <f>O2629*Q2629</f>
        <v/>
      </c>
      <c r="S2629" s="97">
        <f>TRIM(E2629)</f>
        <v/>
      </c>
    </row>
    <row r="2630" hidden="1">
      <c r="A2630" s="22" t="n">
        <v>2</v>
      </c>
      <c r="B2630" t="inlineStr">
        <is>
          <t xml:space="preserve">CD CIUDADELA                  </t>
        </is>
      </c>
      <c r="C2630" t="inlineStr">
        <is>
          <t xml:space="preserve">GRUPO L.                      </t>
        </is>
      </c>
      <c r="D2630" t="inlineStr">
        <is>
          <t>MANZANA 90-113</t>
        </is>
      </c>
      <c r="E2630" t="inlineStr">
        <is>
          <t xml:space="preserve">7790216020112       </t>
        </is>
      </c>
      <c r="F2630" t="n">
        <v>4018080</v>
      </c>
      <c r="G2630" t="inlineStr">
        <is>
          <t xml:space="preserve">FRUTA MANZANA 90-113 XKG           </t>
        </is>
      </c>
      <c r="H2630" t="inlineStr">
        <is>
          <t xml:space="preserve">Kgs                 </t>
        </is>
      </c>
      <c r="I2630" t="n">
        <v>1991</v>
      </c>
      <c r="J2630" t="n">
        <v>0</v>
      </c>
      <c r="K2630" t="n">
        <v>0</v>
      </c>
      <c r="L2630" t="n">
        <v>160</v>
      </c>
      <c r="M2630" t="n">
        <v>160</v>
      </c>
      <c r="N2630" t="n">
        <v>0</v>
      </c>
      <c r="O2630" t="n">
        <v>1671</v>
      </c>
      <c r="P2630" s="96">
        <f>_xlfn.XLOOKUP(Tabla5[[#This Row],[EAN CORREGIDO]],'Tabla Articulos'!B:B,'Tabla Articulos'!D:D)</f>
        <v/>
      </c>
      <c r="Q2630" s="96">
        <f>_xlfn.XLOOKUP(S2630,'Tabla Articulos'!B:B,'Tabla Articulos'!E:E)</f>
        <v/>
      </c>
      <c r="R2630" s="96">
        <f>O2630*Q2630</f>
        <v/>
      </c>
      <c r="S2630" s="97">
        <f>TRIM(E2630)</f>
        <v/>
      </c>
    </row>
    <row r="2631" hidden="1">
      <c r="A2631" s="22" t="n">
        <v>2</v>
      </c>
      <c r="B2631" t="inlineStr">
        <is>
          <t xml:space="preserve">CD CIUDADELA                  </t>
        </is>
      </c>
      <c r="C2631" t="inlineStr">
        <is>
          <t xml:space="preserve">GRUPO L.                      </t>
        </is>
      </c>
      <c r="D2631" t="inlineStr">
        <is>
          <t>FIDEOS TRICOLOR</t>
        </is>
      </c>
      <c r="E2631" t="inlineStr">
        <is>
          <t xml:space="preserve">7790070335937       </t>
        </is>
      </c>
      <c r="F2631" t="n">
        <v>4019301</v>
      </c>
      <c r="G2631" t="inlineStr">
        <is>
          <t>FIDEO GUIS TIRAB 3 VEG X500G MATARA</t>
        </is>
      </c>
      <c r="H2631" t="inlineStr">
        <is>
          <t xml:space="preserve">UNIDAD              </t>
        </is>
      </c>
      <c r="I2631" t="n">
        <v>15</v>
      </c>
      <c r="J2631" t="n">
        <v>0</v>
      </c>
      <c r="K2631" t="n">
        <v>15</v>
      </c>
      <c r="L2631" t="n">
        <v>0</v>
      </c>
      <c r="M2631" t="n">
        <v>0</v>
      </c>
      <c r="N2631" t="n">
        <v>0</v>
      </c>
      <c r="O2631" t="n">
        <v>0</v>
      </c>
      <c r="P2631" s="96">
        <f>_xlfn.XLOOKUP(Tabla5[[#This Row],[EAN CORREGIDO]],'Tabla Articulos'!B:B,'Tabla Articulos'!D:D)</f>
        <v/>
      </c>
      <c r="Q2631" s="96">
        <f>_xlfn.XLOOKUP(S2631,'Tabla Articulos'!B:B,'Tabla Articulos'!E:E)</f>
        <v/>
      </c>
      <c r="R2631" s="96">
        <f>O2631*Q2631</f>
        <v/>
      </c>
      <c r="S2631" s="97">
        <f>TRIM(E2631)</f>
        <v/>
      </c>
    </row>
    <row r="2632" hidden="1">
      <c r="A2632" s="22" t="n">
        <v>2</v>
      </c>
      <c r="B2632" t="inlineStr">
        <is>
          <t xml:space="preserve">CD CIUDADELA                  </t>
        </is>
      </c>
      <c r="C2632" t="inlineStr">
        <is>
          <t xml:space="preserve">GRUPO L.                      </t>
        </is>
      </c>
      <c r="D2632" t="inlineStr">
        <is>
          <t>SEMOLA</t>
        </is>
      </c>
      <c r="E2632" t="inlineStr">
        <is>
          <t xml:space="preserve">7791476070118       </t>
        </is>
      </c>
      <c r="F2632" t="n">
        <v>4076821</v>
      </c>
      <c r="G2632" t="inlineStr">
        <is>
          <t xml:space="preserve">SEMOLA X400GR EGRAN                </t>
        </is>
      </c>
      <c r="H2632" t="inlineStr">
        <is>
          <t xml:space="preserve">UNIDAD              </t>
        </is>
      </c>
      <c r="I2632" t="n">
        <v>1373</v>
      </c>
      <c r="J2632" t="n">
        <v>0</v>
      </c>
      <c r="K2632" t="n">
        <v>0</v>
      </c>
      <c r="L2632" t="n">
        <v>29</v>
      </c>
      <c r="M2632" t="n">
        <v>29</v>
      </c>
      <c r="N2632" t="n">
        <v>0</v>
      </c>
      <c r="O2632" t="n">
        <v>1315</v>
      </c>
      <c r="P2632" s="96">
        <f>_xlfn.XLOOKUP(Tabla5[[#This Row],[EAN CORREGIDO]],'Tabla Articulos'!B:B,'Tabla Articulos'!D:D)</f>
        <v/>
      </c>
      <c r="Q2632" s="96">
        <f>_xlfn.XLOOKUP(S2632,'Tabla Articulos'!B:B,'Tabla Articulos'!E:E)</f>
        <v/>
      </c>
      <c r="R2632" s="96">
        <f>O2632*Q2632</f>
        <v/>
      </c>
      <c r="S2632" s="97">
        <f>TRIM(E2632)</f>
        <v/>
      </c>
    </row>
    <row r="2633" hidden="1">
      <c r="A2633" s="22" t="n">
        <v>2</v>
      </c>
      <c r="B2633" t="inlineStr">
        <is>
          <t xml:space="preserve">CD CIUDADELA                  </t>
        </is>
      </c>
      <c r="C2633" t="inlineStr">
        <is>
          <t xml:space="preserve">GRUPO L.                      </t>
        </is>
      </c>
      <c r="D2633" t="inlineStr">
        <is>
          <t>LENTEJAS REMOJADAS</t>
        </is>
      </c>
      <c r="E2633" t="inlineStr">
        <is>
          <t xml:space="preserve">7798096031086       </t>
        </is>
      </c>
      <c r="F2633" t="n">
        <v>4021619</v>
      </c>
      <c r="G2633" t="inlineStr">
        <is>
          <t xml:space="preserve">LENTEJAS X 340GR DOÑA PUPA         </t>
        </is>
      </c>
      <c r="H2633" t="inlineStr">
        <is>
          <t xml:space="preserve">UNIDAD              </t>
        </is>
      </c>
      <c r="I2633" t="n">
        <v>3583</v>
      </c>
      <c r="J2633" t="n">
        <v>0</v>
      </c>
      <c r="K2633" t="n">
        <v>0</v>
      </c>
      <c r="L2633" t="n">
        <v>11</v>
      </c>
      <c r="M2633" t="n">
        <v>11</v>
      </c>
      <c r="N2633" t="n">
        <v>0</v>
      </c>
      <c r="O2633" t="n">
        <v>3561</v>
      </c>
      <c r="P2633" s="96">
        <f>_xlfn.XLOOKUP(Tabla5[[#This Row],[EAN CORREGIDO]],'Tabla Articulos'!B:B,'Tabla Articulos'!D:D)</f>
        <v/>
      </c>
      <c r="Q2633" s="96">
        <f>_xlfn.XLOOKUP(S2633,'Tabla Articulos'!B:B,'Tabla Articulos'!E:E)</f>
        <v/>
      </c>
      <c r="R2633" s="96">
        <f>O2633*Q2633</f>
        <v/>
      </c>
      <c r="S2633" s="97">
        <f>TRIM(E2633)</f>
        <v/>
      </c>
    </row>
    <row r="2634" hidden="1">
      <c r="A2634" s="22" t="n">
        <v>2</v>
      </c>
      <c r="B2634" t="inlineStr">
        <is>
          <t xml:space="preserve">CD CIUDADELA                  </t>
        </is>
      </c>
      <c r="C2634" t="inlineStr">
        <is>
          <t xml:space="preserve">GRUPO L.                      </t>
        </is>
      </c>
      <c r="D2634" t="inlineStr">
        <is>
          <t>RESINITE PVC</t>
        </is>
      </c>
      <c r="E2634" t="inlineStr">
        <is>
          <t xml:space="preserve">7790000000229       </t>
        </is>
      </c>
      <c r="F2634" t="n">
        <v>2007185</v>
      </c>
      <c r="G2634" t="inlineStr">
        <is>
          <t xml:space="preserve">FILM PVC 45 CM 4.3 KG MPROP XUN    </t>
        </is>
      </c>
      <c r="H2634" t="inlineStr">
        <is>
          <t xml:space="preserve">UNIDAD              </t>
        </is>
      </c>
      <c r="I2634" t="n">
        <v>95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95</v>
      </c>
      <c r="P2634" s="96">
        <f>_xlfn.XLOOKUP(Tabla5[[#This Row],[EAN CORREGIDO]],'Tabla Articulos'!B:B,'Tabla Articulos'!D:D)</f>
        <v/>
      </c>
      <c r="Q2634" s="96">
        <f>_xlfn.XLOOKUP(S2634,'Tabla Articulos'!B:B,'Tabla Articulos'!E:E)</f>
        <v/>
      </c>
      <c r="R2634" s="96">
        <f>O2634*Q2634</f>
        <v/>
      </c>
      <c r="S2634" s="97">
        <f>TRIM(E2634)</f>
        <v/>
      </c>
    </row>
    <row r="2635" hidden="1">
      <c r="A2635" s="22" t="n">
        <v>2</v>
      </c>
      <c r="B2635" t="inlineStr">
        <is>
          <t xml:space="preserve">CD CIUDADELA                  </t>
        </is>
      </c>
      <c r="C2635" t="inlineStr">
        <is>
          <t xml:space="preserve">GRUPO L.                      </t>
        </is>
      </c>
      <c r="D2635" t="inlineStr">
        <is>
          <t>YOGUR ENTERO FRUTILLA</t>
        </is>
      </c>
      <c r="E2635" t="inlineStr">
        <is>
          <t xml:space="preserve">7794820902264       </t>
        </is>
      </c>
      <c r="F2635" t="n">
        <v>4018196</v>
      </c>
      <c r="G2635" t="inlineStr">
        <is>
          <t xml:space="preserve">YOGUR ENT FRUTILLA X900G MILKAUT   </t>
        </is>
      </c>
      <c r="H2635" t="inlineStr">
        <is>
          <t xml:space="preserve">UNIDAD              </t>
        </is>
      </c>
      <c r="I2635" t="n">
        <v>4863</v>
      </c>
      <c r="J2635" t="n">
        <v>0</v>
      </c>
      <c r="K2635" t="n">
        <v>0</v>
      </c>
      <c r="L2635" t="n">
        <v>51</v>
      </c>
      <c r="M2635" t="n">
        <v>51</v>
      </c>
      <c r="N2635" t="n">
        <v>0</v>
      </c>
      <c r="O2635" t="n">
        <v>4761</v>
      </c>
      <c r="P2635" s="96">
        <f>_xlfn.XLOOKUP(Tabla5[[#This Row],[EAN CORREGIDO]],'Tabla Articulos'!B:B,'Tabla Articulos'!D:D)</f>
        <v/>
      </c>
      <c r="Q2635" s="96">
        <f>_xlfn.XLOOKUP(S2635,'Tabla Articulos'!B:B,'Tabla Articulos'!E:E)</f>
        <v/>
      </c>
      <c r="R2635" s="96">
        <f>O2635*Q2635</f>
        <v/>
      </c>
      <c r="S2635" s="97">
        <f>TRIM(E2635)</f>
        <v/>
      </c>
    </row>
    <row r="2636" hidden="1">
      <c r="A2636" s="22" t="n">
        <v>2</v>
      </c>
      <c r="B2636" t="inlineStr">
        <is>
          <t xml:space="preserve">CD CIUDADELA                  </t>
        </is>
      </c>
      <c r="C2636" t="inlineStr">
        <is>
          <t xml:space="preserve">GRUPO L.                      </t>
        </is>
      </c>
      <c r="D2636" t="inlineStr">
        <is>
          <t xml:space="preserve">PASAS </t>
        </is>
      </c>
      <c r="E2636" t="inlineStr">
        <is>
          <t xml:space="preserve">0724751080400       </t>
        </is>
      </c>
      <c r="F2636" t="n">
        <v>4024236</v>
      </c>
      <c r="G2636" t="inlineStr">
        <is>
          <t xml:space="preserve">PASA UVA NEGRA X1KG PUERTO GOURMET </t>
        </is>
      </c>
      <c r="H2636" t="inlineStr">
        <is>
          <t xml:space="preserve">UNIDAD              </t>
        </is>
      </c>
      <c r="I2636" t="n">
        <v>50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50</v>
      </c>
      <c r="P2636" s="96">
        <f>_xlfn.XLOOKUP(Tabla5[[#This Row],[EAN CORREGIDO]],'Tabla Articulos'!B:B,'Tabla Articulos'!D:D)</f>
        <v/>
      </c>
      <c r="Q2636" s="96">
        <f>_xlfn.XLOOKUP(S2636,'Tabla Articulos'!B:B,'Tabla Articulos'!E:E)</f>
        <v/>
      </c>
      <c r="R2636" s="96">
        <f>O2636*Q2636</f>
        <v/>
      </c>
      <c r="S2636" s="97">
        <f>TRIM(E2636)</f>
        <v/>
      </c>
    </row>
    <row r="2637" hidden="1">
      <c r="A2637" s="22" t="n">
        <v>2</v>
      </c>
      <c r="B2637" t="inlineStr">
        <is>
          <t xml:space="preserve">CD CIUDADELA                  </t>
        </is>
      </c>
      <c r="C2637" t="inlineStr">
        <is>
          <t xml:space="preserve">GRUPO L.                      </t>
        </is>
      </c>
      <c r="D2637" t="inlineStr">
        <is>
          <t>POTE</t>
        </is>
      </c>
      <c r="E2637" t="inlineStr">
        <is>
          <t xml:space="preserve">7790000000735       </t>
        </is>
      </c>
      <c r="F2637" t="n">
        <v>2016560</v>
      </c>
      <c r="G2637" t="inlineStr">
        <is>
          <t xml:space="preserve">POTE NATURAL 25CC X2000UN          </t>
        </is>
      </c>
      <c r="H2637" t="inlineStr">
        <is>
          <t xml:space="preserve">UNIDAD              </t>
        </is>
      </c>
      <c r="I2637" t="n">
        <v>10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10</v>
      </c>
      <c r="P2637" s="96">
        <f>_xlfn.XLOOKUP(Tabla5[[#This Row],[EAN CORREGIDO]],'Tabla Articulos'!B:B,'Tabla Articulos'!D:D)</f>
        <v/>
      </c>
      <c r="Q2637" s="96">
        <f>_xlfn.XLOOKUP(S2637,'Tabla Articulos'!B:B,'Tabla Articulos'!E:E)</f>
        <v/>
      </c>
      <c r="R2637" s="96">
        <f>O2637*Q2637</f>
        <v/>
      </c>
      <c r="S2637" s="97">
        <f>TRIM(E2637)</f>
        <v/>
      </c>
    </row>
    <row r="2638" hidden="1">
      <c r="A2638" s="22" t="n">
        <v>2</v>
      </c>
      <c r="B2638" t="inlineStr">
        <is>
          <t xml:space="preserve">CD CIUDADELA                  </t>
        </is>
      </c>
      <c r="C2638" t="inlineStr">
        <is>
          <t xml:space="preserve">GRUPO L.                      </t>
        </is>
      </c>
      <c r="D2638" t="inlineStr">
        <is>
          <t>MIX CEREALES</t>
        </is>
      </c>
      <c r="E2638" t="inlineStr">
        <is>
          <t xml:space="preserve">7790040140912       </t>
        </is>
      </c>
      <c r="F2638" t="n">
        <v>4018935</v>
      </c>
      <c r="G2638" t="inlineStr">
        <is>
          <t xml:space="preserve">SNACK MIX CEREAL X100G CEREAL MIX	 </t>
        </is>
      </c>
      <c r="H2638" t="inlineStr">
        <is>
          <t xml:space="preserve">UNIDAD              </t>
        </is>
      </c>
      <c r="I2638" t="n">
        <v>264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264</v>
      </c>
      <c r="P2638" s="96">
        <f>_xlfn.XLOOKUP(Tabla5[[#This Row],[EAN CORREGIDO]],'Tabla Articulos'!B:B,'Tabla Articulos'!D:D)</f>
        <v/>
      </c>
      <c r="Q2638" s="96">
        <f>_xlfn.XLOOKUP(S2638,'Tabla Articulos'!B:B,'Tabla Articulos'!E:E)</f>
        <v/>
      </c>
      <c r="R2638" s="96">
        <f>O2638*Q2638</f>
        <v/>
      </c>
      <c r="S2638" s="97">
        <f>TRIM(E2638)</f>
        <v/>
      </c>
    </row>
    <row r="2639" hidden="1">
      <c r="A2639" s="22" t="n">
        <v>2</v>
      </c>
      <c r="B2639" t="inlineStr">
        <is>
          <t xml:space="preserve">CD CIUDADELA                  </t>
        </is>
      </c>
      <c r="C2639" t="inlineStr">
        <is>
          <t xml:space="preserve">GRUPO L.                      </t>
        </is>
      </c>
      <c r="D2639" t="inlineStr">
        <is>
          <t>HUEVO EN POLVO</t>
        </is>
      </c>
      <c r="E2639" t="inlineStr">
        <is>
          <t xml:space="preserve">7790000000617       </t>
        </is>
      </c>
      <c r="F2639" t="n">
        <v>4002136</v>
      </c>
      <c r="G2639" t="inlineStr">
        <is>
          <t xml:space="preserve">HUEVO ENT POLVO BOLSA X25KG        </t>
        </is>
      </c>
      <c r="H2639" t="inlineStr">
        <is>
          <t xml:space="preserve">UNIDAD              </t>
        </is>
      </c>
      <c r="I2639" t="n">
        <v>11</v>
      </c>
      <c r="J2639" t="n">
        <v>0</v>
      </c>
      <c r="K2639" t="n">
        <v>0</v>
      </c>
      <c r="L2639" t="n">
        <v>1</v>
      </c>
      <c r="M2639" t="n">
        <v>1</v>
      </c>
      <c r="N2639" t="n">
        <v>0</v>
      </c>
      <c r="O2639" t="n">
        <v>9</v>
      </c>
      <c r="P2639" s="96">
        <f>_xlfn.XLOOKUP(Tabla5[[#This Row],[EAN CORREGIDO]],'Tabla Articulos'!B:B,'Tabla Articulos'!D:D)</f>
        <v/>
      </c>
      <c r="Q2639" s="96">
        <f>_xlfn.XLOOKUP(S2639,'Tabla Articulos'!B:B,'Tabla Articulos'!E:E)</f>
        <v/>
      </c>
      <c r="R2639" s="96">
        <f>O2639*Q2639</f>
        <v/>
      </c>
      <c r="S2639" s="97">
        <f>TRIM(E2639)</f>
        <v/>
      </c>
    </row>
    <row r="2640" hidden="1">
      <c r="A2640" s="22" t="n">
        <v>2</v>
      </c>
      <c r="B2640" t="inlineStr">
        <is>
          <t xml:space="preserve">CD CIUDADELA                  </t>
        </is>
      </c>
      <c r="C2640" t="inlineStr">
        <is>
          <t xml:space="preserve">GRUPO L.                      </t>
        </is>
      </c>
      <c r="D2640" t="inlineStr">
        <is>
          <t>VINO TINTO</t>
        </is>
      </c>
      <c r="E2640" t="inlineStr">
        <is>
          <t xml:space="preserve">7790984005162       </t>
        </is>
      </c>
      <c r="F2640" t="n">
        <v>4021309</v>
      </c>
      <c r="G2640" t="inlineStr">
        <is>
          <t xml:space="preserve">VINO TINTO X1LT PICO DE ORO.       </t>
        </is>
      </c>
      <c r="H2640" t="inlineStr">
        <is>
          <t xml:space="preserve">UNIDAD              </t>
        </is>
      </c>
      <c r="I2640" t="n">
        <v>89</v>
      </c>
      <c r="J2640" t="n">
        <v>0</v>
      </c>
      <c r="K2640" t="n">
        <v>0</v>
      </c>
      <c r="L2640" t="n">
        <v>22</v>
      </c>
      <c r="M2640" t="n">
        <v>22</v>
      </c>
      <c r="N2640" t="n">
        <v>0</v>
      </c>
      <c r="O2640" t="n">
        <v>45</v>
      </c>
      <c r="P2640" s="96">
        <f>_xlfn.XLOOKUP(Tabla5[[#This Row],[EAN CORREGIDO]],'Tabla Articulos'!B:B,'Tabla Articulos'!D:D)</f>
        <v/>
      </c>
      <c r="Q2640" s="96">
        <f>_xlfn.XLOOKUP(S2640,'Tabla Articulos'!B:B,'Tabla Articulos'!E:E)</f>
        <v/>
      </c>
      <c r="R2640" s="96">
        <f>O2640*Q2640</f>
        <v/>
      </c>
      <c r="S2640" s="97">
        <f>TRIM(E2640)</f>
        <v/>
      </c>
    </row>
    <row r="2641" hidden="1">
      <c r="A2641" s="22" t="n">
        <v>2</v>
      </c>
      <c r="B2641" t="inlineStr">
        <is>
          <t xml:space="preserve">CD CIUDADELA                  </t>
        </is>
      </c>
      <c r="C2641" t="inlineStr">
        <is>
          <t xml:space="preserve">GRUPO L.                      </t>
        </is>
      </c>
      <c r="D2641" t="inlineStr">
        <is>
          <t>SERVILLETA INTERC S/LOGO</t>
        </is>
      </c>
      <c r="E2641" t="inlineStr">
        <is>
          <t xml:space="preserve">17790250912825      </t>
        </is>
      </c>
      <c r="F2641" t="n">
        <v>2006665</v>
      </c>
      <c r="G2641" t="inlineStr">
        <is>
          <t xml:space="preserve">SERVILLETA ELITE 16X21 X8400U      </t>
        </is>
      </c>
      <c r="H2641" t="inlineStr">
        <is>
          <t xml:space="preserve">UNIDAD              </t>
        </is>
      </c>
      <c r="I2641" t="n">
        <v>42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42</v>
      </c>
      <c r="P2641" s="96">
        <f>_xlfn.XLOOKUP(Tabla5[[#This Row],[EAN CORREGIDO]],'Tabla Articulos'!B:B,'Tabla Articulos'!D:D)</f>
        <v/>
      </c>
      <c r="Q2641" s="96">
        <f>_xlfn.XLOOKUP(S2641,'Tabla Articulos'!B:B,'Tabla Articulos'!E:E)</f>
        <v/>
      </c>
      <c r="R2641" s="96">
        <f>O2641*Q2641</f>
        <v/>
      </c>
      <c r="S2641" s="97">
        <f>TRIM(E2641)</f>
        <v/>
      </c>
    </row>
    <row r="2642" hidden="1">
      <c r="A2642" s="22" t="n">
        <v>2</v>
      </c>
      <c r="B2642" t="inlineStr">
        <is>
          <t xml:space="preserve">CD CIUDADELA                  </t>
        </is>
      </c>
      <c r="C2642" t="inlineStr">
        <is>
          <t xml:space="preserve">GRUPO L.                      </t>
        </is>
      </c>
      <c r="D2642" t="inlineStr">
        <is>
          <t>CALDO POLVO VERDURA</t>
        </is>
      </c>
      <c r="E2642" t="inlineStr">
        <is>
          <t xml:space="preserve">7794000004061       </t>
        </is>
      </c>
      <c r="F2642" t="n">
        <v>4020135</v>
      </c>
      <c r="G2642" t="inlineStr">
        <is>
          <t xml:space="preserve">CALDO VERDURA X 950 G KNORR        </t>
        </is>
      </c>
      <c r="H2642" t="inlineStr">
        <is>
          <t xml:space="preserve">UNIDAD              </t>
        </is>
      </c>
      <c r="I2642" t="n">
        <v>99</v>
      </c>
      <c r="J2642" t="n">
        <v>0</v>
      </c>
      <c r="K2642" t="n">
        <v>0</v>
      </c>
      <c r="L2642" t="n">
        <v>2</v>
      </c>
      <c r="M2642" t="n">
        <v>2</v>
      </c>
      <c r="N2642" t="n">
        <v>0</v>
      </c>
      <c r="O2642" t="n">
        <v>95</v>
      </c>
      <c r="P2642" s="96">
        <f>_xlfn.XLOOKUP(Tabla5[[#This Row],[EAN CORREGIDO]],'Tabla Articulos'!B:B,'Tabla Articulos'!D:D)</f>
        <v/>
      </c>
      <c r="Q2642" s="96">
        <f>_xlfn.XLOOKUP(S2642,'Tabla Articulos'!B:B,'Tabla Articulos'!E:E)</f>
        <v/>
      </c>
      <c r="R2642" s="96">
        <f>O2642*Q2642</f>
        <v/>
      </c>
      <c r="S2642" s="97">
        <f>TRIM(E2642)</f>
        <v/>
      </c>
    </row>
    <row r="2643" hidden="1">
      <c r="A2643" s="22" t="n">
        <v>2</v>
      </c>
      <c r="B2643" t="inlineStr">
        <is>
          <t xml:space="preserve">CD CIUDADELA                  </t>
        </is>
      </c>
      <c r="C2643" t="inlineStr">
        <is>
          <t xml:space="preserve">GRUPO L.                      </t>
        </is>
      </c>
      <c r="D2643" t="inlineStr">
        <is>
          <t>MANTEL LOGO SLL</t>
        </is>
      </c>
      <c r="E2643" t="inlineStr">
        <is>
          <t xml:space="preserve">7790321190588       </t>
        </is>
      </c>
      <c r="F2643" t="n">
        <v>2006634</v>
      </c>
      <c r="G2643" t="inlineStr">
        <is>
          <t xml:space="preserve">MANTEL IND 40X30X1000U SLL         </t>
        </is>
      </c>
      <c r="H2643" t="inlineStr">
        <is>
          <t xml:space="preserve">BULTOS              </t>
        </is>
      </c>
      <c r="I2643" t="n">
        <v>49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49</v>
      </c>
      <c r="P2643" s="96">
        <f>_xlfn.XLOOKUP(Tabla5[[#This Row],[EAN CORREGIDO]],'Tabla Articulos'!B:B,'Tabla Articulos'!D:D)</f>
        <v/>
      </c>
      <c r="Q2643" s="96">
        <f>_xlfn.XLOOKUP(S2643,'Tabla Articulos'!B:B,'Tabla Articulos'!E:E)</f>
        <v/>
      </c>
      <c r="R2643" s="96">
        <f>O2643*Q2643</f>
        <v/>
      </c>
      <c r="S2643" s="97">
        <f>TRIM(E2643)</f>
        <v/>
      </c>
    </row>
    <row r="2644" hidden="1">
      <c r="A2644" s="22" t="n">
        <v>2</v>
      </c>
      <c r="B2644" t="inlineStr">
        <is>
          <t xml:space="preserve">CD CIUDADELA                  </t>
        </is>
      </c>
      <c r="C2644" t="inlineStr">
        <is>
          <t xml:space="preserve">GRUPO L.                      </t>
        </is>
      </c>
      <c r="D2644" t="inlineStr">
        <is>
          <t>SAL FINA IND FINOCHIETTO</t>
        </is>
      </c>
      <c r="E2644" t="inlineStr">
        <is>
          <t xml:space="preserve">7798011977253       </t>
        </is>
      </c>
      <c r="F2644" t="n">
        <v>4020302</v>
      </c>
      <c r="G2644" t="inlineStr">
        <is>
          <t xml:space="preserve">SAL FINA FINOC X0.5GX1000U ABEDUL  </t>
        </is>
      </c>
      <c r="H2644" t="inlineStr">
        <is>
          <t xml:space="preserve">UNIDAD              </t>
        </is>
      </c>
      <c r="I2644" t="n">
        <v>78</v>
      </c>
      <c r="J2644" t="n">
        <v>0</v>
      </c>
      <c r="K2644" t="n">
        <v>0</v>
      </c>
      <c r="L2644" t="n">
        <v>3</v>
      </c>
      <c r="M2644" t="n">
        <v>3</v>
      </c>
      <c r="N2644" t="n">
        <v>0</v>
      </c>
      <c r="O2644" t="n">
        <v>72</v>
      </c>
      <c r="P2644" s="96">
        <f>_xlfn.XLOOKUP(Tabla5[[#This Row],[EAN CORREGIDO]],'Tabla Articulos'!B:B,'Tabla Articulos'!D:D)</f>
        <v/>
      </c>
      <c r="Q2644" s="96">
        <f>_xlfn.XLOOKUP(S2644,'Tabla Articulos'!B:B,'Tabla Articulos'!E:E)</f>
        <v/>
      </c>
      <c r="R2644" s="96">
        <f>O2644*Q2644</f>
        <v/>
      </c>
      <c r="S2644" s="97">
        <f>TRIM(E2644)</f>
        <v/>
      </c>
    </row>
    <row r="2645" hidden="1">
      <c r="A2645" s="22" t="n">
        <v>2</v>
      </c>
      <c r="B2645" t="inlineStr">
        <is>
          <t xml:space="preserve">CD CIUDADELA                  </t>
        </is>
      </c>
      <c r="C2645" t="inlineStr">
        <is>
          <t xml:space="preserve">GRUPO L.                      </t>
        </is>
      </c>
      <c r="D2645" t="inlineStr">
        <is>
          <t>GASEOSA LIMA LIGHT</t>
        </is>
      </c>
      <c r="E2645" t="inlineStr">
        <is>
          <t xml:space="preserve">7790895012327       </t>
        </is>
      </c>
      <c r="F2645" t="n">
        <v>4017441</v>
      </c>
      <c r="G2645" t="inlineStr">
        <is>
          <t xml:space="preserve">GAS SPRITE ZERO X 1.75L            </t>
        </is>
      </c>
      <c r="H2645" t="inlineStr">
        <is>
          <t xml:space="preserve">UNIDAD              </t>
        </is>
      </c>
      <c r="I2645" t="n">
        <v>78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78</v>
      </c>
      <c r="P2645" s="96">
        <f>_xlfn.XLOOKUP(Tabla5[[#This Row],[EAN CORREGIDO]],'Tabla Articulos'!B:B,'Tabla Articulos'!D:D)</f>
        <v/>
      </c>
      <c r="Q2645" s="96">
        <f>_xlfn.XLOOKUP(S2645,'Tabla Articulos'!B:B,'Tabla Articulos'!E:E)</f>
        <v/>
      </c>
      <c r="R2645" s="96">
        <f>O2645*Q2645</f>
        <v/>
      </c>
      <c r="S2645" s="97">
        <f>TRIM(E2645)</f>
        <v/>
      </c>
    </row>
    <row r="2646" hidden="1">
      <c r="A2646" s="22" t="n">
        <v>2</v>
      </c>
      <c r="B2646" t="inlineStr">
        <is>
          <t xml:space="preserve">CD CIUDADELA                  </t>
        </is>
      </c>
      <c r="C2646" t="inlineStr">
        <is>
          <t xml:space="preserve">GRUPO L.                      </t>
        </is>
      </c>
      <c r="D2646" t="inlineStr">
        <is>
          <t>VINAGRE ALCOHOL</t>
        </is>
      </c>
      <c r="E2646" t="inlineStr">
        <is>
          <t xml:space="preserve">7792378001415       </t>
        </is>
      </c>
      <c r="F2646" t="n">
        <v>4019980</v>
      </c>
      <c r="G2646" t="inlineStr">
        <is>
          <t xml:space="preserve">VINAGRE ALCOHOL X5LT COMENSAL      </t>
        </is>
      </c>
      <c r="H2646" t="inlineStr">
        <is>
          <t xml:space="preserve">UNIDAD              </t>
        </is>
      </c>
      <c r="I2646" t="n">
        <v>1082</v>
      </c>
      <c r="J2646" t="n">
        <v>0</v>
      </c>
      <c r="K2646" t="n">
        <v>0</v>
      </c>
      <c r="L2646" t="n">
        <v>312</v>
      </c>
      <c r="M2646" t="n">
        <v>312</v>
      </c>
      <c r="N2646" t="n">
        <v>0</v>
      </c>
      <c r="O2646" t="n">
        <v>458</v>
      </c>
      <c r="P2646" s="96">
        <f>_xlfn.XLOOKUP(Tabla5[[#This Row],[EAN CORREGIDO]],'Tabla Articulos'!B:B,'Tabla Articulos'!D:D)</f>
        <v/>
      </c>
      <c r="Q2646" s="96">
        <f>_xlfn.XLOOKUP(S2646,'Tabla Articulos'!B:B,'Tabla Articulos'!E:E)</f>
        <v/>
      </c>
      <c r="R2646" s="96">
        <f>O2646*Q2646</f>
        <v/>
      </c>
      <c r="S2646" s="97">
        <f>TRIM(E2646)</f>
        <v/>
      </c>
    </row>
    <row r="2647" hidden="1">
      <c r="A2647" s="22" t="n">
        <v>2</v>
      </c>
      <c r="B2647" t="inlineStr">
        <is>
          <t xml:space="preserve">CD CIUDADELA                  </t>
        </is>
      </c>
      <c r="C2647" t="inlineStr">
        <is>
          <t xml:space="preserve">GRUPO L.                      </t>
        </is>
      </c>
      <c r="D2647" t="inlineStr">
        <is>
          <t>MIEL</t>
        </is>
      </c>
      <c r="E2647" t="inlineStr">
        <is>
          <t xml:space="preserve">7798107930056       </t>
        </is>
      </c>
      <c r="F2647" t="n">
        <v>4020569</v>
      </c>
      <c r="G2647" t="inlineStr">
        <is>
          <t xml:space="preserve">MIEL X500GRS PRESTIGIO	            </t>
        </is>
      </c>
      <c r="H2647" t="inlineStr">
        <is>
          <t xml:space="preserve">BULTOS              </t>
        </is>
      </c>
      <c r="I2647" t="n">
        <v>59</v>
      </c>
      <c r="J2647" t="n">
        <v>0</v>
      </c>
      <c r="K2647" t="n">
        <v>0</v>
      </c>
      <c r="L2647" t="n">
        <v>9</v>
      </c>
      <c r="M2647" t="n">
        <v>9</v>
      </c>
      <c r="N2647" t="n">
        <v>0</v>
      </c>
      <c r="O2647" t="n">
        <v>41</v>
      </c>
      <c r="P2647" s="96">
        <f>_xlfn.XLOOKUP(Tabla5[[#This Row],[EAN CORREGIDO]],'Tabla Articulos'!B:B,'Tabla Articulos'!D:D)</f>
        <v/>
      </c>
      <c r="Q2647" s="96">
        <f>_xlfn.XLOOKUP(S2647,'Tabla Articulos'!B:B,'Tabla Articulos'!E:E)</f>
        <v/>
      </c>
      <c r="R2647" s="96">
        <f>O2647*Q2647</f>
        <v/>
      </c>
      <c r="S2647" s="97">
        <f>TRIM(E2647)</f>
        <v/>
      </c>
    </row>
    <row r="2648" hidden="1">
      <c r="A2648" s="22" t="n">
        <v>2</v>
      </c>
      <c r="B2648" t="inlineStr">
        <is>
          <t xml:space="preserve">CD CIUDADELA                  </t>
        </is>
      </c>
      <c r="C2648" t="inlineStr">
        <is>
          <t xml:space="preserve">GRUPO L.                      </t>
        </is>
      </c>
      <c r="D2648" t="inlineStr">
        <is>
          <t xml:space="preserve">TE ROYAL FRUIT </t>
        </is>
      </c>
      <c r="E2648" t="inlineStr">
        <is>
          <t xml:space="preserve">7790150396186       </t>
        </is>
      </c>
      <c r="F2648" t="n">
        <v>4019426</v>
      </c>
      <c r="G2648" t="inlineStr">
        <is>
          <t xml:space="preserve">TE FRUTILLA ENSOB X20U LA VIRGINIA </t>
        </is>
      </c>
      <c r="H2648" t="inlineStr">
        <is>
          <t xml:space="preserve">UNIDAD              </t>
        </is>
      </c>
      <c r="I2648" t="n">
        <v>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3</v>
      </c>
      <c r="P2648" s="96">
        <f>_xlfn.XLOOKUP(Tabla5[[#This Row],[EAN CORREGIDO]],'Tabla Articulos'!B:B,'Tabla Articulos'!D:D)</f>
        <v/>
      </c>
      <c r="Q2648" s="96">
        <f>_xlfn.XLOOKUP(S2648,'Tabla Articulos'!B:B,'Tabla Articulos'!E:E)</f>
        <v/>
      </c>
      <c r="R2648" s="96">
        <f>O2648*Q2648</f>
        <v/>
      </c>
      <c r="S2648" s="97">
        <f>TRIM(E2648)</f>
        <v/>
      </c>
    </row>
    <row r="2649" hidden="1">
      <c r="A2649" s="22" t="n">
        <v>2</v>
      </c>
      <c r="B2649" t="inlineStr">
        <is>
          <t xml:space="preserve">CD CIUDADELA                  </t>
        </is>
      </c>
      <c r="C2649" t="inlineStr">
        <is>
          <t xml:space="preserve">GRUPO L.                      </t>
        </is>
      </c>
      <c r="D2649" t="inlineStr">
        <is>
          <t>CAFE EN GRANO</t>
        </is>
      </c>
      <c r="E2649" t="inlineStr">
        <is>
          <t xml:space="preserve">7798092900058       </t>
        </is>
      </c>
      <c r="F2649" t="n">
        <v>4021247</v>
      </c>
      <c r="G2649" t="inlineStr">
        <is>
          <t xml:space="preserve">CAFE SANTOS GRANO BARISTA LA BOL   </t>
        </is>
      </c>
      <c r="H2649" t="inlineStr">
        <is>
          <t xml:space="preserve">UNIDAD              </t>
        </is>
      </c>
      <c r="I2649" t="n">
        <v>440</v>
      </c>
      <c r="J2649" t="n">
        <v>0</v>
      </c>
      <c r="K2649" t="n">
        <v>0</v>
      </c>
      <c r="L2649" t="n">
        <v>24</v>
      </c>
      <c r="M2649" t="n">
        <v>24</v>
      </c>
      <c r="N2649" t="n">
        <v>0</v>
      </c>
      <c r="O2649" t="n">
        <v>392</v>
      </c>
      <c r="P2649" s="96">
        <f>_xlfn.XLOOKUP(Tabla5[[#This Row],[EAN CORREGIDO]],'Tabla Articulos'!B:B,'Tabla Articulos'!D:D)</f>
        <v/>
      </c>
      <c r="Q2649" s="96">
        <f>_xlfn.XLOOKUP(S2649,'Tabla Articulos'!B:B,'Tabla Articulos'!E:E)</f>
        <v/>
      </c>
      <c r="R2649" s="96">
        <f>O2649*Q2649</f>
        <v/>
      </c>
      <c r="S2649" s="97">
        <f>TRIM(E2649)</f>
        <v/>
      </c>
    </row>
    <row r="2650" hidden="1">
      <c r="A2650" s="22" t="n">
        <v>2</v>
      </c>
      <c r="B2650" t="inlineStr">
        <is>
          <t xml:space="preserve">CD CIUDADELA                  </t>
        </is>
      </c>
      <c r="C2650" t="inlineStr">
        <is>
          <t xml:space="preserve">GRUPO L.                      </t>
        </is>
      </c>
      <c r="D2650" t="inlineStr">
        <is>
          <t>GALLE AVENA INDIV</t>
        </is>
      </c>
      <c r="E2650" t="inlineStr">
        <is>
          <t xml:space="preserve">7798188380139       </t>
        </is>
      </c>
      <c r="F2650" t="n">
        <v>4018921</v>
      </c>
      <c r="G2650" t="inlineStr">
        <is>
          <t xml:space="preserve">GALLETITA AVENA X25 GR CAUTIVA     </t>
        </is>
      </c>
      <c r="H2650" t="inlineStr">
        <is>
          <t xml:space="preserve">UNIDAD              </t>
        </is>
      </c>
      <c r="I2650" t="n">
        <v>10147</v>
      </c>
      <c r="J2650" t="n">
        <v>0</v>
      </c>
      <c r="K2650" t="n">
        <v>0</v>
      </c>
      <c r="L2650" t="n">
        <v>200</v>
      </c>
      <c r="M2650" t="n">
        <v>200</v>
      </c>
      <c r="N2650" t="n">
        <v>0</v>
      </c>
      <c r="O2650" t="n">
        <v>9747</v>
      </c>
      <c r="P2650" s="96">
        <f>_xlfn.XLOOKUP(Tabla5[[#This Row],[EAN CORREGIDO]],'Tabla Articulos'!B:B,'Tabla Articulos'!D:D)</f>
        <v/>
      </c>
      <c r="Q2650" s="96">
        <f>_xlfn.XLOOKUP(S2650,'Tabla Articulos'!B:B,'Tabla Articulos'!E:E)</f>
        <v/>
      </c>
      <c r="R2650" s="96">
        <f>O2650*Q2650</f>
        <v/>
      </c>
      <c r="S2650" s="97">
        <f>TRIM(E2650)</f>
        <v/>
      </c>
    </row>
    <row r="2651" hidden="1">
      <c r="A2651" s="22" t="n">
        <v>2</v>
      </c>
      <c r="B2651" t="inlineStr">
        <is>
          <t xml:space="preserve">CD CIUDADELA                  </t>
        </is>
      </c>
      <c r="C2651" t="inlineStr">
        <is>
          <t xml:space="preserve">GRUPO L.                      </t>
        </is>
      </c>
      <c r="D2651" t="inlineStr">
        <is>
          <t>SALSA DE SOJA</t>
        </is>
      </c>
      <c r="E2651" t="inlineStr">
        <is>
          <t xml:space="preserve">7790566000264       </t>
        </is>
      </c>
      <c r="F2651" t="n">
        <v>4019880</v>
      </c>
      <c r="G2651" t="inlineStr">
        <is>
          <t xml:space="preserve">SALSA SOJA X 5LT HEIMEN            </t>
        </is>
      </c>
      <c r="H2651" t="inlineStr">
        <is>
          <t xml:space="preserve">UNIDAD              </t>
        </is>
      </c>
      <c r="I2651" t="n">
        <v>269</v>
      </c>
      <c r="J2651" t="n">
        <v>0</v>
      </c>
      <c r="K2651" t="n">
        <v>0</v>
      </c>
      <c r="L2651" t="n">
        <v>6</v>
      </c>
      <c r="M2651" t="n">
        <v>6</v>
      </c>
      <c r="N2651" t="n">
        <v>0</v>
      </c>
      <c r="O2651" t="n">
        <v>257</v>
      </c>
      <c r="P2651" s="96">
        <f>_xlfn.XLOOKUP(Tabla5[[#This Row],[EAN CORREGIDO]],'Tabla Articulos'!B:B,'Tabla Articulos'!D:D)</f>
        <v/>
      </c>
      <c r="Q2651" s="96">
        <f>_xlfn.XLOOKUP(S2651,'Tabla Articulos'!B:B,'Tabla Articulos'!E:E)</f>
        <v/>
      </c>
      <c r="R2651" s="96">
        <f>O2651*Q2651</f>
        <v/>
      </c>
      <c r="S2651" s="97">
        <f>TRIM(E2651)</f>
        <v/>
      </c>
    </row>
    <row r="2652" hidden="1">
      <c r="A2652" s="22" t="n">
        <v>2</v>
      </c>
      <c r="B2652" t="inlineStr">
        <is>
          <t xml:space="preserve">CD CIUDADELA                  </t>
        </is>
      </c>
      <c r="C2652" t="inlineStr">
        <is>
          <t xml:space="preserve">GRUPO L.                      </t>
        </is>
      </c>
      <c r="D2652" t="inlineStr">
        <is>
          <t>GALLE VAINI INDIV</t>
        </is>
      </c>
      <c r="E2652" t="inlineStr">
        <is>
          <t xml:space="preserve">7798188380177       </t>
        </is>
      </c>
      <c r="F2652" t="n">
        <v>4018917</v>
      </c>
      <c r="G2652" t="inlineStr">
        <is>
          <t xml:space="preserve">GALLE DULCE VAINI X25G CAUTIVA	    </t>
        </is>
      </c>
      <c r="H2652" t="inlineStr">
        <is>
          <t xml:space="preserve">UNIDAD              </t>
        </is>
      </c>
      <c r="I2652" t="n">
        <v>23107</v>
      </c>
      <c r="J2652" t="n">
        <v>0</v>
      </c>
      <c r="K2652" t="n">
        <v>0</v>
      </c>
      <c r="L2652" t="n">
        <v>934</v>
      </c>
      <c r="M2652" t="n">
        <v>934</v>
      </c>
      <c r="N2652" t="n">
        <v>0</v>
      </c>
      <c r="O2652" t="n">
        <v>21239</v>
      </c>
      <c r="P2652" s="96">
        <f>_xlfn.XLOOKUP(Tabla5[[#This Row],[EAN CORREGIDO]],'Tabla Articulos'!B:B,'Tabla Articulos'!D:D)</f>
        <v/>
      </c>
      <c r="Q2652" s="96">
        <f>_xlfn.XLOOKUP(S2652,'Tabla Articulos'!B:B,'Tabla Articulos'!E:E)</f>
        <v/>
      </c>
      <c r="R2652" s="96">
        <f>O2652*Q2652</f>
        <v/>
      </c>
      <c r="S2652" s="97">
        <f>TRIM(E2652)</f>
        <v/>
      </c>
    </row>
    <row r="2653" hidden="1">
      <c r="A2653" s="22" t="n">
        <v>2</v>
      </c>
      <c r="B2653" t="inlineStr">
        <is>
          <t xml:space="preserve">CD CIUDADELA                  </t>
        </is>
      </c>
      <c r="C2653" t="inlineStr">
        <is>
          <t xml:space="preserve">GRUPO L.                      </t>
        </is>
      </c>
      <c r="D2653" t="inlineStr">
        <is>
          <t>FIGAZA INTEGRAL</t>
        </is>
      </c>
      <c r="E2653" t="inlineStr">
        <is>
          <t xml:space="preserve">7790213012185       </t>
        </is>
      </c>
      <c r="F2653" t="n">
        <v>4018518</v>
      </c>
      <c r="G2653" t="inlineStr">
        <is>
          <t xml:space="preserve">FIGAZITA DE PAN INTEGRAL X U       </t>
        </is>
      </c>
      <c r="H2653" t="inlineStr">
        <is>
          <t xml:space="preserve">UNIDAD              </t>
        </is>
      </c>
      <c r="I2653" t="n">
        <v>18657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18657</v>
      </c>
      <c r="P2653" s="96">
        <f>_xlfn.XLOOKUP(Tabla5[[#This Row],[EAN CORREGIDO]],'Tabla Articulos'!B:B,'Tabla Articulos'!D:D)</f>
        <v/>
      </c>
      <c r="Q2653" s="96">
        <f>_xlfn.XLOOKUP(S2653,'Tabla Articulos'!B:B,'Tabla Articulos'!E:E)</f>
        <v/>
      </c>
      <c r="R2653" s="96">
        <f>O2653*Q2653</f>
        <v/>
      </c>
      <c r="S2653" s="97">
        <f>TRIM(E2653)</f>
        <v/>
      </c>
    </row>
    <row r="2654" hidden="1">
      <c r="A2654" s="22" t="n">
        <v>2</v>
      </c>
      <c r="B2654" t="inlineStr">
        <is>
          <t xml:space="preserve">CD CIUDADELA                  </t>
        </is>
      </c>
      <c r="C2654" t="inlineStr">
        <is>
          <t xml:space="preserve">GRUPO L.                      </t>
        </is>
      </c>
      <c r="D2654" t="inlineStr">
        <is>
          <t>MILA CARNE CONGE BOVAY</t>
        </is>
      </c>
      <c r="E2654" t="inlineStr">
        <is>
          <t xml:space="preserve">7798197300099       </t>
        </is>
      </c>
      <c r="F2654" t="n">
        <v>4017459</v>
      </c>
      <c r="G2654" t="inlineStr">
        <is>
          <t xml:space="preserve">MILANESA CARNE CONG X6KG BOVAY     </t>
        </is>
      </c>
      <c r="H2654" t="inlineStr">
        <is>
          <t xml:space="preserve">Kgs                 </t>
        </is>
      </c>
      <c r="I2654" t="n">
        <v>153</v>
      </c>
      <c r="J2654" t="n">
        <v>0</v>
      </c>
      <c r="K2654" t="n">
        <v>0</v>
      </c>
      <c r="L2654" t="n">
        <v>15</v>
      </c>
      <c r="M2654" t="n">
        <v>15</v>
      </c>
      <c r="N2654" t="n">
        <v>0</v>
      </c>
      <c r="O2654" t="n">
        <v>123</v>
      </c>
      <c r="P2654" s="96">
        <f>_xlfn.XLOOKUP(Tabla5[[#This Row],[EAN CORREGIDO]],'Tabla Articulos'!B:B,'Tabla Articulos'!D:D)</f>
        <v/>
      </c>
      <c r="Q2654" s="96">
        <f>_xlfn.XLOOKUP(S2654,'Tabla Articulos'!B:B,'Tabla Articulos'!E:E)</f>
        <v/>
      </c>
      <c r="R2654" s="96">
        <f>O2654*Q2654</f>
        <v/>
      </c>
      <c r="S2654" s="97">
        <f>TRIM(E2654)</f>
        <v/>
      </c>
    </row>
    <row r="2655" hidden="1">
      <c r="A2655" s="22" t="n">
        <v>2</v>
      </c>
      <c r="B2655" t="inlineStr">
        <is>
          <t xml:space="preserve">CD CIUDADELA                  </t>
        </is>
      </c>
      <c r="C2655" t="inlineStr">
        <is>
          <t xml:space="preserve">GRUPO L.                      </t>
        </is>
      </c>
      <c r="D2655" t="inlineStr">
        <is>
          <t>PIONONO</t>
        </is>
      </c>
      <c r="E2655" t="inlineStr">
        <is>
          <t xml:space="preserve">7791473001733       </t>
        </is>
      </c>
      <c r="F2655" t="n">
        <v>4018606</v>
      </c>
      <c r="G2655" t="inlineStr">
        <is>
          <t xml:space="preserve">PIONONO VAINILLA X300G BON MASE    </t>
        </is>
      </c>
      <c r="H2655" t="inlineStr">
        <is>
          <t xml:space="preserve">UNIDAD              </t>
        </is>
      </c>
      <c r="I2655" t="n">
        <v>94</v>
      </c>
      <c r="J2655" t="n">
        <v>0</v>
      </c>
      <c r="K2655" t="n">
        <v>0</v>
      </c>
      <c r="L2655" t="n">
        <v>22</v>
      </c>
      <c r="M2655" t="n">
        <v>22</v>
      </c>
      <c r="N2655" t="n">
        <v>0</v>
      </c>
      <c r="O2655" t="n">
        <v>50</v>
      </c>
      <c r="P2655" s="96">
        <f>_xlfn.XLOOKUP(Tabla5[[#This Row],[EAN CORREGIDO]],'Tabla Articulos'!B:B,'Tabla Articulos'!D:D)</f>
        <v/>
      </c>
      <c r="Q2655" s="96">
        <f>_xlfn.XLOOKUP(S2655,'Tabla Articulos'!B:B,'Tabla Articulos'!E:E)</f>
        <v/>
      </c>
      <c r="R2655" s="96">
        <f>O2655*Q2655</f>
        <v/>
      </c>
      <c r="S2655" s="97">
        <f>TRIM(E2655)</f>
        <v/>
      </c>
    </row>
    <row r="2656" hidden="1">
      <c r="A2656" s="22" t="n">
        <v>2</v>
      </c>
      <c r="B2656" t="inlineStr">
        <is>
          <t xml:space="preserve">CD CIUDADELA                  </t>
        </is>
      </c>
      <c r="C2656" t="inlineStr">
        <is>
          <t xml:space="preserve">GRUPO L.                      </t>
        </is>
      </c>
      <c r="D2656" t="inlineStr">
        <is>
          <t>BANANA SAE X KG</t>
        </is>
      </c>
      <c r="E2656" t="inlineStr">
        <is>
          <t xml:space="preserve">7790216020082       </t>
        </is>
      </c>
      <c r="F2656" t="n">
        <v>4018057</v>
      </c>
      <c r="G2656" t="inlineStr">
        <is>
          <t xml:space="preserve">BANANA X KG SAE                    </t>
        </is>
      </c>
      <c r="H2656" t="inlineStr">
        <is>
          <t xml:space="preserve">Kgs                 </t>
        </is>
      </c>
      <c r="I2656" t="n">
        <v>5327.88</v>
      </c>
      <c r="J2656" t="n">
        <v>0</v>
      </c>
      <c r="K2656" t="n">
        <v>0</v>
      </c>
      <c r="L2656" t="n">
        <v>439.11</v>
      </c>
      <c r="M2656" t="n">
        <v>439.11</v>
      </c>
      <c r="N2656" t="n">
        <v>0</v>
      </c>
      <c r="O2656" t="n">
        <v>4449.66</v>
      </c>
      <c r="P2656" s="96">
        <f>_xlfn.XLOOKUP(Tabla5[[#This Row],[EAN CORREGIDO]],'Tabla Articulos'!B:B,'Tabla Articulos'!D:D)</f>
        <v/>
      </c>
      <c r="Q2656" s="96">
        <f>_xlfn.XLOOKUP(S2656,'Tabla Articulos'!B:B,'Tabla Articulos'!E:E)</f>
        <v/>
      </c>
      <c r="R2656" s="96">
        <f>O2656*Q2656</f>
        <v/>
      </c>
      <c r="S2656" s="97">
        <f>TRIM(E2656)</f>
        <v/>
      </c>
    </row>
    <row r="2657" hidden="1">
      <c r="A2657" s="22" t="n">
        <v>2</v>
      </c>
      <c r="B2657" t="inlineStr">
        <is>
          <t xml:space="preserve">CD CIUDADELA                  </t>
        </is>
      </c>
      <c r="C2657" t="inlineStr">
        <is>
          <t xml:space="preserve">GRUPO L.                      </t>
        </is>
      </c>
      <c r="D2657" t="inlineStr">
        <is>
          <t>POSTRE FRUTILLA</t>
        </is>
      </c>
      <c r="E2657" t="inlineStr">
        <is>
          <t xml:space="preserve">7790530850154       </t>
        </is>
      </c>
      <c r="F2657" t="n">
        <v>4019767</v>
      </c>
      <c r="G2657" t="inlineStr">
        <is>
          <t xml:space="preserve">POSTRE FRUTILLA X1KG BEDIAL        </t>
        </is>
      </c>
      <c r="H2657" t="inlineStr">
        <is>
          <t xml:space="preserve">UNIDAD              </t>
        </is>
      </c>
      <c r="I2657" t="n">
        <v>151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151</v>
      </c>
      <c r="P2657" s="96">
        <f>_xlfn.XLOOKUP(Tabla5[[#This Row],[EAN CORREGIDO]],'Tabla Articulos'!B:B,'Tabla Articulos'!D:D)</f>
        <v/>
      </c>
      <c r="Q2657" s="96">
        <f>_xlfn.XLOOKUP(S2657,'Tabla Articulos'!B:B,'Tabla Articulos'!E:E)</f>
        <v/>
      </c>
      <c r="R2657" s="96">
        <f>O2657*Q2657</f>
        <v/>
      </c>
      <c r="S2657" s="97">
        <f>TRIM(E2657)</f>
        <v/>
      </c>
    </row>
    <row r="2658" hidden="1">
      <c r="A2658" s="22" t="n">
        <v>2</v>
      </c>
      <c r="B2658" t="inlineStr">
        <is>
          <t xml:space="preserve">CD CIUDADELA                  </t>
        </is>
      </c>
      <c r="C2658" t="inlineStr">
        <is>
          <t xml:space="preserve">GRUPO L.                      </t>
        </is>
      </c>
      <c r="D2658" t="inlineStr">
        <is>
          <t>VIANDA PARA CELIACOS</t>
        </is>
      </c>
      <c r="E2658" t="inlineStr">
        <is>
          <t xml:space="preserve">7798131130941       </t>
        </is>
      </c>
      <c r="F2658" t="n">
        <v>4076551</v>
      </c>
      <c r="G2658" t="inlineStr">
        <is>
          <t xml:space="preserve">WRAP DE POLLO X 2 UNIDADES LA DE   </t>
        </is>
      </c>
      <c r="H2658" t="inlineStr">
        <is>
          <t xml:space="preserve">UNIDAD              </t>
        </is>
      </c>
      <c r="I2658" t="n">
        <v>56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56</v>
      </c>
      <c r="P2658" s="96">
        <f>_xlfn.XLOOKUP(Tabla5[[#This Row],[EAN CORREGIDO]],'Tabla Articulos'!B:B,'Tabla Articulos'!D:D)</f>
        <v/>
      </c>
      <c r="Q2658" s="96">
        <f>_xlfn.XLOOKUP(S2658,'Tabla Articulos'!B:B,'Tabla Articulos'!E:E)</f>
        <v/>
      </c>
      <c r="R2658" s="96">
        <f>O2658*Q2658</f>
        <v/>
      </c>
      <c r="S2658" s="97">
        <f>TRIM(E2658)</f>
        <v/>
      </c>
    </row>
    <row r="2659" hidden="1">
      <c r="A2659" s="22" t="n">
        <v>2</v>
      </c>
      <c r="B2659" t="inlineStr">
        <is>
          <t xml:space="preserve">CD CIUDADELA                  </t>
        </is>
      </c>
      <c r="C2659" t="inlineStr">
        <is>
          <t xml:space="preserve">GRUPO L.                      </t>
        </is>
      </c>
      <c r="D2659" t="inlineStr">
        <is>
          <t>POSTRE VAINILLA</t>
        </is>
      </c>
      <c r="E2659" t="inlineStr">
        <is>
          <t xml:space="preserve">7790530850161       </t>
        </is>
      </c>
      <c r="F2659" t="n">
        <v>4019487</v>
      </c>
      <c r="G2659" t="inlineStr">
        <is>
          <t xml:space="preserve">POSTRE VAINILLA X1KG BEDIAL        </t>
        </is>
      </c>
      <c r="H2659" t="inlineStr">
        <is>
          <t xml:space="preserve">UNIDAD              </t>
        </is>
      </c>
      <c r="I2659" t="n">
        <v>130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130</v>
      </c>
      <c r="P2659" s="96">
        <f>_xlfn.XLOOKUP(Tabla5[[#This Row],[EAN CORREGIDO]],'Tabla Articulos'!B:B,'Tabla Articulos'!D:D)</f>
        <v/>
      </c>
      <c r="Q2659" s="96">
        <f>_xlfn.XLOOKUP(S2659,'Tabla Articulos'!B:B,'Tabla Articulos'!E:E)</f>
        <v/>
      </c>
      <c r="R2659" s="96">
        <f>O2659*Q2659</f>
        <v/>
      </c>
      <c r="S2659" s="97">
        <f>TRIM(E2659)</f>
        <v/>
      </c>
    </row>
    <row r="2660" hidden="1">
      <c r="A2660" s="22" t="n">
        <v>2</v>
      </c>
      <c r="B2660" t="inlineStr">
        <is>
          <t xml:space="preserve">CD CIUDADELA                  </t>
        </is>
      </c>
      <c r="C2660" t="inlineStr">
        <is>
          <t xml:space="preserve">GRUPO L.                      </t>
        </is>
      </c>
      <c r="D2660" t="inlineStr">
        <is>
          <t>POROTOS SECOS</t>
        </is>
      </c>
      <c r="E2660" t="inlineStr">
        <is>
          <t xml:space="preserve">7790279000551       </t>
        </is>
      </c>
      <c r="F2660" t="n">
        <v>4019755</v>
      </c>
      <c r="G2660" t="inlineStr">
        <is>
          <t xml:space="preserve">POROTOS ALUBIA X5KG RAMONEDA       </t>
        </is>
      </c>
      <c r="H2660" t="inlineStr">
        <is>
          <t xml:space="preserve">UNIDAD              </t>
        </is>
      </c>
      <c r="I2660" t="n">
        <v>7</v>
      </c>
      <c r="J2660" t="n">
        <v>0</v>
      </c>
      <c r="K2660" t="n">
        <v>0</v>
      </c>
      <c r="L2660" t="n">
        <v>2</v>
      </c>
      <c r="M2660" t="n">
        <v>2</v>
      </c>
      <c r="N2660" t="n">
        <v>0</v>
      </c>
      <c r="O2660" t="n">
        <v>3</v>
      </c>
      <c r="P2660" s="96">
        <f>_xlfn.XLOOKUP(Tabla5[[#This Row],[EAN CORREGIDO]],'Tabla Articulos'!B:B,'Tabla Articulos'!D:D)</f>
        <v/>
      </c>
      <c r="Q2660" s="96">
        <f>_xlfn.XLOOKUP(S2660,'Tabla Articulos'!B:B,'Tabla Articulos'!E:E)</f>
        <v/>
      </c>
      <c r="R2660" s="96">
        <f>O2660*Q2660</f>
        <v/>
      </c>
      <c r="S2660" s="97">
        <f>TRIM(E2660)</f>
        <v/>
      </c>
    </row>
    <row r="2661" hidden="1">
      <c r="A2661" s="22" t="n">
        <v>2</v>
      </c>
      <c r="B2661" t="inlineStr">
        <is>
          <t xml:space="preserve">CD CIUDADELA                  </t>
        </is>
      </c>
      <c r="C2661" t="inlineStr">
        <is>
          <t xml:space="preserve">GRUPO L.                      </t>
        </is>
      </c>
      <c r="D2661" t="inlineStr">
        <is>
          <t>MAYONESA</t>
        </is>
      </c>
      <c r="E2661" t="inlineStr">
        <is>
          <t xml:space="preserve">7794000006027       </t>
        </is>
      </c>
      <c r="F2661" t="n">
        <v>4049008</v>
      </c>
      <c r="G2661" t="inlineStr">
        <is>
          <t xml:space="preserve">MAYONESA CLASICA 2.9KG HELLMANNS   </t>
        </is>
      </c>
      <c r="H2661" t="inlineStr">
        <is>
          <t xml:space="preserve">UNIDAD              </t>
        </is>
      </c>
      <c r="I2661" t="n">
        <v>63</v>
      </c>
      <c r="J2661" t="n">
        <v>0</v>
      </c>
      <c r="K2661" t="n">
        <v>0</v>
      </c>
      <c r="L2661" t="n">
        <v>7</v>
      </c>
      <c r="M2661" t="n">
        <v>7</v>
      </c>
      <c r="N2661" t="n">
        <v>0</v>
      </c>
      <c r="O2661" t="n">
        <v>49</v>
      </c>
      <c r="P2661" s="96">
        <f>_xlfn.XLOOKUP(Tabla5[[#This Row],[EAN CORREGIDO]],'Tabla Articulos'!B:B,'Tabla Articulos'!D:D)</f>
        <v/>
      </c>
      <c r="Q2661" s="96">
        <f>_xlfn.XLOOKUP(S2661,'Tabla Articulos'!B:B,'Tabla Articulos'!E:E)</f>
        <v/>
      </c>
      <c r="R2661" s="96">
        <f>O2661*Q2661</f>
        <v/>
      </c>
      <c r="S2661" s="97">
        <f>TRIM(E2661)</f>
        <v/>
      </c>
    </row>
    <row r="2662" hidden="1">
      <c r="A2662" s="22" t="n">
        <v>2</v>
      </c>
      <c r="B2662" t="inlineStr">
        <is>
          <t xml:space="preserve">CD CIUDADELA                  </t>
        </is>
      </c>
      <c r="C2662" t="inlineStr">
        <is>
          <t xml:space="preserve">GRUPO L.                      </t>
        </is>
      </c>
      <c r="D2662" t="inlineStr">
        <is>
          <t>LENTEJAS SECAS</t>
        </is>
      </c>
      <c r="E2662" t="inlineStr">
        <is>
          <t xml:space="preserve">7798016190152       </t>
        </is>
      </c>
      <c r="F2662" t="n">
        <v>4023674</v>
      </c>
      <c r="G2662" t="inlineStr">
        <is>
          <t xml:space="preserve">LENTEJA X 400 GR AGROMAR           </t>
        </is>
      </c>
      <c r="H2662" t="inlineStr">
        <is>
          <t xml:space="preserve">UNIDAD              </t>
        </is>
      </c>
      <c r="I2662" t="n">
        <v>2987</v>
      </c>
      <c r="J2662" t="n">
        <v>0</v>
      </c>
      <c r="K2662" t="n">
        <v>0</v>
      </c>
      <c r="L2662" t="n">
        <v>10</v>
      </c>
      <c r="M2662" t="n">
        <v>10</v>
      </c>
      <c r="N2662" t="n">
        <v>0</v>
      </c>
      <c r="O2662" t="n">
        <v>2967</v>
      </c>
      <c r="P2662" s="96">
        <f>_xlfn.XLOOKUP(Tabla5[[#This Row],[EAN CORREGIDO]],'Tabla Articulos'!B:B,'Tabla Articulos'!D:D)</f>
        <v/>
      </c>
      <c r="Q2662" s="96">
        <f>_xlfn.XLOOKUP(S2662,'Tabla Articulos'!B:B,'Tabla Articulos'!E:E)</f>
        <v/>
      </c>
      <c r="R2662" s="96">
        <f>O2662*Q2662</f>
        <v/>
      </c>
      <c r="S2662" s="97">
        <f>TRIM(E2662)</f>
        <v/>
      </c>
    </row>
    <row r="2663" hidden="1">
      <c r="A2663" s="22" t="n">
        <v>2</v>
      </c>
      <c r="B2663" t="inlineStr">
        <is>
          <t xml:space="preserve">CD CIUDADELA                  </t>
        </is>
      </c>
      <c r="C2663" t="inlineStr">
        <is>
          <t xml:space="preserve">GRUPO L.                      </t>
        </is>
      </c>
      <c r="D2663" t="inlineStr">
        <is>
          <t>OBLEAS BAÑADAS</t>
        </is>
      </c>
      <c r="E2663" t="inlineStr">
        <is>
          <t xml:space="preserve">7790580110130       </t>
        </is>
      </c>
      <c r="F2663" t="n">
        <v>4019095</v>
      </c>
      <c r="G2663" t="inlineStr">
        <is>
          <t>OBLEA RELL 45G X16U BON O BON O BON</t>
        </is>
      </c>
      <c r="H2663" t="inlineStr">
        <is>
          <t xml:space="preserve">UNIDAD              </t>
        </is>
      </c>
      <c r="I2663" t="n">
        <v>63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63</v>
      </c>
      <c r="P2663" s="96">
        <f>_xlfn.XLOOKUP(Tabla5[[#This Row],[EAN CORREGIDO]],'Tabla Articulos'!B:B,'Tabla Articulos'!D:D)</f>
        <v/>
      </c>
      <c r="Q2663" s="96">
        <f>_xlfn.XLOOKUP(S2663,'Tabla Articulos'!B:B,'Tabla Articulos'!E:E)</f>
        <v/>
      </c>
      <c r="R2663" s="96">
        <f>O2663*Q2663</f>
        <v/>
      </c>
      <c r="S2663" s="97">
        <f>TRIM(E2663)</f>
        <v/>
      </c>
    </row>
    <row r="2664" hidden="1">
      <c r="A2664" s="22" t="n">
        <v>2</v>
      </c>
      <c r="B2664" t="inlineStr">
        <is>
          <t xml:space="preserve">CD CIUDADELA                  </t>
        </is>
      </c>
      <c r="C2664" t="inlineStr">
        <is>
          <t xml:space="preserve">GRUPO L.                      </t>
        </is>
      </c>
      <c r="D2664" t="inlineStr">
        <is>
          <t>PEPAS</t>
        </is>
      </c>
      <c r="E2664" t="inlineStr">
        <is>
          <t xml:space="preserve">7790726120269       </t>
        </is>
      </c>
      <c r="F2664" t="n">
        <v>4019889</v>
      </c>
      <c r="G2664" t="inlineStr">
        <is>
          <t xml:space="preserve">PEPAS X320G DULCYPAS	              </t>
        </is>
      </c>
      <c r="H2664" t="inlineStr">
        <is>
          <t xml:space="preserve">UNIDAD              </t>
        </is>
      </c>
      <c r="I2664" t="n">
        <v>1712</v>
      </c>
      <c r="J2664" t="n">
        <v>0</v>
      </c>
      <c r="K2664" t="n">
        <v>0</v>
      </c>
      <c r="L2664" t="n">
        <v>7</v>
      </c>
      <c r="M2664" t="n">
        <v>7</v>
      </c>
      <c r="N2664" t="n">
        <v>0</v>
      </c>
      <c r="O2664" t="n">
        <v>1698</v>
      </c>
      <c r="P2664" s="96">
        <f>_xlfn.XLOOKUP(Tabla5[[#This Row],[EAN CORREGIDO]],'Tabla Articulos'!B:B,'Tabla Articulos'!D:D)</f>
        <v/>
      </c>
      <c r="Q2664" s="96">
        <f>_xlfn.XLOOKUP(S2664,'Tabla Articulos'!B:B,'Tabla Articulos'!E:E)</f>
        <v/>
      </c>
      <c r="R2664" s="96">
        <f>O2664*Q2664</f>
        <v/>
      </c>
      <c r="S2664" s="97">
        <f>TRIM(E2664)</f>
        <v/>
      </c>
    </row>
    <row r="2665" hidden="1">
      <c r="A2665" s="22" t="n">
        <v>2</v>
      </c>
      <c r="B2665" t="inlineStr">
        <is>
          <t xml:space="preserve">CD CIUDADELA                  </t>
        </is>
      </c>
      <c r="C2665" t="inlineStr">
        <is>
          <t xml:space="preserve">GRUPO L.                      </t>
        </is>
      </c>
      <c r="D2665" t="inlineStr">
        <is>
          <t>TOALLA INTERCALADA</t>
        </is>
      </c>
      <c r="E2665" t="inlineStr">
        <is>
          <t xml:space="preserve">LIM000242           </t>
        </is>
      </c>
      <c r="F2665" t="n">
        <v>2006230</v>
      </c>
      <c r="G2665" t="inlineStr">
        <is>
          <t xml:space="preserve">TOALLA INTERC BCA X2500U X4.5KG    </t>
        </is>
      </c>
      <c r="H2665" t="inlineStr">
        <is>
          <t xml:space="preserve">UNIDAD              </t>
        </is>
      </c>
      <c r="I2665" t="n">
        <v>69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69</v>
      </c>
      <c r="P2665" s="96">
        <f>_xlfn.XLOOKUP(Tabla5[[#This Row],[EAN CORREGIDO]],'Tabla Articulos'!B:B,'Tabla Articulos'!D:D)</f>
        <v/>
      </c>
      <c r="Q2665" s="96">
        <f>_xlfn.XLOOKUP(S2665,'Tabla Articulos'!B:B,'Tabla Articulos'!E:E)</f>
        <v/>
      </c>
      <c r="R2665" s="96">
        <f>O2665*Q2665</f>
        <v/>
      </c>
      <c r="S2665" s="97">
        <f>TRIM(E2665)</f>
        <v/>
      </c>
    </row>
    <row r="2666" hidden="1">
      <c r="A2666" s="22" t="n">
        <v>2</v>
      </c>
      <c r="B2666" t="inlineStr">
        <is>
          <t xml:space="preserve">CD CIUDADELA                  </t>
        </is>
      </c>
      <c r="C2666" t="inlineStr">
        <is>
          <t xml:space="preserve">GRUPO L.                      </t>
        </is>
      </c>
      <c r="D2666" t="inlineStr">
        <is>
          <t>MERENGUITO</t>
        </is>
      </c>
      <c r="E2666" t="inlineStr">
        <is>
          <t xml:space="preserve">7798177410113       </t>
        </is>
      </c>
      <c r="F2666" t="n">
        <v>4020337</v>
      </c>
      <c r="G2666" t="inlineStr">
        <is>
          <t xml:space="preserve">MERENGUITOS X125G URQUIZA          </t>
        </is>
      </c>
      <c r="H2666" t="inlineStr">
        <is>
          <t xml:space="preserve">UNIDAD              </t>
        </is>
      </c>
      <c r="I2666" t="n">
        <v>37</v>
      </c>
      <c r="J2666" t="n">
        <v>0</v>
      </c>
      <c r="K2666" t="n">
        <v>0</v>
      </c>
      <c r="L2666" t="n">
        <v>1</v>
      </c>
      <c r="M2666" t="n">
        <v>1</v>
      </c>
      <c r="N2666" t="n">
        <v>0</v>
      </c>
      <c r="O2666" t="n">
        <v>35</v>
      </c>
      <c r="P2666" s="96">
        <f>_xlfn.XLOOKUP(Tabla5[[#This Row],[EAN CORREGIDO]],'Tabla Articulos'!B:B,'Tabla Articulos'!D:D)</f>
        <v/>
      </c>
      <c r="Q2666" s="96">
        <f>_xlfn.XLOOKUP(S2666,'Tabla Articulos'!B:B,'Tabla Articulos'!E:E)</f>
        <v/>
      </c>
      <c r="R2666" s="96">
        <f>O2666*Q2666</f>
        <v/>
      </c>
      <c r="S2666" s="97">
        <f>TRIM(E2666)</f>
        <v/>
      </c>
    </row>
    <row r="2667" hidden="1">
      <c r="A2667" s="22" t="n">
        <v>2</v>
      </c>
      <c r="B2667" t="inlineStr">
        <is>
          <t xml:space="preserve">CD CIUDADELA                  </t>
        </is>
      </c>
      <c r="C2667" t="inlineStr">
        <is>
          <t xml:space="preserve">GRUPO L.                      </t>
        </is>
      </c>
      <c r="D2667" t="inlineStr">
        <is>
          <t>COMINO</t>
        </is>
      </c>
      <c r="E2667" t="inlineStr">
        <is>
          <t xml:space="preserve">7793875360326       </t>
        </is>
      </c>
      <c r="F2667" t="n">
        <v>4020248</v>
      </c>
      <c r="G2667" t="inlineStr">
        <is>
          <t xml:space="preserve">COMINO MOLIDO X 1 KG AROMAS        </t>
        </is>
      </c>
      <c r="H2667" t="inlineStr">
        <is>
          <t xml:space="preserve">UNIDAD              </t>
        </is>
      </c>
      <c r="I2667" t="n">
        <v>429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429</v>
      </c>
      <c r="P2667" s="96">
        <f>_xlfn.XLOOKUP(Tabla5[[#This Row],[EAN CORREGIDO]],'Tabla Articulos'!B:B,'Tabla Articulos'!D:D)</f>
        <v/>
      </c>
      <c r="Q2667" s="96">
        <f>_xlfn.XLOOKUP(S2667,'Tabla Articulos'!B:B,'Tabla Articulos'!E:E)</f>
        <v/>
      </c>
      <c r="R2667" s="96">
        <f>O2667*Q2667</f>
        <v/>
      </c>
      <c r="S2667" s="97">
        <f>TRIM(E2667)</f>
        <v/>
      </c>
    </row>
    <row r="2668" hidden="1">
      <c r="A2668" s="22" t="n">
        <v>2</v>
      </c>
      <c r="B2668" t="inlineStr">
        <is>
          <t xml:space="preserve">CD CIUDADELA                  </t>
        </is>
      </c>
      <c r="C2668" t="inlineStr">
        <is>
          <t xml:space="preserve">GRUPO L.                      </t>
        </is>
      </c>
      <c r="D2668" t="inlineStr">
        <is>
          <t>GELATINA ANANA</t>
        </is>
      </c>
      <c r="E2668" t="inlineStr">
        <is>
          <t xml:space="preserve">7790530850185       </t>
        </is>
      </c>
      <c r="F2668" t="n">
        <v>4019843</v>
      </c>
      <c r="G2668" t="inlineStr">
        <is>
          <t xml:space="preserve">GELATINA ANANA X1K BEDIAL          </t>
        </is>
      </c>
      <c r="H2668" t="inlineStr">
        <is>
          <t xml:space="preserve">UNIDAD              </t>
        </is>
      </c>
      <c r="I2668" t="n">
        <v>75</v>
      </c>
      <c r="J2668" t="n">
        <v>0</v>
      </c>
      <c r="K2668" t="n">
        <v>0</v>
      </c>
      <c r="L2668" t="n">
        <v>5</v>
      </c>
      <c r="M2668" t="n">
        <v>5</v>
      </c>
      <c r="N2668" t="n">
        <v>0</v>
      </c>
      <c r="O2668" t="n">
        <v>65</v>
      </c>
      <c r="P2668" s="96">
        <f>_xlfn.XLOOKUP(Tabla5[[#This Row],[EAN CORREGIDO]],'Tabla Articulos'!B:B,'Tabla Articulos'!D:D)</f>
        <v/>
      </c>
      <c r="Q2668" s="96">
        <f>_xlfn.XLOOKUP(S2668,'Tabla Articulos'!B:B,'Tabla Articulos'!E:E)</f>
        <v/>
      </c>
      <c r="R2668" s="96">
        <f>O2668*Q2668</f>
        <v/>
      </c>
      <c r="S2668" s="97">
        <f>TRIM(E2668)</f>
        <v/>
      </c>
    </row>
    <row r="2669" hidden="1">
      <c r="A2669" s="22" t="n">
        <v>2</v>
      </c>
      <c r="B2669" t="inlineStr">
        <is>
          <t xml:space="preserve">CD CIUDADELA                  </t>
        </is>
      </c>
      <c r="C2669" t="inlineStr">
        <is>
          <t xml:space="preserve">GRUPO L.                      </t>
        </is>
      </c>
      <c r="D2669" t="inlineStr">
        <is>
          <t>POLLO CONGELADO</t>
        </is>
      </c>
      <c r="E2669" t="inlineStr">
        <is>
          <t xml:space="preserve">7790212040084       </t>
        </is>
      </c>
      <c r="F2669" t="n">
        <v>4017632</v>
      </c>
      <c r="G2669" t="inlineStr">
        <is>
          <t xml:space="preserve">SUP X BOLSA X 5K SOYCHU CONG       </t>
        </is>
      </c>
      <c r="H2669" t="inlineStr">
        <is>
          <t xml:space="preserve">BULTOS              </t>
        </is>
      </c>
      <c r="I2669" t="n">
        <v>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1</v>
      </c>
      <c r="P2669" s="96">
        <f>_xlfn.XLOOKUP(Tabla5[[#This Row],[EAN CORREGIDO]],'Tabla Articulos'!B:B,'Tabla Articulos'!D:D)</f>
        <v/>
      </c>
      <c r="Q2669" s="96">
        <f>_xlfn.XLOOKUP(S2669,'Tabla Articulos'!B:B,'Tabla Articulos'!E:E)</f>
        <v/>
      </c>
      <c r="R2669" s="96">
        <f>O2669*Q2669</f>
        <v/>
      </c>
      <c r="S2669" s="97">
        <f>TRIM(E2669)</f>
        <v/>
      </c>
    </row>
    <row r="2670" hidden="1">
      <c r="A2670" s="22" t="n">
        <v>2</v>
      </c>
      <c r="B2670" t="inlineStr">
        <is>
          <t xml:space="preserve">CD CIUDADELA                  </t>
        </is>
      </c>
      <c r="C2670" t="inlineStr">
        <is>
          <t xml:space="preserve">GRUPO L.                      </t>
        </is>
      </c>
      <c r="D2670" t="inlineStr">
        <is>
          <t>MANTEL LOGO HEALTH</t>
        </is>
      </c>
      <c r="E2670" t="inlineStr">
        <is>
          <t xml:space="preserve">7790000000235       </t>
        </is>
      </c>
      <c r="F2670" t="n">
        <v>2007191</v>
      </c>
      <c r="G2670" t="inlineStr">
        <is>
          <t xml:space="preserve">INDIVIDIDUAL HEALTH X1000          </t>
        </is>
      </c>
      <c r="H2670" t="inlineStr">
        <is>
          <t xml:space="preserve">UNIDAD              </t>
        </is>
      </c>
      <c r="I2670" t="n">
        <v>95</v>
      </c>
      <c r="J2670" t="n">
        <v>0</v>
      </c>
      <c r="K2670" t="n">
        <v>0</v>
      </c>
      <c r="L2670" t="n">
        <v>1</v>
      </c>
      <c r="M2670" t="n">
        <v>1</v>
      </c>
      <c r="N2670" t="n">
        <v>0</v>
      </c>
      <c r="O2670" t="n">
        <v>93</v>
      </c>
      <c r="P2670" s="96">
        <f>_xlfn.XLOOKUP(Tabla5[[#This Row],[EAN CORREGIDO]],'Tabla Articulos'!B:B,'Tabla Articulos'!D:D)</f>
        <v/>
      </c>
      <c r="Q2670" s="96">
        <f>_xlfn.XLOOKUP(S2670,'Tabla Articulos'!B:B,'Tabla Articulos'!E:E)</f>
        <v/>
      </c>
      <c r="R2670" s="96">
        <f>O2670*Q2670</f>
        <v/>
      </c>
      <c r="S2670" s="97">
        <f>TRIM(E2670)</f>
        <v/>
      </c>
    </row>
    <row r="2671" hidden="1">
      <c r="A2671" s="22" t="n">
        <v>2</v>
      </c>
      <c r="B2671" t="inlineStr">
        <is>
          <t xml:space="preserve">CD CIUDADELA                  </t>
        </is>
      </c>
      <c r="C2671" t="inlineStr">
        <is>
          <t xml:space="preserve">GRUPO L.                      </t>
        </is>
      </c>
      <c r="D2671" t="inlineStr">
        <is>
          <t>LECHE LV DESCREMADA</t>
        </is>
      </c>
      <c r="E2671" t="inlineStr">
        <is>
          <t xml:space="preserve">7798338290110       </t>
        </is>
      </c>
      <c r="F2671" t="n">
        <v>4021261</v>
      </c>
      <c r="G2671" t="inlineStr">
        <is>
          <t xml:space="preserve">LECHE DESC LV X 1 L APOSTOLES      </t>
        </is>
      </c>
      <c r="H2671" t="inlineStr">
        <is>
          <t xml:space="preserve">UNIDAD              </t>
        </is>
      </c>
      <c r="I2671" t="n">
        <v>2497</v>
      </c>
      <c r="J2671" t="n">
        <v>0</v>
      </c>
      <c r="K2671" t="n">
        <v>0</v>
      </c>
      <c r="L2671" t="n">
        <v>12</v>
      </c>
      <c r="M2671" t="n">
        <v>12</v>
      </c>
      <c r="N2671" t="n">
        <v>0</v>
      </c>
      <c r="O2671" t="n">
        <v>2473</v>
      </c>
      <c r="P2671" s="96">
        <f>_xlfn.XLOOKUP(Tabla5[[#This Row],[EAN CORREGIDO]],'Tabla Articulos'!B:B,'Tabla Articulos'!D:D)</f>
        <v/>
      </c>
      <c r="Q2671" s="96">
        <f>_xlfn.XLOOKUP(S2671,'Tabla Articulos'!B:B,'Tabla Articulos'!E:E)</f>
        <v/>
      </c>
      <c r="R2671" s="96">
        <f>O2671*Q2671</f>
        <v/>
      </c>
      <c r="S2671" s="97">
        <f>TRIM(E2671)</f>
        <v/>
      </c>
    </row>
    <row r="2672" hidden="1">
      <c r="A2672" s="22" t="n">
        <v>2</v>
      </c>
      <c r="B2672" t="inlineStr">
        <is>
          <t xml:space="preserve">CD CIUDADELA                  </t>
        </is>
      </c>
      <c r="C2672" t="inlineStr">
        <is>
          <t xml:space="preserve">GRUPO L.                      </t>
        </is>
      </c>
      <c r="D2672" t="inlineStr">
        <is>
          <t>AZUCAR INDIV BLUE CAFE</t>
        </is>
      </c>
      <c r="E2672" t="inlineStr">
        <is>
          <t xml:space="preserve">7798011977710       </t>
        </is>
      </c>
      <c r="F2672" t="n">
        <v>4076538</v>
      </c>
      <c r="G2672" t="inlineStr">
        <is>
          <t xml:space="preserve">AZUCAR IND SOBRE X800U BLUE CAFÉ   </t>
        </is>
      </c>
      <c r="H2672" t="inlineStr">
        <is>
          <t xml:space="preserve">UNIDAD              </t>
        </is>
      </c>
      <c r="I2672" t="n">
        <v>577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577</v>
      </c>
      <c r="P2672" s="96">
        <f>_xlfn.XLOOKUP(Tabla5[[#This Row],[EAN CORREGIDO]],'Tabla Articulos'!B:B,'Tabla Articulos'!D:D)</f>
        <v/>
      </c>
      <c r="Q2672" s="96">
        <f>_xlfn.XLOOKUP(S2672,'Tabla Articulos'!B:B,'Tabla Articulos'!E:E)</f>
        <v/>
      </c>
      <c r="R2672" s="96">
        <f>O2672*Q2672</f>
        <v/>
      </c>
      <c r="S2672" s="97">
        <f>TRIM(E2672)</f>
        <v/>
      </c>
    </row>
    <row r="2673" hidden="1">
      <c r="A2673" s="22" t="n">
        <v>2</v>
      </c>
      <c r="B2673" t="inlineStr">
        <is>
          <t xml:space="preserve">CD CIUDADELA                  </t>
        </is>
      </c>
      <c r="C2673" t="inlineStr">
        <is>
          <t xml:space="preserve">GRUPO L.                      </t>
        </is>
      </c>
      <c r="D2673" t="inlineStr">
        <is>
          <t>PIMENTON S/TACC</t>
        </is>
      </c>
      <c r="E2673" t="inlineStr">
        <is>
          <t xml:space="preserve">7790150564844       </t>
        </is>
      </c>
      <c r="F2673" t="n">
        <v>4019471</v>
      </c>
      <c r="G2673" t="inlineStr">
        <is>
          <t xml:space="preserve">PIMENTON X25G ALICANTE             </t>
        </is>
      </c>
      <c r="H2673" t="inlineStr">
        <is>
          <t xml:space="preserve">UNIDAD              </t>
        </is>
      </c>
      <c r="I2673" t="n">
        <v>115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115</v>
      </c>
      <c r="P2673" s="96">
        <f>_xlfn.XLOOKUP(Tabla5[[#This Row],[EAN CORREGIDO]],'Tabla Articulos'!B:B,'Tabla Articulos'!D:D)</f>
        <v/>
      </c>
      <c r="Q2673" s="96">
        <f>_xlfn.XLOOKUP(S2673,'Tabla Articulos'!B:B,'Tabla Articulos'!E:E)</f>
        <v/>
      </c>
      <c r="R2673" s="96">
        <f>O2673*Q2673</f>
        <v/>
      </c>
      <c r="S2673" s="97">
        <f>TRIM(E2673)</f>
        <v/>
      </c>
    </row>
    <row r="2674" hidden="1">
      <c r="A2674" s="22" t="n">
        <v>2</v>
      </c>
      <c r="B2674" t="inlineStr">
        <is>
          <t xml:space="preserve">CD CIUDADELA                  </t>
        </is>
      </c>
      <c r="C2674" t="inlineStr">
        <is>
          <t xml:space="preserve">GRUPO L.                      </t>
        </is>
      </c>
      <c r="D2674" t="inlineStr">
        <is>
          <t>BOLSAS ARRANQUE</t>
        </is>
      </c>
      <c r="E2674" t="inlineStr">
        <is>
          <t xml:space="preserve">7794459003530       </t>
        </is>
      </c>
      <c r="F2674" t="n">
        <v>2016600</v>
      </c>
      <c r="G2674" t="inlineStr">
        <is>
          <t xml:space="preserve">ROLLO ARRANQUE 20X30 X12U 750GR    </t>
        </is>
      </c>
      <c r="H2674" t="inlineStr">
        <is>
          <t xml:space="preserve">UNIDAD              </t>
        </is>
      </c>
      <c r="I2674" t="n">
        <v>5</v>
      </c>
      <c r="J2674" t="n">
        <v>0</v>
      </c>
      <c r="K2674" t="n">
        <v>0</v>
      </c>
      <c r="L2674" t="n">
        <v>1</v>
      </c>
      <c r="M2674" t="n">
        <v>1</v>
      </c>
      <c r="N2674" t="n">
        <v>0</v>
      </c>
      <c r="O2674" t="n">
        <v>3</v>
      </c>
      <c r="P2674" s="96">
        <f>_xlfn.XLOOKUP(Tabla5[[#This Row],[EAN CORREGIDO]],'Tabla Articulos'!B:B,'Tabla Articulos'!D:D)</f>
        <v/>
      </c>
      <c r="Q2674" s="96">
        <f>_xlfn.XLOOKUP(S2674,'Tabla Articulos'!B:B,'Tabla Articulos'!E:E)</f>
        <v/>
      </c>
      <c r="R2674" s="96">
        <f>O2674*Q2674</f>
        <v/>
      </c>
      <c r="S2674" s="97">
        <f>TRIM(E2674)</f>
        <v/>
      </c>
    </row>
    <row r="2675" hidden="1">
      <c r="A2675" s="22" t="n">
        <v>2</v>
      </c>
      <c r="B2675" t="inlineStr">
        <is>
          <t xml:space="preserve">CD CIUDADELA                  </t>
        </is>
      </c>
      <c r="C2675" t="inlineStr">
        <is>
          <t xml:space="preserve">GRUPO L.                      </t>
        </is>
      </c>
      <c r="D2675" t="inlineStr">
        <is>
          <t>SALSA GOLF</t>
        </is>
      </c>
      <c r="E2675" t="inlineStr">
        <is>
          <t xml:space="preserve">7794000008748       </t>
        </is>
      </c>
      <c r="F2675" t="n">
        <v>4077498</v>
      </c>
      <c r="G2675" t="inlineStr">
        <is>
          <t xml:space="preserve">SALSA GOLF X950GR HELLMANNS        </t>
        </is>
      </c>
      <c r="H2675" t="inlineStr">
        <is>
          <t xml:space="preserve">UNIDAD              </t>
        </is>
      </c>
      <c r="I2675" t="n">
        <v>15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15</v>
      </c>
      <c r="P2675" s="96">
        <f>_xlfn.XLOOKUP(Tabla5[[#This Row],[EAN CORREGIDO]],'Tabla Articulos'!B:B,'Tabla Articulos'!D:D)</f>
        <v/>
      </c>
      <c r="Q2675" s="96">
        <f>_xlfn.XLOOKUP(S2675,'Tabla Articulos'!B:B,'Tabla Articulos'!E:E)</f>
        <v/>
      </c>
      <c r="R2675" s="96">
        <f>O2675*Q2675</f>
        <v/>
      </c>
      <c r="S2675" s="97">
        <f>TRIM(E2675)</f>
        <v/>
      </c>
    </row>
    <row r="2676" hidden="1">
      <c r="A2676" s="22" t="n">
        <v>2</v>
      </c>
      <c r="B2676" t="inlineStr">
        <is>
          <t xml:space="preserve">CD CIUDADELA                  </t>
        </is>
      </c>
      <c r="C2676" t="inlineStr">
        <is>
          <t xml:space="preserve">GRUPO L.                      </t>
        </is>
      </c>
      <c r="D2676" t="inlineStr">
        <is>
          <t>BAND 102</t>
        </is>
      </c>
      <c r="E2676" t="inlineStr">
        <is>
          <t xml:space="preserve">7790000000379       </t>
        </is>
      </c>
      <c r="F2676" t="n">
        <v>2007321</v>
      </c>
      <c r="G2676" t="inlineStr">
        <is>
          <t xml:space="preserve">BANDEJA 102 BIODEG. X 1400U MPRO   </t>
        </is>
      </c>
      <c r="H2676" t="inlineStr">
        <is>
          <t xml:space="preserve">UNIDAD              </t>
        </is>
      </c>
      <c r="I2676" t="n">
        <v>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5</v>
      </c>
      <c r="P2676" s="96">
        <f>_xlfn.XLOOKUP(Tabla5[[#This Row],[EAN CORREGIDO]],'Tabla Articulos'!B:B,'Tabla Articulos'!D:D)</f>
        <v/>
      </c>
      <c r="Q2676" s="96">
        <f>_xlfn.XLOOKUP(S2676,'Tabla Articulos'!B:B,'Tabla Articulos'!E:E)</f>
        <v/>
      </c>
      <c r="R2676" s="96">
        <f>O2676*Q2676</f>
        <v/>
      </c>
      <c r="S2676" s="97">
        <f>TRIM(E2676)</f>
        <v/>
      </c>
    </row>
    <row r="2677" hidden="1">
      <c r="A2677" s="22" t="n">
        <v>2</v>
      </c>
      <c r="B2677" t="inlineStr">
        <is>
          <t xml:space="preserve">CD CIUDADELA                  </t>
        </is>
      </c>
      <c r="C2677" t="inlineStr">
        <is>
          <t xml:space="preserve">GRUPO L.                      </t>
        </is>
      </c>
      <c r="D2677" t="inlineStr">
        <is>
          <t>CAFE SAQUITO</t>
        </is>
      </c>
      <c r="E2677" t="inlineStr">
        <is>
          <t xml:space="preserve">7790550010255       </t>
        </is>
      </c>
      <c r="F2677" t="n">
        <v>4022014</v>
      </c>
      <c r="G2677" t="inlineStr">
        <is>
          <t xml:space="preserve">CAFE LPC SAQUITOS 18X18X5G         </t>
        </is>
      </c>
      <c r="H2677" t="inlineStr">
        <is>
          <t xml:space="preserve">UNIDAD              </t>
        </is>
      </c>
      <c r="I2677" t="n">
        <v>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9</v>
      </c>
      <c r="P2677" s="96">
        <f>_xlfn.XLOOKUP(Tabla5[[#This Row],[EAN CORREGIDO]],'Tabla Articulos'!B:B,'Tabla Articulos'!D:D)</f>
        <v/>
      </c>
      <c r="Q2677" s="96">
        <f>_xlfn.XLOOKUP(S2677,'Tabla Articulos'!B:B,'Tabla Articulos'!E:E)</f>
        <v/>
      </c>
      <c r="R2677" s="96">
        <f>O2677*Q2677</f>
        <v/>
      </c>
      <c r="S2677" s="97">
        <f>TRIM(E2677)</f>
        <v/>
      </c>
    </row>
    <row r="2678" hidden="1">
      <c r="A2678" s="22" t="n">
        <v>2</v>
      </c>
      <c r="B2678" t="inlineStr">
        <is>
          <t xml:space="preserve">CD CIUDADELA                  </t>
        </is>
      </c>
      <c r="C2678" t="inlineStr">
        <is>
          <t xml:space="preserve">GRUPO L.                      </t>
        </is>
      </c>
      <c r="D2678" t="inlineStr">
        <is>
          <t>DULCE MEMBRILLO</t>
        </is>
      </c>
      <c r="E2678" t="inlineStr">
        <is>
          <t xml:space="preserve">9060090             </t>
        </is>
      </c>
      <c r="F2678" t="n">
        <v>4020575</v>
      </c>
      <c r="G2678" t="inlineStr">
        <is>
          <t xml:space="preserve">DULCE DE MEMBRILLO X KG            </t>
        </is>
      </c>
      <c r="H2678" t="inlineStr">
        <is>
          <t xml:space="preserve">Kgs                 </t>
        </is>
      </c>
      <c r="I2678" t="n">
        <v>2.725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2.725</v>
      </c>
      <c r="P2678" s="96">
        <f>_xlfn.XLOOKUP(Tabla5[[#This Row],[EAN CORREGIDO]],'Tabla Articulos'!B:B,'Tabla Articulos'!D:D)</f>
        <v/>
      </c>
      <c r="Q2678" s="96">
        <f>_xlfn.XLOOKUP(S2678,'Tabla Articulos'!B:B,'Tabla Articulos'!E:E)</f>
        <v/>
      </c>
      <c r="R2678" s="96">
        <f>O2678*Q2678</f>
        <v/>
      </c>
      <c r="S2678" s="97">
        <f>TRIM(E2678)</f>
        <v/>
      </c>
    </row>
    <row r="2679" hidden="1">
      <c r="A2679" s="22" t="n">
        <v>2</v>
      </c>
      <c r="B2679" t="inlineStr">
        <is>
          <t xml:space="preserve">CD CIUDADELA                  </t>
        </is>
      </c>
      <c r="C2679" t="inlineStr">
        <is>
          <t xml:space="preserve">GRUPO L.                      </t>
        </is>
      </c>
      <c r="D2679" t="inlineStr">
        <is>
          <t>CREMA PASTELERA POLVO</t>
        </is>
      </c>
      <c r="E2679" t="inlineStr">
        <is>
          <t xml:space="preserve">7790971001504       </t>
        </is>
      </c>
      <c r="F2679" t="n">
        <v>4019993</v>
      </c>
      <c r="G2679" t="inlineStr">
        <is>
          <t xml:space="preserve">CREMA PASTELERA X500KG ORLOC       </t>
        </is>
      </c>
      <c r="H2679" t="inlineStr">
        <is>
          <t xml:space="preserve">UNIDAD              </t>
        </is>
      </c>
      <c r="I2679" t="n">
        <v>112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112</v>
      </c>
      <c r="P2679" s="96">
        <f>_xlfn.XLOOKUP(Tabla5[[#This Row],[EAN CORREGIDO]],'Tabla Articulos'!B:B,'Tabla Articulos'!D:D)</f>
        <v/>
      </c>
      <c r="Q2679" s="96">
        <f>_xlfn.XLOOKUP(S2679,'Tabla Articulos'!B:B,'Tabla Articulos'!E:E)</f>
        <v/>
      </c>
      <c r="R2679" s="96">
        <f>O2679*Q2679</f>
        <v/>
      </c>
      <c r="S2679" s="97">
        <f>TRIM(E2679)</f>
        <v/>
      </c>
    </row>
    <row r="2680" hidden="1">
      <c r="A2680" s="22" t="n">
        <v>2</v>
      </c>
      <c r="B2680" t="inlineStr">
        <is>
          <t xml:space="preserve">CD CIUDADELA                  </t>
        </is>
      </c>
      <c r="C2680" t="inlineStr">
        <is>
          <t xml:space="preserve">GRUPO L.                      </t>
        </is>
      </c>
      <c r="D2680" t="inlineStr">
        <is>
          <t>CAJON PLASTICO</t>
        </is>
      </c>
      <c r="E2680" t="inlineStr">
        <is>
          <t xml:space="preserve">BAZ001384           </t>
        </is>
      </c>
      <c r="F2680" t="n">
        <v>9003978</v>
      </c>
      <c r="G2680" t="inlineStr">
        <is>
          <t xml:space="preserve">CAJON PLASTICO IFCO MARRON         </t>
        </is>
      </c>
      <c r="H2680" t="inlineStr">
        <is>
          <t xml:space="preserve">UNIDAD              </t>
        </is>
      </c>
      <c r="I2680" t="n">
        <v>728</v>
      </c>
      <c r="J2680" t="n">
        <v>0</v>
      </c>
      <c r="K2680" t="n">
        <v>0</v>
      </c>
      <c r="L2680" t="n">
        <v>17</v>
      </c>
      <c r="M2680" t="n">
        <v>44</v>
      </c>
      <c r="N2680" t="n">
        <v>0</v>
      </c>
      <c r="O2680" t="n">
        <v>667</v>
      </c>
      <c r="P2680" s="96">
        <f>_xlfn.XLOOKUP(Tabla5[[#This Row],[EAN CORREGIDO]],'Tabla Articulos'!B:B,'Tabla Articulos'!D:D)</f>
        <v/>
      </c>
      <c r="Q2680" s="96">
        <f>_xlfn.XLOOKUP(S2680,'Tabla Articulos'!B:B,'Tabla Articulos'!E:E)</f>
        <v/>
      </c>
      <c r="R2680" s="96">
        <f>O2680*Q2680</f>
        <v/>
      </c>
      <c r="S2680" s="97">
        <f>TRIM(E2680)</f>
        <v/>
      </c>
    </row>
    <row r="2681" hidden="1">
      <c r="A2681" s="22" t="n">
        <v>2</v>
      </c>
      <c r="B2681" t="inlineStr">
        <is>
          <t xml:space="preserve">CD CIUDADELA                  </t>
        </is>
      </c>
      <c r="C2681" t="inlineStr">
        <is>
          <t xml:space="preserve">GRUPO L.                      </t>
        </is>
      </c>
      <c r="D2681" t="inlineStr">
        <is>
          <t>GELATINA CEREZA</t>
        </is>
      </c>
      <c r="E2681" t="inlineStr">
        <is>
          <t xml:space="preserve">790757899520        </t>
        </is>
      </c>
      <c r="F2681" t="n">
        <v>4022494</v>
      </c>
      <c r="G2681" t="inlineStr">
        <is>
          <t xml:space="preserve">GELATINA CEREZA 1KG POREC          </t>
        </is>
      </c>
      <c r="H2681" t="inlineStr">
        <is>
          <t xml:space="preserve">UNIDAD              </t>
        </is>
      </c>
      <c r="I2681" t="n">
        <v>123</v>
      </c>
      <c r="J2681" t="n">
        <v>0</v>
      </c>
      <c r="K2681" t="n">
        <v>0</v>
      </c>
      <c r="L2681" t="n">
        <v>12</v>
      </c>
      <c r="M2681" t="n">
        <v>12</v>
      </c>
      <c r="N2681" t="n">
        <v>0</v>
      </c>
      <c r="O2681" t="n">
        <v>99</v>
      </c>
      <c r="P2681" s="96">
        <f>_xlfn.XLOOKUP(Tabla5[[#This Row],[EAN CORREGIDO]],'Tabla Articulos'!B:B,'Tabla Articulos'!D:D)</f>
        <v/>
      </c>
      <c r="Q2681" s="96">
        <f>_xlfn.XLOOKUP(S2681,'Tabla Articulos'!B:B,'Tabla Articulos'!E:E)</f>
        <v/>
      </c>
      <c r="R2681" s="96">
        <f>O2681*Q2681</f>
        <v/>
      </c>
      <c r="S2681" s="97">
        <f>TRIM(E2681)</f>
        <v/>
      </c>
    </row>
    <row r="2682" hidden="1">
      <c r="A2682" s="22" t="n">
        <v>2</v>
      </c>
      <c r="B2682" t="inlineStr">
        <is>
          <t xml:space="preserve">CD CIUDADELA                  </t>
        </is>
      </c>
      <c r="C2682" t="inlineStr">
        <is>
          <t xml:space="preserve">GRUPO L.                      </t>
        </is>
      </c>
      <c r="D2682" t="inlineStr">
        <is>
          <t>CAFE MOLIDO</t>
        </is>
      </c>
      <c r="E2682" t="inlineStr">
        <is>
          <t xml:space="preserve">7790150006375       </t>
        </is>
      </c>
      <c r="F2682" t="n">
        <v>4019556</v>
      </c>
      <c r="G2682" t="inlineStr">
        <is>
          <t xml:space="preserve">CAFE MOLIDO X1KG LA VIRGINIA       </t>
        </is>
      </c>
      <c r="H2682" t="inlineStr">
        <is>
          <t xml:space="preserve">UNIDAD              </t>
        </is>
      </c>
      <c r="I2682" t="n">
        <v>30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30</v>
      </c>
      <c r="P2682" s="96">
        <f>_xlfn.XLOOKUP(Tabla5[[#This Row],[EAN CORREGIDO]],'Tabla Articulos'!B:B,'Tabla Articulos'!D:D)</f>
        <v/>
      </c>
      <c r="Q2682" s="96">
        <f>_xlfn.XLOOKUP(S2682,'Tabla Articulos'!B:B,'Tabla Articulos'!E:E)</f>
        <v/>
      </c>
      <c r="R2682" s="96">
        <f>O2682*Q2682</f>
        <v/>
      </c>
      <c r="S2682" s="97">
        <f>TRIM(E2682)</f>
        <v/>
      </c>
    </row>
    <row r="2683" hidden="1">
      <c r="A2683" s="22" t="n">
        <v>2</v>
      </c>
      <c r="B2683" t="inlineStr">
        <is>
          <t xml:space="preserve">CD CIUDADELA                  </t>
        </is>
      </c>
      <c r="C2683" t="inlineStr">
        <is>
          <t xml:space="preserve">GRUPO L.                      </t>
        </is>
      </c>
      <c r="D2683" t="inlineStr">
        <is>
          <t>TALITAS</t>
        </is>
      </c>
      <c r="E2683" t="inlineStr">
        <is>
          <t xml:space="preserve">7795735000106       </t>
        </is>
      </c>
      <c r="F2683" t="n">
        <v>4022795</v>
      </c>
      <c r="G2683" t="inlineStr">
        <is>
          <t xml:space="preserve">TALITAS 140GR DON SATUR            </t>
        </is>
      </c>
      <c r="H2683" t="inlineStr">
        <is>
          <t xml:space="preserve">PALLET              </t>
        </is>
      </c>
      <c r="I2683" t="n">
        <v>163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163</v>
      </c>
      <c r="P2683" s="96">
        <f>_xlfn.XLOOKUP(Tabla5[[#This Row],[EAN CORREGIDO]],'Tabla Articulos'!B:B,'Tabla Articulos'!D:D)</f>
        <v/>
      </c>
      <c r="Q2683" s="96">
        <f>_xlfn.XLOOKUP(S2683,'Tabla Articulos'!B:B,'Tabla Articulos'!E:E)</f>
        <v/>
      </c>
      <c r="R2683" s="96">
        <f>O2683*Q2683</f>
        <v/>
      </c>
      <c r="S2683" s="97">
        <f>TRIM(E2683)</f>
        <v/>
      </c>
    </row>
    <row r="2684" hidden="1">
      <c r="A2684" s="22" t="n">
        <v>2</v>
      </c>
      <c r="B2684" t="inlineStr">
        <is>
          <t xml:space="preserve">CD CIUDADELA                  </t>
        </is>
      </c>
      <c r="C2684" t="inlineStr">
        <is>
          <t xml:space="preserve">GRUPO L.                      </t>
        </is>
      </c>
      <c r="D2684" t="inlineStr">
        <is>
          <t>ACETO IND</t>
        </is>
      </c>
      <c r="E2684" t="inlineStr">
        <is>
          <t xml:space="preserve">7798011976492       </t>
        </is>
      </c>
      <c r="F2684" t="n">
        <v>4020553</v>
      </c>
      <c r="G2684" t="inlineStr">
        <is>
          <t xml:space="preserve">ACETO INDX8MLX198U ABEDUL          </t>
        </is>
      </c>
      <c r="H2684" t="inlineStr">
        <is>
          <t xml:space="preserve">UNIDAD              </t>
        </is>
      </c>
      <c r="I2684" t="n">
        <v>77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77</v>
      </c>
      <c r="P2684" s="96">
        <f>_xlfn.XLOOKUP(Tabla5[[#This Row],[EAN CORREGIDO]],'Tabla Articulos'!B:B,'Tabla Articulos'!D:D)</f>
        <v/>
      </c>
      <c r="Q2684" s="96">
        <f>_xlfn.XLOOKUP(S2684,'Tabla Articulos'!B:B,'Tabla Articulos'!E:E)</f>
        <v/>
      </c>
      <c r="R2684" s="96">
        <f>O2684*Q2684</f>
        <v/>
      </c>
      <c r="S2684" s="97">
        <f>TRIM(E2684)</f>
        <v/>
      </c>
    </row>
    <row r="2685" hidden="1">
      <c r="A2685" s="22" t="n">
        <v>2</v>
      </c>
      <c r="B2685" t="inlineStr">
        <is>
          <t xml:space="preserve">CD CIUDADELA                  </t>
        </is>
      </c>
      <c r="C2685" t="inlineStr">
        <is>
          <t xml:space="preserve">GRUPO L.                      </t>
        </is>
      </c>
      <c r="D2685" t="inlineStr">
        <is>
          <t>MATE COCIDO SAQ</t>
        </is>
      </c>
      <c r="E2685" t="inlineStr">
        <is>
          <t xml:space="preserve">7798028020546       </t>
        </is>
      </c>
      <c r="F2685" t="n">
        <v>4020716</v>
      </c>
      <c r="G2685" t="inlineStr">
        <is>
          <t xml:space="preserve">MATE COC EN SAQ X25U LA POSADEÑA   </t>
        </is>
      </c>
      <c r="H2685" t="inlineStr">
        <is>
          <t xml:space="preserve">UNIDAD              </t>
        </is>
      </c>
      <c r="I2685" t="n">
        <v>29759</v>
      </c>
      <c r="J2685" t="n">
        <v>0</v>
      </c>
      <c r="K2685" t="n">
        <v>0</v>
      </c>
      <c r="L2685" t="n">
        <v>1212</v>
      </c>
      <c r="M2685" t="n">
        <v>1212</v>
      </c>
      <c r="N2685" t="n">
        <v>0</v>
      </c>
      <c r="O2685" t="n">
        <v>27335</v>
      </c>
      <c r="P2685" s="96">
        <f>_xlfn.XLOOKUP(Tabla5[[#This Row],[EAN CORREGIDO]],'Tabla Articulos'!B:B,'Tabla Articulos'!D:D)</f>
        <v/>
      </c>
      <c r="Q2685" s="96">
        <f>_xlfn.XLOOKUP(S2685,'Tabla Articulos'!B:B,'Tabla Articulos'!E:E)</f>
        <v/>
      </c>
      <c r="R2685" s="96">
        <f>O2685*Q2685</f>
        <v/>
      </c>
      <c r="S2685" s="97">
        <f>TRIM(E2685)</f>
        <v/>
      </c>
    </row>
    <row r="2686" hidden="1">
      <c r="A2686" s="22" t="n">
        <v>2</v>
      </c>
      <c r="B2686" t="inlineStr">
        <is>
          <t xml:space="preserve">CD CIUDADELA                  </t>
        </is>
      </c>
      <c r="C2686" t="inlineStr">
        <is>
          <t xml:space="preserve">GRUPO L.                      </t>
        </is>
      </c>
      <c r="D2686" t="inlineStr">
        <is>
          <t xml:space="preserve">LECHE MATERNIZADA </t>
        </is>
      </c>
      <c r="E2686" t="inlineStr">
        <is>
          <t xml:space="preserve">7795323775331       </t>
        </is>
      </c>
      <c r="F2686" t="n">
        <v>4018202</v>
      </c>
      <c r="G2686" t="inlineStr">
        <is>
          <t xml:space="preserve">LECHE NUTRILON PRO FUT2 X200CC     </t>
        </is>
      </c>
      <c r="H2686" t="inlineStr">
        <is>
          <t xml:space="preserve">UNIDAD              </t>
        </is>
      </c>
      <c r="I2686" t="n">
        <v>96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96</v>
      </c>
      <c r="P2686" s="96">
        <f>_xlfn.XLOOKUP(Tabla5[[#This Row],[EAN CORREGIDO]],'Tabla Articulos'!B:B,'Tabla Articulos'!D:D)</f>
        <v/>
      </c>
      <c r="Q2686" s="96">
        <f>_xlfn.XLOOKUP(S2686,'Tabla Articulos'!B:B,'Tabla Articulos'!E:E)</f>
        <v/>
      </c>
      <c r="R2686" s="96">
        <f>O2686*Q2686</f>
        <v/>
      </c>
      <c r="S2686" s="97">
        <f>TRIM(E2686)</f>
        <v/>
      </c>
    </row>
    <row r="2687" hidden="1">
      <c r="A2687" s="22" t="n">
        <v>2</v>
      </c>
      <c r="B2687" t="inlineStr">
        <is>
          <t xml:space="preserve">CD CIUDADELA                  </t>
        </is>
      </c>
      <c r="C2687" t="inlineStr">
        <is>
          <t xml:space="preserve">GRUPO L.                      </t>
        </is>
      </c>
      <c r="D2687" t="inlineStr">
        <is>
          <t>CHOCLO CONGELADO</t>
        </is>
      </c>
      <c r="E2687" t="inlineStr">
        <is>
          <t xml:space="preserve">7797906001936       </t>
        </is>
      </c>
      <c r="F2687" t="n">
        <v>4077587</v>
      </c>
      <c r="G2687" t="inlineStr">
        <is>
          <t xml:space="preserve">CHOCLO CONGELADO MC CAIN BOLSA 2KG </t>
        </is>
      </c>
      <c r="H2687" t="inlineStr">
        <is>
          <t xml:space="preserve">UNIDAD              </t>
        </is>
      </c>
      <c r="I2687" t="n">
        <v>10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10</v>
      </c>
      <c r="P2687" s="96">
        <f>_xlfn.XLOOKUP(Tabla5[[#This Row],[EAN CORREGIDO]],'Tabla Articulos'!B:B,'Tabla Articulos'!D:D)</f>
        <v/>
      </c>
      <c r="Q2687" s="96">
        <f>_xlfn.XLOOKUP(S2687,'Tabla Articulos'!B:B,'Tabla Articulos'!E:E)</f>
        <v/>
      </c>
      <c r="R2687" s="96">
        <f>O2687*Q2687</f>
        <v/>
      </c>
      <c r="S2687" s="97">
        <f>TRIM(E2687)</f>
        <v/>
      </c>
    </row>
    <row r="2688" hidden="1">
      <c r="A2688" s="22" t="n">
        <v>2</v>
      </c>
      <c r="B2688" t="inlineStr">
        <is>
          <t xml:space="preserve">CD CIUDADELA                  </t>
        </is>
      </c>
      <c r="C2688" t="inlineStr">
        <is>
          <t xml:space="preserve">GRUPO L.                      </t>
        </is>
      </c>
      <c r="D2688" t="inlineStr">
        <is>
          <t>GELATINA CEREZA LIGHT</t>
        </is>
      </c>
      <c r="E2688" t="inlineStr">
        <is>
          <t xml:space="preserve">7790971002211       </t>
        </is>
      </c>
      <c r="F2688" t="n">
        <v>4076531</v>
      </c>
      <c r="G2688" t="inlineStr">
        <is>
          <t xml:space="preserve">GELATINA DIET CEREZA RAVANA 25GR   </t>
        </is>
      </c>
      <c r="H2688" t="inlineStr">
        <is>
          <t xml:space="preserve">UNIDAD              </t>
        </is>
      </c>
      <c r="I2688" t="n">
        <v>72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72</v>
      </c>
      <c r="P2688" s="96">
        <f>_xlfn.XLOOKUP(Tabla5[[#This Row],[EAN CORREGIDO]],'Tabla Articulos'!B:B,'Tabla Articulos'!D:D)</f>
        <v/>
      </c>
      <c r="Q2688" s="96">
        <f>_xlfn.XLOOKUP(S2688,'Tabla Articulos'!B:B,'Tabla Articulos'!E:E)</f>
        <v/>
      </c>
      <c r="R2688" s="96">
        <f>O2688*Q2688</f>
        <v/>
      </c>
      <c r="S2688" s="97">
        <f>TRIM(E2688)</f>
        <v/>
      </c>
    </row>
    <row r="2689" hidden="1">
      <c r="A2689" s="22" t="n">
        <v>2</v>
      </c>
      <c r="B2689" t="inlineStr">
        <is>
          <t xml:space="preserve">CD CIUDADELA                  </t>
        </is>
      </c>
      <c r="C2689" t="inlineStr">
        <is>
          <t xml:space="preserve">GRUPO L.                      </t>
        </is>
      </c>
      <c r="D2689" t="inlineStr">
        <is>
          <t>LECHE LV DESCREMADA</t>
        </is>
      </c>
      <c r="E2689" t="inlineStr">
        <is>
          <t xml:space="preserve">7790742363107       </t>
        </is>
      </c>
      <c r="F2689" t="n">
        <v>4018176</v>
      </c>
      <c r="G2689" t="inlineStr">
        <is>
          <t xml:space="preserve">LECHE LV DESC 1% X1L LA SERENISIMA </t>
        </is>
      </c>
      <c r="H2689" t="inlineStr">
        <is>
          <t xml:space="preserve">UNIDAD              </t>
        </is>
      </c>
      <c r="I2689" t="n">
        <v>1745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1745</v>
      </c>
      <c r="P2689" s="96">
        <f>_xlfn.XLOOKUP(Tabla5[[#This Row],[EAN CORREGIDO]],'Tabla Articulos'!B:B,'Tabla Articulos'!D:D)</f>
        <v/>
      </c>
      <c r="Q2689" s="96">
        <f>_xlfn.XLOOKUP(S2689,'Tabla Articulos'!B:B,'Tabla Articulos'!E:E)</f>
        <v/>
      </c>
      <c r="R2689" s="96">
        <f>O2689*Q2689</f>
        <v/>
      </c>
      <c r="S2689" s="97">
        <f>TRIM(E2689)</f>
        <v/>
      </c>
    </row>
    <row r="2690" hidden="1">
      <c r="A2690" s="22" t="n">
        <v>2</v>
      </c>
      <c r="B2690" t="inlineStr">
        <is>
          <t xml:space="preserve">CD CIUDADELA                  </t>
        </is>
      </c>
      <c r="C2690" t="inlineStr">
        <is>
          <t xml:space="preserve">GRUPO L.                      </t>
        </is>
      </c>
      <c r="D2690" t="inlineStr">
        <is>
          <t>MANTECA</t>
        </is>
      </c>
      <c r="E2690" t="inlineStr">
        <is>
          <t xml:space="preserve">7798344910286       </t>
        </is>
      </c>
      <c r="F2690" t="n">
        <v>4018275</v>
      </c>
      <c r="G2690" t="inlineStr">
        <is>
          <t xml:space="preserve">MANTECA X200G SYS                  </t>
        </is>
      </c>
      <c r="H2690" t="inlineStr">
        <is>
          <t xml:space="preserve">UNIDAD              </t>
        </is>
      </c>
      <c r="I2690" t="n">
        <v>5762</v>
      </c>
      <c r="J2690" t="n">
        <v>0</v>
      </c>
      <c r="K2690" t="n">
        <v>0</v>
      </c>
      <c r="L2690" t="n">
        <v>50</v>
      </c>
      <c r="M2690" t="n">
        <v>50</v>
      </c>
      <c r="N2690" t="n">
        <v>0</v>
      </c>
      <c r="O2690" t="n">
        <v>5662</v>
      </c>
      <c r="P2690" s="96">
        <f>_xlfn.XLOOKUP(Tabla5[[#This Row],[EAN CORREGIDO]],'Tabla Articulos'!B:B,'Tabla Articulos'!D:D)</f>
        <v/>
      </c>
      <c r="Q2690" s="96">
        <f>_xlfn.XLOOKUP(S2690,'Tabla Articulos'!B:B,'Tabla Articulos'!E:E)</f>
        <v/>
      </c>
      <c r="R2690" s="96">
        <f>O2690*Q2690</f>
        <v/>
      </c>
      <c r="S2690" s="97">
        <f>TRIM(E2690)</f>
        <v/>
      </c>
    </row>
    <row r="2691" hidden="1">
      <c r="A2691" s="22" t="n">
        <v>2</v>
      </c>
      <c r="B2691" t="inlineStr">
        <is>
          <t xml:space="preserve">CD CIUDADELA                  </t>
        </is>
      </c>
      <c r="C2691" t="inlineStr">
        <is>
          <t xml:space="preserve">GRUPO L.                      </t>
        </is>
      </c>
      <c r="D2691" t="inlineStr">
        <is>
          <t>TE BOLDO</t>
        </is>
      </c>
      <c r="E2691" t="inlineStr">
        <is>
          <t xml:space="preserve">7790387001419       </t>
        </is>
      </c>
      <c r="F2691" t="n">
        <v>4023362</v>
      </c>
      <c r="G2691" t="inlineStr">
        <is>
          <t xml:space="preserve">TE EN SOB BOLDO X20UN TARAGUI      </t>
        </is>
      </c>
      <c r="H2691" t="inlineStr">
        <is>
          <t xml:space="preserve">UNIDAD              </t>
        </is>
      </c>
      <c r="I2691" t="n">
        <v>18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18</v>
      </c>
      <c r="P2691" s="96">
        <f>_xlfn.XLOOKUP(Tabla5[[#This Row],[EAN CORREGIDO]],'Tabla Articulos'!B:B,'Tabla Articulos'!D:D)</f>
        <v/>
      </c>
      <c r="Q2691" s="96">
        <f>_xlfn.XLOOKUP(S2691,'Tabla Articulos'!B:B,'Tabla Articulos'!E:E)</f>
        <v/>
      </c>
      <c r="R2691" s="96">
        <f>O2691*Q2691</f>
        <v/>
      </c>
      <c r="S2691" s="97">
        <f>TRIM(E2691)</f>
        <v/>
      </c>
    </row>
    <row r="2692" hidden="1">
      <c r="A2692" s="22" t="n">
        <v>2</v>
      </c>
      <c r="B2692" t="inlineStr">
        <is>
          <t xml:space="preserve">CD CIUDADELA                  </t>
        </is>
      </c>
      <c r="C2692" t="inlineStr">
        <is>
          <t xml:space="preserve">GRUPO L.                      </t>
        </is>
      </c>
      <c r="D2692" t="inlineStr">
        <is>
          <t>SERVILLETA DESC C/LOGO</t>
        </is>
      </c>
      <c r="E2692" t="inlineStr">
        <is>
          <t xml:space="preserve">7790000000705       </t>
        </is>
      </c>
      <c r="F2692" t="n">
        <v>2016496</v>
      </c>
      <c r="G2692" t="inlineStr">
        <is>
          <t xml:space="preserve">SERVILLETA 33X21.5 C.GOURMET X1000 </t>
        </is>
      </c>
      <c r="H2692" t="inlineStr">
        <is>
          <t xml:space="preserve">UNIDAD              </t>
        </is>
      </c>
      <c r="I2692" t="n">
        <v>49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49</v>
      </c>
      <c r="P2692" s="96">
        <f>_xlfn.XLOOKUP(Tabla5[[#This Row],[EAN CORREGIDO]],'Tabla Articulos'!B:B,'Tabla Articulos'!D:D)</f>
        <v/>
      </c>
      <c r="Q2692" s="96">
        <f>_xlfn.XLOOKUP(S2692,'Tabla Articulos'!B:B,'Tabla Articulos'!E:E)</f>
        <v/>
      </c>
      <c r="R2692" s="96">
        <f>O2692*Q2692</f>
        <v/>
      </c>
      <c r="S2692" s="97">
        <f>TRIM(E2692)</f>
        <v/>
      </c>
    </row>
    <row r="2693" hidden="1">
      <c r="A2693" s="22" t="n">
        <v>2</v>
      </c>
      <c r="B2693" t="inlineStr">
        <is>
          <t xml:space="preserve">CD CIUDADELA                  </t>
        </is>
      </c>
      <c r="C2693" t="inlineStr">
        <is>
          <t xml:space="preserve">GRUPO L.                      </t>
        </is>
      </c>
      <c r="D2693" t="inlineStr">
        <is>
          <t>TE SAQUITO</t>
        </is>
      </c>
      <c r="E2693" t="inlineStr">
        <is>
          <t xml:space="preserve">7798028020515       </t>
        </is>
      </c>
      <c r="F2693" t="n">
        <v>4020349</v>
      </c>
      <c r="G2693" t="inlineStr">
        <is>
          <t xml:space="preserve">TE SAQUITO X 25U LA POSADEÑA       </t>
        </is>
      </c>
      <c r="H2693" t="inlineStr">
        <is>
          <t xml:space="preserve">UNIDAD              </t>
        </is>
      </c>
      <c r="I2693" t="n">
        <v>29511</v>
      </c>
      <c r="J2693" t="n">
        <v>0</v>
      </c>
      <c r="K2693" t="n">
        <v>0</v>
      </c>
      <c r="L2693" t="n">
        <v>25</v>
      </c>
      <c r="M2693" t="n">
        <v>25</v>
      </c>
      <c r="N2693" t="n">
        <v>0</v>
      </c>
      <c r="O2693" t="n">
        <v>29461</v>
      </c>
      <c r="P2693" s="96">
        <f>_xlfn.XLOOKUP(Tabla5[[#This Row],[EAN CORREGIDO]],'Tabla Articulos'!B:B,'Tabla Articulos'!D:D)</f>
        <v/>
      </c>
      <c r="Q2693" s="96">
        <f>_xlfn.XLOOKUP(S2693,'Tabla Articulos'!B:B,'Tabla Articulos'!E:E)</f>
        <v/>
      </c>
      <c r="R2693" s="96">
        <f>O2693*Q2693</f>
        <v/>
      </c>
      <c r="S2693" s="97">
        <f>TRIM(E2693)</f>
        <v/>
      </c>
    </row>
    <row r="2694" hidden="1">
      <c r="A2694" s="22" t="n">
        <v>2</v>
      </c>
      <c r="B2694" t="inlineStr">
        <is>
          <t xml:space="preserve">CD CIUDADELA                  </t>
        </is>
      </c>
      <c r="C2694" t="inlineStr">
        <is>
          <t xml:space="preserve">GRUPO L.                      </t>
        </is>
      </c>
      <c r="D2694" t="inlineStr">
        <is>
          <t>GELATINA CEREZA LIGHT</t>
        </is>
      </c>
      <c r="E2694" t="inlineStr">
        <is>
          <t xml:space="preserve">7791113001895       </t>
        </is>
      </c>
      <c r="F2694" t="n">
        <v>4019797</v>
      </c>
      <c r="G2694" t="inlineStr">
        <is>
          <t xml:space="preserve">GELATINA CEREZA LIGHT X25G EME     </t>
        </is>
      </c>
      <c r="H2694" t="inlineStr">
        <is>
          <t xml:space="preserve">UNIDAD              </t>
        </is>
      </c>
      <c r="I2694" t="n">
        <v>902</v>
      </c>
      <c r="J2694" t="n">
        <v>0</v>
      </c>
      <c r="K2694" t="n">
        <v>0</v>
      </c>
      <c r="L2694" t="n">
        <v>10</v>
      </c>
      <c r="M2694" t="n">
        <v>10</v>
      </c>
      <c r="N2694" t="n">
        <v>0</v>
      </c>
      <c r="O2694" t="n">
        <v>882</v>
      </c>
      <c r="P2694" s="96">
        <f>_xlfn.XLOOKUP(Tabla5[[#This Row],[EAN CORREGIDO]],'Tabla Articulos'!B:B,'Tabla Articulos'!D:D)</f>
        <v/>
      </c>
      <c r="Q2694" s="96">
        <f>_xlfn.XLOOKUP(S2694,'Tabla Articulos'!B:B,'Tabla Articulos'!E:E)</f>
        <v/>
      </c>
      <c r="R2694" s="96">
        <f>O2694*Q2694</f>
        <v/>
      </c>
      <c r="S2694" s="97">
        <f>TRIM(E2694)</f>
        <v/>
      </c>
    </row>
    <row r="2695" hidden="1">
      <c r="A2695" s="22" t="n">
        <v>2</v>
      </c>
      <c r="B2695" t="inlineStr">
        <is>
          <t xml:space="preserve">CD CIUDADELA                  </t>
        </is>
      </c>
      <c r="C2695" t="inlineStr">
        <is>
          <t xml:space="preserve">GRUPO L.                      </t>
        </is>
      </c>
      <c r="D2695" t="inlineStr">
        <is>
          <t>POROTO NEGRO</t>
        </is>
      </c>
      <c r="E2695" t="inlineStr">
        <is>
          <t xml:space="preserve">7790279000209       </t>
        </is>
      </c>
      <c r="F2695" t="n">
        <v>4022558</v>
      </c>
      <c r="G2695" t="inlineStr">
        <is>
          <t xml:space="preserve">POROTO NEGRO x 500 G RAMONEDA      </t>
        </is>
      </c>
      <c r="H2695" t="inlineStr">
        <is>
          <t xml:space="preserve">UNIDAD              </t>
        </is>
      </c>
      <c r="I2695" t="n">
        <v>1230</v>
      </c>
      <c r="J2695" t="n">
        <v>0</v>
      </c>
      <c r="K2695" t="n">
        <v>0</v>
      </c>
      <c r="L2695" t="n">
        <v>16</v>
      </c>
      <c r="M2695" t="n">
        <v>16</v>
      </c>
      <c r="N2695" t="n">
        <v>0</v>
      </c>
      <c r="O2695" t="n">
        <v>1198</v>
      </c>
      <c r="P2695" s="96">
        <f>_xlfn.XLOOKUP(Tabla5[[#This Row],[EAN CORREGIDO]],'Tabla Articulos'!B:B,'Tabla Articulos'!D:D)</f>
        <v/>
      </c>
      <c r="Q2695" s="96">
        <f>_xlfn.XLOOKUP(S2695,'Tabla Articulos'!B:B,'Tabla Articulos'!E:E)</f>
        <v/>
      </c>
      <c r="R2695" s="96">
        <f>O2695*Q2695</f>
        <v/>
      </c>
      <c r="S2695" s="97">
        <f>TRIM(E2695)</f>
        <v/>
      </c>
    </row>
    <row r="2696" hidden="1">
      <c r="A2696" s="22" t="n">
        <v>2</v>
      </c>
      <c r="B2696" t="inlineStr">
        <is>
          <t xml:space="preserve">CD CIUDADELA                  </t>
        </is>
      </c>
      <c r="C2696" t="inlineStr">
        <is>
          <t xml:space="preserve">GRUPO L.                      </t>
        </is>
      </c>
      <c r="D2696" t="inlineStr">
        <is>
          <t>HARINA 000</t>
        </is>
      </c>
      <c r="E2696" t="inlineStr">
        <is>
          <t xml:space="preserve">7790199000013       </t>
        </is>
      </c>
      <c r="F2696" t="n">
        <v>4019341</v>
      </c>
      <c r="G2696" t="inlineStr">
        <is>
          <t xml:space="preserve">HARINA 000 X 1 KG MORIXE           </t>
        </is>
      </c>
      <c r="H2696" t="inlineStr">
        <is>
          <t xml:space="preserve">UNIDAD              </t>
        </is>
      </c>
      <c r="I2696" t="n">
        <v>2165</v>
      </c>
      <c r="J2696" t="n">
        <v>0</v>
      </c>
      <c r="K2696" t="n">
        <v>0</v>
      </c>
      <c r="L2696" t="n">
        <v>127</v>
      </c>
      <c r="M2696" t="n">
        <v>127</v>
      </c>
      <c r="N2696" t="n">
        <v>0</v>
      </c>
      <c r="O2696" t="n">
        <v>1911</v>
      </c>
      <c r="P2696" s="96">
        <f>_xlfn.XLOOKUP(Tabla5[[#This Row],[EAN CORREGIDO]],'Tabla Articulos'!B:B,'Tabla Articulos'!D:D)</f>
        <v/>
      </c>
      <c r="Q2696" s="96">
        <f>_xlfn.XLOOKUP(S2696,'Tabla Articulos'!B:B,'Tabla Articulos'!E:E)</f>
        <v/>
      </c>
      <c r="R2696" s="96">
        <f>O2696*Q2696</f>
        <v/>
      </c>
      <c r="S2696" s="97">
        <f>TRIM(E2696)</f>
        <v/>
      </c>
    </row>
    <row r="2697" hidden="1">
      <c r="A2697" s="22" t="n">
        <v>2</v>
      </c>
      <c r="B2697" t="inlineStr">
        <is>
          <t xml:space="preserve">CD CIUDADELA                  </t>
        </is>
      </c>
      <c r="C2697" t="inlineStr">
        <is>
          <t xml:space="preserve">GRUPO L.                      </t>
        </is>
      </c>
      <c r="D2697" t="inlineStr">
        <is>
          <t>AZUCAR INDIV</t>
        </is>
      </c>
      <c r="E2697" t="inlineStr">
        <is>
          <t xml:space="preserve">7798011976850       </t>
        </is>
      </c>
      <c r="F2697" t="n">
        <v>4023904</v>
      </c>
      <c r="G2697" t="inlineStr">
        <is>
          <t xml:space="preserve">AZUCAR INDIV 5GR X 1000U ABEDUL    </t>
        </is>
      </c>
      <c r="H2697" t="inlineStr">
        <is>
          <t xml:space="preserve">UNIDAD              </t>
        </is>
      </c>
      <c r="I2697" t="n">
        <v>10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10</v>
      </c>
      <c r="P2697" s="96">
        <f>_xlfn.XLOOKUP(Tabla5[[#This Row],[EAN CORREGIDO]],'Tabla Articulos'!B:B,'Tabla Articulos'!D:D)</f>
        <v/>
      </c>
      <c r="Q2697" s="96">
        <f>_xlfn.XLOOKUP(S2697,'Tabla Articulos'!B:B,'Tabla Articulos'!E:E)</f>
        <v/>
      </c>
      <c r="R2697" s="96">
        <f>O2697*Q2697</f>
        <v/>
      </c>
      <c r="S2697" s="97">
        <f>TRIM(E2697)</f>
        <v/>
      </c>
    </row>
    <row r="2698" hidden="1">
      <c r="A2698" s="22" t="n">
        <v>2</v>
      </c>
      <c r="B2698" t="inlineStr">
        <is>
          <t xml:space="preserve">CD CIUDADELA                  </t>
        </is>
      </c>
      <c r="C2698" t="inlineStr">
        <is>
          <t xml:space="preserve">GRUPO L.                      </t>
        </is>
      </c>
      <c r="D2698" t="inlineStr">
        <is>
          <t>TAPA ALUMINIO R5</t>
        </is>
      </c>
      <c r="E2698" t="inlineStr">
        <is>
          <t xml:space="preserve">7790321020306       </t>
        </is>
      </c>
      <c r="F2698" t="n">
        <v>2006827</v>
      </c>
      <c r="G2698" t="inlineStr">
        <is>
          <t xml:space="preserve">TAPA ALUMINIO R5/F2100 X 600U	     </t>
        </is>
      </c>
      <c r="H2698" t="inlineStr">
        <is>
          <t xml:space="preserve">UNIDAD              </t>
        </is>
      </c>
      <c r="I2698" t="n">
        <v>14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14</v>
      </c>
      <c r="P2698" s="96">
        <f>_xlfn.XLOOKUP(Tabla5[[#This Row],[EAN CORREGIDO]],'Tabla Articulos'!B:B,'Tabla Articulos'!D:D)</f>
        <v/>
      </c>
      <c r="Q2698" s="96">
        <f>_xlfn.XLOOKUP(S2698,'Tabla Articulos'!B:B,'Tabla Articulos'!E:E)</f>
        <v/>
      </c>
      <c r="R2698" s="96">
        <f>O2698*Q2698</f>
        <v/>
      </c>
      <c r="S2698" s="97">
        <f>TRIM(E2698)</f>
        <v/>
      </c>
    </row>
    <row r="2699" hidden="1">
      <c r="A2699" s="22" t="n">
        <v>2</v>
      </c>
      <c r="B2699" t="inlineStr">
        <is>
          <t xml:space="preserve">CD CIUDADELA                  </t>
        </is>
      </c>
      <c r="C2699" t="inlineStr">
        <is>
          <t xml:space="preserve">GRUPO L.                      </t>
        </is>
      </c>
      <c r="D2699" t="inlineStr">
        <is>
          <t>PANADERIA CONGELADA</t>
        </is>
      </c>
      <c r="E2699" t="inlineStr">
        <is>
          <t xml:space="preserve">17792180005950      </t>
        </is>
      </c>
      <c r="F2699" t="n">
        <v>4077144</v>
      </c>
      <c r="G2699" t="inlineStr">
        <is>
          <t xml:space="preserve">PANAL MEMBR CONG 50GX72U CANUELAS  </t>
        </is>
      </c>
      <c r="H2699" t="inlineStr">
        <is>
          <t xml:space="preserve">UNIDAD              </t>
        </is>
      </c>
      <c r="I2699" t="n">
        <v>10</v>
      </c>
      <c r="J2699" t="n">
        <v>0</v>
      </c>
      <c r="K2699" t="n">
        <v>0</v>
      </c>
      <c r="L2699" t="n">
        <v>3</v>
      </c>
      <c r="M2699" t="n">
        <v>3</v>
      </c>
      <c r="N2699" t="n">
        <v>0</v>
      </c>
      <c r="O2699" t="n">
        <v>4</v>
      </c>
      <c r="P2699" s="96">
        <f>_xlfn.XLOOKUP(Tabla5[[#This Row],[EAN CORREGIDO]],'Tabla Articulos'!B:B,'Tabla Articulos'!D:D)</f>
        <v/>
      </c>
      <c r="Q2699" s="96">
        <f>_xlfn.XLOOKUP(S2699,'Tabla Articulos'!B:B,'Tabla Articulos'!E:E)</f>
        <v/>
      </c>
      <c r="R2699" s="96">
        <f>O2699*Q2699</f>
        <v/>
      </c>
      <c r="S2699" s="97">
        <f>TRIM(E2699)</f>
        <v/>
      </c>
    </row>
    <row r="2700" hidden="1">
      <c r="A2700" s="22" t="n">
        <v>2</v>
      </c>
      <c r="B2700" t="inlineStr">
        <is>
          <t xml:space="preserve">CD CIUDADELA                  </t>
        </is>
      </c>
      <c r="C2700" t="inlineStr">
        <is>
          <t xml:space="preserve">GRUPO L.                      </t>
        </is>
      </c>
      <c r="D2700" t="inlineStr">
        <is>
          <t>GELATINA S/SABOR</t>
        </is>
      </c>
      <c r="E2700" t="inlineStr">
        <is>
          <t xml:space="preserve">7790971001139       </t>
        </is>
      </c>
      <c r="F2700" t="n">
        <v>4020649</v>
      </c>
      <c r="G2700" t="inlineStr">
        <is>
          <t xml:space="preserve">GELATINA S/SABOR x 500gr ORLOC     </t>
        </is>
      </c>
      <c r="H2700" t="inlineStr">
        <is>
          <t xml:space="preserve">UNIDAD              </t>
        </is>
      </c>
      <c r="I2700" t="n">
        <v>181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181</v>
      </c>
      <c r="P2700" s="96">
        <f>_xlfn.XLOOKUP(Tabla5[[#This Row],[EAN CORREGIDO]],'Tabla Articulos'!B:B,'Tabla Articulos'!D:D)</f>
        <v/>
      </c>
      <c r="Q2700" s="96">
        <f>_xlfn.XLOOKUP(S2700,'Tabla Articulos'!B:B,'Tabla Articulos'!E:E)</f>
        <v/>
      </c>
      <c r="R2700" s="96">
        <f>O2700*Q2700</f>
        <v/>
      </c>
      <c r="S2700" s="97">
        <f>TRIM(E2700)</f>
        <v/>
      </c>
    </row>
    <row r="2701" hidden="1">
      <c r="A2701" s="22" t="n">
        <v>2</v>
      </c>
      <c r="B2701" t="inlineStr">
        <is>
          <t xml:space="preserve">CD CIUDADELA                  </t>
        </is>
      </c>
      <c r="C2701" t="inlineStr">
        <is>
          <t xml:space="preserve">GRUPO L.                      </t>
        </is>
      </c>
      <c r="D2701" t="inlineStr">
        <is>
          <t>PROVENZAL</t>
        </is>
      </c>
      <c r="E2701" t="inlineStr">
        <is>
          <t xml:space="preserve">7793875360296       </t>
        </is>
      </c>
      <c r="F2701" t="n">
        <v>4020760</v>
      </c>
      <c r="G2701" t="inlineStr">
        <is>
          <t xml:space="preserve">PROVENZAL X 1KGS AROMAS Y SABORES  </t>
        </is>
      </c>
      <c r="H2701" t="inlineStr">
        <is>
          <t xml:space="preserve">UNIDAD              </t>
        </is>
      </c>
      <c r="I2701" t="n">
        <v>239</v>
      </c>
      <c r="J2701" t="n">
        <v>0</v>
      </c>
      <c r="K2701" t="n">
        <v>0</v>
      </c>
      <c r="L2701" t="n">
        <v>3</v>
      </c>
      <c r="M2701" t="n">
        <v>3</v>
      </c>
      <c r="N2701" t="n">
        <v>0</v>
      </c>
      <c r="O2701" t="n">
        <v>233</v>
      </c>
      <c r="P2701" s="96">
        <f>_xlfn.XLOOKUP(Tabla5[[#This Row],[EAN CORREGIDO]],'Tabla Articulos'!B:B,'Tabla Articulos'!D:D)</f>
        <v/>
      </c>
      <c r="Q2701" s="96">
        <f>_xlfn.XLOOKUP(S2701,'Tabla Articulos'!B:B,'Tabla Articulos'!E:E)</f>
        <v/>
      </c>
      <c r="R2701" s="96">
        <f>O2701*Q2701</f>
        <v/>
      </c>
      <c r="S2701" s="97">
        <f>TRIM(E2701)</f>
        <v/>
      </c>
    </row>
    <row r="2702" hidden="1">
      <c r="A2702" s="22" t="n">
        <v>2</v>
      </c>
      <c r="B2702" t="inlineStr">
        <is>
          <t xml:space="preserve">CD CIUDADELA                  </t>
        </is>
      </c>
      <c r="C2702" t="inlineStr">
        <is>
          <t xml:space="preserve">GRUPO L.                      </t>
        </is>
      </c>
      <c r="D2702" t="inlineStr">
        <is>
          <t>FIDEOS GUISEROS</t>
        </is>
      </c>
      <c r="E2702" t="inlineStr">
        <is>
          <t xml:space="preserve">7797470199237       </t>
        </is>
      </c>
      <c r="F2702" t="n">
        <v>4020548</v>
      </c>
      <c r="G2702" t="inlineStr">
        <is>
          <t xml:space="preserve">FIDEOS GUIS TIRAB X500G MAROLI	    </t>
        </is>
      </c>
      <c r="H2702" t="inlineStr">
        <is>
          <t xml:space="preserve">UNIDAD              </t>
        </is>
      </c>
      <c r="I2702" t="n">
        <v>447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447</v>
      </c>
      <c r="P2702" s="96">
        <f>_xlfn.XLOOKUP(Tabla5[[#This Row],[EAN CORREGIDO]],'Tabla Articulos'!B:B,'Tabla Articulos'!D:D)</f>
        <v/>
      </c>
      <c r="Q2702" s="96">
        <f>_xlfn.XLOOKUP(S2702,'Tabla Articulos'!B:B,'Tabla Articulos'!E:E)</f>
        <v/>
      </c>
      <c r="R2702" s="96">
        <f>O2702*Q2702</f>
        <v/>
      </c>
      <c r="S2702" s="97">
        <f>TRIM(E2702)</f>
        <v/>
      </c>
    </row>
    <row r="2703" hidden="1">
      <c r="A2703" s="22" t="n">
        <v>2</v>
      </c>
      <c r="B2703" t="inlineStr">
        <is>
          <t xml:space="preserve">CD CIUDADELA                  </t>
        </is>
      </c>
      <c r="C2703" t="inlineStr">
        <is>
          <t xml:space="preserve">GRUPO L.                      </t>
        </is>
      </c>
      <c r="D2703" t="inlineStr">
        <is>
          <t>JUGO POLVO POMELO</t>
        </is>
      </c>
      <c r="E2703" t="inlineStr">
        <is>
          <t xml:space="preserve">7790971001115       </t>
        </is>
      </c>
      <c r="F2703" t="n">
        <v>4019932</v>
      </c>
      <c r="G2703" t="inlineStr">
        <is>
          <t xml:space="preserve">JUGO POLVO POMELO X5KG             </t>
        </is>
      </c>
      <c r="H2703" t="inlineStr">
        <is>
          <t xml:space="preserve">UNIDAD              </t>
        </is>
      </c>
      <c r="I2703" t="n">
        <v>15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15</v>
      </c>
      <c r="P2703" s="96">
        <f>_xlfn.XLOOKUP(Tabla5[[#This Row],[EAN CORREGIDO]],'Tabla Articulos'!B:B,'Tabla Articulos'!D:D)</f>
        <v/>
      </c>
      <c r="Q2703" s="96">
        <f>_xlfn.XLOOKUP(S2703,'Tabla Articulos'!B:B,'Tabla Articulos'!E:E)</f>
        <v/>
      </c>
      <c r="R2703" s="96">
        <f>O2703*Q2703</f>
        <v/>
      </c>
      <c r="S2703" s="97">
        <f>TRIM(E2703)</f>
        <v/>
      </c>
    </row>
    <row r="2704" hidden="1">
      <c r="A2704" s="22" t="n">
        <v>2</v>
      </c>
      <c r="B2704" t="inlineStr">
        <is>
          <t xml:space="preserve">CD CIUDADELA                  </t>
        </is>
      </c>
      <c r="C2704" t="inlineStr">
        <is>
          <t xml:space="preserve">GRUPO L.                      </t>
        </is>
      </c>
      <c r="D2704" t="inlineStr">
        <is>
          <t>BONDIOLA CERDO CONGELADA</t>
        </is>
      </c>
      <c r="E2704" t="inlineStr">
        <is>
          <t xml:space="preserve">7790212031279       </t>
        </is>
      </c>
      <c r="F2704" t="n">
        <v>4017698</v>
      </c>
      <c r="G2704" t="inlineStr">
        <is>
          <t xml:space="preserve">BONDIOLA DE CERDO C X KG           </t>
        </is>
      </c>
      <c r="H2704" t="inlineStr">
        <is>
          <t xml:space="preserve">Kgs                 </t>
        </is>
      </c>
      <c r="I2704" t="n">
        <v>869</v>
      </c>
      <c r="J2704" t="n">
        <v>0</v>
      </c>
      <c r="K2704" t="n">
        <v>0</v>
      </c>
      <c r="L2704" t="n">
        <v>97.66</v>
      </c>
      <c r="M2704" t="n">
        <v>97.66</v>
      </c>
      <c r="N2704" t="n">
        <v>0</v>
      </c>
      <c r="O2704" t="n">
        <v>673.6799999999999</v>
      </c>
      <c r="P2704" s="96">
        <f>_xlfn.XLOOKUP(Tabla5[[#This Row],[EAN CORREGIDO]],'Tabla Articulos'!B:B,'Tabla Articulos'!D:D)</f>
        <v/>
      </c>
      <c r="Q2704" s="96">
        <f>_xlfn.XLOOKUP(S2704,'Tabla Articulos'!B:B,'Tabla Articulos'!E:E)</f>
        <v/>
      </c>
      <c r="R2704" s="96">
        <f>O2704*Q2704</f>
        <v/>
      </c>
      <c r="S2704" s="97">
        <f>TRIM(E2704)</f>
        <v/>
      </c>
    </row>
    <row r="2705" hidden="1">
      <c r="A2705" s="22" t="n">
        <v>2</v>
      </c>
      <c r="B2705" t="inlineStr">
        <is>
          <t xml:space="preserve">CD CIUDADELA                  </t>
        </is>
      </c>
      <c r="C2705" t="inlineStr">
        <is>
          <t xml:space="preserve">GRUPO L.                      </t>
        </is>
      </c>
      <c r="D2705" t="inlineStr">
        <is>
          <t>ALFAJOR TRIPLE NEGRO</t>
        </is>
      </c>
      <c r="E2705" t="inlineStr">
        <is>
          <t xml:space="preserve">7790040659605       </t>
        </is>
      </c>
      <c r="F2705" t="n">
        <v>4019039</v>
      </c>
      <c r="G2705" t="inlineStr">
        <is>
          <t xml:space="preserve">ALFAJOR CHOCOLATE X60G BLOCK       </t>
        </is>
      </c>
      <c r="H2705" t="inlineStr">
        <is>
          <t xml:space="preserve">UNIDAD              </t>
        </is>
      </c>
      <c r="I2705" t="n">
        <v>51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51</v>
      </c>
      <c r="P2705" s="96">
        <f>_xlfn.XLOOKUP(Tabla5[[#This Row],[EAN CORREGIDO]],'Tabla Articulos'!B:B,'Tabla Articulos'!D:D)</f>
        <v/>
      </c>
      <c r="Q2705" s="96">
        <f>_xlfn.XLOOKUP(S2705,'Tabla Articulos'!B:B,'Tabla Articulos'!E:E)</f>
        <v/>
      </c>
      <c r="R2705" s="96">
        <f>O2705*Q2705</f>
        <v/>
      </c>
      <c r="S2705" s="97">
        <f>TRIM(E2705)</f>
        <v/>
      </c>
    </row>
    <row r="2706" hidden="1">
      <c r="A2706" s="22" t="n">
        <v>2</v>
      </c>
      <c r="B2706" t="inlineStr">
        <is>
          <t xml:space="preserve">CD CIUDADELA                  </t>
        </is>
      </c>
      <c r="C2706" t="inlineStr">
        <is>
          <t xml:space="preserve">GRUPO L.                      </t>
        </is>
      </c>
      <c r="D2706" t="inlineStr">
        <is>
          <t>HUEVO DE PASCUA</t>
        </is>
      </c>
      <c r="E2706" t="inlineStr">
        <is>
          <t xml:space="preserve">7792730019737       </t>
        </is>
      </c>
      <c r="F2706" t="n">
        <v>4022580</v>
      </c>
      <c r="G2706" t="inlineStr">
        <is>
          <t xml:space="preserve">HUEVO PASCUA 50GR BIZNIKKE NEVAD   </t>
        </is>
      </c>
      <c r="H2706" t="inlineStr">
        <is>
          <t xml:space="preserve">UNIDAD              </t>
        </is>
      </c>
      <c r="I2706" t="n">
        <v>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3</v>
      </c>
      <c r="P2706" s="96">
        <f>_xlfn.XLOOKUP(Tabla5[[#This Row],[EAN CORREGIDO]],'Tabla Articulos'!B:B,'Tabla Articulos'!D:D)</f>
        <v/>
      </c>
      <c r="Q2706" s="96">
        <f>_xlfn.XLOOKUP(S2706,'Tabla Articulos'!B:B,'Tabla Articulos'!E:E)</f>
        <v/>
      </c>
      <c r="R2706" s="96">
        <f>O2706*Q2706</f>
        <v/>
      </c>
      <c r="S2706" s="97">
        <f>TRIM(E2706)</f>
        <v/>
      </c>
    </row>
    <row r="2707" hidden="1">
      <c r="A2707" s="22" t="n">
        <v>2</v>
      </c>
      <c r="B2707" t="inlineStr">
        <is>
          <t xml:space="preserve">CD CIUDADELA                  </t>
        </is>
      </c>
      <c r="C2707" t="inlineStr">
        <is>
          <t xml:space="preserve">GRUPO L.                      </t>
        </is>
      </c>
      <c r="D2707" t="inlineStr">
        <is>
          <t>LECHE DE ALMENDRAS</t>
        </is>
      </c>
      <c r="E2707" t="inlineStr">
        <is>
          <t xml:space="preserve">7790742340108       </t>
        </is>
      </c>
      <c r="F2707" t="n">
        <v>4019655</v>
      </c>
      <c r="G2707" t="inlineStr">
        <is>
          <t>LECHE ALMENDRAS X 1LT LA SERENISIMA</t>
        </is>
      </c>
      <c r="H2707" t="inlineStr">
        <is>
          <t xml:space="preserve">UNIDAD              </t>
        </is>
      </c>
      <c r="I2707" t="n">
        <v>224</v>
      </c>
      <c r="J2707" t="n">
        <v>0</v>
      </c>
      <c r="K2707" t="n">
        <v>0</v>
      </c>
      <c r="L2707" t="n">
        <v>2</v>
      </c>
      <c r="M2707" t="n">
        <v>2</v>
      </c>
      <c r="N2707" t="n">
        <v>0</v>
      </c>
      <c r="O2707" t="n">
        <v>220</v>
      </c>
      <c r="P2707" s="96">
        <f>_xlfn.XLOOKUP(Tabla5[[#This Row],[EAN CORREGIDO]],'Tabla Articulos'!B:B,'Tabla Articulos'!D:D)</f>
        <v/>
      </c>
      <c r="Q2707" s="96">
        <f>_xlfn.XLOOKUP(S2707,'Tabla Articulos'!B:B,'Tabla Articulos'!E:E)</f>
        <v/>
      </c>
      <c r="R2707" s="96">
        <f>O2707*Q2707</f>
        <v/>
      </c>
      <c r="S2707" s="97">
        <f>TRIM(E2707)</f>
        <v/>
      </c>
    </row>
    <row r="2708" hidden="1">
      <c r="A2708" s="22" t="n">
        <v>2</v>
      </c>
      <c r="B2708" t="inlineStr">
        <is>
          <t xml:space="preserve">CD CIUDADELA                  </t>
        </is>
      </c>
      <c r="C2708" t="inlineStr">
        <is>
          <t xml:space="preserve">GRUPO L.                      </t>
        </is>
      </c>
      <c r="D2708" t="inlineStr">
        <is>
          <t>AJI MOLIDO</t>
        </is>
      </c>
      <c r="E2708" t="inlineStr">
        <is>
          <t xml:space="preserve">7793875360333       </t>
        </is>
      </c>
      <c r="F2708" t="n">
        <v>4020100</v>
      </c>
      <c r="G2708" t="inlineStr">
        <is>
          <t xml:space="preserve">AJI MOLIDO X 1KGS AROMAS Y SAB     </t>
        </is>
      </c>
      <c r="H2708" t="inlineStr">
        <is>
          <t xml:space="preserve">UNIDAD              </t>
        </is>
      </c>
      <c r="I2708" t="n">
        <v>374</v>
      </c>
      <c r="J2708" t="n">
        <v>0</v>
      </c>
      <c r="K2708" t="n">
        <v>0</v>
      </c>
      <c r="L2708" t="n">
        <v>4</v>
      </c>
      <c r="M2708" t="n">
        <v>4</v>
      </c>
      <c r="N2708" t="n">
        <v>0</v>
      </c>
      <c r="O2708" t="n">
        <v>366</v>
      </c>
      <c r="P2708" s="96">
        <f>_xlfn.XLOOKUP(Tabla5[[#This Row],[EAN CORREGIDO]],'Tabla Articulos'!B:B,'Tabla Articulos'!D:D)</f>
        <v/>
      </c>
      <c r="Q2708" s="96">
        <f>_xlfn.XLOOKUP(S2708,'Tabla Articulos'!B:B,'Tabla Articulos'!E:E)</f>
        <v/>
      </c>
      <c r="R2708" s="96">
        <f>O2708*Q2708</f>
        <v/>
      </c>
      <c r="S2708" s="97">
        <f>TRIM(E2708)</f>
        <v/>
      </c>
    </row>
    <row r="2709" hidden="1">
      <c r="A2709" s="22" t="n">
        <v>2</v>
      </c>
      <c r="B2709" t="inlineStr">
        <is>
          <t xml:space="preserve">CD CIUDADELA                  </t>
        </is>
      </c>
      <c r="C2709" t="inlineStr">
        <is>
          <t xml:space="preserve">GRUPO L.                      </t>
        </is>
      </c>
      <c r="D2709" t="inlineStr">
        <is>
          <t>AZUCAR IMPALPABLE</t>
        </is>
      </c>
      <c r="E2709" t="inlineStr">
        <is>
          <t xml:space="preserve">7791113004476       </t>
        </is>
      </c>
      <c r="F2709" t="n">
        <v>4019942</v>
      </c>
      <c r="G2709" t="inlineStr">
        <is>
          <t xml:space="preserve">AZUCAR IMPALPABLE X 1KG EMETH      </t>
        </is>
      </c>
      <c r="H2709" t="inlineStr">
        <is>
          <t xml:space="preserve">UNIDAD              </t>
        </is>
      </c>
      <c r="I2709" t="n">
        <v>458</v>
      </c>
      <c r="J2709" t="n">
        <v>0</v>
      </c>
      <c r="K2709" t="n">
        <v>0</v>
      </c>
      <c r="L2709" t="n">
        <v>9</v>
      </c>
      <c r="M2709" t="n">
        <v>9</v>
      </c>
      <c r="N2709" t="n">
        <v>0</v>
      </c>
      <c r="O2709" t="n">
        <v>440</v>
      </c>
      <c r="P2709" s="96">
        <f>_xlfn.XLOOKUP(Tabla5[[#This Row],[EAN CORREGIDO]],'Tabla Articulos'!B:B,'Tabla Articulos'!D:D)</f>
        <v/>
      </c>
      <c r="Q2709" s="96">
        <f>_xlfn.XLOOKUP(S2709,'Tabla Articulos'!B:B,'Tabla Articulos'!E:E)</f>
        <v/>
      </c>
      <c r="R2709" s="96">
        <f>O2709*Q2709</f>
        <v/>
      </c>
      <c r="S2709" s="97">
        <f>TRIM(E2709)</f>
        <v/>
      </c>
    </row>
    <row r="2710" hidden="1">
      <c r="A2710" s="22" t="n">
        <v>2</v>
      </c>
      <c r="B2710" t="inlineStr">
        <is>
          <t xml:space="preserve">CD CIUDADELA                  </t>
        </is>
      </c>
      <c r="C2710" t="inlineStr">
        <is>
          <t xml:space="preserve">GRUPO L.                      </t>
        </is>
      </c>
      <c r="D2710" t="inlineStr">
        <is>
          <t>SORBETES</t>
        </is>
      </c>
      <c r="E2710" t="inlineStr">
        <is>
          <t xml:space="preserve">7790221010607       </t>
        </is>
      </c>
      <c r="F2710" t="n">
        <v>2006674</v>
      </c>
      <c r="G2710" t="inlineStr">
        <is>
          <t xml:space="preserve">SORBETES X 1000U                   </t>
        </is>
      </c>
      <c r="H2710" t="inlineStr">
        <is>
          <t xml:space="preserve">UNIDAD              </t>
        </is>
      </c>
      <c r="I2710" t="n">
        <v>3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3</v>
      </c>
      <c r="P2710" s="96">
        <f>_xlfn.XLOOKUP(Tabla5[[#This Row],[EAN CORREGIDO]],'Tabla Articulos'!B:B,'Tabla Articulos'!D:D)</f>
        <v/>
      </c>
      <c r="Q2710" s="96">
        <f>_xlfn.XLOOKUP(S2710,'Tabla Articulos'!B:B,'Tabla Articulos'!E:E)</f>
        <v/>
      </c>
      <c r="R2710" s="96">
        <f>O2710*Q2710</f>
        <v/>
      </c>
      <c r="S2710" s="97">
        <f>TRIM(E2710)</f>
        <v/>
      </c>
    </row>
    <row r="2711" hidden="1">
      <c r="A2711" s="22" t="n">
        <v>2</v>
      </c>
      <c r="B2711" t="inlineStr">
        <is>
          <t xml:space="preserve">CD CIUDADELA                  </t>
        </is>
      </c>
      <c r="C2711" t="inlineStr">
        <is>
          <t xml:space="preserve">GRUPO L.                      </t>
        </is>
      </c>
      <c r="D2711" t="inlineStr">
        <is>
          <t>POSTRE DDL</t>
        </is>
      </c>
      <c r="E2711" t="inlineStr">
        <is>
          <t xml:space="preserve">7790530850130       </t>
        </is>
      </c>
      <c r="F2711" t="n">
        <v>4019842</v>
      </c>
      <c r="G2711" t="inlineStr">
        <is>
          <t xml:space="preserve">POSTRE DULCE LECHE X1KG BEDIAL     </t>
        </is>
      </c>
      <c r="H2711" t="inlineStr">
        <is>
          <t xml:space="preserve">UNIDAD              </t>
        </is>
      </c>
      <c r="I2711" t="n">
        <v>188</v>
      </c>
      <c r="J2711" t="n">
        <v>0</v>
      </c>
      <c r="K2711" t="n">
        <v>0</v>
      </c>
      <c r="L2711" t="n">
        <v>23</v>
      </c>
      <c r="M2711" t="n">
        <v>23</v>
      </c>
      <c r="N2711" t="n">
        <v>0</v>
      </c>
      <c r="O2711" t="n">
        <v>142</v>
      </c>
      <c r="P2711" s="96">
        <f>_xlfn.XLOOKUP(Tabla5[[#This Row],[EAN CORREGIDO]],'Tabla Articulos'!B:B,'Tabla Articulos'!D:D)</f>
        <v/>
      </c>
      <c r="Q2711" s="96">
        <f>_xlfn.XLOOKUP(S2711,'Tabla Articulos'!B:B,'Tabla Articulos'!E:E)</f>
        <v/>
      </c>
      <c r="R2711" s="96">
        <f>O2711*Q2711</f>
        <v/>
      </c>
      <c r="S2711" s="97">
        <f>TRIM(E2711)</f>
        <v/>
      </c>
    </row>
    <row r="2712" hidden="1">
      <c r="A2712" s="22" t="n">
        <v>2</v>
      </c>
      <c r="B2712" t="inlineStr">
        <is>
          <t xml:space="preserve">CD CIUDADELA                  </t>
        </is>
      </c>
      <c r="C2712" t="inlineStr">
        <is>
          <t xml:space="preserve">GRUPO L.                      </t>
        </is>
      </c>
      <c r="D2712" t="inlineStr">
        <is>
          <t>AGUA SAB NARANJA</t>
        </is>
      </c>
      <c r="E2712" t="inlineStr">
        <is>
          <t xml:space="preserve">7790895641237       </t>
        </is>
      </c>
      <c r="F2712" t="n">
        <v>4017162</v>
      </c>
      <c r="G2712" t="inlineStr">
        <is>
          <t xml:space="preserve">AGUA SAB NARANJA x 1.5 L AQUARIUS  </t>
        </is>
      </c>
      <c r="H2712" t="inlineStr">
        <is>
          <t xml:space="preserve">UNIDAD              </t>
        </is>
      </c>
      <c r="I2712" t="n">
        <v>36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36</v>
      </c>
      <c r="P2712" s="96">
        <f>_xlfn.XLOOKUP(Tabla5[[#This Row],[EAN CORREGIDO]],'Tabla Articulos'!B:B,'Tabla Articulos'!D:D)</f>
        <v/>
      </c>
      <c r="Q2712" s="96">
        <f>_xlfn.XLOOKUP(S2712,'Tabla Articulos'!B:B,'Tabla Articulos'!E:E)</f>
        <v/>
      </c>
      <c r="R2712" s="96">
        <f>O2712*Q2712</f>
        <v/>
      </c>
      <c r="S2712" s="97">
        <f>TRIM(E2712)</f>
        <v/>
      </c>
    </row>
    <row r="2713" hidden="1">
      <c r="A2713" s="22" t="n">
        <v>2</v>
      </c>
      <c r="B2713" t="inlineStr">
        <is>
          <t xml:space="preserve">CD CIUDADELA                  </t>
        </is>
      </c>
      <c r="C2713" t="inlineStr">
        <is>
          <t xml:space="preserve">GRUPO L.                      </t>
        </is>
      </c>
      <c r="D2713" t="inlineStr">
        <is>
          <t>TARTA IND CALABAZA</t>
        </is>
      </c>
      <c r="E2713" t="inlineStr">
        <is>
          <t xml:space="preserve">7799132966525       </t>
        </is>
      </c>
      <c r="F2713" t="n">
        <v>4018704</v>
      </c>
      <c r="G2713" t="inlineStr">
        <is>
          <t xml:space="preserve">TARTA CALABA X320G X10U SELYGEL    </t>
        </is>
      </c>
      <c r="H2713" t="inlineStr">
        <is>
          <t xml:space="preserve">UNIDAD              </t>
        </is>
      </c>
      <c r="I2713" t="n">
        <v>6</v>
      </c>
      <c r="J2713" t="n">
        <v>0</v>
      </c>
      <c r="K2713" t="n">
        <v>0</v>
      </c>
      <c r="L2713" t="n">
        <v>0</v>
      </c>
      <c r="M2713" t="n">
        <v>0</v>
      </c>
      <c r="N2713" t="n">
        <v>6</v>
      </c>
      <c r="O2713" t="n">
        <v>0</v>
      </c>
      <c r="P2713" s="96">
        <f>_xlfn.XLOOKUP(Tabla5[[#This Row],[EAN CORREGIDO]],'Tabla Articulos'!B:B,'Tabla Articulos'!D:D)</f>
        <v/>
      </c>
      <c r="Q2713" s="96">
        <f>_xlfn.XLOOKUP(S2713,'Tabla Articulos'!B:B,'Tabla Articulos'!E:E)</f>
        <v/>
      </c>
      <c r="R2713" s="96">
        <f>O2713*Q2713</f>
        <v/>
      </c>
      <c r="S2713" s="97">
        <f>TRIM(E2713)</f>
        <v/>
      </c>
    </row>
    <row r="2714" hidden="1">
      <c r="A2714" s="22" t="n">
        <v>2</v>
      </c>
      <c r="B2714" t="inlineStr">
        <is>
          <t xml:space="preserve">CD CIUDADELA                  </t>
        </is>
      </c>
      <c r="C2714" t="inlineStr">
        <is>
          <t xml:space="preserve">GRUPO L.                      </t>
        </is>
      </c>
      <c r="D2714" t="inlineStr">
        <is>
          <t>BARRA  ARROZ CELIACO</t>
        </is>
      </c>
      <c r="E2714" t="inlineStr">
        <is>
          <t xml:space="preserve">77919335            </t>
        </is>
      </c>
      <c r="F2714" t="n">
        <v>4019056</v>
      </c>
      <c r="G2714" t="inlineStr">
        <is>
          <t xml:space="preserve">BARRA ARROZ D/L  X 12GR LULE       </t>
        </is>
      </c>
      <c r="H2714" t="inlineStr">
        <is>
          <t xml:space="preserve">UNIDAD              </t>
        </is>
      </c>
      <c r="I2714" t="n">
        <v>834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834</v>
      </c>
      <c r="P2714" s="96">
        <f>_xlfn.XLOOKUP(Tabla5[[#This Row],[EAN CORREGIDO]],'Tabla Articulos'!B:B,'Tabla Articulos'!D:D)</f>
        <v/>
      </c>
      <c r="Q2714" s="96">
        <f>_xlfn.XLOOKUP(S2714,'Tabla Articulos'!B:B,'Tabla Articulos'!E:E)</f>
        <v/>
      </c>
      <c r="R2714" s="96">
        <f>O2714*Q2714</f>
        <v/>
      </c>
      <c r="S2714" s="97">
        <f>TRIM(E2714)</f>
        <v/>
      </c>
    </row>
    <row r="2715" hidden="1">
      <c r="A2715" s="22" t="n">
        <v>2</v>
      </c>
      <c r="B2715" t="inlineStr">
        <is>
          <t xml:space="preserve">CD CIUDADELA                  </t>
        </is>
      </c>
      <c r="C2715" t="inlineStr">
        <is>
          <t xml:space="preserve">GRUPO L.                      </t>
        </is>
      </c>
      <c r="D2715" t="inlineStr">
        <is>
          <t>AZUCAR IMPALPABLE</t>
        </is>
      </c>
      <c r="E2715" t="inlineStr">
        <is>
          <t xml:space="preserve">7790971002082       </t>
        </is>
      </c>
      <c r="F2715" t="n">
        <v>4019789</v>
      </c>
      <c r="G2715" t="inlineStr">
        <is>
          <t xml:space="preserve">AZUCAR IMPALPABLE X500G ORLOC      </t>
        </is>
      </c>
      <c r="H2715" t="inlineStr">
        <is>
          <t xml:space="preserve">UNIDAD              </t>
        </is>
      </c>
      <c r="I2715" t="n">
        <v>251</v>
      </c>
      <c r="J2715" t="n">
        <v>0</v>
      </c>
      <c r="K2715" t="n">
        <v>0</v>
      </c>
      <c r="L2715" t="n">
        <v>3</v>
      </c>
      <c r="M2715" t="n">
        <v>3</v>
      </c>
      <c r="N2715" t="n">
        <v>0</v>
      </c>
      <c r="O2715" t="n">
        <v>245</v>
      </c>
      <c r="P2715" s="96">
        <f>_xlfn.XLOOKUP(Tabla5[[#This Row],[EAN CORREGIDO]],'Tabla Articulos'!B:B,'Tabla Articulos'!D:D)</f>
        <v/>
      </c>
      <c r="Q2715" s="96">
        <f>_xlfn.XLOOKUP(S2715,'Tabla Articulos'!B:B,'Tabla Articulos'!E:E)</f>
        <v/>
      </c>
      <c r="R2715" s="96">
        <f>O2715*Q2715</f>
        <v/>
      </c>
      <c r="S2715" s="97">
        <f>TRIM(E2715)</f>
        <v/>
      </c>
    </row>
    <row r="2716" hidden="1">
      <c r="A2716" s="22" t="n">
        <v>2</v>
      </c>
      <c r="B2716" t="inlineStr">
        <is>
          <t xml:space="preserve">CD CIUDADELA                  </t>
        </is>
      </c>
      <c r="C2716" t="inlineStr">
        <is>
          <t xml:space="preserve">GRUPO L.                      </t>
        </is>
      </c>
      <c r="D2716" t="inlineStr">
        <is>
          <t>VINO OPORTO</t>
        </is>
      </c>
      <c r="E2716" t="inlineStr">
        <is>
          <t xml:space="preserve">7792100016281       </t>
        </is>
      </c>
      <c r="F2716" t="n">
        <v>4021170</v>
      </c>
      <c r="G2716" t="inlineStr">
        <is>
          <t xml:space="preserve">VINO OPORTO X 1L FLORIO            </t>
        </is>
      </c>
      <c r="H2716" t="inlineStr">
        <is>
          <t xml:space="preserve">UNIDAD              </t>
        </is>
      </c>
      <c r="I2716" t="n">
        <v>4</v>
      </c>
      <c r="J2716" t="n">
        <v>0</v>
      </c>
      <c r="K2716" t="n">
        <v>0</v>
      </c>
      <c r="L2716" t="n">
        <v>0</v>
      </c>
      <c r="M2716" t="n">
        <v>0</v>
      </c>
      <c r="N2716" t="n">
        <v>2</v>
      </c>
      <c r="O2716" t="n">
        <v>2</v>
      </c>
      <c r="P2716" s="96">
        <f>_xlfn.XLOOKUP(Tabla5[[#This Row],[EAN CORREGIDO]],'Tabla Articulos'!B:B,'Tabla Articulos'!D:D)</f>
        <v/>
      </c>
      <c r="Q2716" s="96">
        <f>_xlfn.XLOOKUP(S2716,'Tabla Articulos'!B:B,'Tabla Articulos'!E:E)</f>
        <v/>
      </c>
      <c r="R2716" s="96">
        <f>O2716*Q2716</f>
        <v/>
      </c>
      <c r="S2716" s="97">
        <f>TRIM(E2716)</f>
        <v/>
      </c>
    </row>
    <row r="2717" hidden="1">
      <c r="A2717" s="22" t="n">
        <v>2</v>
      </c>
      <c r="B2717" t="inlineStr">
        <is>
          <t xml:space="preserve">CD CIUDADELA                  </t>
        </is>
      </c>
      <c r="C2717" t="inlineStr">
        <is>
          <t xml:space="preserve">GRUPO L.                      </t>
        </is>
      </c>
      <c r="D2717" t="inlineStr">
        <is>
          <t>TE INTI ZEN</t>
        </is>
      </c>
      <c r="E2717" t="inlineStr">
        <is>
          <t xml:space="preserve">7798104300036       </t>
        </is>
      </c>
      <c r="F2717" t="n">
        <v>4049023</v>
      </c>
      <c r="G2717" t="inlineStr">
        <is>
          <t xml:space="preserve">TE INTIZEN EAR LGREY 0.002K X15UN  </t>
        </is>
      </c>
      <c r="H2717" t="inlineStr">
        <is>
          <t xml:space="preserve">UNIDAD              </t>
        </is>
      </c>
      <c r="I2717" t="n">
        <v>6</v>
      </c>
      <c r="J2717" t="n">
        <v>0</v>
      </c>
      <c r="K2717" t="n">
        <v>6</v>
      </c>
      <c r="L2717" t="n">
        <v>0</v>
      </c>
      <c r="M2717" t="n">
        <v>0</v>
      </c>
      <c r="N2717" t="n">
        <v>0</v>
      </c>
      <c r="O2717" t="n">
        <v>0</v>
      </c>
      <c r="P2717" s="96">
        <f>_xlfn.XLOOKUP(Tabla5[[#This Row],[EAN CORREGIDO]],'Tabla Articulos'!B:B,'Tabla Articulos'!D:D)</f>
        <v/>
      </c>
      <c r="Q2717" s="96">
        <f>_xlfn.XLOOKUP(S2717,'Tabla Articulos'!B:B,'Tabla Articulos'!E:E)</f>
        <v/>
      </c>
      <c r="R2717" s="96">
        <f>O2717*Q2717</f>
        <v/>
      </c>
      <c r="S2717" s="97">
        <f>TRIM(E2717)</f>
        <v/>
      </c>
    </row>
    <row r="2718" hidden="1">
      <c r="A2718" s="22" t="n">
        <v>2</v>
      </c>
      <c r="B2718" t="inlineStr">
        <is>
          <t xml:space="preserve">CD CIUDADELA                  </t>
        </is>
      </c>
      <c r="C2718" t="inlineStr">
        <is>
          <t xml:space="preserve">GRUPO L.                      </t>
        </is>
      </c>
      <c r="D2718" t="inlineStr">
        <is>
          <t>CAJA P/ PIZZA</t>
        </is>
      </c>
      <c r="E2718" t="inlineStr">
        <is>
          <t xml:space="preserve">EMB000130           </t>
        </is>
      </c>
      <c r="F2718" t="n">
        <v>2006280</v>
      </c>
      <c r="G2718" t="inlineStr">
        <is>
          <t xml:space="preserve">CAJA DE PIZZA CHICA X 50 U         </t>
        </is>
      </c>
      <c r="H2718" t="inlineStr">
        <is>
          <t xml:space="preserve">UNIDAD              </t>
        </is>
      </c>
      <c r="I2718" t="n">
        <v>42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42</v>
      </c>
      <c r="P2718" s="96">
        <f>_xlfn.XLOOKUP(Tabla5[[#This Row],[EAN CORREGIDO]],'Tabla Articulos'!B:B,'Tabla Articulos'!D:D)</f>
        <v/>
      </c>
      <c r="Q2718" s="96">
        <f>_xlfn.XLOOKUP(S2718,'Tabla Articulos'!B:B,'Tabla Articulos'!E:E)</f>
        <v/>
      </c>
      <c r="R2718" s="96">
        <f>O2718*Q2718</f>
        <v/>
      </c>
      <c r="S2718" s="97">
        <f>TRIM(E2718)</f>
        <v/>
      </c>
    </row>
    <row r="2719" hidden="1">
      <c r="A2719" s="22" t="n">
        <v>2</v>
      </c>
      <c r="B2719" t="inlineStr">
        <is>
          <t xml:space="preserve">CD CIUDADELA                  </t>
        </is>
      </c>
      <c r="C2719" t="inlineStr">
        <is>
          <t xml:space="preserve">GRUPO L.                      </t>
        </is>
      </c>
      <c r="D2719" t="inlineStr">
        <is>
          <t>CUADRIL SIN TAPA</t>
        </is>
      </c>
      <c r="E2719" t="inlineStr">
        <is>
          <t xml:space="preserve">790212030076        </t>
        </is>
      </c>
      <c r="F2719" t="n">
        <v>4017701</v>
      </c>
      <c r="G2719" t="inlineStr">
        <is>
          <t xml:space="preserve">CUADRIL SIN TAPA XKG               </t>
        </is>
      </c>
      <c r="H2719" t="inlineStr">
        <is>
          <t xml:space="preserve">Kgs                 </t>
        </is>
      </c>
      <c r="I2719" t="n">
        <v>1051.79</v>
      </c>
      <c r="J2719" t="n">
        <v>0</v>
      </c>
      <c r="K2719" t="n">
        <v>0</v>
      </c>
      <c r="L2719" t="n">
        <v>142</v>
      </c>
      <c r="M2719" t="n">
        <v>142</v>
      </c>
      <c r="N2719" t="n">
        <v>0</v>
      </c>
      <c r="O2719" t="n">
        <v>767.79</v>
      </c>
      <c r="P2719" s="96">
        <f>_xlfn.XLOOKUP(Tabla5[[#This Row],[EAN CORREGIDO]],'Tabla Articulos'!B:B,'Tabla Articulos'!D:D)</f>
        <v/>
      </c>
      <c r="Q2719" s="96">
        <f>_xlfn.XLOOKUP(S2719,'Tabla Articulos'!B:B,'Tabla Articulos'!E:E)</f>
        <v/>
      </c>
      <c r="R2719" s="96">
        <f>O2719*Q2719</f>
        <v/>
      </c>
      <c r="S2719" s="97">
        <f>TRIM(E2719)</f>
        <v/>
      </c>
    </row>
    <row r="2720" hidden="1">
      <c r="A2720" s="22" t="n">
        <v>2</v>
      </c>
      <c r="B2720" t="inlineStr">
        <is>
          <t xml:space="preserve">CD CIUDADELA                  </t>
        </is>
      </c>
      <c r="C2720" t="inlineStr">
        <is>
          <t xml:space="preserve">GRUPO L.                      </t>
        </is>
      </c>
      <c r="D2720" t="inlineStr">
        <is>
          <t>ALFAJOR TRIPLE BLANCO</t>
        </is>
      </c>
      <c r="E2720" t="inlineStr">
        <is>
          <t xml:space="preserve">77958341            </t>
        </is>
      </c>
      <c r="F2720" t="n">
        <v>4022815</v>
      </c>
      <c r="G2720" t="inlineStr">
        <is>
          <t xml:space="preserve">ALFAJOR TRIP BCO X 60 G VIMAR      </t>
        </is>
      </c>
      <c r="H2720" t="inlineStr">
        <is>
          <t xml:space="preserve">UNIDAD              </t>
        </is>
      </c>
      <c r="I2720" t="n">
        <v>1521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1521</v>
      </c>
      <c r="P2720" s="96">
        <f>_xlfn.XLOOKUP(Tabla5[[#This Row],[EAN CORREGIDO]],'Tabla Articulos'!B:B,'Tabla Articulos'!D:D)</f>
        <v/>
      </c>
      <c r="Q2720" s="96">
        <f>_xlfn.XLOOKUP(S2720,'Tabla Articulos'!B:B,'Tabla Articulos'!E:E)</f>
        <v/>
      </c>
      <c r="R2720" s="96">
        <f>O2720*Q2720</f>
        <v/>
      </c>
      <c r="S2720" s="97">
        <f>TRIM(E2720)</f>
        <v/>
      </c>
    </row>
    <row r="2721" hidden="1">
      <c r="A2721" s="22" t="n">
        <v>2</v>
      </c>
      <c r="B2721" t="inlineStr">
        <is>
          <t xml:space="preserve">CD CIUDADELA                  </t>
        </is>
      </c>
      <c r="C2721" t="inlineStr">
        <is>
          <t xml:space="preserve">GRUPO L.                      </t>
        </is>
      </c>
      <c r="D2721" t="inlineStr">
        <is>
          <t>ALFAJOR SIMPLE NEGRO</t>
        </is>
      </c>
      <c r="E2721" t="inlineStr">
        <is>
          <t xml:space="preserve">77958327            </t>
        </is>
      </c>
      <c r="F2721" t="n">
        <v>4018966</v>
      </c>
      <c r="G2721" t="inlineStr">
        <is>
          <t xml:space="preserve">ALFAJOR NEG X 38 G VIMAR           </t>
        </is>
      </c>
      <c r="H2721" t="inlineStr">
        <is>
          <t xml:space="preserve">UNIDAD              </t>
        </is>
      </c>
      <c r="I2721" t="n">
        <v>5100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5100</v>
      </c>
      <c r="P2721" s="96">
        <f>_xlfn.XLOOKUP(Tabla5[[#This Row],[EAN CORREGIDO]],'Tabla Articulos'!B:B,'Tabla Articulos'!D:D)</f>
        <v/>
      </c>
      <c r="Q2721" s="96">
        <f>_xlfn.XLOOKUP(S2721,'Tabla Articulos'!B:B,'Tabla Articulos'!E:E)</f>
        <v/>
      </c>
      <c r="R2721" s="96">
        <f>O2721*Q2721</f>
        <v/>
      </c>
      <c r="S2721" s="97">
        <f>TRIM(E2721)</f>
        <v/>
      </c>
    </row>
    <row r="2722" hidden="1">
      <c r="A2722" s="22" t="n">
        <v>2</v>
      </c>
      <c r="B2722" t="inlineStr">
        <is>
          <t xml:space="preserve">CD CIUDADELA                  </t>
        </is>
      </c>
      <c r="C2722" t="inlineStr">
        <is>
          <t xml:space="preserve">GRUPO L.                      </t>
        </is>
      </c>
      <c r="D2722" t="inlineStr">
        <is>
          <t>PANCETA AHUMADA</t>
        </is>
      </c>
      <c r="E2722" t="inlineStr">
        <is>
          <t xml:space="preserve">7790212050102       </t>
        </is>
      </c>
      <c r="F2722" t="n">
        <v>4017716</v>
      </c>
      <c r="G2722" t="inlineStr">
        <is>
          <t xml:space="preserve">PANCETA AHUMADA X KG               </t>
        </is>
      </c>
      <c r="H2722" t="inlineStr">
        <is>
          <t xml:space="preserve">Kgs                 </t>
        </is>
      </c>
      <c r="I2722" t="n">
        <v>195.54</v>
      </c>
      <c r="J2722" t="n">
        <v>0</v>
      </c>
      <c r="K2722" t="n">
        <v>0</v>
      </c>
      <c r="L2722" t="n">
        <v>15.6</v>
      </c>
      <c r="M2722" t="n">
        <v>15.6</v>
      </c>
      <c r="N2722" t="n">
        <v>0</v>
      </c>
      <c r="O2722" t="n">
        <v>164.34</v>
      </c>
      <c r="P2722" s="96">
        <f>_xlfn.XLOOKUP(Tabla5[[#This Row],[EAN CORREGIDO]],'Tabla Articulos'!B:B,'Tabla Articulos'!D:D)</f>
        <v/>
      </c>
      <c r="Q2722" s="96">
        <f>_xlfn.XLOOKUP(S2722,'Tabla Articulos'!B:B,'Tabla Articulos'!E:E)</f>
        <v/>
      </c>
      <c r="R2722" s="96">
        <f>O2722*Q2722</f>
        <v/>
      </c>
      <c r="S2722" s="97">
        <f>TRIM(E2722)</f>
        <v/>
      </c>
    </row>
    <row r="2723" hidden="1">
      <c r="A2723" s="22" t="n">
        <v>2</v>
      </c>
      <c r="B2723" t="inlineStr">
        <is>
          <t xml:space="preserve">CD CIUDADELA                  </t>
        </is>
      </c>
      <c r="C2723" t="inlineStr">
        <is>
          <t xml:space="preserve">GRUPO L.                      </t>
        </is>
      </c>
      <c r="D2723" t="inlineStr">
        <is>
          <t>MAIZ PISCINGALLO</t>
        </is>
      </c>
      <c r="E2723" t="inlineStr">
        <is>
          <t xml:space="preserve">7793323000866       </t>
        </is>
      </c>
      <c r="F2723" t="n">
        <v>4024577</v>
      </c>
      <c r="G2723" t="inlineStr">
        <is>
          <t xml:space="preserve">MAIZ PISINGALLO X5KG DICOMERE      </t>
        </is>
      </c>
      <c r="H2723" t="inlineStr">
        <is>
          <t xml:space="preserve">UNIDAD              </t>
        </is>
      </c>
      <c r="I2723" t="n">
        <v>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5</v>
      </c>
      <c r="P2723" s="96">
        <f>_xlfn.XLOOKUP(Tabla5[[#This Row],[EAN CORREGIDO]],'Tabla Articulos'!B:B,'Tabla Articulos'!D:D)</f>
        <v/>
      </c>
      <c r="Q2723" s="96">
        <f>_xlfn.XLOOKUP(S2723,'Tabla Articulos'!B:B,'Tabla Articulos'!E:E)</f>
        <v/>
      </c>
      <c r="R2723" s="96">
        <f>O2723*Q2723</f>
        <v/>
      </c>
      <c r="S2723" s="97">
        <f>TRIM(E2723)</f>
        <v/>
      </c>
    </row>
    <row r="2724" hidden="1">
      <c r="A2724" s="22" t="n">
        <v>2</v>
      </c>
      <c r="B2724" t="inlineStr">
        <is>
          <t xml:space="preserve">CD CIUDADELA                  </t>
        </is>
      </c>
      <c r="C2724" t="inlineStr">
        <is>
          <t xml:space="preserve">GRUPO L.                      </t>
        </is>
      </c>
      <c r="D2724" t="inlineStr">
        <is>
          <t>CARNE ENTERA</t>
        </is>
      </c>
      <c r="E2724" t="inlineStr">
        <is>
          <t xml:space="preserve">790212030074        </t>
        </is>
      </c>
      <c r="F2724" t="n">
        <v>4017679</v>
      </c>
      <c r="G2724" t="inlineStr">
        <is>
          <t xml:space="preserve">NALGA ENTERA ESP XKG               </t>
        </is>
      </c>
      <c r="H2724" t="inlineStr">
        <is>
          <t xml:space="preserve">Kgs                 </t>
        </is>
      </c>
      <c r="I2724" t="n">
        <v>230.7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230.7</v>
      </c>
      <c r="P2724" s="96">
        <f>_xlfn.XLOOKUP(Tabla5[[#This Row],[EAN CORREGIDO]],'Tabla Articulos'!B:B,'Tabla Articulos'!D:D)</f>
        <v/>
      </c>
      <c r="Q2724" s="96">
        <f>_xlfn.XLOOKUP(S2724,'Tabla Articulos'!B:B,'Tabla Articulos'!E:E)</f>
        <v/>
      </c>
      <c r="R2724" s="96">
        <f>O2724*Q2724</f>
        <v/>
      </c>
      <c r="S2724" s="97">
        <f>TRIM(E2724)</f>
        <v/>
      </c>
    </row>
    <row r="2725" hidden="1">
      <c r="A2725" s="22" t="n">
        <v>2</v>
      </c>
      <c r="B2725" t="inlineStr">
        <is>
          <t xml:space="preserve">CD CIUDADELA                  </t>
        </is>
      </c>
      <c r="C2725" t="inlineStr">
        <is>
          <t xml:space="preserve">GRUPO L.                      </t>
        </is>
      </c>
      <c r="D2725" t="inlineStr">
        <is>
          <t>GUANTE POLIPROPILENO</t>
        </is>
      </c>
      <c r="E2725" t="inlineStr">
        <is>
          <t xml:space="preserve">17030002A           </t>
        </is>
      </c>
      <c r="F2725" t="n">
        <v>2007032</v>
      </c>
      <c r="G2725" t="inlineStr">
        <is>
          <t xml:space="preserve">GUANTES DE POLIPROPILENO X100U     </t>
        </is>
      </c>
      <c r="H2725" t="inlineStr">
        <is>
          <t xml:space="preserve">UNIDAD              </t>
        </is>
      </c>
      <c r="I2725" t="n">
        <v>71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71</v>
      </c>
      <c r="P2725" s="96">
        <f>_xlfn.XLOOKUP(Tabla5[[#This Row],[EAN CORREGIDO]],'Tabla Articulos'!B:B,'Tabla Articulos'!D:D)</f>
        <v/>
      </c>
      <c r="Q2725" s="96">
        <f>_xlfn.XLOOKUP(S2725,'Tabla Articulos'!B:B,'Tabla Articulos'!E:E)</f>
        <v/>
      </c>
      <c r="R2725" s="96">
        <f>O2725*Q2725</f>
        <v/>
      </c>
      <c r="S2725" s="97">
        <f>TRIM(E2725)</f>
        <v/>
      </c>
    </row>
    <row r="2726" hidden="1">
      <c r="A2726" s="22" t="n">
        <v>2</v>
      </c>
      <c r="B2726" t="inlineStr">
        <is>
          <t xml:space="preserve">CD CIUDADELA                  </t>
        </is>
      </c>
      <c r="C2726" t="inlineStr">
        <is>
          <t xml:space="preserve">GRUPO L.                      </t>
        </is>
      </c>
      <c r="D2726" t="inlineStr">
        <is>
          <t>MANZANA 100-125</t>
        </is>
      </c>
      <c r="E2726" t="inlineStr">
        <is>
          <t xml:space="preserve">7790216020104       </t>
        </is>
      </c>
      <c r="F2726" t="n">
        <v>4018019</v>
      </c>
      <c r="G2726" t="inlineStr">
        <is>
          <t xml:space="preserve">FRUTA MANZANA 100-125 XKG          </t>
        </is>
      </c>
      <c r="H2726" t="inlineStr">
        <is>
          <t xml:space="preserve">Kgs                 </t>
        </is>
      </c>
      <c r="I2726" t="n">
        <v>2414.5</v>
      </c>
      <c r="J2726" t="n">
        <v>0</v>
      </c>
      <c r="K2726" t="n">
        <v>0</v>
      </c>
      <c r="L2726" t="n">
        <v>16.45</v>
      </c>
      <c r="M2726" t="n">
        <v>16.45</v>
      </c>
      <c r="N2726" t="n">
        <v>0</v>
      </c>
      <c r="O2726" t="n">
        <v>2381.6</v>
      </c>
      <c r="P2726" s="96">
        <f>_xlfn.XLOOKUP(Tabla5[[#This Row],[EAN CORREGIDO]],'Tabla Articulos'!B:B,'Tabla Articulos'!D:D)</f>
        <v/>
      </c>
      <c r="Q2726" s="96">
        <f>_xlfn.XLOOKUP(S2726,'Tabla Articulos'!B:B,'Tabla Articulos'!E:E)</f>
        <v/>
      </c>
      <c r="R2726" s="96">
        <f>O2726*Q2726</f>
        <v/>
      </c>
      <c r="S2726" s="97">
        <f>TRIM(E2726)</f>
        <v/>
      </c>
    </row>
    <row r="2727" hidden="1">
      <c r="A2727" s="22" t="n">
        <v>2</v>
      </c>
      <c r="B2727" t="inlineStr">
        <is>
          <t xml:space="preserve">CD CIUDADELA                  </t>
        </is>
      </c>
      <c r="C2727" t="inlineStr">
        <is>
          <t xml:space="preserve">GRUPO L.                      </t>
        </is>
      </c>
      <c r="D2727" t="inlineStr">
        <is>
          <t>LEBERWURST</t>
        </is>
      </c>
      <c r="E2727" t="inlineStr">
        <is>
          <t xml:space="preserve">7796953215303       </t>
        </is>
      </c>
      <c r="F2727" t="n">
        <v>4077458</v>
      </c>
      <c r="G2727" t="inlineStr">
        <is>
          <t xml:space="preserve">LEBERWURST X200G CALCHAQUI         </t>
        </is>
      </c>
      <c r="H2727" t="inlineStr">
        <is>
          <t xml:space="preserve">UNIDAD              </t>
        </is>
      </c>
      <c r="I2727" t="n">
        <v>25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25</v>
      </c>
      <c r="P2727" s="96">
        <f>_xlfn.XLOOKUP(Tabla5[[#This Row],[EAN CORREGIDO]],'Tabla Articulos'!B:B,'Tabla Articulos'!D:D)</f>
        <v/>
      </c>
      <c r="Q2727" s="96">
        <f>_xlfn.XLOOKUP(S2727,'Tabla Articulos'!B:B,'Tabla Articulos'!E:E)</f>
        <v/>
      </c>
      <c r="R2727" s="96">
        <f>O2727*Q2727</f>
        <v/>
      </c>
      <c r="S2727" s="97">
        <f>TRIM(E2727)</f>
        <v/>
      </c>
    </row>
    <row r="2728" hidden="1">
      <c r="A2728" s="22" t="n">
        <v>2</v>
      </c>
      <c r="B2728" t="inlineStr">
        <is>
          <t xml:space="preserve">CD CIUDADELA                  </t>
        </is>
      </c>
      <c r="C2728" t="inlineStr">
        <is>
          <t xml:space="preserve">GRUPO L.                      </t>
        </is>
      </c>
      <c r="D2728" t="inlineStr">
        <is>
          <t>ESCARBADIENTE DESCARTABLE</t>
        </is>
      </c>
      <c r="E2728" t="inlineStr">
        <is>
          <t xml:space="preserve">648260488628        </t>
        </is>
      </c>
      <c r="F2728" t="n">
        <v>2007202</v>
      </c>
      <c r="G2728" t="inlineStr">
        <is>
          <t xml:space="preserve">ESCARBADIENTES X500UN              </t>
        </is>
      </c>
      <c r="H2728" t="inlineStr">
        <is>
          <t xml:space="preserve">UNIDAD              </t>
        </is>
      </c>
      <c r="I2728" t="n">
        <v>145</v>
      </c>
      <c r="J2728" t="n">
        <v>0</v>
      </c>
      <c r="K2728" t="n">
        <v>0</v>
      </c>
      <c r="L2728" t="n">
        <v>1</v>
      </c>
      <c r="M2728" t="n">
        <v>1</v>
      </c>
      <c r="N2728" t="n">
        <v>12</v>
      </c>
      <c r="O2728" t="n">
        <v>131</v>
      </c>
      <c r="P2728" s="96">
        <f>_xlfn.XLOOKUP(Tabla5[[#This Row],[EAN CORREGIDO]],'Tabla Articulos'!B:B,'Tabla Articulos'!D:D)</f>
        <v/>
      </c>
      <c r="Q2728" s="96">
        <f>_xlfn.XLOOKUP(S2728,'Tabla Articulos'!B:B,'Tabla Articulos'!E:E)</f>
        <v/>
      </c>
      <c r="R2728" s="96">
        <f>O2728*Q2728</f>
        <v/>
      </c>
      <c r="S2728" s="97">
        <f>TRIM(E2728)</f>
        <v/>
      </c>
    </row>
    <row r="2729" hidden="1">
      <c r="A2729" s="22" t="n">
        <v>2</v>
      </c>
      <c r="B2729" t="inlineStr">
        <is>
          <t xml:space="preserve">CD CIUDADELA                  </t>
        </is>
      </c>
      <c r="C2729" t="inlineStr">
        <is>
          <t xml:space="preserve">GRUPO L.                      </t>
        </is>
      </c>
      <c r="D2729" t="inlineStr">
        <is>
          <t>LEVADURA SECA</t>
        </is>
      </c>
      <c r="E2729" t="inlineStr">
        <is>
          <t xml:space="preserve">7798018850184       </t>
        </is>
      </c>
      <c r="F2729" t="n">
        <v>4020713</v>
      </c>
      <c r="G2729" t="inlineStr">
        <is>
          <t xml:space="preserve">LEVADURA EN POLVO 2 X 10 G LEVEX   </t>
        </is>
      </c>
      <c r="H2729" t="inlineStr">
        <is>
          <t xml:space="preserve">UNIDAD              </t>
        </is>
      </c>
      <c r="I2729" t="n">
        <v>11508</v>
      </c>
      <c r="J2729" t="n">
        <v>0</v>
      </c>
      <c r="K2729" t="n">
        <v>0</v>
      </c>
      <c r="L2729" t="n">
        <v>397</v>
      </c>
      <c r="M2729" t="n">
        <v>397</v>
      </c>
      <c r="N2729" t="n">
        <v>0</v>
      </c>
      <c r="O2729" t="n">
        <v>10714</v>
      </c>
      <c r="P2729" s="96">
        <f>_xlfn.XLOOKUP(Tabla5[[#This Row],[EAN CORREGIDO]],'Tabla Articulos'!B:B,'Tabla Articulos'!D:D)</f>
        <v/>
      </c>
      <c r="Q2729" s="96">
        <f>_xlfn.XLOOKUP(S2729,'Tabla Articulos'!B:B,'Tabla Articulos'!E:E)</f>
        <v/>
      </c>
      <c r="R2729" s="96">
        <f>O2729*Q2729</f>
        <v/>
      </c>
      <c r="S2729" s="97">
        <f>TRIM(E2729)</f>
        <v/>
      </c>
    </row>
    <row r="2730" hidden="1">
      <c r="A2730" s="22" t="n">
        <v>2</v>
      </c>
      <c r="B2730" t="inlineStr">
        <is>
          <t xml:space="preserve">CD CIUDADELA                  </t>
        </is>
      </c>
      <c r="C2730" t="inlineStr">
        <is>
          <t xml:space="preserve">GRUPO L.                      </t>
        </is>
      </c>
      <c r="D2730" t="inlineStr">
        <is>
          <t>PERA LATA</t>
        </is>
      </c>
      <c r="E2730" t="inlineStr">
        <is>
          <t xml:space="preserve">7798132920428       </t>
        </is>
      </c>
      <c r="F2730" t="n">
        <v>4020331</v>
      </c>
      <c r="G2730" t="inlineStr">
        <is>
          <t xml:space="preserve">PERA EN MITADES X820G ALCO         </t>
        </is>
      </c>
      <c r="H2730" t="inlineStr">
        <is>
          <t xml:space="preserve">UNIDAD              </t>
        </is>
      </c>
      <c r="I2730" t="n">
        <v>2631</v>
      </c>
      <c r="J2730" t="n">
        <v>0</v>
      </c>
      <c r="K2730" t="n">
        <v>1200</v>
      </c>
      <c r="L2730" t="n">
        <v>0</v>
      </c>
      <c r="M2730" t="n">
        <v>0</v>
      </c>
      <c r="N2730" t="n">
        <v>0</v>
      </c>
      <c r="O2730" t="n">
        <v>1431</v>
      </c>
      <c r="P2730" s="96">
        <f>_xlfn.XLOOKUP(Tabla5[[#This Row],[EAN CORREGIDO]],'Tabla Articulos'!B:B,'Tabla Articulos'!D:D)</f>
        <v/>
      </c>
      <c r="Q2730" s="96">
        <f>_xlfn.XLOOKUP(S2730,'Tabla Articulos'!B:B,'Tabla Articulos'!E:E)</f>
        <v/>
      </c>
      <c r="R2730" s="96">
        <f>O2730*Q2730</f>
        <v/>
      </c>
      <c r="S2730" s="97">
        <f>TRIM(E2730)</f>
        <v/>
      </c>
    </row>
    <row r="2731" hidden="1">
      <c r="A2731" s="22" t="n">
        <v>2</v>
      </c>
      <c r="B2731" t="inlineStr">
        <is>
          <t xml:space="preserve">CD CIUDADELA                  </t>
        </is>
      </c>
      <c r="C2731" t="inlineStr">
        <is>
          <t xml:space="preserve">GRUPO L.                      </t>
        </is>
      </c>
      <c r="D2731" t="inlineStr">
        <is>
          <t>PANADERIA CONGELADA</t>
        </is>
      </c>
      <c r="E2731" t="inlineStr">
        <is>
          <t xml:space="preserve">7798041132479       </t>
        </is>
      </c>
      <c r="F2731" t="n">
        <v>4018568</v>
      </c>
      <c r="G2731" t="inlineStr">
        <is>
          <t xml:space="preserve">CRUMBLE MANZANA X12U SELYGEL       </t>
        </is>
      </c>
      <c r="H2731" t="inlineStr">
        <is>
          <t xml:space="preserve">UNIDAD              </t>
        </is>
      </c>
      <c r="I2731" t="n">
        <v>6</v>
      </c>
      <c r="J2731" t="n">
        <v>0</v>
      </c>
      <c r="K2731" t="n">
        <v>0</v>
      </c>
      <c r="L2731" t="n">
        <v>0</v>
      </c>
      <c r="M2731" t="n">
        <v>0</v>
      </c>
      <c r="N2731" t="n">
        <v>6</v>
      </c>
      <c r="O2731" t="n">
        <v>0</v>
      </c>
      <c r="P2731" s="96">
        <f>_xlfn.XLOOKUP(Tabla5[[#This Row],[EAN CORREGIDO]],'Tabla Articulos'!B:B,'Tabla Articulos'!D:D)</f>
        <v/>
      </c>
      <c r="Q2731" s="96">
        <f>_xlfn.XLOOKUP(S2731,'Tabla Articulos'!B:B,'Tabla Articulos'!E:E)</f>
        <v/>
      </c>
      <c r="R2731" s="96">
        <f>O2731*Q2731</f>
        <v/>
      </c>
      <c r="S2731" s="97">
        <f>TRIM(E2731)</f>
        <v/>
      </c>
    </row>
    <row r="2732" hidden="1">
      <c r="A2732" s="22" t="n">
        <v>2</v>
      </c>
      <c r="B2732" t="inlineStr">
        <is>
          <t xml:space="preserve">CD CIUDADELA                  </t>
        </is>
      </c>
      <c r="C2732" t="inlineStr">
        <is>
          <t xml:space="preserve">GRUPO L.                      </t>
        </is>
      </c>
      <c r="D2732" t="inlineStr">
        <is>
          <t>MERMELADA IND FRUTILLA</t>
        </is>
      </c>
      <c r="E2732" t="inlineStr">
        <is>
          <t xml:space="preserve">7798011976676       </t>
        </is>
      </c>
      <c r="F2732" t="n">
        <v>4020554</v>
      </c>
      <c r="G2732" t="inlineStr">
        <is>
          <t xml:space="preserve">MERM FRUTI X20GX108U ABEDUL        </t>
        </is>
      </c>
      <c r="H2732" t="inlineStr">
        <is>
          <t xml:space="preserve">UNIDAD              </t>
        </is>
      </c>
      <c r="I2732" t="n">
        <v>123</v>
      </c>
      <c r="J2732" t="n">
        <v>0</v>
      </c>
      <c r="K2732" t="n">
        <v>0</v>
      </c>
      <c r="L2732" t="n">
        <v>3</v>
      </c>
      <c r="M2732" t="n">
        <v>3</v>
      </c>
      <c r="N2732" t="n">
        <v>0</v>
      </c>
      <c r="O2732" t="n">
        <v>117</v>
      </c>
      <c r="P2732" s="96">
        <f>_xlfn.XLOOKUP(Tabla5[[#This Row],[EAN CORREGIDO]],'Tabla Articulos'!B:B,'Tabla Articulos'!D:D)</f>
        <v/>
      </c>
      <c r="Q2732" s="96">
        <f>_xlfn.XLOOKUP(S2732,'Tabla Articulos'!B:B,'Tabla Articulos'!E:E)</f>
        <v/>
      </c>
      <c r="R2732" s="96">
        <f>O2732*Q2732</f>
        <v/>
      </c>
      <c r="S2732" s="97">
        <f>TRIM(E2732)</f>
        <v/>
      </c>
    </row>
    <row r="2733" hidden="1">
      <c r="A2733" s="22" t="n">
        <v>2</v>
      </c>
      <c r="B2733" t="inlineStr">
        <is>
          <t xml:space="preserve">CD CIUDADELA                  </t>
        </is>
      </c>
      <c r="C2733" t="inlineStr">
        <is>
          <t xml:space="preserve">GRUPO L.                      </t>
        </is>
      </c>
      <c r="D2733" t="inlineStr">
        <is>
          <t>EMPANADA CONG HUMITA</t>
        </is>
      </c>
      <c r="E2733" t="inlineStr">
        <is>
          <t xml:space="preserve">17798398261331      </t>
        </is>
      </c>
      <c r="F2733" t="n">
        <v>4077454</v>
      </c>
      <c r="G2733" t="inlineStr">
        <is>
          <t>EMP HUMITA CONG X48UN TIENDA DE EMP</t>
        </is>
      </c>
      <c r="H2733" t="inlineStr">
        <is>
          <t xml:space="preserve">UNIDAD              </t>
        </is>
      </c>
      <c r="I2733" t="n">
        <v>238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238</v>
      </c>
      <c r="P2733" s="96">
        <f>_xlfn.XLOOKUP(Tabla5[[#This Row],[EAN CORREGIDO]],'Tabla Articulos'!B:B,'Tabla Articulos'!D:D)</f>
        <v/>
      </c>
      <c r="Q2733" s="96">
        <f>_xlfn.XLOOKUP(S2733,'Tabla Articulos'!B:B,'Tabla Articulos'!E:E)</f>
        <v/>
      </c>
      <c r="R2733" s="96">
        <f>O2733*Q2733</f>
        <v/>
      </c>
      <c r="S2733" s="97">
        <f>TRIM(E2733)</f>
        <v/>
      </c>
    </row>
    <row r="2734" hidden="1">
      <c r="A2734" s="22" t="n">
        <v>2</v>
      </c>
      <c r="B2734" t="inlineStr">
        <is>
          <t xml:space="preserve">CD CIUDADELA                  </t>
        </is>
      </c>
      <c r="C2734" t="inlineStr">
        <is>
          <t xml:space="preserve">GRUPO L.                      </t>
        </is>
      </c>
      <c r="D2734" t="inlineStr">
        <is>
          <t>PASTAS RELLENAS</t>
        </is>
      </c>
      <c r="E2734" t="inlineStr">
        <is>
          <t xml:space="preserve">0724751055293       </t>
        </is>
      </c>
      <c r="F2734" t="n">
        <v>4049136</v>
      </c>
      <c r="G2734" t="inlineStr">
        <is>
          <t xml:space="preserve"> RAV ESPI/RICOTA CONG X500GR CASE  </t>
        </is>
      </c>
      <c r="H2734" t="inlineStr">
        <is>
          <t xml:space="preserve">UNIDAD              </t>
        </is>
      </c>
      <c r="I2734" t="n">
        <v>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3</v>
      </c>
      <c r="P2734" s="96">
        <f>_xlfn.XLOOKUP(Tabla5[[#This Row],[EAN CORREGIDO]],'Tabla Articulos'!B:B,'Tabla Articulos'!D:D)</f>
        <v/>
      </c>
      <c r="Q2734" s="96">
        <f>_xlfn.XLOOKUP(S2734,'Tabla Articulos'!B:B,'Tabla Articulos'!E:E)</f>
        <v/>
      </c>
      <c r="R2734" s="96">
        <f>O2734*Q2734</f>
        <v/>
      </c>
      <c r="S2734" s="97">
        <f>TRIM(E2734)</f>
        <v/>
      </c>
    </row>
    <row r="2735" hidden="1">
      <c r="A2735" s="22" t="n">
        <v>2</v>
      </c>
      <c r="B2735" t="inlineStr">
        <is>
          <t xml:space="preserve">CD CIUDADELA                  </t>
        </is>
      </c>
      <c r="C2735" t="inlineStr">
        <is>
          <t xml:space="preserve">GRUPO L.                      </t>
        </is>
      </c>
      <c r="D2735" t="inlineStr">
        <is>
          <t>POLLO T11 NO ADITIVADO</t>
        </is>
      </c>
      <c r="E2735" t="inlineStr">
        <is>
          <t xml:space="preserve">779804920006        </t>
        </is>
      </c>
      <c r="F2735" t="n">
        <v>4021442</v>
      </c>
      <c r="G2735" t="inlineStr">
        <is>
          <t xml:space="preserve">POLLO T11 NO ADITIVADO XU          </t>
        </is>
      </c>
      <c r="H2735" t="inlineStr">
        <is>
          <t xml:space="preserve">UNIDAD              </t>
        </is>
      </c>
      <c r="I2735" t="n">
        <v>66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66</v>
      </c>
      <c r="P2735" s="96">
        <f>_xlfn.XLOOKUP(Tabla5[[#This Row],[EAN CORREGIDO]],'Tabla Articulos'!B:B,'Tabla Articulos'!D:D)</f>
        <v/>
      </c>
      <c r="Q2735" s="96">
        <f>_xlfn.XLOOKUP(S2735,'Tabla Articulos'!B:B,'Tabla Articulos'!E:E)</f>
        <v/>
      </c>
      <c r="R2735" s="96">
        <f>O2735*Q2735</f>
        <v/>
      </c>
      <c r="S2735" s="97">
        <f>TRIM(E2735)</f>
        <v/>
      </c>
    </row>
    <row r="2736" hidden="1">
      <c r="A2736" s="22" t="n">
        <v>2</v>
      </c>
      <c r="B2736" t="inlineStr">
        <is>
          <t xml:space="preserve">CD CIUDADELA                  </t>
        </is>
      </c>
      <c r="C2736" t="inlineStr">
        <is>
          <t xml:space="preserve">GRUPO L.                      </t>
        </is>
      </c>
      <c r="D2736" t="inlineStr">
        <is>
          <t>PREMEZCLA BIZCOCHUELO LIMON</t>
        </is>
      </c>
      <c r="E2736" t="inlineStr">
        <is>
          <t xml:space="preserve">7791113004308       </t>
        </is>
      </c>
      <c r="F2736" t="n">
        <v>4020657</v>
      </c>
      <c r="G2736" t="inlineStr">
        <is>
          <t xml:space="preserve">BIZCOCHUELO LIMON X450G EMETH      </t>
        </is>
      </c>
      <c r="H2736" t="inlineStr">
        <is>
          <t xml:space="preserve">UNIDAD              </t>
        </is>
      </c>
      <c r="I2736" t="n">
        <v>15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15</v>
      </c>
      <c r="P2736" s="96">
        <f>_xlfn.XLOOKUP(Tabla5[[#This Row],[EAN CORREGIDO]],'Tabla Articulos'!B:B,'Tabla Articulos'!D:D)</f>
        <v/>
      </c>
      <c r="Q2736" s="96">
        <f>_xlfn.XLOOKUP(S2736,'Tabla Articulos'!B:B,'Tabla Articulos'!E:E)</f>
        <v/>
      </c>
      <c r="R2736" s="96">
        <f>O2736*Q2736</f>
        <v/>
      </c>
      <c r="S2736" s="97">
        <f>TRIM(E2736)</f>
        <v/>
      </c>
    </row>
    <row r="2737" hidden="1">
      <c r="A2737" s="22" t="n">
        <v>2</v>
      </c>
      <c r="B2737" t="inlineStr">
        <is>
          <t xml:space="preserve">CD CIUDADELA                  </t>
        </is>
      </c>
      <c r="C2737" t="inlineStr">
        <is>
          <t xml:space="preserve">GRUPO L.                      </t>
        </is>
      </c>
      <c r="D2737" t="inlineStr">
        <is>
          <t>SERVILLETA C/LOGO BL</t>
        </is>
      </c>
      <c r="E2737" t="inlineStr">
        <is>
          <t xml:space="preserve">9992016801775       </t>
        </is>
      </c>
      <c r="F2737" t="n">
        <v>2016800</v>
      </c>
      <c r="G2737" t="inlineStr">
        <is>
          <t xml:space="preserve">SERVILLETAS BLUE 18X18 1.1KGX1450U </t>
        </is>
      </c>
      <c r="H2737" t="inlineStr">
        <is>
          <t xml:space="preserve">UNIDAD              </t>
        </is>
      </c>
      <c r="I2737" t="n">
        <v>0</v>
      </c>
      <c r="J2737" t="n">
        <v>100</v>
      </c>
      <c r="K2737" t="n">
        <v>100</v>
      </c>
      <c r="L2737" t="n">
        <v>0</v>
      </c>
      <c r="M2737" t="n">
        <v>0</v>
      </c>
      <c r="N2737" t="n">
        <v>0</v>
      </c>
      <c r="O2737" t="n">
        <v>0</v>
      </c>
      <c r="P2737" s="96">
        <f>_xlfn.XLOOKUP(Tabla5[[#This Row],[EAN CORREGIDO]],'Tabla Articulos'!B:B,'Tabla Articulos'!D:D)</f>
        <v/>
      </c>
      <c r="Q2737" s="96">
        <f>_xlfn.XLOOKUP(S2737,'Tabla Articulos'!B:B,'Tabla Articulos'!E:E)</f>
        <v/>
      </c>
      <c r="R2737" s="96">
        <f>O2737*Q2737</f>
        <v/>
      </c>
      <c r="S2737" s="97">
        <f>TRIM(E2737)</f>
        <v/>
      </c>
    </row>
    <row r="2738" hidden="1">
      <c r="A2738" s="22" t="n">
        <v>2</v>
      </c>
      <c r="B2738" t="inlineStr">
        <is>
          <t xml:space="preserve">CD CIUDADELA                  </t>
        </is>
      </c>
      <c r="C2738" t="inlineStr">
        <is>
          <t xml:space="preserve">GRUPO L.                      </t>
        </is>
      </c>
      <c r="D2738" t="inlineStr">
        <is>
          <t>GALLE LIMON</t>
        </is>
      </c>
      <c r="E2738" t="inlineStr">
        <is>
          <t xml:space="preserve">7790726120030       </t>
        </is>
      </c>
      <c r="F2738" t="n">
        <v>4018823</v>
      </c>
      <c r="G2738" t="inlineStr">
        <is>
          <t xml:space="preserve">GALLETITA LIMON X200G DULCYPAS     </t>
        </is>
      </c>
      <c r="H2738" t="inlineStr">
        <is>
          <t xml:space="preserve">UNIDAD              </t>
        </is>
      </c>
      <c r="I2738" t="n">
        <v>2951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2951</v>
      </c>
      <c r="P2738" s="96">
        <f>_xlfn.XLOOKUP(Tabla5[[#This Row],[EAN CORREGIDO]],'Tabla Articulos'!B:B,'Tabla Articulos'!D:D)</f>
        <v/>
      </c>
      <c r="Q2738" s="96">
        <f>_xlfn.XLOOKUP(S2738,'Tabla Articulos'!B:B,'Tabla Articulos'!E:E)</f>
        <v/>
      </c>
      <c r="R2738" s="96">
        <f>O2738*Q2738</f>
        <v/>
      </c>
      <c r="S2738" s="97">
        <f>TRIM(E2738)</f>
        <v/>
      </c>
    </row>
    <row r="2739" hidden="1">
      <c r="A2739" s="22" t="n">
        <v>2</v>
      </c>
      <c r="B2739" t="inlineStr">
        <is>
          <t xml:space="preserve">CD CIUDADELA                  </t>
        </is>
      </c>
      <c r="C2739" t="inlineStr">
        <is>
          <t xml:space="preserve">GRUPO L.                      </t>
        </is>
      </c>
      <c r="D2739" t="inlineStr">
        <is>
          <t>CREMA CHANTILLY</t>
        </is>
      </c>
      <c r="E2739" t="inlineStr">
        <is>
          <t xml:space="preserve">7798060852723       </t>
        </is>
      </c>
      <c r="F2739" t="n">
        <v>4018137</v>
      </c>
      <c r="G2739" t="inlineStr">
        <is>
          <t>CREMA CHANTILLY AERO X250G TONADITA</t>
        </is>
      </c>
      <c r="H2739" t="inlineStr">
        <is>
          <t xml:space="preserve">UNIDAD              </t>
        </is>
      </c>
      <c r="I2739" t="n">
        <v>17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17</v>
      </c>
      <c r="P2739" s="96">
        <f>_xlfn.XLOOKUP(Tabla5[[#This Row],[EAN CORREGIDO]],'Tabla Articulos'!B:B,'Tabla Articulos'!D:D)</f>
        <v/>
      </c>
      <c r="Q2739" s="96">
        <f>_xlfn.XLOOKUP(S2739,'Tabla Articulos'!B:B,'Tabla Articulos'!E:E)</f>
        <v/>
      </c>
      <c r="R2739" s="96">
        <f>O2739*Q2739</f>
        <v/>
      </c>
      <c r="S2739" s="97">
        <f>TRIM(E2739)</f>
        <v/>
      </c>
    </row>
    <row r="2740" hidden="1">
      <c r="A2740" s="22" t="n">
        <v>2</v>
      </c>
      <c r="B2740" t="inlineStr">
        <is>
          <t xml:space="preserve">CD CIUDADELA                  </t>
        </is>
      </c>
      <c r="C2740" t="inlineStr">
        <is>
          <t xml:space="preserve">GRUPO L.                      </t>
        </is>
      </c>
      <c r="D2740" t="inlineStr">
        <is>
          <t>CHOCOLATE REPOST BLANCO</t>
        </is>
      </c>
      <c r="E2740" t="inlineStr">
        <is>
          <t xml:space="preserve">17790580099791      </t>
        </is>
      </c>
      <c r="F2740" t="n">
        <v>4076838</v>
      </c>
      <c r="G2740" t="inlineStr">
        <is>
          <t xml:space="preserve">COBERTURA CHOC BCO X5KG AGUILA     </t>
        </is>
      </c>
      <c r="H2740" t="inlineStr">
        <is>
          <t xml:space="preserve">UNIDAD              </t>
        </is>
      </c>
      <c r="I2740" t="n">
        <v>5</v>
      </c>
      <c r="J2740" t="n">
        <v>0</v>
      </c>
      <c r="K2740" t="n">
        <v>0</v>
      </c>
      <c r="L2740" t="n">
        <v>1</v>
      </c>
      <c r="M2740" t="n">
        <v>1</v>
      </c>
      <c r="N2740" t="n">
        <v>0</v>
      </c>
      <c r="O2740" t="n">
        <v>3</v>
      </c>
      <c r="P2740" s="96">
        <f>_xlfn.XLOOKUP(Tabla5[[#This Row],[EAN CORREGIDO]],'Tabla Articulos'!B:B,'Tabla Articulos'!D:D)</f>
        <v/>
      </c>
      <c r="Q2740" s="96">
        <f>_xlfn.XLOOKUP(S2740,'Tabla Articulos'!B:B,'Tabla Articulos'!E:E)</f>
        <v/>
      </c>
      <c r="R2740" s="96">
        <f>O2740*Q2740</f>
        <v/>
      </c>
      <c r="S2740" s="97">
        <f>TRIM(E2740)</f>
        <v/>
      </c>
    </row>
    <row r="2741" hidden="1">
      <c r="A2741" s="22" t="n">
        <v>2</v>
      </c>
      <c r="B2741" t="inlineStr">
        <is>
          <t xml:space="preserve">CD CIUDADELA                  </t>
        </is>
      </c>
      <c r="C2741" t="inlineStr">
        <is>
          <t xml:space="preserve">GRUPO L.                      </t>
        </is>
      </c>
      <c r="D2741" t="inlineStr">
        <is>
          <t>TAPA 102</t>
        </is>
      </c>
      <c r="E2741" t="inlineStr">
        <is>
          <t xml:space="preserve">7790321020266       </t>
        </is>
      </c>
      <c r="F2741" t="n">
        <v>2006652</v>
      </c>
      <c r="G2741" t="inlineStr">
        <is>
          <t xml:space="preserve">TAPA 102 X 50 U COTNYL             </t>
        </is>
      </c>
      <c r="H2741" t="inlineStr">
        <is>
          <t xml:space="preserve">UNIDAD              </t>
        </is>
      </c>
      <c r="I2741" t="n">
        <v>790</v>
      </c>
      <c r="J2741" t="n">
        <v>0</v>
      </c>
      <c r="K2741" t="n">
        <v>0</v>
      </c>
      <c r="L2741" t="n">
        <v>20</v>
      </c>
      <c r="M2741" t="n">
        <v>20</v>
      </c>
      <c r="N2741" t="n">
        <v>0</v>
      </c>
      <c r="O2741" t="n">
        <v>750</v>
      </c>
      <c r="P2741" s="96">
        <f>_xlfn.XLOOKUP(Tabla5[[#This Row],[EAN CORREGIDO]],'Tabla Articulos'!B:B,'Tabla Articulos'!D:D)</f>
        <v/>
      </c>
      <c r="Q2741" s="96">
        <f>_xlfn.XLOOKUP(S2741,'Tabla Articulos'!B:B,'Tabla Articulos'!E:E)</f>
        <v/>
      </c>
      <c r="R2741" s="96">
        <f>O2741*Q2741</f>
        <v/>
      </c>
      <c r="S2741" s="97">
        <f>TRIM(E2741)</f>
        <v/>
      </c>
    </row>
    <row r="2742" hidden="1">
      <c r="A2742" s="22" t="n">
        <v>2</v>
      </c>
      <c r="B2742" t="inlineStr">
        <is>
          <t xml:space="preserve">CD CIUDADELA                  </t>
        </is>
      </c>
      <c r="C2742" t="inlineStr">
        <is>
          <t xml:space="preserve">GRUPO L.                      </t>
        </is>
      </c>
      <c r="D2742" t="inlineStr">
        <is>
          <t>RESMA A4</t>
        </is>
      </c>
      <c r="E2742" t="inlineStr">
        <is>
          <t xml:space="preserve">LIB000427           </t>
        </is>
      </c>
      <c r="F2742" t="n">
        <v>5002915</v>
      </c>
      <c r="G2742" t="inlineStr">
        <is>
          <t xml:space="preserve">RESMA A4 AUTOR X U                 </t>
        </is>
      </c>
      <c r="H2742" t="inlineStr">
        <is>
          <t xml:space="preserve">UNIDAD              </t>
        </is>
      </c>
      <c r="I2742" t="n">
        <v>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1</v>
      </c>
      <c r="P2742" s="96">
        <f>_xlfn.XLOOKUP(Tabla5[[#This Row],[EAN CORREGIDO]],'Tabla Articulos'!B:B,'Tabla Articulos'!D:D)</f>
        <v/>
      </c>
      <c r="Q2742" s="96">
        <f>_xlfn.XLOOKUP(S2742,'Tabla Articulos'!B:B,'Tabla Articulos'!E:E)</f>
        <v/>
      </c>
      <c r="R2742" s="96">
        <f>O2742*Q2742</f>
        <v/>
      </c>
      <c r="S2742" s="97">
        <f>TRIM(E2742)</f>
        <v/>
      </c>
    </row>
    <row r="2743" hidden="1">
      <c r="A2743" s="22" t="n">
        <v>2</v>
      </c>
      <c r="B2743" t="inlineStr">
        <is>
          <t xml:space="preserve">CD CIUDADELA                  </t>
        </is>
      </c>
      <c r="C2743" t="inlineStr">
        <is>
          <t xml:space="preserve">GRUPO L.                      </t>
        </is>
      </c>
      <c r="D2743" t="inlineStr">
        <is>
          <t>POSTRE FRUTILLA</t>
        </is>
      </c>
      <c r="E2743" t="inlineStr">
        <is>
          <t xml:space="preserve">7790971000842       </t>
        </is>
      </c>
      <c r="F2743" t="n">
        <v>4023785</v>
      </c>
      <c r="G2743" t="inlineStr">
        <is>
          <t xml:space="preserve">POSTRE DE FRUTILLA 5KG ORLOC       </t>
        </is>
      </c>
      <c r="H2743" t="inlineStr">
        <is>
          <t xml:space="preserve">UNIDAD              </t>
        </is>
      </c>
      <c r="I2743" t="n">
        <v>12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12</v>
      </c>
      <c r="P2743" s="96">
        <f>_xlfn.XLOOKUP(Tabla5[[#This Row],[EAN CORREGIDO]],'Tabla Articulos'!B:B,'Tabla Articulos'!D:D)</f>
        <v/>
      </c>
      <c r="Q2743" s="96">
        <f>_xlfn.XLOOKUP(S2743,'Tabla Articulos'!B:B,'Tabla Articulos'!E:E)</f>
        <v/>
      </c>
      <c r="R2743" s="96">
        <f>O2743*Q2743</f>
        <v/>
      </c>
      <c r="S2743" s="97">
        <f>TRIM(E2743)</f>
        <v/>
      </c>
    </row>
    <row r="2744" hidden="1">
      <c r="A2744" s="22" t="n">
        <v>2</v>
      </c>
      <c r="B2744" t="inlineStr">
        <is>
          <t xml:space="preserve">CD CIUDADELA                  </t>
        </is>
      </c>
      <c r="C2744" t="inlineStr">
        <is>
          <t xml:space="preserve">GRUPO L.                      </t>
        </is>
      </c>
      <c r="D2744" t="inlineStr">
        <is>
          <t>GELATINA FRUTILLA</t>
        </is>
      </c>
      <c r="E2744" t="inlineStr">
        <is>
          <t xml:space="preserve">7790530850215       </t>
        </is>
      </c>
      <c r="F2744" t="n">
        <v>4019844</v>
      </c>
      <c r="G2744" t="inlineStr">
        <is>
          <t xml:space="preserve">GELATINA FRUTILLA X 1KG BEDIAL     </t>
        </is>
      </c>
      <c r="H2744" t="inlineStr">
        <is>
          <t xml:space="preserve">UNIDAD              </t>
        </is>
      </c>
      <c r="I2744" t="n">
        <v>299</v>
      </c>
      <c r="J2744" t="n">
        <v>0</v>
      </c>
      <c r="K2744" t="n">
        <v>0</v>
      </c>
      <c r="L2744" t="n">
        <v>27</v>
      </c>
      <c r="M2744" t="n">
        <v>27</v>
      </c>
      <c r="N2744" t="n">
        <v>0</v>
      </c>
      <c r="O2744" t="n">
        <v>245</v>
      </c>
      <c r="P2744" s="96">
        <f>_xlfn.XLOOKUP(Tabla5[[#This Row],[EAN CORREGIDO]],'Tabla Articulos'!B:B,'Tabla Articulos'!D:D)</f>
        <v/>
      </c>
      <c r="Q2744" s="96">
        <f>_xlfn.XLOOKUP(S2744,'Tabla Articulos'!B:B,'Tabla Articulos'!E:E)</f>
        <v/>
      </c>
      <c r="R2744" s="96">
        <f>O2744*Q2744</f>
        <v/>
      </c>
      <c r="S2744" s="97">
        <f>TRIM(E2744)</f>
        <v/>
      </c>
    </row>
    <row r="2745" hidden="1">
      <c r="A2745" s="22" t="n">
        <v>2</v>
      </c>
      <c r="B2745" t="inlineStr">
        <is>
          <t xml:space="preserve">CD CIUDADELA                  </t>
        </is>
      </c>
      <c r="C2745" t="inlineStr">
        <is>
          <t xml:space="preserve">GRUPO L.                      </t>
        </is>
      </c>
      <c r="D2745" t="inlineStr">
        <is>
          <t>VINO BLEND</t>
        </is>
      </c>
      <c r="E2745" t="inlineStr">
        <is>
          <t xml:space="preserve">7794450092090       </t>
        </is>
      </c>
      <c r="F2745" t="n">
        <v>4017359</v>
      </c>
      <c r="G2745" t="inlineStr">
        <is>
          <t xml:space="preserve">VINO BESO DANTE 750CC LUCA         </t>
        </is>
      </c>
      <c r="H2745" t="inlineStr">
        <is>
          <t xml:space="preserve">UNIDAD              </t>
        </is>
      </c>
      <c r="I2745" t="n">
        <v>2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2</v>
      </c>
      <c r="P2745" s="96">
        <f>_xlfn.XLOOKUP(Tabla5[[#This Row],[EAN CORREGIDO]],'Tabla Articulos'!B:B,'Tabla Articulos'!D:D)</f>
        <v/>
      </c>
      <c r="Q2745" s="96">
        <f>_xlfn.XLOOKUP(S2745,'Tabla Articulos'!B:B,'Tabla Articulos'!E:E)</f>
        <v/>
      </c>
      <c r="R2745" s="96">
        <f>O2745*Q2745</f>
        <v/>
      </c>
      <c r="S2745" s="97">
        <f>TRIM(E2745)</f>
        <v/>
      </c>
    </row>
    <row r="2746" hidden="1">
      <c r="A2746" s="22" t="n">
        <v>2</v>
      </c>
      <c r="B2746" t="inlineStr">
        <is>
          <t xml:space="preserve">CD CIUDADELA                  </t>
        </is>
      </c>
      <c r="C2746" t="inlineStr">
        <is>
          <t xml:space="preserve">GRUPO L.                      </t>
        </is>
      </c>
      <c r="D2746" t="inlineStr">
        <is>
          <t>MIEL INDIVIDUAL</t>
        </is>
      </c>
      <c r="E2746" t="inlineStr">
        <is>
          <t xml:space="preserve">7798011976805       </t>
        </is>
      </c>
      <c r="F2746" t="n">
        <v>4021292</v>
      </c>
      <c r="G2746" t="inlineStr">
        <is>
          <t xml:space="preserve">MIEL X20GX108U ABEDUL              </t>
        </is>
      </c>
      <c r="H2746" t="inlineStr">
        <is>
          <t xml:space="preserve">UNIDAD              </t>
        </is>
      </c>
      <c r="I2746" t="n">
        <v>148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148</v>
      </c>
      <c r="P2746" s="96">
        <f>_xlfn.XLOOKUP(Tabla5[[#This Row],[EAN CORREGIDO]],'Tabla Articulos'!B:B,'Tabla Articulos'!D:D)</f>
        <v/>
      </c>
      <c r="Q2746" s="96">
        <f>_xlfn.XLOOKUP(S2746,'Tabla Articulos'!B:B,'Tabla Articulos'!E:E)</f>
        <v/>
      </c>
      <c r="R2746" s="96">
        <f>O2746*Q2746</f>
        <v/>
      </c>
      <c r="S2746" s="97">
        <f>TRIM(E2746)</f>
        <v/>
      </c>
    </row>
    <row r="2747" hidden="1">
      <c r="A2747" s="22" t="n">
        <v>2</v>
      </c>
      <c r="B2747" t="inlineStr">
        <is>
          <t xml:space="preserve">CD CIUDADELA                  </t>
        </is>
      </c>
      <c r="C2747" t="inlineStr">
        <is>
          <t xml:space="preserve">GRUPO L.                      </t>
        </is>
      </c>
      <c r="D2747" t="inlineStr">
        <is>
          <t>CAFE INSTANTANEO</t>
        </is>
      </c>
      <c r="E2747" t="inlineStr">
        <is>
          <t xml:space="preserve">7790070933638       </t>
        </is>
      </c>
      <c r="F2747" t="n">
        <v>4019552</v>
      </c>
      <c r="G2747" t="inlineStr">
        <is>
          <t xml:space="preserve">CAFE INST X170G ARLISTAN	          </t>
        </is>
      </c>
      <c r="H2747" t="inlineStr">
        <is>
          <t xml:space="preserve">UNIDAD              </t>
        </is>
      </c>
      <c r="I2747" t="n">
        <v>127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127</v>
      </c>
      <c r="P2747" s="96">
        <f>_xlfn.XLOOKUP(Tabla5[[#This Row],[EAN CORREGIDO]],'Tabla Articulos'!B:B,'Tabla Articulos'!D:D)</f>
        <v/>
      </c>
      <c r="Q2747" s="96">
        <f>_xlfn.XLOOKUP(S2747,'Tabla Articulos'!B:B,'Tabla Articulos'!E:E)</f>
        <v/>
      </c>
      <c r="R2747" s="96">
        <f>O2747*Q2747</f>
        <v/>
      </c>
      <c r="S2747" s="97">
        <f>TRIM(E2747)</f>
        <v/>
      </c>
    </row>
    <row r="2748" hidden="1">
      <c r="A2748" s="22" t="n">
        <v>2</v>
      </c>
      <c r="B2748" t="inlineStr">
        <is>
          <t xml:space="preserve">CD CIUDADELA                  </t>
        </is>
      </c>
      <c r="C2748" t="inlineStr">
        <is>
          <t xml:space="preserve">GRUPO L.                      </t>
        </is>
      </c>
      <c r="D2748" t="inlineStr">
        <is>
          <t>TAPA ALUMINIO R5</t>
        </is>
      </c>
      <c r="E2748" t="inlineStr">
        <is>
          <t xml:space="preserve">640000108778        </t>
        </is>
      </c>
      <c r="F2748" t="n">
        <v>2007252</v>
      </c>
      <c r="G2748" t="inlineStr">
        <is>
          <t xml:space="preserve">TAPA ALUM R5/F2100X600U VASSOI     </t>
        </is>
      </c>
      <c r="H2748" t="inlineStr">
        <is>
          <t xml:space="preserve">UNIDAD              </t>
        </is>
      </c>
      <c r="I2748" t="n">
        <v>48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48</v>
      </c>
      <c r="P2748" s="96">
        <f>_xlfn.XLOOKUP(Tabla5[[#This Row],[EAN CORREGIDO]],'Tabla Articulos'!B:B,'Tabla Articulos'!D:D)</f>
        <v/>
      </c>
      <c r="Q2748" s="96">
        <f>_xlfn.XLOOKUP(S2748,'Tabla Articulos'!B:B,'Tabla Articulos'!E:E)</f>
        <v/>
      </c>
      <c r="R2748" s="96">
        <f>O2748*Q2748</f>
        <v/>
      </c>
      <c r="S2748" s="97">
        <f>TRIM(E2748)</f>
        <v/>
      </c>
    </row>
    <row r="2749" hidden="1">
      <c r="A2749" s="22" t="n">
        <v>2</v>
      </c>
      <c r="B2749" t="inlineStr">
        <is>
          <t xml:space="preserve">CD CIUDADELA                  </t>
        </is>
      </c>
      <c r="C2749" t="inlineStr">
        <is>
          <t xml:space="preserve">GRUPO L.                      </t>
        </is>
      </c>
      <c r="D2749" t="inlineStr">
        <is>
          <t>FIDEOS INTEGRAL LARGO</t>
        </is>
      </c>
      <c r="E2749" t="inlineStr">
        <is>
          <t xml:space="preserve">7790070335975       </t>
        </is>
      </c>
      <c r="F2749" t="n">
        <v>4019510</v>
      </c>
      <c r="G2749" t="inlineStr">
        <is>
          <t xml:space="preserve">FIDEO INT SPAGHETTI X500G MATAR    </t>
        </is>
      </c>
      <c r="H2749" t="inlineStr">
        <is>
          <t xml:space="preserve">UNIDAD              </t>
        </is>
      </c>
      <c r="I2749" t="n">
        <v>318</v>
      </c>
      <c r="J2749" t="n">
        <v>0</v>
      </c>
      <c r="K2749" t="n">
        <v>0</v>
      </c>
      <c r="L2749" t="n">
        <v>28</v>
      </c>
      <c r="M2749" t="n">
        <v>28</v>
      </c>
      <c r="N2749" t="n">
        <v>0</v>
      </c>
      <c r="O2749" t="n">
        <v>262</v>
      </c>
      <c r="P2749" s="96">
        <f>_xlfn.XLOOKUP(Tabla5[[#This Row],[EAN CORREGIDO]],'Tabla Articulos'!B:B,'Tabla Articulos'!D:D)</f>
        <v/>
      </c>
      <c r="Q2749" s="96">
        <f>_xlfn.XLOOKUP(S2749,'Tabla Articulos'!B:B,'Tabla Articulos'!E:E)</f>
        <v/>
      </c>
      <c r="R2749" s="96">
        <f>O2749*Q2749</f>
        <v/>
      </c>
      <c r="S2749" s="97">
        <f>TRIM(E2749)</f>
        <v/>
      </c>
    </row>
    <row r="2750" hidden="1">
      <c r="A2750" s="22" t="n">
        <v>2</v>
      </c>
      <c r="B2750" t="inlineStr">
        <is>
          <t xml:space="preserve">CD CIUDADELA                  </t>
        </is>
      </c>
      <c r="C2750" t="inlineStr">
        <is>
          <t xml:space="preserve">GRUPO L.                      </t>
        </is>
      </c>
      <c r="D2750" t="inlineStr">
        <is>
          <t>GALLE CHOCO RELLENA</t>
        </is>
      </c>
      <c r="E2750" t="inlineStr">
        <is>
          <t xml:space="preserve">7790040143777       </t>
        </is>
      </c>
      <c r="F2750" t="n">
        <v>4019029</v>
      </c>
      <c r="G2750" t="inlineStr">
        <is>
          <t xml:space="preserve">GALLE CHOCO RELL VAINI X85G COFLER </t>
        </is>
      </c>
      <c r="H2750" t="inlineStr">
        <is>
          <t xml:space="preserve">UNIDAD              </t>
        </is>
      </c>
      <c r="I2750" t="n">
        <v>73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73</v>
      </c>
      <c r="P2750" s="96">
        <f>_xlfn.XLOOKUP(Tabla5[[#This Row],[EAN CORREGIDO]],'Tabla Articulos'!B:B,'Tabla Articulos'!D:D)</f>
        <v/>
      </c>
      <c r="Q2750" s="96">
        <f>_xlfn.XLOOKUP(S2750,'Tabla Articulos'!B:B,'Tabla Articulos'!E:E)</f>
        <v/>
      </c>
      <c r="R2750" s="96">
        <f>O2750*Q2750</f>
        <v/>
      </c>
      <c r="S2750" s="97">
        <f>TRIM(E2750)</f>
        <v/>
      </c>
    </row>
    <row r="2751" hidden="1">
      <c r="A2751" s="22" t="n">
        <v>2</v>
      </c>
      <c r="B2751" t="inlineStr">
        <is>
          <t xml:space="preserve">CD CIUDADELA                  </t>
        </is>
      </c>
      <c r="C2751" t="inlineStr">
        <is>
          <t xml:space="preserve">GRUPO L.                      </t>
        </is>
      </c>
      <c r="D2751" t="inlineStr">
        <is>
          <t>CRIOLLITO CONGELADO</t>
        </is>
      </c>
      <c r="E2751" t="inlineStr">
        <is>
          <t xml:space="preserve">7798415298797       </t>
        </is>
      </c>
      <c r="F2751" t="n">
        <v>4018461</v>
      </c>
      <c r="G2751" t="inlineStr">
        <is>
          <t xml:space="preserve">CRIOLLITO X45GX225U SELYGEL        </t>
        </is>
      </c>
      <c r="H2751" t="inlineStr">
        <is>
          <t xml:space="preserve">UNIDAD              </t>
        </is>
      </c>
      <c r="I2751" t="n">
        <v>3</v>
      </c>
      <c r="J2751" t="n">
        <v>0</v>
      </c>
      <c r="K2751" t="n">
        <v>0</v>
      </c>
      <c r="L2751" t="n">
        <v>0</v>
      </c>
      <c r="M2751" t="n">
        <v>0</v>
      </c>
      <c r="N2751" t="n">
        <v>1</v>
      </c>
      <c r="O2751" t="n">
        <v>2</v>
      </c>
      <c r="P2751" s="96">
        <f>_xlfn.XLOOKUP(Tabla5[[#This Row],[EAN CORREGIDO]],'Tabla Articulos'!B:B,'Tabla Articulos'!D:D)</f>
        <v/>
      </c>
      <c r="Q2751" s="96">
        <f>_xlfn.XLOOKUP(S2751,'Tabla Articulos'!B:B,'Tabla Articulos'!E:E)</f>
        <v/>
      </c>
      <c r="R2751" s="96">
        <f>O2751*Q2751</f>
        <v/>
      </c>
      <c r="S2751" s="97">
        <f>TRIM(E2751)</f>
        <v/>
      </c>
    </row>
    <row r="2752" hidden="1">
      <c r="A2752" s="22" t="n">
        <v>2</v>
      </c>
      <c r="B2752" t="inlineStr">
        <is>
          <t xml:space="preserve">CD CIUDADELA                  </t>
        </is>
      </c>
      <c r="C2752" t="inlineStr">
        <is>
          <t xml:space="preserve">GRUPO L.                      </t>
        </is>
      </c>
      <c r="D2752" t="inlineStr">
        <is>
          <t>DULCE MEMBRILLO</t>
        </is>
      </c>
      <c r="E2752" t="inlineStr">
        <is>
          <t xml:space="preserve">7791113000478       </t>
        </is>
      </c>
      <c r="F2752" t="n">
        <v>4020496</v>
      </c>
      <c r="G2752" t="inlineStr">
        <is>
          <t xml:space="preserve">DULCE DE MEMBRILLO X 5 KG EMETH    </t>
        </is>
      </c>
      <c r="H2752" t="inlineStr">
        <is>
          <t xml:space="preserve">UNIDAD              </t>
        </is>
      </c>
      <c r="I2752" t="n">
        <v>484</v>
      </c>
      <c r="J2752" t="n">
        <v>0</v>
      </c>
      <c r="K2752" t="n">
        <v>0</v>
      </c>
      <c r="L2752" t="n">
        <v>8</v>
      </c>
      <c r="M2752" t="n">
        <v>8</v>
      </c>
      <c r="N2752" t="n">
        <v>0</v>
      </c>
      <c r="O2752" t="n">
        <v>468</v>
      </c>
      <c r="P2752" s="96">
        <f>_xlfn.XLOOKUP(Tabla5[[#This Row],[EAN CORREGIDO]],'Tabla Articulos'!B:B,'Tabla Articulos'!D:D)</f>
        <v/>
      </c>
      <c r="Q2752" s="96">
        <f>_xlfn.XLOOKUP(S2752,'Tabla Articulos'!B:B,'Tabla Articulos'!E:E)</f>
        <v/>
      </c>
      <c r="R2752" s="96">
        <f>O2752*Q2752</f>
        <v/>
      </c>
      <c r="S2752" s="97">
        <f>TRIM(E2752)</f>
        <v/>
      </c>
    </row>
    <row r="2753" hidden="1">
      <c r="A2753" s="22" t="n">
        <v>2</v>
      </c>
      <c r="B2753" t="inlineStr">
        <is>
          <t xml:space="preserve">CD CIUDADELA                  </t>
        </is>
      </c>
      <c r="C2753" t="inlineStr">
        <is>
          <t xml:space="preserve">GRUPO L.                      </t>
        </is>
      </c>
      <c r="D2753" t="inlineStr">
        <is>
          <t>CACAO</t>
        </is>
      </c>
      <c r="E2753" t="inlineStr">
        <is>
          <t xml:space="preserve">7791113002489       </t>
        </is>
      </c>
      <c r="F2753" t="n">
        <v>4020020</v>
      </c>
      <c r="G2753" t="inlineStr">
        <is>
          <t xml:space="preserve">CACAO S/TACC X1KG EMETH            </t>
        </is>
      </c>
      <c r="H2753" t="inlineStr">
        <is>
          <t xml:space="preserve">UNIDAD              </t>
        </is>
      </c>
      <c r="I2753" t="n">
        <v>286</v>
      </c>
      <c r="J2753" t="n">
        <v>0</v>
      </c>
      <c r="K2753" t="n">
        <v>0</v>
      </c>
      <c r="L2753" t="n">
        <v>1</v>
      </c>
      <c r="M2753" t="n">
        <v>1</v>
      </c>
      <c r="N2753" t="n">
        <v>0</v>
      </c>
      <c r="O2753" t="n">
        <v>284</v>
      </c>
      <c r="P2753" s="96">
        <f>_xlfn.XLOOKUP(Tabla5[[#This Row],[EAN CORREGIDO]],'Tabla Articulos'!B:B,'Tabla Articulos'!D:D)</f>
        <v/>
      </c>
      <c r="Q2753" s="96">
        <f>_xlfn.XLOOKUP(S2753,'Tabla Articulos'!B:B,'Tabla Articulos'!E:E)</f>
        <v/>
      </c>
      <c r="R2753" s="96">
        <f>O2753*Q2753</f>
        <v/>
      </c>
      <c r="S2753" s="97">
        <f>TRIM(E2753)</f>
        <v/>
      </c>
    </row>
    <row r="2754" hidden="1">
      <c r="A2754" s="22" t="n">
        <v>2</v>
      </c>
      <c r="B2754" t="inlineStr">
        <is>
          <t xml:space="preserve">CD CIUDADELA                  </t>
        </is>
      </c>
      <c r="C2754" t="inlineStr">
        <is>
          <t xml:space="preserve">GRUPO L.                      </t>
        </is>
      </c>
      <c r="D2754" t="inlineStr">
        <is>
          <t>GELATINA FRUTILLA</t>
        </is>
      </c>
      <c r="E2754" t="inlineStr">
        <is>
          <t xml:space="preserve">7790971002327       </t>
        </is>
      </c>
      <c r="F2754" t="n">
        <v>4019690</v>
      </c>
      <c r="G2754" t="inlineStr">
        <is>
          <t xml:space="preserve">GELATINA FRUTILLA X40G RAVANA      </t>
        </is>
      </c>
      <c r="H2754" t="inlineStr">
        <is>
          <t xml:space="preserve">UNIDAD              </t>
        </is>
      </c>
      <c r="I2754" t="n">
        <v>1967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1967</v>
      </c>
      <c r="P2754" s="96">
        <f>_xlfn.XLOOKUP(Tabla5[[#This Row],[EAN CORREGIDO]],'Tabla Articulos'!B:B,'Tabla Articulos'!D:D)</f>
        <v/>
      </c>
      <c r="Q2754" s="96">
        <f>_xlfn.XLOOKUP(S2754,'Tabla Articulos'!B:B,'Tabla Articulos'!E:E)</f>
        <v/>
      </c>
      <c r="R2754" s="96">
        <f>O2754*Q2754</f>
        <v/>
      </c>
      <c r="S2754" s="97">
        <f>TRIM(E2754)</f>
        <v/>
      </c>
    </row>
    <row r="2755" hidden="1">
      <c r="A2755" s="22" t="n">
        <v>2</v>
      </c>
      <c r="B2755" t="inlineStr">
        <is>
          <t xml:space="preserve">CD CIUDADELA                  </t>
        </is>
      </c>
      <c r="C2755" t="inlineStr">
        <is>
          <t xml:space="preserve">GRUPO L.                      </t>
        </is>
      </c>
      <c r="D2755" t="inlineStr">
        <is>
          <t>TAPA PARA POTE</t>
        </is>
      </c>
      <c r="E2755" t="inlineStr">
        <is>
          <t xml:space="preserve">7790000000736       </t>
        </is>
      </c>
      <c r="F2755" t="n">
        <v>2016562</v>
      </c>
      <c r="G2755" t="inlineStr">
        <is>
          <t xml:space="preserve">TAPA POTE 25CC X2000UN             </t>
        </is>
      </c>
      <c r="H2755" t="inlineStr">
        <is>
          <t xml:space="preserve">UNIDAD              </t>
        </is>
      </c>
      <c r="I2755" t="n">
        <v>10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10</v>
      </c>
      <c r="P2755" s="96">
        <f>_xlfn.XLOOKUP(Tabla5[[#This Row],[EAN CORREGIDO]],'Tabla Articulos'!B:B,'Tabla Articulos'!D:D)</f>
        <v/>
      </c>
      <c r="Q2755" s="96">
        <f>_xlfn.XLOOKUP(S2755,'Tabla Articulos'!B:B,'Tabla Articulos'!E:E)</f>
        <v/>
      </c>
      <c r="R2755" s="96">
        <f>O2755*Q2755</f>
        <v/>
      </c>
      <c r="S2755" s="97">
        <f>TRIM(E2755)</f>
        <v/>
      </c>
    </row>
    <row r="2756" hidden="1">
      <c r="A2756" s="22" t="n">
        <v>2</v>
      </c>
      <c r="B2756" t="inlineStr">
        <is>
          <t xml:space="preserve">CD CIUDADELA                  </t>
        </is>
      </c>
      <c r="C2756" t="inlineStr">
        <is>
          <t xml:space="preserve">GRUPO L.                      </t>
        </is>
      </c>
      <c r="D2756" t="inlineStr">
        <is>
          <t>FIDEOS GUISEROS</t>
        </is>
      </c>
      <c r="E2756" t="inlineStr">
        <is>
          <t xml:space="preserve">7798138555464       </t>
        </is>
      </c>
      <c r="F2756" t="n">
        <v>4022746</v>
      </c>
      <c r="G2756" t="inlineStr">
        <is>
          <t xml:space="preserve">FID MOSTACHOL 500GR S.ISABEL       </t>
        </is>
      </c>
      <c r="H2756" t="inlineStr">
        <is>
          <t xml:space="preserve">UNIDAD              </t>
        </is>
      </c>
      <c r="I2756" t="n">
        <v>156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156</v>
      </c>
      <c r="P2756" s="96">
        <f>_xlfn.XLOOKUP(Tabla5[[#This Row],[EAN CORREGIDO]],'Tabla Articulos'!B:B,'Tabla Articulos'!D:D)</f>
        <v/>
      </c>
      <c r="Q2756" s="96">
        <f>_xlfn.XLOOKUP(S2756,'Tabla Articulos'!B:B,'Tabla Articulos'!E:E)</f>
        <v/>
      </c>
      <c r="R2756" s="96">
        <f>O2756*Q2756</f>
        <v/>
      </c>
      <c r="S2756" s="97">
        <f>TRIM(E2756)</f>
        <v/>
      </c>
    </row>
    <row r="2757" hidden="1">
      <c r="A2757" s="22" t="n">
        <v>2</v>
      </c>
      <c r="B2757" t="inlineStr">
        <is>
          <t xml:space="preserve">CD CIUDADELA                  </t>
        </is>
      </c>
      <c r="C2757" t="inlineStr">
        <is>
          <t xml:space="preserve">GRUPO L.                      </t>
        </is>
      </c>
      <c r="D2757" t="inlineStr">
        <is>
          <t>MADALENAS</t>
        </is>
      </c>
      <c r="E2757" t="inlineStr">
        <is>
          <t xml:space="preserve">7793890261912       </t>
        </is>
      </c>
      <c r="F2757" t="n">
        <v>4076402</v>
      </c>
      <c r="G2757" t="inlineStr">
        <is>
          <t xml:space="preserve">MADALENA VAIN X240G BIMBO          </t>
        </is>
      </c>
      <c r="H2757" t="inlineStr">
        <is>
          <t xml:space="preserve">UNIDAD              </t>
        </is>
      </c>
      <c r="I2757" t="n">
        <v>66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66</v>
      </c>
      <c r="P2757" s="96">
        <f>_xlfn.XLOOKUP(Tabla5[[#This Row],[EAN CORREGIDO]],'Tabla Articulos'!B:B,'Tabla Articulos'!D:D)</f>
        <v/>
      </c>
      <c r="Q2757" s="96">
        <f>_xlfn.XLOOKUP(S2757,'Tabla Articulos'!B:B,'Tabla Articulos'!E:E)</f>
        <v/>
      </c>
      <c r="R2757" s="96">
        <f>O2757*Q2757</f>
        <v/>
      </c>
      <c r="S2757" s="97">
        <f>TRIM(E2757)</f>
        <v/>
      </c>
    </row>
    <row r="2758" hidden="1">
      <c r="A2758" s="22" t="n">
        <v>2</v>
      </c>
      <c r="B2758" t="inlineStr">
        <is>
          <t xml:space="preserve">CD CIUDADELA                  </t>
        </is>
      </c>
      <c r="C2758" t="inlineStr">
        <is>
          <t xml:space="preserve">GRUPO L.                      </t>
        </is>
      </c>
      <c r="D2758" t="inlineStr">
        <is>
          <t>PREMEZCLA BIZCOCHUELO VAINI</t>
        </is>
      </c>
      <c r="E2758" t="inlineStr">
        <is>
          <t xml:space="preserve">7791113004599       </t>
        </is>
      </c>
      <c r="F2758" t="n">
        <v>4020022</v>
      </c>
      <c r="G2758" t="inlineStr">
        <is>
          <t xml:space="preserve">BIZCOCHUELO VAINILLA X450G EMETH   </t>
        </is>
      </c>
      <c r="H2758" t="inlineStr">
        <is>
          <t xml:space="preserve">UNIDAD              </t>
        </is>
      </c>
      <c r="I2758" t="n">
        <v>1870</v>
      </c>
      <c r="J2758" t="n">
        <v>0</v>
      </c>
      <c r="K2758" t="n">
        <v>0</v>
      </c>
      <c r="L2758" t="n">
        <v>5</v>
      </c>
      <c r="M2758" t="n">
        <v>5</v>
      </c>
      <c r="N2758" t="n">
        <v>0</v>
      </c>
      <c r="O2758" t="n">
        <v>1860</v>
      </c>
      <c r="P2758" s="96">
        <f>_xlfn.XLOOKUP(Tabla5[[#This Row],[EAN CORREGIDO]],'Tabla Articulos'!B:B,'Tabla Articulos'!D:D)</f>
        <v/>
      </c>
      <c r="Q2758" s="96">
        <f>_xlfn.XLOOKUP(S2758,'Tabla Articulos'!B:B,'Tabla Articulos'!E:E)</f>
        <v/>
      </c>
      <c r="R2758" s="96">
        <f>O2758*Q2758</f>
        <v/>
      </c>
      <c r="S2758" s="97">
        <f>TRIM(E2758)</f>
        <v/>
      </c>
    </row>
    <row r="2759" hidden="1">
      <c r="A2759" s="22" t="n">
        <v>2</v>
      </c>
      <c r="B2759" t="inlineStr">
        <is>
          <t xml:space="preserve">CD CIUDADELA                  </t>
        </is>
      </c>
      <c r="C2759" t="inlineStr">
        <is>
          <t xml:space="preserve">GRUPO L.                      </t>
        </is>
      </c>
      <c r="D2759" t="inlineStr">
        <is>
          <t>FLAN VAINILLA</t>
        </is>
      </c>
      <c r="E2759" t="inlineStr">
        <is>
          <t xml:space="preserve">7790530000023       </t>
        </is>
      </c>
      <c r="F2759" t="n">
        <v>4019383</v>
      </c>
      <c r="G2759" t="inlineStr">
        <is>
          <t xml:space="preserve">FLAN VAINILLA X 5KG BEDIAL         </t>
        </is>
      </c>
      <c r="H2759" t="inlineStr">
        <is>
          <t xml:space="preserve">UNIDAD              </t>
        </is>
      </c>
      <c r="I2759" t="n">
        <v>61</v>
      </c>
      <c r="J2759" t="n">
        <v>0</v>
      </c>
      <c r="K2759" t="n">
        <v>0</v>
      </c>
      <c r="L2759" t="n">
        <v>1</v>
      </c>
      <c r="M2759" t="n">
        <v>1</v>
      </c>
      <c r="N2759" t="n">
        <v>1</v>
      </c>
      <c r="O2759" t="n">
        <v>58</v>
      </c>
      <c r="P2759" s="96">
        <f>_xlfn.XLOOKUP(Tabla5[[#This Row],[EAN CORREGIDO]],'Tabla Articulos'!B:B,'Tabla Articulos'!D:D)</f>
        <v/>
      </c>
      <c r="Q2759" s="96">
        <f>_xlfn.XLOOKUP(S2759,'Tabla Articulos'!B:B,'Tabla Articulos'!E:E)</f>
        <v/>
      </c>
      <c r="R2759" s="96">
        <f>O2759*Q2759</f>
        <v/>
      </c>
      <c r="S2759" s="97">
        <f>TRIM(E2759)</f>
        <v/>
      </c>
    </row>
    <row r="2760" hidden="1">
      <c r="A2760" s="22" t="n">
        <v>2</v>
      </c>
      <c r="B2760" t="inlineStr">
        <is>
          <t xml:space="preserve">CD CIUDADELA                  </t>
        </is>
      </c>
      <c r="C2760" t="inlineStr">
        <is>
          <t xml:space="preserve">GRUPO L.                      </t>
        </is>
      </c>
      <c r="D2760" t="inlineStr">
        <is>
          <t>CHOCOLATADA</t>
        </is>
      </c>
      <c r="E2760" t="inlineStr">
        <is>
          <t xml:space="preserve">7794820004159       </t>
        </is>
      </c>
      <c r="F2760" t="n">
        <v>4018120</v>
      </c>
      <c r="G2760" t="inlineStr">
        <is>
          <t xml:space="preserve">LECHE CHOC X 200 ML MILKAUT        </t>
        </is>
      </c>
      <c r="H2760" t="inlineStr">
        <is>
          <t xml:space="preserve">UNIDAD              </t>
        </is>
      </c>
      <c r="I2760" t="n">
        <v>240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240</v>
      </c>
      <c r="P2760" s="96">
        <f>_xlfn.XLOOKUP(Tabla5[[#This Row],[EAN CORREGIDO]],'Tabla Articulos'!B:B,'Tabla Articulos'!D:D)</f>
        <v/>
      </c>
      <c r="Q2760" s="96">
        <f>_xlfn.XLOOKUP(S2760,'Tabla Articulos'!B:B,'Tabla Articulos'!E:E)</f>
        <v/>
      </c>
      <c r="R2760" s="96">
        <f>O2760*Q2760</f>
        <v/>
      </c>
      <c r="S2760" s="97">
        <f>TRIM(E2760)</f>
        <v/>
      </c>
    </row>
    <row r="2761" hidden="1">
      <c r="A2761" s="22" t="n">
        <v>2</v>
      </c>
      <c r="B2761" t="inlineStr">
        <is>
          <t xml:space="preserve">CD CIUDADELA                  </t>
        </is>
      </c>
      <c r="C2761" t="inlineStr">
        <is>
          <t xml:space="preserve">GRUPO L.                      </t>
        </is>
      </c>
      <c r="D2761" t="inlineStr">
        <is>
          <t>MANTECA INDIVIDUAL</t>
        </is>
      </c>
      <c r="E2761" t="inlineStr">
        <is>
          <t xml:space="preserve">7798060851818       </t>
        </is>
      </c>
      <c r="F2761" t="n">
        <v>4018270</v>
      </c>
      <c r="G2761" t="inlineStr">
        <is>
          <t xml:space="preserve">MANTECA IND X10GX100U TONADITA     </t>
        </is>
      </c>
      <c r="H2761" t="inlineStr">
        <is>
          <t xml:space="preserve">UNIDAD              </t>
        </is>
      </c>
      <c r="I2761" t="n">
        <v>64</v>
      </c>
      <c r="J2761" t="n">
        <v>0</v>
      </c>
      <c r="K2761" t="n">
        <v>0</v>
      </c>
      <c r="L2761" t="n">
        <v>16</v>
      </c>
      <c r="M2761" t="n">
        <v>16</v>
      </c>
      <c r="N2761" t="n">
        <v>0</v>
      </c>
      <c r="O2761" t="n">
        <v>32</v>
      </c>
      <c r="P2761" s="96">
        <f>_xlfn.XLOOKUP(Tabla5[[#This Row],[EAN CORREGIDO]],'Tabla Articulos'!B:B,'Tabla Articulos'!D:D)</f>
        <v/>
      </c>
      <c r="Q2761" s="96">
        <f>_xlfn.XLOOKUP(S2761,'Tabla Articulos'!B:B,'Tabla Articulos'!E:E)</f>
        <v/>
      </c>
      <c r="R2761" s="96">
        <f>O2761*Q2761</f>
        <v/>
      </c>
      <c r="S2761" s="97">
        <f>TRIM(E2761)</f>
        <v/>
      </c>
    </row>
    <row r="2762" hidden="1">
      <c r="A2762" s="22" t="n">
        <v>2</v>
      </c>
      <c r="B2762" t="inlineStr">
        <is>
          <t xml:space="preserve">CD CIUDADELA                  </t>
        </is>
      </c>
      <c r="C2762" t="inlineStr">
        <is>
          <t xml:space="preserve">GRUPO L.                      </t>
        </is>
      </c>
      <c r="D2762" t="inlineStr">
        <is>
          <t>ACEITUNA VERDE S/C</t>
        </is>
      </c>
      <c r="E2762" t="inlineStr">
        <is>
          <t xml:space="preserve">7791675909547       </t>
        </is>
      </c>
      <c r="F2762" t="n">
        <v>4076834</v>
      </c>
      <c r="G2762" t="inlineStr">
        <is>
          <t xml:space="preserve">ACEITUNA VDE DESC 140G NICANOR     </t>
        </is>
      </c>
      <c r="H2762" t="inlineStr">
        <is>
          <t xml:space="preserve">UNIDAD              </t>
        </is>
      </c>
      <c r="I2762" t="n">
        <v>716</v>
      </c>
      <c r="J2762" t="n">
        <v>0</v>
      </c>
      <c r="K2762" t="n">
        <v>0</v>
      </c>
      <c r="L2762" t="n">
        <v>72</v>
      </c>
      <c r="M2762" t="n">
        <v>72</v>
      </c>
      <c r="N2762" t="n">
        <v>0</v>
      </c>
      <c r="O2762" t="n">
        <v>572</v>
      </c>
      <c r="P2762" s="96">
        <f>_xlfn.XLOOKUP(Tabla5[[#This Row],[EAN CORREGIDO]],'Tabla Articulos'!B:B,'Tabla Articulos'!D:D)</f>
        <v/>
      </c>
      <c r="Q2762" s="96">
        <f>_xlfn.XLOOKUP(S2762,'Tabla Articulos'!B:B,'Tabla Articulos'!E:E)</f>
        <v/>
      </c>
      <c r="R2762" s="96">
        <f>O2762*Q2762</f>
        <v/>
      </c>
      <c r="S2762" s="97">
        <f>TRIM(E2762)</f>
        <v/>
      </c>
    </row>
    <row r="2763" hidden="1">
      <c r="A2763" s="22" t="n">
        <v>2</v>
      </c>
      <c r="B2763" t="inlineStr">
        <is>
          <t xml:space="preserve">CD CIUDADELA                  </t>
        </is>
      </c>
      <c r="C2763" t="inlineStr">
        <is>
          <t xml:space="preserve">GRUPO L.                      </t>
        </is>
      </c>
      <c r="D2763" t="inlineStr">
        <is>
          <t>ALMENDRA SIN TACC</t>
        </is>
      </c>
      <c r="E2763" t="inlineStr">
        <is>
          <t xml:space="preserve">7791885409417       </t>
        </is>
      </c>
      <c r="F2763" t="n">
        <v>4022588</v>
      </c>
      <c r="G2763" t="inlineStr">
        <is>
          <t xml:space="preserve">ALMENDRA S/TACC XKG CUMANA         </t>
        </is>
      </c>
      <c r="H2763" t="inlineStr">
        <is>
          <t xml:space="preserve">UNIDAD              </t>
        </is>
      </c>
      <c r="I2763" t="n">
        <v>24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24</v>
      </c>
      <c r="P2763" s="96">
        <f>_xlfn.XLOOKUP(Tabla5[[#This Row],[EAN CORREGIDO]],'Tabla Articulos'!B:B,'Tabla Articulos'!D:D)</f>
        <v/>
      </c>
      <c r="Q2763" s="96">
        <f>_xlfn.XLOOKUP(S2763,'Tabla Articulos'!B:B,'Tabla Articulos'!E:E)</f>
        <v/>
      </c>
      <c r="R2763" s="96">
        <f>O2763*Q2763</f>
        <v/>
      </c>
      <c r="S2763" s="97">
        <f>TRIM(E2763)</f>
        <v/>
      </c>
    </row>
    <row r="2764" hidden="1">
      <c r="A2764" s="22" t="n">
        <v>2</v>
      </c>
      <c r="B2764" t="inlineStr">
        <is>
          <t xml:space="preserve">CD CIUDADELA                  </t>
        </is>
      </c>
      <c r="C2764" t="inlineStr">
        <is>
          <t xml:space="preserve">GRUPO L.                      </t>
        </is>
      </c>
      <c r="D2764" t="inlineStr">
        <is>
          <t>TOMATE TRITURADO GRANEL</t>
        </is>
      </c>
      <c r="E2764" t="inlineStr">
        <is>
          <t xml:space="preserve">7790500006390       </t>
        </is>
      </c>
      <c r="F2764" t="n">
        <v>4024731</v>
      </c>
      <c r="G2764" t="inlineStr">
        <is>
          <t xml:space="preserve">TOMATE TRIT S/TACC X4KG SILVIA     </t>
        </is>
      </c>
      <c r="H2764" t="inlineStr">
        <is>
          <t xml:space="preserve">UNIDAD              </t>
        </is>
      </c>
      <c r="I2764" t="n">
        <v>69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69</v>
      </c>
      <c r="P2764" s="96">
        <f>_xlfn.XLOOKUP(Tabla5[[#This Row],[EAN CORREGIDO]],'Tabla Articulos'!B:B,'Tabla Articulos'!D:D)</f>
        <v/>
      </c>
      <c r="Q2764" s="96">
        <f>_xlfn.XLOOKUP(S2764,'Tabla Articulos'!B:B,'Tabla Articulos'!E:E)</f>
        <v/>
      </c>
      <c r="R2764" s="96">
        <f>O2764*Q2764</f>
        <v/>
      </c>
      <c r="S2764" s="97">
        <f>TRIM(E2764)</f>
        <v/>
      </c>
    </row>
    <row r="2765" hidden="1">
      <c r="A2765" s="22" t="n">
        <v>2</v>
      </c>
      <c r="B2765" t="inlineStr">
        <is>
          <t xml:space="preserve">CD CIUDADELA                  </t>
        </is>
      </c>
      <c r="C2765" t="inlineStr">
        <is>
          <t xml:space="preserve">GRUPO L.                      </t>
        </is>
      </c>
      <c r="D2765" t="inlineStr">
        <is>
          <t>GASEOSA LIMA</t>
        </is>
      </c>
      <c r="E2765" t="inlineStr">
        <is>
          <t xml:space="preserve">7790895007248       </t>
        </is>
      </c>
      <c r="F2765" t="n">
        <v>4017347</v>
      </c>
      <c r="G2765" t="inlineStr">
        <is>
          <t xml:space="preserve">GAS SPRITE X 1.75L                 </t>
        </is>
      </c>
      <c r="H2765" t="inlineStr">
        <is>
          <t xml:space="preserve">UNIDAD              </t>
        </is>
      </c>
      <c r="I2765" t="n">
        <v>301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301</v>
      </c>
      <c r="P2765" s="96">
        <f>_xlfn.XLOOKUP(Tabla5[[#This Row],[EAN CORREGIDO]],'Tabla Articulos'!B:B,'Tabla Articulos'!D:D)</f>
        <v/>
      </c>
      <c r="Q2765" s="96">
        <f>_xlfn.XLOOKUP(S2765,'Tabla Articulos'!B:B,'Tabla Articulos'!E:E)</f>
        <v/>
      </c>
      <c r="R2765" s="96">
        <f>O2765*Q2765</f>
        <v/>
      </c>
      <c r="S2765" s="97">
        <f>TRIM(E2765)</f>
        <v/>
      </c>
    </row>
    <row r="2766" hidden="1">
      <c r="A2766" s="22" t="n">
        <v>2</v>
      </c>
      <c r="B2766" t="inlineStr">
        <is>
          <t xml:space="preserve">CD CIUDADELA                  </t>
        </is>
      </c>
      <c r="C2766" t="inlineStr">
        <is>
          <t xml:space="preserve">GRUPO L.                      </t>
        </is>
      </c>
      <c r="D2766" t="inlineStr">
        <is>
          <t>MERMELADA DURAZNO VIDRIO</t>
        </is>
      </c>
      <c r="E2766" t="inlineStr">
        <is>
          <t xml:space="preserve">7793360131400       </t>
        </is>
      </c>
      <c r="F2766" t="n">
        <v>4023526</v>
      </c>
      <c r="G2766" t="inlineStr">
        <is>
          <t xml:space="preserve">MERMELADA DURAZN0 454G CAMPAGNOL   </t>
        </is>
      </c>
      <c r="H2766" t="inlineStr">
        <is>
          <t xml:space="preserve">UNIDAD              </t>
        </is>
      </c>
      <c r="I2766" t="n">
        <v>271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271</v>
      </c>
      <c r="P2766" s="96">
        <f>_xlfn.XLOOKUP(Tabla5[[#This Row],[EAN CORREGIDO]],'Tabla Articulos'!B:B,'Tabla Articulos'!D:D)</f>
        <v/>
      </c>
      <c r="Q2766" s="96">
        <f>_xlfn.XLOOKUP(S2766,'Tabla Articulos'!B:B,'Tabla Articulos'!E:E)</f>
        <v/>
      </c>
      <c r="R2766" s="96">
        <f>O2766*Q2766</f>
        <v/>
      </c>
      <c r="S2766" s="97">
        <f>TRIM(E2766)</f>
        <v/>
      </c>
    </row>
    <row r="2767" hidden="1">
      <c r="A2767" s="22" t="n">
        <v>2</v>
      </c>
      <c r="B2767" t="inlineStr">
        <is>
          <t xml:space="preserve">CD CIUDADELA                  </t>
        </is>
      </c>
      <c r="C2767" t="inlineStr">
        <is>
          <t xml:space="preserve">GRUPO L.                      </t>
        </is>
      </c>
      <c r="D2767" t="inlineStr">
        <is>
          <t>GALLE ARROZ INTEGRAL</t>
        </is>
      </c>
      <c r="E2767" t="inlineStr">
        <is>
          <t xml:space="preserve">7798082000133       </t>
        </is>
      </c>
      <c r="F2767" t="n">
        <v>4018868</v>
      </c>
      <c r="G2767" t="inlineStr">
        <is>
          <t>GALL ARROZ INTEGRAL S/S ARROZEN X 1</t>
        </is>
      </c>
      <c r="H2767" t="inlineStr">
        <is>
          <t xml:space="preserve">UNIDAD              </t>
        </is>
      </c>
      <c r="I2767" t="n">
        <v>4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4</v>
      </c>
      <c r="P2767" s="96">
        <f>_xlfn.XLOOKUP(Tabla5[[#This Row],[EAN CORREGIDO]],'Tabla Articulos'!B:B,'Tabla Articulos'!D:D)</f>
        <v/>
      </c>
      <c r="Q2767" s="96">
        <f>_xlfn.XLOOKUP(S2767,'Tabla Articulos'!B:B,'Tabla Articulos'!E:E)</f>
        <v/>
      </c>
      <c r="R2767" s="96">
        <f>O2767*Q2767</f>
        <v/>
      </c>
      <c r="S2767" s="97">
        <f>TRIM(E2767)</f>
        <v/>
      </c>
    </row>
    <row r="2768" hidden="1">
      <c r="A2768" s="22" t="n">
        <v>2</v>
      </c>
      <c r="B2768" t="inlineStr">
        <is>
          <t xml:space="preserve">CD CIUDADELA                  </t>
        </is>
      </c>
      <c r="C2768" t="inlineStr">
        <is>
          <t xml:space="preserve">GRUPO L.                      </t>
        </is>
      </c>
      <c r="D2768" t="inlineStr">
        <is>
          <t>HONGOS PINO</t>
        </is>
      </c>
      <c r="E2768" t="inlineStr">
        <is>
          <t xml:space="preserve">724751080523        </t>
        </is>
      </c>
      <c r="F2768" t="n">
        <v>4023386</v>
      </c>
      <c r="G2768" t="inlineStr">
        <is>
          <t xml:space="preserve">HONGOS SECOS 1KG PTO.GOURMET       </t>
        </is>
      </c>
      <c r="H2768" t="inlineStr">
        <is>
          <t xml:space="preserve">UNIDAD              </t>
        </is>
      </c>
      <c r="I2768" t="n">
        <v>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1</v>
      </c>
      <c r="P2768" s="96">
        <f>_xlfn.XLOOKUP(Tabla5[[#This Row],[EAN CORREGIDO]],'Tabla Articulos'!B:B,'Tabla Articulos'!D:D)</f>
        <v/>
      </c>
      <c r="Q2768" s="96">
        <f>_xlfn.XLOOKUP(S2768,'Tabla Articulos'!B:B,'Tabla Articulos'!E:E)</f>
        <v/>
      </c>
      <c r="R2768" s="96">
        <f>O2768*Q2768</f>
        <v/>
      </c>
      <c r="S2768" s="97">
        <f>TRIM(E2768)</f>
        <v/>
      </c>
    </row>
    <row r="2769" hidden="1">
      <c r="A2769" s="22" t="n">
        <v>2</v>
      </c>
      <c r="B2769" t="inlineStr">
        <is>
          <t xml:space="preserve">CD CIUDADELA                  </t>
        </is>
      </c>
      <c r="C2769" t="inlineStr">
        <is>
          <t xml:space="preserve">GRUPO L.                      </t>
        </is>
      </c>
      <c r="D2769" t="inlineStr">
        <is>
          <t>PASTAS RELLENAS</t>
        </is>
      </c>
      <c r="E2769" t="inlineStr">
        <is>
          <t xml:space="preserve">7795711000038       </t>
        </is>
      </c>
      <c r="F2769" t="n">
        <v>4018657</v>
      </c>
      <c r="G2769" t="inlineStr">
        <is>
          <t xml:space="preserve">RAVIOLES POLLO Y ESPINACA X 500 GR </t>
        </is>
      </c>
      <c r="H2769" t="inlineStr">
        <is>
          <t xml:space="preserve">UNIDAD              </t>
        </is>
      </c>
      <c r="I2769" t="n">
        <v>520</v>
      </c>
      <c r="J2769" t="n">
        <v>0</v>
      </c>
      <c r="K2769" t="n">
        <v>0</v>
      </c>
      <c r="L2769" t="n">
        <v>118</v>
      </c>
      <c r="M2769" t="n">
        <v>118</v>
      </c>
      <c r="N2769" t="n">
        <v>0</v>
      </c>
      <c r="O2769" t="n">
        <v>284</v>
      </c>
      <c r="P2769" s="96">
        <f>_xlfn.XLOOKUP(Tabla5[[#This Row],[EAN CORREGIDO]],'Tabla Articulos'!B:B,'Tabla Articulos'!D:D)</f>
        <v/>
      </c>
      <c r="Q2769" s="96">
        <f>_xlfn.XLOOKUP(S2769,'Tabla Articulos'!B:B,'Tabla Articulos'!E:E)</f>
        <v/>
      </c>
      <c r="R2769" s="96">
        <f>O2769*Q2769</f>
        <v/>
      </c>
      <c r="S2769" s="97">
        <f>TRIM(E2769)</f>
        <v/>
      </c>
    </row>
    <row r="2770" hidden="1">
      <c r="A2770" s="22" t="n">
        <v>2</v>
      </c>
      <c r="B2770" t="inlineStr">
        <is>
          <t xml:space="preserve">CD CIUDADELA                  </t>
        </is>
      </c>
      <c r="C2770" t="inlineStr">
        <is>
          <t xml:space="preserve">GRUPO L.                      </t>
        </is>
      </c>
      <c r="D2770" t="inlineStr">
        <is>
          <t>GRANOLA</t>
        </is>
      </c>
      <c r="E2770" t="inlineStr">
        <is>
          <t xml:space="preserve">7790045826620       </t>
        </is>
      </c>
      <c r="F2770" t="n">
        <v>4024620</v>
      </c>
      <c r="G2770" t="inlineStr">
        <is>
          <t xml:space="preserve">GRANOLA CROCANTE X3KG GRANIX       </t>
        </is>
      </c>
      <c r="H2770" t="inlineStr">
        <is>
          <t xml:space="preserve">UNIDAD              </t>
        </is>
      </c>
      <c r="I2770" t="n">
        <v>3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3</v>
      </c>
      <c r="P2770" s="96">
        <f>_xlfn.XLOOKUP(Tabla5[[#This Row],[EAN CORREGIDO]],'Tabla Articulos'!B:B,'Tabla Articulos'!D:D)</f>
        <v/>
      </c>
      <c r="Q2770" s="96">
        <f>_xlfn.XLOOKUP(S2770,'Tabla Articulos'!B:B,'Tabla Articulos'!E:E)</f>
        <v/>
      </c>
      <c r="R2770" s="96">
        <f>O2770*Q2770</f>
        <v/>
      </c>
      <c r="S2770" s="97">
        <f>TRIM(E2770)</f>
        <v/>
      </c>
    </row>
    <row r="2771" hidden="1">
      <c r="A2771" s="22" t="n">
        <v>2</v>
      </c>
      <c r="B2771" t="inlineStr">
        <is>
          <t xml:space="preserve">CD CIUDADELA                  </t>
        </is>
      </c>
      <c r="C2771" t="inlineStr">
        <is>
          <t xml:space="preserve">GRUPO L.                      </t>
        </is>
      </c>
      <c r="D2771" t="inlineStr">
        <is>
          <t>PEREJIL DESHIDRATADO</t>
        </is>
      </c>
      <c r="E2771" t="inlineStr">
        <is>
          <t xml:space="preserve">7793875324151       </t>
        </is>
      </c>
      <c r="F2771" t="n">
        <v>4020097</v>
      </c>
      <c r="G2771" t="inlineStr">
        <is>
          <t xml:space="preserve">PEREJIL DESHIDRATADO X1KG AYS      </t>
        </is>
      </c>
      <c r="H2771" t="inlineStr">
        <is>
          <t xml:space="preserve">UNIDAD              </t>
        </is>
      </c>
      <c r="I2771" t="n">
        <v>17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17</v>
      </c>
      <c r="P2771" s="96">
        <f>_xlfn.XLOOKUP(Tabla5[[#This Row],[EAN CORREGIDO]],'Tabla Articulos'!B:B,'Tabla Articulos'!D:D)</f>
        <v/>
      </c>
      <c r="Q2771" s="96">
        <f>_xlfn.XLOOKUP(S2771,'Tabla Articulos'!B:B,'Tabla Articulos'!E:E)</f>
        <v/>
      </c>
      <c r="R2771" s="96">
        <f>O2771*Q2771</f>
        <v/>
      </c>
      <c r="S2771" s="97">
        <f>TRIM(E2771)</f>
        <v/>
      </c>
    </row>
    <row r="2772" hidden="1">
      <c r="A2772" s="22" t="n">
        <v>2</v>
      </c>
      <c r="B2772" t="inlineStr">
        <is>
          <t xml:space="preserve">CD CIUDADELA                  </t>
        </is>
      </c>
      <c r="C2772" t="inlineStr">
        <is>
          <t xml:space="preserve">GRUPO L.                      </t>
        </is>
      </c>
      <c r="D2772" t="inlineStr">
        <is>
          <t>GALLE SURTIDA</t>
        </is>
      </c>
      <c r="E2772" t="inlineStr">
        <is>
          <t xml:space="preserve">7790040147720       </t>
        </is>
      </c>
      <c r="F2772" t="n">
        <v>4018788</v>
      </c>
      <c r="G2772" t="inlineStr">
        <is>
          <t xml:space="preserve">GALLE SURTIDA X400G BAGLEY	        </t>
        </is>
      </c>
      <c r="H2772" t="inlineStr">
        <is>
          <t xml:space="preserve">UNIDAD              </t>
        </is>
      </c>
      <c r="I2772" t="n">
        <v>510</v>
      </c>
      <c r="J2772" t="n">
        <v>0</v>
      </c>
      <c r="K2772" t="n">
        <v>0</v>
      </c>
      <c r="L2772" t="n">
        <v>8</v>
      </c>
      <c r="M2772" t="n">
        <v>8</v>
      </c>
      <c r="N2772" t="n">
        <v>0</v>
      </c>
      <c r="O2772" t="n">
        <v>494</v>
      </c>
      <c r="P2772" s="96">
        <f>_xlfn.XLOOKUP(Tabla5[[#This Row],[EAN CORREGIDO]],'Tabla Articulos'!B:B,'Tabla Articulos'!D:D)</f>
        <v/>
      </c>
      <c r="Q2772" s="96">
        <f>_xlfn.XLOOKUP(S2772,'Tabla Articulos'!B:B,'Tabla Articulos'!E:E)</f>
        <v/>
      </c>
      <c r="R2772" s="96">
        <f>O2772*Q2772</f>
        <v/>
      </c>
      <c r="S2772" s="97">
        <f>TRIM(E2772)</f>
        <v/>
      </c>
    </row>
    <row r="2773" hidden="1">
      <c r="A2773" s="22" t="n">
        <v>2</v>
      </c>
      <c r="B2773" t="inlineStr">
        <is>
          <t xml:space="preserve">CD CIUDADELA                  </t>
        </is>
      </c>
      <c r="C2773" t="inlineStr">
        <is>
          <t xml:space="preserve">GRUPO L.                      </t>
        </is>
      </c>
      <c r="D2773" t="inlineStr">
        <is>
          <t>MANTECA INDIVIDUAL</t>
        </is>
      </c>
      <c r="E2773" t="inlineStr">
        <is>
          <t xml:space="preserve">7798011970650       </t>
        </is>
      </c>
      <c r="F2773" t="n">
        <v>4018303</v>
      </c>
      <c r="G2773" t="inlineStr">
        <is>
          <t xml:space="preserve">MANTECA IND X10GRX100U ABEDUL      </t>
        </is>
      </c>
      <c r="H2773" t="inlineStr">
        <is>
          <t xml:space="preserve">UNIDAD              </t>
        </is>
      </c>
      <c r="I2773" t="n">
        <v>389</v>
      </c>
      <c r="J2773" t="n">
        <v>0</v>
      </c>
      <c r="K2773" t="n">
        <v>0</v>
      </c>
      <c r="L2773" t="n">
        <v>1</v>
      </c>
      <c r="M2773" t="n">
        <v>1</v>
      </c>
      <c r="N2773" t="n">
        <v>0</v>
      </c>
      <c r="O2773" t="n">
        <v>387</v>
      </c>
      <c r="P2773" s="96">
        <f>_xlfn.XLOOKUP(Tabla5[[#This Row],[EAN CORREGIDO]],'Tabla Articulos'!B:B,'Tabla Articulos'!D:D)</f>
        <v/>
      </c>
      <c r="Q2773" s="96">
        <f>_xlfn.XLOOKUP(S2773,'Tabla Articulos'!B:B,'Tabla Articulos'!E:E)</f>
        <v/>
      </c>
      <c r="R2773" s="96">
        <f>O2773*Q2773</f>
        <v/>
      </c>
      <c r="S2773" s="97">
        <f>TRIM(E2773)</f>
        <v/>
      </c>
    </row>
    <row r="2774" hidden="1">
      <c r="A2774" s="22" t="n">
        <v>2</v>
      </c>
      <c r="B2774" t="inlineStr">
        <is>
          <t xml:space="preserve">CD CIUDADELA                  </t>
        </is>
      </c>
      <c r="C2774" t="inlineStr">
        <is>
          <t xml:space="preserve">GRUPO L.                      </t>
        </is>
      </c>
      <c r="D2774" t="inlineStr">
        <is>
          <t>CARAMELOS PASTILLAS</t>
        </is>
      </c>
      <c r="E2774" t="inlineStr">
        <is>
          <t xml:space="preserve">7790580468002       </t>
        </is>
      </c>
      <c r="F2774" t="n">
        <v>4019010</v>
      </c>
      <c r="G2774" t="inlineStr">
        <is>
          <t xml:space="preserve">PASTI CHERRY S/AZ X12U MENTHOPLUS  </t>
        </is>
      </c>
      <c r="H2774" t="inlineStr">
        <is>
          <t xml:space="preserve">UNIDAD              </t>
        </is>
      </c>
      <c r="I2774" t="n">
        <v>16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16</v>
      </c>
      <c r="P2774" s="96">
        <f>_xlfn.XLOOKUP(Tabla5[[#This Row],[EAN CORREGIDO]],'Tabla Articulos'!B:B,'Tabla Articulos'!D:D)</f>
        <v/>
      </c>
      <c r="Q2774" s="96">
        <f>_xlfn.XLOOKUP(S2774,'Tabla Articulos'!B:B,'Tabla Articulos'!E:E)</f>
        <v/>
      </c>
      <c r="R2774" s="96">
        <f>O2774*Q2774</f>
        <v/>
      </c>
      <c r="S2774" s="97">
        <f>TRIM(E2774)</f>
        <v/>
      </c>
    </row>
    <row r="2775" hidden="1">
      <c r="A2775" s="22" t="n">
        <v>2</v>
      </c>
      <c r="B2775" t="inlineStr">
        <is>
          <t xml:space="preserve">CD CIUDADELA                  </t>
        </is>
      </c>
      <c r="C2775" t="inlineStr">
        <is>
          <t xml:space="preserve">GRUPO L.                      </t>
        </is>
      </c>
      <c r="D2775" t="inlineStr">
        <is>
          <t>FLAN CHOCOLATE</t>
        </is>
      </c>
      <c r="E2775" t="inlineStr">
        <is>
          <t xml:space="preserve">7790530850093       </t>
        </is>
      </c>
      <c r="F2775" t="n">
        <v>4019738</v>
      </c>
      <c r="G2775" t="inlineStr">
        <is>
          <t xml:space="preserve">FLAN CHOCOLATE X1KG BEDIAL         </t>
        </is>
      </c>
      <c r="H2775" t="inlineStr">
        <is>
          <t xml:space="preserve">UNIDAD              </t>
        </is>
      </c>
      <c r="I2775" t="n">
        <v>50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50</v>
      </c>
      <c r="P2775" s="96">
        <f>_xlfn.XLOOKUP(Tabla5[[#This Row],[EAN CORREGIDO]],'Tabla Articulos'!B:B,'Tabla Articulos'!D:D)</f>
        <v/>
      </c>
      <c r="Q2775" s="96">
        <f>_xlfn.XLOOKUP(S2775,'Tabla Articulos'!B:B,'Tabla Articulos'!E:E)</f>
        <v/>
      </c>
      <c r="R2775" s="96">
        <f>O2775*Q2775</f>
        <v/>
      </c>
      <c r="S2775" s="97">
        <f>TRIM(E2775)</f>
        <v/>
      </c>
    </row>
    <row r="2776" hidden="1">
      <c r="A2776" s="22" t="n">
        <v>2</v>
      </c>
      <c r="B2776" t="inlineStr">
        <is>
          <t xml:space="preserve">CD CIUDADELA                  </t>
        </is>
      </c>
      <c r="C2776" t="inlineStr">
        <is>
          <t xml:space="preserve">GRUPO L.                      </t>
        </is>
      </c>
      <c r="D2776" t="inlineStr">
        <is>
          <t>GALLE DULCE VAINILLA</t>
        </is>
      </c>
      <c r="E2776" t="inlineStr">
        <is>
          <t xml:space="preserve">7790040139176       </t>
        </is>
      </c>
      <c r="F2776" t="n">
        <v>4049099</v>
      </c>
      <c r="G2776" t="inlineStr">
        <is>
          <t xml:space="preserve">GALLETITAS POLVORITA X81GRS        </t>
        </is>
      </c>
      <c r="H2776" t="inlineStr">
        <is>
          <t xml:space="preserve">UNIDAD              </t>
        </is>
      </c>
      <c r="I2776" t="n">
        <v>716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716</v>
      </c>
      <c r="P2776" s="96">
        <f>_xlfn.XLOOKUP(Tabla5[[#This Row],[EAN CORREGIDO]],'Tabla Articulos'!B:B,'Tabla Articulos'!D:D)</f>
        <v/>
      </c>
      <c r="Q2776" s="96">
        <f>_xlfn.XLOOKUP(S2776,'Tabla Articulos'!B:B,'Tabla Articulos'!E:E)</f>
        <v/>
      </c>
      <c r="R2776" s="96">
        <f>O2776*Q2776</f>
        <v/>
      </c>
      <c r="S2776" s="97">
        <f>TRIM(E2776)</f>
        <v/>
      </c>
    </row>
    <row r="2777" hidden="1">
      <c r="A2777" s="22" t="n">
        <v>2</v>
      </c>
      <c r="B2777" t="inlineStr">
        <is>
          <t xml:space="preserve">CD CIUDADELA                  </t>
        </is>
      </c>
      <c r="C2777" t="inlineStr">
        <is>
          <t xml:space="preserve">GRUPO L.                      </t>
        </is>
      </c>
      <c r="D2777" t="inlineStr">
        <is>
          <t>MERMELADA LIGHT</t>
        </is>
      </c>
      <c r="E2777" t="inlineStr">
        <is>
          <t xml:space="preserve">7791113001239       </t>
        </is>
      </c>
      <c r="F2777" t="n">
        <v>4019807</v>
      </c>
      <c r="G2777" t="inlineStr">
        <is>
          <t xml:space="preserve">MERMELADA FRU LIGHT X420G EMET     </t>
        </is>
      </c>
      <c r="H2777" t="inlineStr">
        <is>
          <t xml:space="preserve">UNIDAD              </t>
        </is>
      </c>
      <c r="I2777" t="n">
        <v>105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105</v>
      </c>
      <c r="P2777" s="96">
        <f>_xlfn.XLOOKUP(Tabla5[[#This Row],[EAN CORREGIDO]],'Tabla Articulos'!B:B,'Tabla Articulos'!D:D)</f>
        <v/>
      </c>
      <c r="Q2777" s="96">
        <f>_xlfn.XLOOKUP(S2777,'Tabla Articulos'!B:B,'Tabla Articulos'!E:E)</f>
        <v/>
      </c>
      <c r="R2777" s="96">
        <f>O2777*Q2777</f>
        <v/>
      </c>
      <c r="S2777" s="97">
        <f>TRIM(E2777)</f>
        <v/>
      </c>
    </row>
    <row r="2778" hidden="1">
      <c r="A2778" s="22" t="n">
        <v>2</v>
      </c>
      <c r="B2778" t="inlineStr">
        <is>
          <t xml:space="preserve">CD CIUDADELA                  </t>
        </is>
      </c>
      <c r="C2778" t="inlineStr">
        <is>
          <t xml:space="preserve">GRUPO L.                      </t>
        </is>
      </c>
      <c r="D2778" t="inlineStr">
        <is>
          <t>CANELA MOLIDA</t>
        </is>
      </c>
      <c r="E2778" t="inlineStr">
        <is>
          <t xml:space="preserve">7793875312158       </t>
        </is>
      </c>
      <c r="F2778" t="n">
        <v>4020753</v>
      </c>
      <c r="G2778" t="inlineStr">
        <is>
          <t>CANELA MOLIDA X1KG AROMAS Y SABORES</t>
        </is>
      </c>
      <c r="H2778" t="inlineStr">
        <is>
          <t xml:space="preserve">UNIDAD              </t>
        </is>
      </c>
      <c r="I2778" t="n">
        <v>18</v>
      </c>
      <c r="J2778" t="n">
        <v>0</v>
      </c>
      <c r="K2778" t="n">
        <v>0</v>
      </c>
      <c r="L2778" t="n">
        <v>1</v>
      </c>
      <c r="M2778" t="n">
        <v>1</v>
      </c>
      <c r="N2778" t="n">
        <v>0</v>
      </c>
      <c r="O2778" t="n">
        <v>16</v>
      </c>
      <c r="P2778" s="96">
        <f>_xlfn.XLOOKUP(Tabla5[[#This Row],[EAN CORREGIDO]],'Tabla Articulos'!B:B,'Tabla Articulos'!D:D)</f>
        <v/>
      </c>
      <c r="Q2778" s="96">
        <f>_xlfn.XLOOKUP(S2778,'Tabla Articulos'!B:B,'Tabla Articulos'!E:E)</f>
        <v/>
      </c>
      <c r="R2778" s="96">
        <f>O2778*Q2778</f>
        <v/>
      </c>
      <c r="S2778" s="97">
        <f>TRIM(E2778)</f>
        <v/>
      </c>
    </row>
    <row r="2779" hidden="1">
      <c r="A2779" s="22" t="n">
        <v>2</v>
      </c>
      <c r="B2779" t="inlineStr">
        <is>
          <t xml:space="preserve">CD CIUDADELA                  </t>
        </is>
      </c>
      <c r="C2779" t="inlineStr">
        <is>
          <t xml:space="preserve">GRUPO L.                      </t>
        </is>
      </c>
      <c r="D2779" t="inlineStr">
        <is>
          <t>FLAN VAINILLA</t>
        </is>
      </c>
      <c r="E2779" t="inlineStr">
        <is>
          <t xml:space="preserve">7790530850116       </t>
        </is>
      </c>
      <c r="F2779" t="n">
        <v>4019641</v>
      </c>
      <c r="G2779" t="inlineStr">
        <is>
          <t xml:space="preserve">FLAN VAINILLA X1KG BEDIAL          </t>
        </is>
      </c>
      <c r="H2779" t="inlineStr">
        <is>
          <t xml:space="preserve">UNIDAD              </t>
        </is>
      </c>
      <c r="I2779" t="n">
        <v>507</v>
      </c>
      <c r="J2779" t="n">
        <v>0</v>
      </c>
      <c r="K2779" t="n">
        <v>0</v>
      </c>
      <c r="L2779" t="n">
        <v>40</v>
      </c>
      <c r="M2779" t="n">
        <v>40</v>
      </c>
      <c r="N2779" t="n">
        <v>0</v>
      </c>
      <c r="O2779" t="n">
        <v>427</v>
      </c>
      <c r="P2779" s="96">
        <f>_xlfn.XLOOKUP(Tabla5[[#This Row],[EAN CORREGIDO]],'Tabla Articulos'!B:B,'Tabla Articulos'!D:D)</f>
        <v/>
      </c>
      <c r="Q2779" s="96">
        <f>_xlfn.XLOOKUP(S2779,'Tabla Articulos'!B:B,'Tabla Articulos'!E:E)</f>
        <v/>
      </c>
      <c r="R2779" s="96">
        <f>O2779*Q2779</f>
        <v/>
      </c>
      <c r="S2779" s="97">
        <f>TRIM(E2779)</f>
        <v/>
      </c>
    </row>
    <row r="2780" hidden="1">
      <c r="A2780" s="22" t="n">
        <v>2</v>
      </c>
      <c r="B2780" t="inlineStr">
        <is>
          <t xml:space="preserve">CD CIUDADELA                  </t>
        </is>
      </c>
      <c r="C2780" t="inlineStr">
        <is>
          <t xml:space="preserve">GRUPO L.                      </t>
        </is>
      </c>
      <c r="D2780" t="inlineStr">
        <is>
          <t>JARDINERA</t>
        </is>
      </c>
      <c r="E2780" t="inlineStr">
        <is>
          <t xml:space="preserve">7798016195478       </t>
        </is>
      </c>
      <c r="F2780" t="n">
        <v>4049281</v>
      </c>
      <c r="G2780" t="inlineStr">
        <is>
          <t xml:space="preserve">JARDINERA X300GR AGROMAR           </t>
        </is>
      </c>
      <c r="H2780" t="inlineStr">
        <is>
          <t xml:space="preserve">UNIDAD              </t>
        </is>
      </c>
      <c r="I2780" t="n">
        <v>667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667</v>
      </c>
      <c r="P2780" s="96">
        <f>_xlfn.XLOOKUP(Tabla5[[#This Row],[EAN CORREGIDO]],'Tabla Articulos'!B:B,'Tabla Articulos'!D:D)</f>
        <v/>
      </c>
      <c r="Q2780" s="96">
        <f>_xlfn.XLOOKUP(S2780,'Tabla Articulos'!B:B,'Tabla Articulos'!E:E)</f>
        <v/>
      </c>
      <c r="R2780" s="96">
        <f>O2780*Q2780</f>
        <v/>
      </c>
      <c r="S2780" s="97">
        <f>TRIM(E2780)</f>
        <v/>
      </c>
    </row>
    <row r="2781" hidden="1">
      <c r="A2781" s="22" t="n">
        <v>2</v>
      </c>
      <c r="B2781" t="inlineStr">
        <is>
          <t xml:space="preserve">CD CIUDADELA                  </t>
        </is>
      </c>
      <c r="C2781" t="inlineStr">
        <is>
          <t xml:space="preserve">GRUPO L.                      </t>
        </is>
      </c>
      <c r="D2781" t="inlineStr">
        <is>
          <t>YOGUR DESCR VAINILLA</t>
        </is>
      </c>
      <c r="E2781" t="inlineStr">
        <is>
          <t xml:space="preserve">7794820902714       </t>
        </is>
      </c>
      <c r="F2781" t="n">
        <v>4018297</v>
      </c>
      <c r="G2781" t="inlineStr">
        <is>
          <t xml:space="preserve">YOGUR DESC VAINILLA X900CC MILKAUT </t>
        </is>
      </c>
      <c r="H2781" t="inlineStr">
        <is>
          <t xml:space="preserve">UNIDAD              </t>
        </is>
      </c>
      <c r="I2781" t="n">
        <v>247</v>
      </c>
      <c r="J2781" t="n">
        <v>0</v>
      </c>
      <c r="K2781" t="n">
        <v>0</v>
      </c>
      <c r="L2781" t="n">
        <v>10</v>
      </c>
      <c r="M2781" t="n">
        <v>10</v>
      </c>
      <c r="N2781" t="n">
        <v>0</v>
      </c>
      <c r="O2781" t="n">
        <v>227</v>
      </c>
      <c r="P2781" s="96">
        <f>_xlfn.XLOOKUP(Tabla5[[#This Row],[EAN CORREGIDO]],'Tabla Articulos'!B:B,'Tabla Articulos'!D:D)</f>
        <v/>
      </c>
      <c r="Q2781" s="96">
        <f>_xlfn.XLOOKUP(S2781,'Tabla Articulos'!B:B,'Tabla Articulos'!E:E)</f>
        <v/>
      </c>
      <c r="R2781" s="96">
        <f>O2781*Q2781</f>
        <v/>
      </c>
      <c r="S2781" s="97">
        <f>TRIM(E2781)</f>
        <v/>
      </c>
    </row>
    <row r="2782" hidden="1">
      <c r="A2782" s="22" t="n">
        <v>2</v>
      </c>
      <c r="B2782" t="inlineStr">
        <is>
          <t xml:space="preserve">CD CIUDADELA                  </t>
        </is>
      </c>
      <c r="C2782" t="inlineStr">
        <is>
          <t xml:space="preserve">GRUPO L.                      </t>
        </is>
      </c>
      <c r="D2782" t="inlineStr">
        <is>
          <t>TAPA P/PASCUALINA</t>
        </is>
      </c>
      <c r="E2782" t="inlineStr">
        <is>
          <t xml:space="preserve">7795711003701       </t>
        </is>
      </c>
      <c r="F2782" t="n">
        <v>4022590</v>
      </c>
      <c r="G2782" t="inlineStr">
        <is>
          <t xml:space="preserve">TAPA PASC 60X70 X2U VILLA DAGRI    </t>
        </is>
      </c>
      <c r="H2782" t="inlineStr">
        <is>
          <t xml:space="preserve">UNIDAD              </t>
        </is>
      </c>
      <c r="I2782" t="n">
        <v>1884</v>
      </c>
      <c r="J2782" t="n">
        <v>0</v>
      </c>
      <c r="K2782" t="n">
        <v>0</v>
      </c>
      <c r="L2782" t="n">
        <v>27</v>
      </c>
      <c r="M2782" t="n">
        <v>27</v>
      </c>
      <c r="N2782" t="n">
        <v>0</v>
      </c>
      <c r="O2782" t="n">
        <v>1830</v>
      </c>
      <c r="P2782" s="96">
        <f>_xlfn.XLOOKUP(Tabla5[[#This Row],[EAN CORREGIDO]],'Tabla Articulos'!B:B,'Tabla Articulos'!D:D)</f>
        <v/>
      </c>
      <c r="Q2782" s="96">
        <f>_xlfn.XLOOKUP(S2782,'Tabla Articulos'!B:B,'Tabla Articulos'!E:E)</f>
        <v/>
      </c>
      <c r="R2782" s="96">
        <f>O2782*Q2782</f>
        <v/>
      </c>
      <c r="S2782" s="97">
        <f>TRIM(E2782)</f>
        <v/>
      </c>
    </row>
    <row r="2783" hidden="1">
      <c r="A2783" s="22" t="n">
        <v>2</v>
      </c>
      <c r="B2783" t="inlineStr">
        <is>
          <t xml:space="preserve">CD CIUDADELA                  </t>
        </is>
      </c>
      <c r="C2783" t="inlineStr">
        <is>
          <t xml:space="preserve">GRUPO L.                      </t>
        </is>
      </c>
      <c r="D2783" t="inlineStr">
        <is>
          <t>PAPEL ALUMINIO</t>
        </is>
      </c>
      <c r="E2783" t="inlineStr">
        <is>
          <t xml:space="preserve">7791388988495       </t>
        </is>
      </c>
      <c r="F2783" t="n">
        <v>2006799</v>
      </c>
      <c r="G2783" t="inlineStr">
        <is>
          <t xml:space="preserve">ROLLO ALUMINIO 40CM X1KG           </t>
        </is>
      </c>
      <c r="H2783" t="inlineStr">
        <is>
          <t xml:space="preserve">UNIDAD              </t>
        </is>
      </c>
      <c r="I2783" t="n">
        <v>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4</v>
      </c>
      <c r="P2783" s="96">
        <f>_xlfn.XLOOKUP(Tabla5[[#This Row],[EAN CORREGIDO]],'Tabla Articulos'!B:B,'Tabla Articulos'!D:D)</f>
        <v/>
      </c>
      <c r="Q2783" s="96">
        <f>_xlfn.XLOOKUP(S2783,'Tabla Articulos'!B:B,'Tabla Articulos'!E:E)</f>
        <v/>
      </c>
      <c r="R2783" s="96">
        <f>O2783*Q2783</f>
        <v/>
      </c>
      <c r="S2783" s="97">
        <f>TRIM(E2783)</f>
        <v/>
      </c>
    </row>
    <row r="2784" hidden="1">
      <c r="A2784" s="22" t="n">
        <v>2</v>
      </c>
      <c r="B2784" t="inlineStr">
        <is>
          <t xml:space="preserve">CD CIUDADELA                  </t>
        </is>
      </c>
      <c r="C2784" t="inlineStr">
        <is>
          <t xml:space="preserve">GRUPO L.                      </t>
        </is>
      </c>
      <c r="D2784" t="inlineStr">
        <is>
          <t>PICKLES</t>
        </is>
      </c>
      <c r="E2784" t="inlineStr">
        <is>
          <t xml:space="preserve">7793275000457       </t>
        </is>
      </c>
      <c r="F2784" t="n">
        <v>4023193</v>
      </c>
      <c r="G2784" t="inlineStr">
        <is>
          <t xml:space="preserve">PICKLES EN VINAGRE 3KG REYGAL      </t>
        </is>
      </c>
      <c r="H2784" t="inlineStr">
        <is>
          <t xml:space="preserve">UNIDAD              </t>
        </is>
      </c>
      <c r="I2784" t="n">
        <v>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5</v>
      </c>
      <c r="P2784" s="96">
        <f>_xlfn.XLOOKUP(Tabla5[[#This Row],[EAN CORREGIDO]],'Tabla Articulos'!B:B,'Tabla Articulos'!D:D)</f>
        <v/>
      </c>
      <c r="Q2784" s="96">
        <f>_xlfn.XLOOKUP(S2784,'Tabla Articulos'!B:B,'Tabla Articulos'!E:E)</f>
        <v/>
      </c>
      <c r="R2784" s="96">
        <f>O2784*Q2784</f>
        <v/>
      </c>
      <c r="S2784" s="97">
        <f>TRIM(E2784)</f>
        <v/>
      </c>
    </row>
    <row r="2785" hidden="1">
      <c r="A2785" s="22" t="n">
        <v>2</v>
      </c>
      <c r="B2785" t="inlineStr">
        <is>
          <t xml:space="preserve">CD CIUDADELA                  </t>
        </is>
      </c>
      <c r="C2785" t="inlineStr">
        <is>
          <t xml:space="preserve">GRUPO L.                      </t>
        </is>
      </c>
      <c r="D2785" t="inlineStr">
        <is>
          <t>CONFITES</t>
        </is>
      </c>
      <c r="E2785" t="inlineStr">
        <is>
          <t xml:space="preserve">7790580423414       </t>
        </is>
      </c>
      <c r="F2785" t="n">
        <v>4019101</v>
      </c>
      <c r="G2785" t="inlineStr">
        <is>
          <t xml:space="preserve">CONFITE CHOCO 20GX24U ROCKLETS     </t>
        </is>
      </c>
      <c r="H2785" t="inlineStr">
        <is>
          <t xml:space="preserve">UNIDAD              </t>
        </is>
      </c>
      <c r="I2785" t="n">
        <v>335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335</v>
      </c>
      <c r="P2785" s="96">
        <f>_xlfn.XLOOKUP(Tabla5[[#This Row],[EAN CORREGIDO]],'Tabla Articulos'!B:B,'Tabla Articulos'!D:D)</f>
        <v/>
      </c>
      <c r="Q2785" s="96">
        <f>_xlfn.XLOOKUP(S2785,'Tabla Articulos'!B:B,'Tabla Articulos'!E:E)</f>
        <v/>
      </c>
      <c r="R2785" s="96">
        <f>O2785*Q2785</f>
        <v/>
      </c>
      <c r="S2785" s="97">
        <f>TRIM(E2785)</f>
        <v/>
      </c>
    </row>
    <row r="2786" hidden="1">
      <c r="A2786" s="22" t="n">
        <v>2</v>
      </c>
      <c r="B2786" t="inlineStr">
        <is>
          <t xml:space="preserve">CD CIUDADELA                  </t>
        </is>
      </c>
      <c r="C2786" t="inlineStr">
        <is>
          <t xml:space="preserve">GRUPO L.                      </t>
        </is>
      </c>
      <c r="D2786" t="inlineStr">
        <is>
          <t>SALAME</t>
        </is>
      </c>
      <c r="E2786" t="inlineStr">
        <is>
          <t xml:space="preserve">7790212050104       </t>
        </is>
      </c>
      <c r="F2786" t="n">
        <v>4017711</v>
      </c>
      <c r="G2786" t="inlineStr">
        <is>
          <t xml:space="preserve">SALAME X KG                        </t>
        </is>
      </c>
      <c r="H2786" t="inlineStr">
        <is>
          <t xml:space="preserve">Kgs                 </t>
        </is>
      </c>
      <c r="I2786" t="n">
        <v>41.6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41.6</v>
      </c>
      <c r="P2786" s="96">
        <f>_xlfn.XLOOKUP(Tabla5[[#This Row],[EAN CORREGIDO]],'Tabla Articulos'!B:B,'Tabla Articulos'!D:D)</f>
        <v/>
      </c>
      <c r="Q2786" s="96">
        <f>_xlfn.XLOOKUP(S2786,'Tabla Articulos'!B:B,'Tabla Articulos'!E:E)</f>
        <v/>
      </c>
      <c r="R2786" s="96">
        <f>O2786*Q2786</f>
        <v/>
      </c>
      <c r="S2786" s="97">
        <f>TRIM(E2786)</f>
        <v/>
      </c>
    </row>
    <row r="2787" hidden="1">
      <c r="A2787" s="22" t="n">
        <v>2</v>
      </c>
      <c r="B2787" t="inlineStr">
        <is>
          <t xml:space="preserve">CD CIUDADELA                  </t>
        </is>
      </c>
      <c r="C2787" t="inlineStr">
        <is>
          <t xml:space="preserve">GRUPO L.                      </t>
        </is>
      </c>
      <c r="D2787" t="inlineStr">
        <is>
          <t>EMPANADA CONG POLLO</t>
        </is>
      </c>
      <c r="E2787" t="inlineStr">
        <is>
          <t xml:space="preserve">7798357290344       </t>
        </is>
      </c>
      <c r="F2787" t="n">
        <v>4018677</v>
      </c>
      <c r="G2787" t="inlineStr">
        <is>
          <t xml:space="preserve">EMP POLLO X90GX48U SELYGEL         </t>
        </is>
      </c>
      <c r="H2787" t="inlineStr">
        <is>
          <t xml:space="preserve">UNIDAD              </t>
        </is>
      </c>
      <c r="I2787" t="n">
        <v>6</v>
      </c>
      <c r="J2787" t="n">
        <v>0</v>
      </c>
      <c r="K2787" t="n">
        <v>0</v>
      </c>
      <c r="L2787" t="n">
        <v>0</v>
      </c>
      <c r="M2787" t="n">
        <v>0</v>
      </c>
      <c r="N2787" t="n">
        <v>6</v>
      </c>
      <c r="O2787" t="n">
        <v>0</v>
      </c>
      <c r="P2787" s="96">
        <f>_xlfn.XLOOKUP(Tabla5[[#This Row],[EAN CORREGIDO]],'Tabla Articulos'!B:B,'Tabla Articulos'!D:D)</f>
        <v/>
      </c>
      <c r="Q2787" s="96">
        <f>_xlfn.XLOOKUP(S2787,'Tabla Articulos'!B:B,'Tabla Articulos'!E:E)</f>
        <v/>
      </c>
      <c r="R2787" s="96">
        <f>O2787*Q2787</f>
        <v/>
      </c>
      <c r="S2787" s="97">
        <f>TRIM(E2787)</f>
        <v/>
      </c>
    </row>
    <row r="2788" hidden="1">
      <c r="A2788" s="22" t="n">
        <v>2</v>
      </c>
      <c r="B2788" t="inlineStr">
        <is>
          <t xml:space="preserve">CD CIUDADELA                  </t>
        </is>
      </c>
      <c r="C2788" t="inlineStr">
        <is>
          <t xml:space="preserve">GRUPO L.                      </t>
        </is>
      </c>
      <c r="D2788" t="inlineStr">
        <is>
          <t>TE INTI ZEN</t>
        </is>
      </c>
      <c r="E2788" t="inlineStr">
        <is>
          <t xml:space="preserve">7798104307103       </t>
        </is>
      </c>
      <c r="F2788" t="n">
        <v>4049027</v>
      </c>
      <c r="G2788" t="inlineStr">
        <is>
          <t xml:space="preserve">TE INTIZEN ILUMINE 0.002K X15UN    </t>
        </is>
      </c>
      <c r="H2788" t="inlineStr">
        <is>
          <t xml:space="preserve">UNIDAD              </t>
        </is>
      </c>
      <c r="I2788" t="n">
        <v>14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14</v>
      </c>
      <c r="P2788" s="96">
        <f>_xlfn.XLOOKUP(Tabla5[[#This Row],[EAN CORREGIDO]],'Tabla Articulos'!B:B,'Tabla Articulos'!D:D)</f>
        <v/>
      </c>
      <c r="Q2788" s="96">
        <f>_xlfn.XLOOKUP(S2788,'Tabla Articulos'!B:B,'Tabla Articulos'!E:E)</f>
        <v/>
      </c>
      <c r="R2788" s="96">
        <f>O2788*Q2788</f>
        <v/>
      </c>
      <c r="S2788" s="97">
        <f>TRIM(E2788)</f>
        <v/>
      </c>
    </row>
    <row r="2789" hidden="1">
      <c r="A2789" s="22" t="n">
        <v>2</v>
      </c>
      <c r="B2789" t="inlineStr">
        <is>
          <t xml:space="preserve">CD CIUDADELA                  </t>
        </is>
      </c>
      <c r="C2789" t="inlineStr">
        <is>
          <t xml:space="preserve">GRUPO L.                      </t>
        </is>
      </c>
      <c r="D2789" t="inlineStr">
        <is>
          <t>PASTAS RELLENAS</t>
        </is>
      </c>
      <c r="E2789" t="inlineStr">
        <is>
          <t xml:space="preserve">724751055279        </t>
        </is>
      </c>
      <c r="F2789" t="n">
        <v>4023578</v>
      </c>
      <c r="G2789" t="inlineStr">
        <is>
          <t xml:space="preserve">RAV CALAB CONG 500GR CASERIANA     </t>
        </is>
      </c>
      <c r="H2789" t="inlineStr">
        <is>
          <t xml:space="preserve">UNIDAD              </t>
        </is>
      </c>
      <c r="I2789" t="n">
        <v>30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30</v>
      </c>
      <c r="P2789" s="96">
        <f>_xlfn.XLOOKUP(Tabla5[[#This Row],[EAN CORREGIDO]],'Tabla Articulos'!B:B,'Tabla Articulos'!D:D)</f>
        <v/>
      </c>
      <c r="Q2789" s="96">
        <f>_xlfn.XLOOKUP(S2789,'Tabla Articulos'!B:B,'Tabla Articulos'!E:E)</f>
        <v/>
      </c>
      <c r="R2789" s="96">
        <f>O2789*Q2789</f>
        <v/>
      </c>
      <c r="S2789" s="97">
        <f>TRIM(E2789)</f>
        <v/>
      </c>
    </row>
    <row r="2790" hidden="1">
      <c r="A2790" s="22" t="n">
        <v>2</v>
      </c>
      <c r="B2790" t="inlineStr">
        <is>
          <t xml:space="preserve">CD CIUDADELA                  </t>
        </is>
      </c>
      <c r="C2790" t="inlineStr">
        <is>
          <t xml:space="preserve">GRUPO L.                      </t>
        </is>
      </c>
      <c r="D2790" t="inlineStr">
        <is>
          <t>GALLE CHOCOLATE</t>
        </is>
      </c>
      <c r="E2790" t="inlineStr">
        <is>
          <t xml:space="preserve">7790040143692       </t>
        </is>
      </c>
      <c r="F2790" t="n">
        <v>4018807</v>
      </c>
      <c r="G2790" t="inlineStr">
        <is>
          <t xml:space="preserve">GALLE BAÑADA CHOCO X132G COFLER    </t>
        </is>
      </c>
      <c r="H2790" t="inlineStr">
        <is>
          <t xml:space="preserve">UNIDAD              </t>
        </is>
      </c>
      <c r="I2790" t="n">
        <v>509</v>
      </c>
      <c r="J2790" t="n">
        <v>0</v>
      </c>
      <c r="K2790" t="n">
        <v>0</v>
      </c>
      <c r="L2790" t="n">
        <v>7</v>
      </c>
      <c r="M2790" t="n">
        <v>7</v>
      </c>
      <c r="N2790" t="n">
        <v>0</v>
      </c>
      <c r="O2790" t="n">
        <v>495</v>
      </c>
      <c r="P2790" s="96">
        <f>_xlfn.XLOOKUP(Tabla5[[#This Row],[EAN CORREGIDO]],'Tabla Articulos'!B:B,'Tabla Articulos'!D:D)</f>
        <v/>
      </c>
      <c r="Q2790" s="96">
        <f>_xlfn.XLOOKUP(S2790,'Tabla Articulos'!B:B,'Tabla Articulos'!E:E)</f>
        <v/>
      </c>
      <c r="R2790" s="96">
        <f>O2790*Q2790</f>
        <v/>
      </c>
      <c r="S2790" s="97">
        <f>TRIM(E2790)</f>
        <v/>
      </c>
    </row>
    <row r="2791" hidden="1">
      <c r="A2791" s="22" t="n">
        <v>2</v>
      </c>
      <c r="B2791" t="inlineStr">
        <is>
          <t xml:space="preserve">CD CIUDADELA                  </t>
        </is>
      </c>
      <c r="C2791" t="inlineStr">
        <is>
          <t xml:space="preserve">GRUPO L.                      </t>
        </is>
      </c>
      <c r="D2791" t="inlineStr">
        <is>
          <t>VINO BLANCO</t>
        </is>
      </c>
      <c r="E2791" t="inlineStr">
        <is>
          <t xml:space="preserve">7794450008268       </t>
        </is>
      </c>
      <c r="F2791" t="n">
        <v>4017213</v>
      </c>
      <c r="G2791" t="inlineStr">
        <is>
          <t xml:space="preserve">VINO CHARDONAY X750CC ANGELICA     </t>
        </is>
      </c>
      <c r="H2791" t="inlineStr">
        <is>
          <t xml:space="preserve">UNIDAD              </t>
        </is>
      </c>
      <c r="I2791" t="n">
        <v>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7</v>
      </c>
      <c r="P2791" s="96">
        <f>_xlfn.XLOOKUP(Tabla5[[#This Row],[EAN CORREGIDO]],'Tabla Articulos'!B:B,'Tabla Articulos'!D:D)</f>
        <v/>
      </c>
      <c r="Q2791" s="96">
        <f>_xlfn.XLOOKUP(S2791,'Tabla Articulos'!B:B,'Tabla Articulos'!E:E)</f>
        <v/>
      </c>
      <c r="R2791" s="96">
        <f>O2791*Q2791</f>
        <v/>
      </c>
      <c r="S2791" s="97">
        <f>TRIM(E2791)</f>
        <v/>
      </c>
    </row>
    <row r="2792" hidden="1">
      <c r="A2792" s="22" t="n">
        <v>2</v>
      </c>
      <c r="B2792" t="inlineStr">
        <is>
          <t xml:space="preserve">CD CIUDADELA                  </t>
        </is>
      </c>
      <c r="C2792" t="inlineStr">
        <is>
          <t xml:space="preserve">GRUPO L.                      </t>
        </is>
      </c>
      <c r="D2792" t="inlineStr">
        <is>
          <t>MERMELADA CIRUELA</t>
        </is>
      </c>
      <c r="E2792" t="inlineStr">
        <is>
          <t xml:space="preserve">7792260639573       </t>
        </is>
      </c>
      <c r="F2792" t="n">
        <v>4019977</v>
      </c>
      <c r="G2792" t="inlineStr">
        <is>
          <t xml:space="preserve">MERMELADA CIRUELA VID X400G ORIETA </t>
        </is>
      </c>
      <c r="H2792" t="inlineStr">
        <is>
          <t xml:space="preserve">UNIDAD              </t>
        </is>
      </c>
      <c r="I2792" t="n">
        <v>6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6</v>
      </c>
      <c r="P2792" s="96">
        <f>_xlfn.XLOOKUP(Tabla5[[#This Row],[EAN CORREGIDO]],'Tabla Articulos'!B:B,'Tabla Articulos'!D:D)</f>
        <v/>
      </c>
      <c r="Q2792" s="96">
        <f>_xlfn.XLOOKUP(S2792,'Tabla Articulos'!B:B,'Tabla Articulos'!E:E)</f>
        <v/>
      </c>
      <c r="R2792" s="96">
        <f>O2792*Q2792</f>
        <v/>
      </c>
      <c r="S2792" s="97">
        <f>TRIM(E2792)</f>
        <v/>
      </c>
    </row>
    <row r="2793" hidden="1">
      <c r="A2793" s="22" t="n">
        <v>2</v>
      </c>
      <c r="B2793" t="inlineStr">
        <is>
          <t xml:space="preserve">CD CIUDADELA                  </t>
        </is>
      </c>
      <c r="C2793" t="inlineStr">
        <is>
          <t xml:space="preserve">GRUPO L.                      </t>
        </is>
      </c>
      <c r="D2793" t="inlineStr">
        <is>
          <t>TAPA ENSALADERA</t>
        </is>
      </c>
      <c r="E2793" t="inlineStr">
        <is>
          <t xml:space="preserve">BAZ00011            </t>
        </is>
      </c>
      <c r="F2793" t="n">
        <v>2006204</v>
      </c>
      <c r="G2793" t="inlineStr">
        <is>
          <t xml:space="preserve">ENS. CRISTAL TAPA X600 U BANDEX    </t>
        </is>
      </c>
      <c r="H2793" t="inlineStr">
        <is>
          <t xml:space="preserve">UNIDAD              </t>
        </is>
      </c>
      <c r="I2793" t="n">
        <v>12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12</v>
      </c>
      <c r="P2793" s="96">
        <f>_xlfn.XLOOKUP(Tabla5[[#This Row],[EAN CORREGIDO]],'Tabla Articulos'!B:B,'Tabla Articulos'!D:D)</f>
        <v/>
      </c>
      <c r="Q2793" s="96">
        <f>_xlfn.XLOOKUP(S2793,'Tabla Articulos'!B:B,'Tabla Articulos'!E:E)</f>
        <v/>
      </c>
      <c r="R2793" s="96">
        <f>O2793*Q2793</f>
        <v/>
      </c>
      <c r="S2793" s="97">
        <f>TRIM(E2793)</f>
        <v/>
      </c>
    </row>
    <row r="2794" hidden="1">
      <c r="A2794" s="22" t="n">
        <v>2</v>
      </c>
      <c r="B2794" t="inlineStr">
        <is>
          <t xml:space="preserve">CD CIUDADELA                  </t>
        </is>
      </c>
      <c r="C2794" t="inlineStr">
        <is>
          <t xml:space="preserve">GRUPO L.                      </t>
        </is>
      </c>
      <c r="D2794" t="inlineStr">
        <is>
          <t>TOMILLO</t>
        </is>
      </c>
      <c r="E2794" t="inlineStr">
        <is>
          <t xml:space="preserve">7793875317405       </t>
        </is>
      </c>
      <c r="F2794" t="n">
        <v>4020623</v>
      </c>
      <c r="G2794" t="inlineStr">
        <is>
          <t xml:space="preserve">TOMILLO X 25G AROMAS Y SAB         </t>
        </is>
      </c>
      <c r="H2794" t="inlineStr">
        <is>
          <t xml:space="preserve">UNIDAD              </t>
        </is>
      </c>
      <c r="I2794" t="n">
        <v>20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20</v>
      </c>
      <c r="P2794" s="96">
        <f>_xlfn.XLOOKUP(Tabla5[[#This Row],[EAN CORREGIDO]],'Tabla Articulos'!B:B,'Tabla Articulos'!D:D)</f>
        <v/>
      </c>
      <c r="Q2794" s="96">
        <f>_xlfn.XLOOKUP(S2794,'Tabla Articulos'!B:B,'Tabla Articulos'!E:E)</f>
        <v/>
      </c>
      <c r="R2794" s="96">
        <f>O2794*Q2794</f>
        <v/>
      </c>
      <c r="S2794" s="97">
        <f>TRIM(E2794)</f>
        <v/>
      </c>
    </row>
    <row r="2795" hidden="1">
      <c r="A2795" s="22" t="n">
        <v>2</v>
      </c>
      <c r="B2795" t="inlineStr">
        <is>
          <t xml:space="preserve">CD CIUDADELA                  </t>
        </is>
      </c>
      <c r="C2795" t="inlineStr">
        <is>
          <t xml:space="preserve">GRUPO L.                      </t>
        </is>
      </c>
      <c r="D2795" t="inlineStr">
        <is>
          <t>CHIPS CHOCOLATE</t>
        </is>
      </c>
      <c r="E2795" t="inlineStr">
        <is>
          <t xml:space="preserve">7790407031532       </t>
        </is>
      </c>
      <c r="F2795" t="n">
        <v>4024248</v>
      </c>
      <c r="G2795" t="inlineStr">
        <is>
          <t xml:space="preserve">CHIPS CHOCOLATE X150GR AGUILA      </t>
        </is>
      </c>
      <c r="H2795" t="inlineStr">
        <is>
          <t xml:space="preserve">UNIDAD              </t>
        </is>
      </c>
      <c r="I2795" t="n">
        <v>589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589</v>
      </c>
      <c r="P2795" s="96">
        <f>_xlfn.XLOOKUP(Tabla5[[#This Row],[EAN CORREGIDO]],'Tabla Articulos'!B:B,'Tabla Articulos'!D:D)</f>
        <v/>
      </c>
      <c r="Q2795" s="96">
        <f>_xlfn.XLOOKUP(S2795,'Tabla Articulos'!B:B,'Tabla Articulos'!E:E)</f>
        <v/>
      </c>
      <c r="R2795" s="96">
        <f>O2795*Q2795</f>
        <v/>
      </c>
      <c r="S2795" s="97">
        <f>TRIM(E2795)</f>
        <v/>
      </c>
    </row>
    <row r="2796" hidden="1">
      <c r="A2796" s="22" t="n">
        <v>2</v>
      </c>
      <c r="B2796" t="inlineStr">
        <is>
          <t xml:space="preserve">CD CIUDADELA                  </t>
        </is>
      </c>
      <c r="C2796" t="inlineStr">
        <is>
          <t xml:space="preserve">GRUPO L.                      </t>
        </is>
      </c>
      <c r="D2796" t="inlineStr">
        <is>
          <t>ESENCIA LIMON</t>
        </is>
      </c>
      <c r="E2796" t="inlineStr">
        <is>
          <t xml:space="preserve">7791113005411       </t>
        </is>
      </c>
      <c r="F2796" t="n">
        <v>4019943</v>
      </c>
      <c r="G2796" t="inlineStr">
        <is>
          <t xml:space="preserve">ESENCIA LIMON X 1LT EMETH          </t>
        </is>
      </c>
      <c r="H2796" t="inlineStr">
        <is>
          <t xml:space="preserve">UNIDAD              </t>
        </is>
      </c>
      <c r="I2796" t="n">
        <v>31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31</v>
      </c>
      <c r="P2796" s="96">
        <f>_xlfn.XLOOKUP(Tabla5[[#This Row],[EAN CORREGIDO]],'Tabla Articulos'!B:B,'Tabla Articulos'!D:D)</f>
        <v/>
      </c>
      <c r="Q2796" s="96">
        <f>_xlfn.XLOOKUP(S2796,'Tabla Articulos'!B:B,'Tabla Articulos'!E:E)</f>
        <v/>
      </c>
      <c r="R2796" s="96">
        <f>O2796*Q2796</f>
        <v/>
      </c>
      <c r="S2796" s="97">
        <f>TRIM(E2796)</f>
        <v/>
      </c>
    </row>
    <row r="2797" hidden="1">
      <c r="A2797" s="22" t="n">
        <v>2</v>
      </c>
      <c r="B2797" t="inlineStr">
        <is>
          <t xml:space="preserve">CD CIUDADELA                  </t>
        </is>
      </c>
      <c r="C2797" t="inlineStr">
        <is>
          <t xml:space="preserve">GRUPO L.                      </t>
        </is>
      </c>
      <c r="D2797" t="inlineStr">
        <is>
          <t>GELATINA FRAMBUESA</t>
        </is>
      </c>
      <c r="E2797" t="inlineStr">
        <is>
          <t xml:space="preserve">7791113001970       </t>
        </is>
      </c>
      <c r="F2797" t="n">
        <v>4019798</v>
      </c>
      <c r="G2797" t="inlineStr">
        <is>
          <t xml:space="preserve">VO GELATINA FRAMBUESA X 70G EMETH  </t>
        </is>
      </c>
      <c r="H2797" t="inlineStr">
        <is>
          <t xml:space="preserve">UNIDAD              </t>
        </is>
      </c>
      <c r="I2797" t="n">
        <v>270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270</v>
      </c>
      <c r="P2797" s="96">
        <f>_xlfn.XLOOKUP(Tabla5[[#This Row],[EAN CORREGIDO]],'Tabla Articulos'!B:B,'Tabla Articulos'!D:D)</f>
        <v/>
      </c>
      <c r="Q2797" s="96">
        <f>_xlfn.XLOOKUP(S2797,'Tabla Articulos'!B:B,'Tabla Articulos'!E:E)</f>
        <v/>
      </c>
      <c r="R2797" s="96">
        <f>O2797*Q2797</f>
        <v/>
      </c>
      <c r="S2797" s="97">
        <f>TRIM(E2797)</f>
        <v/>
      </c>
    </row>
    <row r="2798" hidden="1">
      <c r="A2798" s="22" t="n">
        <v>2</v>
      </c>
      <c r="B2798" t="inlineStr">
        <is>
          <t xml:space="preserve">CD CIUDADELA                  </t>
        </is>
      </c>
      <c r="C2798" t="inlineStr">
        <is>
          <t xml:space="preserve">GRUPO L.                      </t>
        </is>
      </c>
      <c r="D2798" t="inlineStr">
        <is>
          <t>JAMON COCIDO</t>
        </is>
      </c>
      <c r="E2798" t="inlineStr">
        <is>
          <t xml:space="preserve">7790212050098       </t>
        </is>
      </c>
      <c r="F2798" t="n">
        <v>4017763</v>
      </c>
      <c r="G2798" t="inlineStr">
        <is>
          <t xml:space="preserve">JAMON COCIDO X KG                  </t>
        </is>
      </c>
      <c r="H2798" t="inlineStr">
        <is>
          <t xml:space="preserve">Kgs                 </t>
        </is>
      </c>
      <c r="I2798" t="n">
        <v>606.03</v>
      </c>
      <c r="J2798" t="n">
        <v>250</v>
      </c>
      <c r="K2798" t="n">
        <v>0</v>
      </c>
      <c r="L2798" t="n">
        <v>90.25</v>
      </c>
      <c r="M2798" t="n">
        <v>90.25</v>
      </c>
      <c r="N2798" t="n">
        <v>0</v>
      </c>
      <c r="O2798" t="n">
        <v>675.53</v>
      </c>
      <c r="P2798" s="96">
        <f>_xlfn.XLOOKUP(Tabla5[[#This Row],[EAN CORREGIDO]],'Tabla Articulos'!B:B,'Tabla Articulos'!D:D)</f>
        <v/>
      </c>
      <c r="Q2798" s="96">
        <f>_xlfn.XLOOKUP(S2798,'Tabla Articulos'!B:B,'Tabla Articulos'!E:E)</f>
        <v/>
      </c>
      <c r="R2798" s="96">
        <f>O2798*Q2798</f>
        <v/>
      </c>
      <c r="S2798" s="97">
        <f>TRIM(E2798)</f>
        <v/>
      </c>
    </row>
    <row r="2799" hidden="1">
      <c r="A2799" s="22" t="n">
        <v>2</v>
      </c>
      <c r="B2799" t="inlineStr">
        <is>
          <t xml:space="preserve">CD CIUDADELA                  </t>
        </is>
      </c>
      <c r="C2799" t="inlineStr">
        <is>
          <t xml:space="preserve">GRUPO L.                      </t>
        </is>
      </c>
      <c r="D2799" t="inlineStr">
        <is>
          <t>QUESO BARRA</t>
        </is>
      </c>
      <c r="E2799" t="inlineStr">
        <is>
          <t xml:space="preserve">7790000000636       </t>
        </is>
      </c>
      <c r="F2799" t="n">
        <v>4024740</v>
      </c>
      <c r="G2799" t="inlineStr">
        <is>
          <t xml:space="preserve"> QUESO BARRA MD LA PAULINA  KG     </t>
        </is>
      </c>
      <c r="H2799" t="inlineStr">
        <is>
          <t xml:space="preserve">Kgs                 </t>
        </is>
      </c>
      <c r="I2799" t="n">
        <v>0.38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0.38</v>
      </c>
      <c r="P2799" s="96">
        <f>_xlfn.XLOOKUP(Tabla5[[#This Row],[EAN CORREGIDO]],'Tabla Articulos'!B:B,'Tabla Articulos'!D:D)</f>
        <v/>
      </c>
      <c r="Q2799" s="96">
        <f>_xlfn.XLOOKUP(S2799,'Tabla Articulos'!B:B,'Tabla Articulos'!E:E)</f>
        <v/>
      </c>
      <c r="R2799" s="96">
        <f>O2799*Q2799</f>
        <v/>
      </c>
      <c r="S2799" s="97">
        <f>TRIM(E2799)</f>
        <v/>
      </c>
    </row>
    <row r="2800" hidden="1">
      <c r="A2800" s="22" t="n">
        <v>2</v>
      </c>
      <c r="B2800" t="inlineStr">
        <is>
          <t xml:space="preserve">CD CIUDADELA                  </t>
        </is>
      </c>
      <c r="C2800" t="inlineStr">
        <is>
          <t xml:space="preserve">GRUPO L.                      </t>
        </is>
      </c>
      <c r="D2800" t="inlineStr">
        <is>
          <t>TOSTADA INDIVIDUAL</t>
        </is>
      </c>
      <c r="E2800" t="inlineStr">
        <is>
          <t xml:space="preserve">7790071091238       </t>
        </is>
      </c>
      <c r="F2800" t="n">
        <v>4019421</v>
      </c>
      <c r="G2800" t="inlineStr">
        <is>
          <t xml:space="preserve">TOSTADAS DE MESA X15G RIERA        </t>
        </is>
      </c>
      <c r="H2800" t="inlineStr">
        <is>
          <t xml:space="preserve">UNIDAD              </t>
        </is>
      </c>
      <c r="I2800" t="n">
        <v>52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52</v>
      </c>
      <c r="P2800" s="96">
        <f>_xlfn.XLOOKUP(Tabla5[[#This Row],[EAN CORREGIDO]],'Tabla Articulos'!B:B,'Tabla Articulos'!D:D)</f>
        <v/>
      </c>
      <c r="Q2800" s="96">
        <f>_xlfn.XLOOKUP(S2800,'Tabla Articulos'!B:B,'Tabla Articulos'!E:E)</f>
        <v/>
      </c>
      <c r="R2800" s="96">
        <f>O2800*Q2800</f>
        <v/>
      </c>
      <c r="S2800" s="97">
        <f>TRIM(E2800)</f>
        <v/>
      </c>
    </row>
    <row r="2801" hidden="1">
      <c r="A2801" s="22" t="n">
        <v>2</v>
      </c>
      <c r="B2801" t="inlineStr">
        <is>
          <t xml:space="preserve">CD CIUDADELA                  </t>
        </is>
      </c>
      <c r="C2801" t="inlineStr">
        <is>
          <t xml:space="preserve">GRUPO L.                      </t>
        </is>
      </c>
      <c r="D2801" t="inlineStr">
        <is>
          <t>VASO TERMICO</t>
        </is>
      </c>
      <c r="E2801" t="inlineStr">
        <is>
          <t xml:space="preserve">7798353362403       </t>
        </is>
      </c>
      <c r="F2801" t="n">
        <v>2016590</v>
      </c>
      <c r="G2801" t="inlineStr">
        <is>
          <t xml:space="preserve">VASO TERMICO 240X1000U WELL CUP    </t>
        </is>
      </c>
      <c r="H2801" t="inlineStr">
        <is>
          <t xml:space="preserve">UNIDAD              </t>
        </is>
      </c>
      <c r="I2801" t="n">
        <v>25</v>
      </c>
      <c r="J2801" t="n">
        <v>0</v>
      </c>
      <c r="K2801" t="n">
        <v>0</v>
      </c>
      <c r="L2801" t="n">
        <v>6</v>
      </c>
      <c r="M2801" t="n">
        <v>6</v>
      </c>
      <c r="N2801" t="n">
        <v>0</v>
      </c>
      <c r="O2801" t="n">
        <v>13</v>
      </c>
      <c r="P2801" s="96">
        <f>_xlfn.XLOOKUP(Tabla5[[#This Row],[EAN CORREGIDO]],'Tabla Articulos'!B:B,'Tabla Articulos'!D:D)</f>
        <v/>
      </c>
      <c r="Q2801" s="96">
        <f>_xlfn.XLOOKUP(S2801,'Tabla Articulos'!B:B,'Tabla Articulos'!E:E)</f>
        <v/>
      </c>
      <c r="R2801" s="96">
        <f>O2801*Q2801</f>
        <v/>
      </c>
      <c r="S2801" s="97">
        <f>TRIM(E2801)</f>
        <v/>
      </c>
    </row>
    <row r="2802" hidden="1">
      <c r="A2802" s="22" t="n">
        <v>2</v>
      </c>
      <c r="B2802" t="inlineStr">
        <is>
          <t xml:space="preserve">CD CIUDADELA                  </t>
        </is>
      </c>
      <c r="C2802" t="inlineStr">
        <is>
          <t xml:space="preserve">GRUPO L.                      </t>
        </is>
      </c>
      <c r="D2802" t="inlineStr">
        <is>
          <t>KETCHUP INDIV</t>
        </is>
      </c>
      <c r="E2802" t="inlineStr">
        <is>
          <t xml:space="preserve">67794000006012      </t>
        </is>
      </c>
      <c r="F2802" t="n">
        <v>4023366</v>
      </c>
      <c r="G2802" t="inlineStr">
        <is>
          <t xml:space="preserve">KETCHUP IND 1CJX196UN FANACOA      </t>
        </is>
      </c>
      <c r="H2802" t="inlineStr">
        <is>
          <t xml:space="preserve">UNIDAD              </t>
        </is>
      </c>
      <c r="I2802" t="n">
        <v>19</v>
      </c>
      <c r="J2802" t="n">
        <v>0</v>
      </c>
      <c r="K2802" t="n">
        <v>0</v>
      </c>
      <c r="L2802" t="n">
        <v>4</v>
      </c>
      <c r="M2802" t="n">
        <v>4</v>
      </c>
      <c r="N2802" t="n">
        <v>0</v>
      </c>
      <c r="O2802" t="n">
        <v>11</v>
      </c>
      <c r="P2802" s="96">
        <f>_xlfn.XLOOKUP(Tabla5[[#This Row],[EAN CORREGIDO]],'Tabla Articulos'!B:B,'Tabla Articulos'!D:D)</f>
        <v/>
      </c>
      <c r="Q2802" s="96">
        <f>_xlfn.XLOOKUP(S2802,'Tabla Articulos'!B:B,'Tabla Articulos'!E:E)</f>
        <v/>
      </c>
      <c r="R2802" s="96">
        <f>O2802*Q2802</f>
        <v/>
      </c>
      <c r="S2802" s="97">
        <f>TRIM(E2802)</f>
        <v/>
      </c>
    </row>
    <row r="2803" hidden="1">
      <c r="A2803" s="22" t="n">
        <v>2</v>
      </c>
      <c r="B2803" t="inlineStr">
        <is>
          <t xml:space="preserve">CD CIUDADELA                  </t>
        </is>
      </c>
      <c r="C2803" t="inlineStr">
        <is>
          <t xml:space="preserve">GRUPO L.                      </t>
        </is>
      </c>
      <c r="D2803" t="inlineStr">
        <is>
          <t>TAPA VASO TERMICO 240CC</t>
        </is>
      </c>
      <c r="E2803" t="inlineStr">
        <is>
          <t xml:space="preserve">7790321020326       </t>
        </is>
      </c>
      <c r="F2803" t="n">
        <v>2006393</v>
      </c>
      <c r="G2803" t="inlineStr">
        <is>
          <t xml:space="preserve">TAPA VASO TERM 240 CC X 100 U      </t>
        </is>
      </c>
      <c r="H2803" t="inlineStr">
        <is>
          <t xml:space="preserve">UNIDAD              </t>
        </is>
      </c>
      <c r="I2803" t="n">
        <v>100</v>
      </c>
      <c r="J2803" t="n">
        <v>0</v>
      </c>
      <c r="K2803" t="n">
        <v>0</v>
      </c>
      <c r="L2803" t="n">
        <v>5</v>
      </c>
      <c r="M2803" t="n">
        <v>5</v>
      </c>
      <c r="N2803" t="n">
        <v>0</v>
      </c>
      <c r="O2803" t="n">
        <v>90</v>
      </c>
      <c r="P2803" s="96">
        <f>_xlfn.XLOOKUP(Tabla5[[#This Row],[EAN CORREGIDO]],'Tabla Articulos'!B:B,'Tabla Articulos'!D:D)</f>
        <v/>
      </c>
      <c r="Q2803" s="96">
        <f>_xlfn.XLOOKUP(S2803,'Tabla Articulos'!B:B,'Tabla Articulos'!E:E)</f>
        <v/>
      </c>
      <c r="R2803" s="96">
        <f>O2803*Q2803</f>
        <v/>
      </c>
      <c r="S2803" s="97">
        <f>TRIM(E2803)</f>
        <v/>
      </c>
    </row>
    <row r="2804" hidden="1">
      <c r="A2804" s="22" t="n">
        <v>2</v>
      </c>
      <c r="B2804" t="inlineStr">
        <is>
          <t xml:space="preserve">CD CIUDADELA                  </t>
        </is>
      </c>
      <c r="C2804" t="inlineStr">
        <is>
          <t xml:space="preserve">GRUPO L.                      </t>
        </is>
      </c>
      <c r="D2804" t="inlineStr">
        <is>
          <t>AGUA MIN C/GAS</t>
        </is>
      </c>
      <c r="E2804" t="inlineStr">
        <is>
          <t xml:space="preserve">7790895648861       </t>
        </is>
      </c>
      <c r="F2804" t="n">
        <v>4017286</v>
      </c>
      <c r="G2804" t="inlineStr">
        <is>
          <t xml:space="preserve">AGUA C/GAS X1.5LT BENEDICTINO      </t>
        </is>
      </c>
      <c r="H2804" t="inlineStr">
        <is>
          <t xml:space="preserve">UNIDAD              </t>
        </is>
      </c>
      <c r="I2804" t="n">
        <v>56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56</v>
      </c>
      <c r="P2804" s="96">
        <f>_xlfn.XLOOKUP(Tabla5[[#This Row],[EAN CORREGIDO]],'Tabla Articulos'!B:B,'Tabla Articulos'!D:D)</f>
        <v/>
      </c>
      <c r="Q2804" s="96">
        <f>_xlfn.XLOOKUP(S2804,'Tabla Articulos'!B:B,'Tabla Articulos'!E:E)</f>
        <v/>
      </c>
      <c r="R2804" s="96">
        <f>O2804*Q2804</f>
        <v/>
      </c>
      <c r="S2804" s="97">
        <f>TRIM(E2804)</f>
        <v/>
      </c>
    </row>
    <row r="2805" hidden="1">
      <c r="A2805" s="22" t="n">
        <v>2</v>
      </c>
      <c r="B2805" t="inlineStr">
        <is>
          <t xml:space="preserve">CD CIUDADELA                  </t>
        </is>
      </c>
      <c r="C2805" t="inlineStr">
        <is>
          <t xml:space="preserve">GRUPO L.                      </t>
        </is>
      </c>
      <c r="D2805" t="inlineStr">
        <is>
          <t>SALSA CHOCOLATE</t>
        </is>
      </c>
      <c r="E2805" t="inlineStr">
        <is>
          <t xml:space="preserve">7798110340064       </t>
        </is>
      </c>
      <c r="F2805" t="n">
        <v>4022373</v>
      </c>
      <c r="G2805" t="inlineStr">
        <is>
          <t xml:space="preserve">SALSA DE CHOC INDUAL X500CC        </t>
        </is>
      </c>
      <c r="H2805" t="inlineStr">
        <is>
          <t xml:space="preserve">UNIDAD              </t>
        </is>
      </c>
      <c r="I2805" t="n">
        <v>45</v>
      </c>
      <c r="J2805" t="n">
        <v>0</v>
      </c>
      <c r="K2805" t="n">
        <v>0</v>
      </c>
      <c r="L2805" t="n">
        <v>2</v>
      </c>
      <c r="M2805" t="n">
        <v>2</v>
      </c>
      <c r="N2805" t="n">
        <v>0</v>
      </c>
      <c r="O2805" t="n">
        <v>41</v>
      </c>
      <c r="P2805" s="96">
        <f>_xlfn.XLOOKUP(Tabla5[[#This Row],[EAN CORREGIDO]],'Tabla Articulos'!B:B,'Tabla Articulos'!D:D)</f>
        <v/>
      </c>
      <c r="Q2805" s="96">
        <f>_xlfn.XLOOKUP(S2805,'Tabla Articulos'!B:B,'Tabla Articulos'!E:E)</f>
        <v/>
      </c>
      <c r="R2805" s="96">
        <f>O2805*Q2805</f>
        <v/>
      </c>
      <c r="S2805" s="97">
        <f>TRIM(E2805)</f>
        <v/>
      </c>
    </row>
    <row r="2806" hidden="1">
      <c r="A2806" s="22" t="n">
        <v>2</v>
      </c>
      <c r="B2806" t="inlineStr">
        <is>
          <t xml:space="preserve">CD CIUDADELA                  </t>
        </is>
      </c>
      <c r="C2806" t="inlineStr">
        <is>
          <t xml:space="preserve">GRUPO L.                      </t>
        </is>
      </c>
      <c r="D2806" t="inlineStr">
        <is>
          <t>VASO PLAST CRIST 325CC</t>
        </is>
      </c>
      <c r="E2806" t="inlineStr">
        <is>
          <t xml:space="preserve">7790321020393       </t>
        </is>
      </c>
      <c r="F2806" t="n">
        <v>2006207</v>
      </c>
      <c r="G2806" t="inlineStr">
        <is>
          <t xml:space="preserve">VASO CRISTAL 325CCX800U            </t>
        </is>
      </c>
      <c r="H2806" t="inlineStr">
        <is>
          <t xml:space="preserve">CAJAS               </t>
        </is>
      </c>
      <c r="I2806" t="n">
        <v>19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19</v>
      </c>
      <c r="P2806" s="96">
        <f>_xlfn.XLOOKUP(Tabla5[[#This Row],[EAN CORREGIDO]],'Tabla Articulos'!B:B,'Tabla Articulos'!D:D)</f>
        <v/>
      </c>
      <c r="Q2806" s="96">
        <f>_xlfn.XLOOKUP(S2806,'Tabla Articulos'!B:B,'Tabla Articulos'!E:E)</f>
        <v/>
      </c>
      <c r="R2806" s="96">
        <f>O2806*Q2806</f>
        <v/>
      </c>
      <c r="S2806" s="97">
        <f>TRIM(E2806)</f>
        <v/>
      </c>
    </row>
    <row r="2807" hidden="1">
      <c r="A2807" s="22" t="n">
        <v>2</v>
      </c>
      <c r="B2807" t="inlineStr">
        <is>
          <t xml:space="preserve">CD CIUDADELA                  </t>
        </is>
      </c>
      <c r="C2807" t="inlineStr">
        <is>
          <t xml:space="preserve">GRUPO L.                      </t>
        </is>
      </c>
      <c r="D2807" t="inlineStr">
        <is>
          <t>ALFAJOR DE ARROZ</t>
        </is>
      </c>
      <c r="E2807" t="inlineStr">
        <is>
          <t xml:space="preserve">77987853            </t>
        </is>
      </c>
      <c r="F2807" t="n">
        <v>4022696</v>
      </c>
      <c r="G2807" t="inlineStr">
        <is>
          <t xml:space="preserve">ALF DE ARROZ MARROC 22GR LULEMUU   </t>
        </is>
      </c>
      <c r="H2807" t="inlineStr">
        <is>
          <t xml:space="preserve">UNIDAD              </t>
        </is>
      </c>
      <c r="I2807" t="n">
        <v>2465</v>
      </c>
      <c r="J2807" t="n">
        <v>0</v>
      </c>
      <c r="K2807" t="n">
        <v>0</v>
      </c>
      <c r="L2807" t="n">
        <v>120</v>
      </c>
      <c r="M2807" t="n">
        <v>120</v>
      </c>
      <c r="N2807" t="n">
        <v>0</v>
      </c>
      <c r="O2807" t="n">
        <v>2225</v>
      </c>
      <c r="P2807" s="96">
        <f>_xlfn.XLOOKUP(Tabla5[[#This Row],[EAN CORREGIDO]],'Tabla Articulos'!B:B,'Tabla Articulos'!D:D)</f>
        <v/>
      </c>
      <c r="Q2807" s="96">
        <f>_xlfn.XLOOKUP(S2807,'Tabla Articulos'!B:B,'Tabla Articulos'!E:E)</f>
        <v/>
      </c>
      <c r="R2807" s="96">
        <f>O2807*Q2807</f>
        <v/>
      </c>
      <c r="S2807" s="97">
        <f>TRIM(E2807)</f>
        <v/>
      </c>
    </row>
    <row r="2808" hidden="1">
      <c r="A2808" s="22" t="n">
        <v>2</v>
      </c>
      <c r="B2808" t="inlineStr">
        <is>
          <t xml:space="preserve">CD CIUDADELA                  </t>
        </is>
      </c>
      <c r="C2808" t="inlineStr">
        <is>
          <t xml:space="preserve">GRUPO L.                      </t>
        </is>
      </c>
      <c r="D2808" t="inlineStr">
        <is>
          <t>FLAN CHOCOLATE</t>
        </is>
      </c>
      <c r="E2808" t="inlineStr">
        <is>
          <t xml:space="preserve">7791254185423       </t>
        </is>
      </c>
      <c r="F2808" t="n">
        <v>4019684</v>
      </c>
      <c r="G2808" t="inlineStr">
        <is>
          <t xml:space="preserve">FLAN CHOCOLATE X1KG JUMALA         </t>
        </is>
      </c>
      <c r="H2808" t="inlineStr">
        <is>
          <t xml:space="preserve">UNIDAD              </t>
        </is>
      </c>
      <c r="I2808" t="n">
        <v>62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62</v>
      </c>
      <c r="P2808" s="96">
        <f>_xlfn.XLOOKUP(Tabla5[[#This Row],[EAN CORREGIDO]],'Tabla Articulos'!B:B,'Tabla Articulos'!D:D)</f>
        <v/>
      </c>
      <c r="Q2808" s="96">
        <f>_xlfn.XLOOKUP(S2808,'Tabla Articulos'!B:B,'Tabla Articulos'!E:E)</f>
        <v/>
      </c>
      <c r="R2808" s="96">
        <f>O2808*Q2808</f>
        <v/>
      </c>
      <c r="S2808" s="97">
        <f>TRIM(E2808)</f>
        <v/>
      </c>
    </row>
    <row r="2809" hidden="1">
      <c r="A2809" s="22" t="n">
        <v>2</v>
      </c>
      <c r="B2809" t="inlineStr">
        <is>
          <t xml:space="preserve">CD CIUDADELA                  </t>
        </is>
      </c>
      <c r="C2809" t="inlineStr">
        <is>
          <t xml:space="preserve">GRUPO L.                      </t>
        </is>
      </c>
      <c r="D2809" t="inlineStr">
        <is>
          <t>MERMELADA CIRUELA</t>
        </is>
      </c>
      <c r="E2809" t="inlineStr">
        <is>
          <t xml:space="preserve">7792260640210       </t>
        </is>
      </c>
      <c r="F2809" t="n">
        <v>4023829</v>
      </c>
      <c r="G2809" t="inlineStr">
        <is>
          <t xml:space="preserve">MERMELADA CIR 420G ORIETA          </t>
        </is>
      </c>
      <c r="H2809" t="inlineStr">
        <is>
          <t xml:space="preserve">UNIDAD              </t>
        </is>
      </c>
      <c r="I2809" t="n">
        <v>358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358</v>
      </c>
      <c r="P2809" s="96">
        <f>_xlfn.XLOOKUP(Tabla5[[#This Row],[EAN CORREGIDO]],'Tabla Articulos'!B:B,'Tabla Articulos'!D:D)</f>
        <v/>
      </c>
      <c r="Q2809" s="96">
        <f>_xlfn.XLOOKUP(S2809,'Tabla Articulos'!B:B,'Tabla Articulos'!E:E)</f>
        <v/>
      </c>
      <c r="R2809" s="96">
        <f>O2809*Q2809</f>
        <v/>
      </c>
      <c r="S2809" s="97">
        <f>TRIM(E2809)</f>
        <v/>
      </c>
    </row>
    <row r="2810" hidden="1">
      <c r="A2810" s="22" t="n">
        <v>2</v>
      </c>
      <c r="B2810" t="inlineStr">
        <is>
          <t xml:space="preserve">CD CIUDADELA                  </t>
        </is>
      </c>
      <c r="C2810" t="inlineStr">
        <is>
          <t xml:space="preserve">GRUPO L.                      </t>
        </is>
      </c>
      <c r="D2810" t="inlineStr">
        <is>
          <t>MORTADELA</t>
        </is>
      </c>
      <c r="E2810" t="inlineStr">
        <is>
          <t xml:space="preserve">7790212050100       </t>
        </is>
      </c>
      <c r="F2810" t="n">
        <v>4017771</v>
      </c>
      <c r="G2810" t="inlineStr">
        <is>
          <t xml:space="preserve">MORTADELA X KG                     </t>
        </is>
      </c>
      <c r="H2810" t="inlineStr">
        <is>
          <t xml:space="preserve">Kgs                 </t>
        </is>
      </c>
      <c r="I2810" t="n">
        <v>109.169</v>
      </c>
      <c r="J2810" t="n">
        <v>0</v>
      </c>
      <c r="K2810" t="n">
        <v>0</v>
      </c>
      <c r="L2810" t="n">
        <v>3</v>
      </c>
      <c r="M2810" t="n">
        <v>3</v>
      </c>
      <c r="N2810" t="n">
        <v>0</v>
      </c>
      <c r="O2810" t="n">
        <v>103.169</v>
      </c>
      <c r="P2810" s="96">
        <f>_xlfn.XLOOKUP(Tabla5[[#This Row],[EAN CORREGIDO]],'Tabla Articulos'!B:B,'Tabla Articulos'!D:D)</f>
        <v/>
      </c>
      <c r="Q2810" s="96">
        <f>_xlfn.XLOOKUP(S2810,'Tabla Articulos'!B:B,'Tabla Articulos'!E:E)</f>
        <v/>
      </c>
      <c r="R2810" s="96">
        <f>O2810*Q2810</f>
        <v/>
      </c>
      <c r="S2810" s="97">
        <f>TRIM(E2810)</f>
        <v/>
      </c>
    </row>
    <row r="2811" hidden="1">
      <c r="A2811" s="22" t="n">
        <v>2</v>
      </c>
      <c r="B2811" t="inlineStr">
        <is>
          <t xml:space="preserve">CD CIUDADELA                  </t>
        </is>
      </c>
      <c r="C2811" t="inlineStr">
        <is>
          <t xml:space="preserve">GRUPO L.                      </t>
        </is>
      </c>
      <c r="D2811" t="inlineStr">
        <is>
          <t>EDULCORANTE SOBRE</t>
        </is>
      </c>
      <c r="E2811" t="inlineStr">
        <is>
          <t xml:space="preserve">7798011977789       </t>
        </is>
      </c>
      <c r="F2811" t="n">
        <v>4077410</v>
      </c>
      <c r="G2811" t="inlineStr">
        <is>
          <t xml:space="preserve">EDULCO C/STEVIA 400UX0.08GR ABEDUL </t>
        </is>
      </c>
      <c r="H2811" t="inlineStr">
        <is>
          <t xml:space="preserve">UNIDAD              </t>
        </is>
      </c>
      <c r="I2811" t="n">
        <v>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8</v>
      </c>
      <c r="P2811" s="96">
        <f>_xlfn.XLOOKUP(Tabla5[[#This Row],[EAN CORREGIDO]],'Tabla Articulos'!B:B,'Tabla Articulos'!D:D)</f>
        <v/>
      </c>
      <c r="Q2811" s="96">
        <f>_xlfn.XLOOKUP(S2811,'Tabla Articulos'!B:B,'Tabla Articulos'!E:E)</f>
        <v/>
      </c>
      <c r="R2811" s="96">
        <f>O2811*Q2811</f>
        <v/>
      </c>
      <c r="S2811" s="97">
        <f>TRIM(E2811)</f>
        <v/>
      </c>
    </row>
    <row r="2812" hidden="1">
      <c r="A2812" s="22" t="n">
        <v>2</v>
      </c>
      <c r="B2812" t="inlineStr">
        <is>
          <t xml:space="preserve">CD CIUDADELA                  </t>
        </is>
      </c>
      <c r="C2812" t="inlineStr">
        <is>
          <t xml:space="preserve">GRUPO L.                      </t>
        </is>
      </c>
      <c r="D2812" t="inlineStr">
        <is>
          <t>CACAO</t>
        </is>
      </c>
      <c r="E2812" t="inlineStr">
        <is>
          <t xml:space="preserve">7791113000249       </t>
        </is>
      </c>
      <c r="F2812" t="n">
        <v>4019938</v>
      </c>
      <c r="G2812" t="inlineStr">
        <is>
          <t xml:space="preserve">CACAO S/TACC X180G EMETH           </t>
        </is>
      </c>
      <c r="H2812" t="inlineStr">
        <is>
          <t xml:space="preserve">UNIDAD              </t>
        </is>
      </c>
      <c r="I2812" t="n">
        <v>5900</v>
      </c>
      <c r="J2812" t="n">
        <v>0</v>
      </c>
      <c r="K2812" t="n">
        <v>0</v>
      </c>
      <c r="L2812" t="n">
        <v>81</v>
      </c>
      <c r="M2812" t="n">
        <v>81</v>
      </c>
      <c r="N2812" t="n">
        <v>61</v>
      </c>
      <c r="O2812" t="n">
        <v>5677</v>
      </c>
      <c r="P2812" s="96">
        <f>_xlfn.XLOOKUP(Tabla5[[#This Row],[EAN CORREGIDO]],'Tabla Articulos'!B:B,'Tabla Articulos'!D:D)</f>
        <v/>
      </c>
      <c r="Q2812" s="96">
        <f>_xlfn.XLOOKUP(S2812,'Tabla Articulos'!B:B,'Tabla Articulos'!E:E)</f>
        <v/>
      </c>
      <c r="R2812" s="96">
        <f>O2812*Q2812</f>
        <v/>
      </c>
      <c r="S2812" s="97">
        <f>TRIM(E2812)</f>
        <v/>
      </c>
    </row>
    <row r="2813" hidden="1">
      <c r="A2813" s="22" t="n">
        <v>2</v>
      </c>
      <c r="B2813" t="inlineStr">
        <is>
          <t xml:space="preserve">CD CIUDADELA                  </t>
        </is>
      </c>
      <c r="C2813" t="inlineStr">
        <is>
          <t xml:space="preserve">GRUPO L.                      </t>
        </is>
      </c>
      <c r="D2813" t="inlineStr">
        <is>
          <t>SIDRA S/ALCOHOL</t>
        </is>
      </c>
      <c r="E2813" t="inlineStr">
        <is>
          <t xml:space="preserve">7790154007781       </t>
        </is>
      </c>
      <c r="F2813" t="n">
        <v>4021136</v>
      </c>
      <c r="G2813" t="inlineStr">
        <is>
          <t xml:space="preserve">SIDRA S/ALC X720CC DEL VALLE       </t>
        </is>
      </c>
      <c r="H2813" t="inlineStr">
        <is>
          <t xml:space="preserve">UNIDAD              </t>
        </is>
      </c>
      <c r="I2813" t="n">
        <v>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5</v>
      </c>
      <c r="P2813" s="96">
        <f>_xlfn.XLOOKUP(Tabla5[[#This Row],[EAN CORREGIDO]],'Tabla Articulos'!B:B,'Tabla Articulos'!D:D)</f>
        <v/>
      </c>
      <c r="Q2813" s="96">
        <f>_xlfn.XLOOKUP(S2813,'Tabla Articulos'!B:B,'Tabla Articulos'!E:E)</f>
        <v/>
      </c>
      <c r="R2813" s="96">
        <f>O2813*Q2813</f>
        <v/>
      </c>
      <c r="S2813" s="97">
        <f>TRIM(E2813)</f>
        <v/>
      </c>
    </row>
    <row r="2814" hidden="1">
      <c r="A2814" s="22" t="n">
        <v>2</v>
      </c>
      <c r="B2814" t="inlineStr">
        <is>
          <t xml:space="preserve">CD CIUDADELA                  </t>
        </is>
      </c>
      <c r="C2814" t="inlineStr">
        <is>
          <t xml:space="preserve">GRUPO L.                      </t>
        </is>
      </c>
      <c r="D2814" t="inlineStr">
        <is>
          <t>YERBA MATE</t>
        </is>
      </c>
      <c r="E2814" t="inlineStr">
        <is>
          <t xml:space="preserve">7797470000106       </t>
        </is>
      </c>
      <c r="F2814" t="n">
        <v>4076741</v>
      </c>
      <c r="G2814" t="inlineStr">
        <is>
          <t xml:space="preserve">YERBA MATE X1KG MAROLIO            </t>
        </is>
      </c>
      <c r="H2814" t="inlineStr">
        <is>
          <t xml:space="preserve">UNIDAD              </t>
        </is>
      </c>
      <c r="I2814" t="n">
        <v>309</v>
      </c>
      <c r="J2814" t="n">
        <v>0</v>
      </c>
      <c r="K2814" t="n">
        <v>0</v>
      </c>
      <c r="L2814" t="n">
        <v>4</v>
      </c>
      <c r="M2814" t="n">
        <v>4</v>
      </c>
      <c r="N2814" t="n">
        <v>0</v>
      </c>
      <c r="O2814" t="n">
        <v>301</v>
      </c>
      <c r="P2814" s="96">
        <f>_xlfn.XLOOKUP(Tabla5[[#This Row],[EAN CORREGIDO]],'Tabla Articulos'!B:B,'Tabla Articulos'!D:D)</f>
        <v/>
      </c>
      <c r="Q2814" s="96">
        <f>_xlfn.XLOOKUP(S2814,'Tabla Articulos'!B:B,'Tabla Articulos'!E:E)</f>
        <v/>
      </c>
      <c r="R2814" s="96">
        <f>O2814*Q2814</f>
        <v/>
      </c>
      <c r="S2814" s="97">
        <f>TRIM(E2814)</f>
        <v/>
      </c>
    </row>
    <row r="2815" hidden="1">
      <c r="A2815" s="22" t="n">
        <v>2</v>
      </c>
      <c r="B2815" t="inlineStr">
        <is>
          <t xml:space="preserve">CD CIUDADELA                  </t>
        </is>
      </c>
      <c r="C2815" t="inlineStr">
        <is>
          <t xml:space="preserve">GRUPO L.                      </t>
        </is>
      </c>
      <c r="D2815" t="inlineStr">
        <is>
          <t>DULCE DE LECHE</t>
        </is>
      </c>
      <c r="E2815" t="inlineStr">
        <is>
          <t xml:space="preserve">7790787153664       </t>
        </is>
      </c>
      <c r="F2815" t="n">
        <v>4077644</v>
      </c>
      <c r="G2815" t="inlineStr">
        <is>
          <t xml:space="preserve">DULCE DE LECHE X 400 G ILOLAY      </t>
        </is>
      </c>
      <c r="H2815" t="inlineStr">
        <is>
          <t xml:space="preserve">UNIDAD              </t>
        </is>
      </c>
      <c r="I2815" t="n">
        <v>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7</v>
      </c>
      <c r="P2815" s="96">
        <f>_xlfn.XLOOKUP(Tabla5[[#This Row],[EAN CORREGIDO]],'Tabla Articulos'!B:B,'Tabla Articulos'!D:D)</f>
        <v/>
      </c>
      <c r="Q2815" s="96">
        <f>_xlfn.XLOOKUP(S2815,'Tabla Articulos'!B:B,'Tabla Articulos'!E:E)</f>
        <v/>
      </c>
      <c r="R2815" s="96">
        <f>O2815*Q2815</f>
        <v/>
      </c>
      <c r="S2815" s="97">
        <f>TRIM(E2815)</f>
        <v/>
      </c>
    </row>
    <row r="2816" hidden="1">
      <c r="A2816" s="22" t="n">
        <v>2</v>
      </c>
      <c r="B2816" t="inlineStr">
        <is>
          <t xml:space="preserve">CD CIUDADELA                  </t>
        </is>
      </c>
      <c r="C2816" t="inlineStr">
        <is>
          <t xml:space="preserve">GRUPO L.                      </t>
        </is>
      </c>
      <c r="D2816" t="inlineStr">
        <is>
          <t>GELATINA CEREZA</t>
        </is>
      </c>
      <c r="E2816" t="inlineStr">
        <is>
          <t xml:space="preserve">7790971000675       </t>
        </is>
      </c>
      <c r="F2816" t="n">
        <v>4019669</v>
      </c>
      <c r="G2816" t="inlineStr">
        <is>
          <t xml:space="preserve">GELATINA CEREZA X 1 KG RAVANA      </t>
        </is>
      </c>
      <c r="H2816" t="inlineStr">
        <is>
          <t xml:space="preserve">UNIDAD              </t>
        </is>
      </c>
      <c r="I2816" t="n">
        <v>470</v>
      </c>
      <c r="J2816" t="n">
        <v>0</v>
      </c>
      <c r="K2816" t="n">
        <v>0</v>
      </c>
      <c r="L2816" t="n">
        <v>15</v>
      </c>
      <c r="M2816" t="n">
        <v>15</v>
      </c>
      <c r="N2816" t="n">
        <v>0</v>
      </c>
      <c r="O2816" t="n">
        <v>440</v>
      </c>
      <c r="P2816" s="96">
        <f>_xlfn.XLOOKUP(Tabla5[[#This Row],[EAN CORREGIDO]],'Tabla Articulos'!B:B,'Tabla Articulos'!D:D)</f>
        <v/>
      </c>
      <c r="Q2816" s="96">
        <f>_xlfn.XLOOKUP(S2816,'Tabla Articulos'!B:B,'Tabla Articulos'!E:E)</f>
        <v/>
      </c>
      <c r="R2816" s="96">
        <f>O2816*Q2816</f>
        <v/>
      </c>
      <c r="S2816" s="97">
        <f>TRIM(E2816)</f>
        <v/>
      </c>
    </row>
    <row r="2817" hidden="1">
      <c r="A2817" s="22" t="n">
        <v>2</v>
      </c>
      <c r="B2817" t="inlineStr">
        <is>
          <t xml:space="preserve">CD CIUDADELA                  </t>
        </is>
      </c>
      <c r="C2817" t="inlineStr">
        <is>
          <t xml:space="preserve">GRUPO L.                      </t>
        </is>
      </c>
      <c r="D2817" t="inlineStr">
        <is>
          <t>MERMELADA DURAZNO VIDRIO</t>
        </is>
      </c>
      <c r="E2817" t="inlineStr">
        <is>
          <t xml:space="preserve">7791113000959       </t>
        </is>
      </c>
      <c r="F2817" t="n">
        <v>4077450</v>
      </c>
      <c r="G2817" t="inlineStr">
        <is>
          <t xml:space="preserve">MERMELADA DURAZ X390GR EMETH       </t>
        </is>
      </c>
      <c r="H2817" t="inlineStr">
        <is>
          <t xml:space="preserve">UNIDAD              </t>
        </is>
      </c>
      <c r="I2817" t="n">
        <v>198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198</v>
      </c>
      <c r="P2817" s="96">
        <f>_xlfn.XLOOKUP(Tabla5[[#This Row],[EAN CORREGIDO]],'Tabla Articulos'!B:B,'Tabla Articulos'!D:D)</f>
        <v/>
      </c>
      <c r="Q2817" s="96">
        <f>_xlfn.XLOOKUP(S2817,'Tabla Articulos'!B:B,'Tabla Articulos'!E:E)</f>
        <v/>
      </c>
      <c r="R2817" s="96">
        <f>O2817*Q2817</f>
        <v/>
      </c>
      <c r="S2817" s="97">
        <f>TRIM(E2817)</f>
        <v/>
      </c>
    </row>
    <row r="2818" hidden="1">
      <c r="A2818" s="22" t="n">
        <v>2</v>
      </c>
      <c r="B2818" t="inlineStr">
        <is>
          <t xml:space="preserve">CD CIUDADELA                  </t>
        </is>
      </c>
      <c r="C2818" t="inlineStr">
        <is>
          <t xml:space="preserve">GRUPO L.                      </t>
        </is>
      </c>
      <c r="D2818" t="inlineStr">
        <is>
          <t>CACAO AMARGO</t>
        </is>
      </c>
      <c r="E2818" t="inlineStr">
        <is>
          <t xml:space="preserve">7790530900200       </t>
        </is>
      </c>
      <c r="F2818" t="n">
        <v>4019579</v>
      </c>
      <c r="G2818" t="inlineStr">
        <is>
          <t xml:space="preserve">CACAO AMARGO X 1KG BEDIAL          </t>
        </is>
      </c>
      <c r="H2818" t="inlineStr">
        <is>
          <t xml:space="preserve">UNIDAD              </t>
        </is>
      </c>
      <c r="I2818" t="n">
        <v>71</v>
      </c>
      <c r="J2818" t="n">
        <v>0</v>
      </c>
      <c r="K2818" t="n">
        <v>0</v>
      </c>
      <c r="L2818" t="n">
        <v>1</v>
      </c>
      <c r="M2818" t="n">
        <v>1</v>
      </c>
      <c r="N2818" t="n">
        <v>0</v>
      </c>
      <c r="O2818" t="n">
        <v>69</v>
      </c>
      <c r="P2818" s="96">
        <f>_xlfn.XLOOKUP(Tabla5[[#This Row],[EAN CORREGIDO]],'Tabla Articulos'!B:B,'Tabla Articulos'!D:D)</f>
        <v/>
      </c>
      <c r="Q2818" s="96">
        <f>_xlfn.XLOOKUP(S2818,'Tabla Articulos'!B:B,'Tabla Articulos'!E:E)</f>
        <v/>
      </c>
      <c r="R2818" s="96">
        <f>O2818*Q2818</f>
        <v/>
      </c>
      <c r="S2818" s="97">
        <f>TRIM(E2818)</f>
        <v/>
      </c>
    </row>
    <row r="2819" hidden="1">
      <c r="A2819" s="22" t="n">
        <v>2</v>
      </c>
      <c r="B2819" t="inlineStr">
        <is>
          <t xml:space="preserve">CD CIUDADELA                  </t>
        </is>
      </c>
      <c r="C2819" t="inlineStr">
        <is>
          <t xml:space="preserve">GRUPO L.                      </t>
        </is>
      </c>
      <c r="D2819" t="inlineStr">
        <is>
          <t>CHOCLO CONGELADO</t>
        </is>
      </c>
      <c r="E2819" t="inlineStr">
        <is>
          <t xml:space="preserve">7798184272742       </t>
        </is>
      </c>
      <c r="F2819" t="n">
        <v>4023335</v>
      </c>
      <c r="G2819" t="inlineStr">
        <is>
          <t xml:space="preserve">CHOCLO CONG IQF 500G BIOMAC        </t>
        </is>
      </c>
      <c r="H2819" t="inlineStr">
        <is>
          <t xml:space="preserve">UNIDAD              </t>
        </is>
      </c>
      <c r="I2819" t="n">
        <v>168</v>
      </c>
      <c r="J2819" t="n">
        <v>0</v>
      </c>
      <c r="K2819" t="n">
        <v>0</v>
      </c>
      <c r="L2819" t="n">
        <v>6</v>
      </c>
      <c r="M2819" t="n">
        <v>6</v>
      </c>
      <c r="N2819" t="n">
        <v>0</v>
      </c>
      <c r="O2819" t="n">
        <v>156</v>
      </c>
      <c r="P2819" s="96">
        <f>_xlfn.XLOOKUP(Tabla5[[#This Row],[EAN CORREGIDO]],'Tabla Articulos'!B:B,'Tabla Articulos'!D:D)</f>
        <v/>
      </c>
      <c r="Q2819" s="96">
        <f>_xlfn.XLOOKUP(S2819,'Tabla Articulos'!B:B,'Tabla Articulos'!E:E)</f>
        <v/>
      </c>
      <c r="R2819" s="96">
        <f>O2819*Q2819</f>
        <v/>
      </c>
      <c r="S2819" s="97">
        <f>TRIM(E2819)</f>
        <v/>
      </c>
    </row>
    <row r="2820" hidden="1">
      <c r="A2820" s="22" t="n">
        <v>2</v>
      </c>
      <c r="B2820" t="inlineStr">
        <is>
          <t xml:space="preserve">CD CIUDADELA                  </t>
        </is>
      </c>
      <c r="C2820" t="inlineStr">
        <is>
          <t xml:space="preserve">GRUPO L.                      </t>
        </is>
      </c>
      <c r="D2820" t="inlineStr">
        <is>
          <t>POSTRE CHOCOLATE</t>
        </is>
      </c>
      <c r="E2820" t="inlineStr">
        <is>
          <t xml:space="preserve">7790530850147       </t>
        </is>
      </c>
      <c r="F2820" t="n">
        <v>4019876</v>
      </c>
      <c r="G2820" t="inlineStr">
        <is>
          <t xml:space="preserve">POSTRE CHOCOLATE X1KG BEDIAL       </t>
        </is>
      </c>
      <c r="H2820" t="inlineStr">
        <is>
          <t xml:space="preserve">UNIDAD              </t>
        </is>
      </c>
      <c r="I2820" t="n">
        <v>180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180</v>
      </c>
      <c r="P2820" s="96">
        <f>_xlfn.XLOOKUP(Tabla5[[#This Row],[EAN CORREGIDO]],'Tabla Articulos'!B:B,'Tabla Articulos'!D:D)</f>
        <v/>
      </c>
      <c r="Q2820" s="96">
        <f>_xlfn.XLOOKUP(S2820,'Tabla Articulos'!B:B,'Tabla Articulos'!E:E)</f>
        <v/>
      </c>
      <c r="R2820" s="96">
        <f>O2820*Q2820</f>
        <v/>
      </c>
      <c r="S2820" s="97">
        <f>TRIM(E2820)</f>
        <v/>
      </c>
    </row>
    <row r="2821" hidden="1">
      <c r="A2821" s="22" t="n">
        <v>2</v>
      </c>
      <c r="B2821" t="inlineStr">
        <is>
          <t xml:space="preserve">CD CIUDADELA                  </t>
        </is>
      </c>
      <c r="C2821" t="inlineStr">
        <is>
          <t xml:space="preserve">GRUPO L.                      </t>
        </is>
      </c>
      <c r="D2821" t="inlineStr">
        <is>
          <t>LENTEJAS SECAS</t>
        </is>
      </c>
      <c r="E2821" t="inlineStr">
        <is>
          <t xml:space="preserve">7791476034059       </t>
        </is>
      </c>
      <c r="F2821" t="n">
        <v>4023885</v>
      </c>
      <c r="G2821" t="inlineStr">
        <is>
          <t xml:space="preserve">LENTEJAS EGRAN BSA 5 KG XU         </t>
        </is>
      </c>
      <c r="H2821" t="inlineStr">
        <is>
          <t xml:space="preserve">UNIDAD              </t>
        </is>
      </c>
      <c r="I2821" t="n">
        <v>42</v>
      </c>
      <c r="J2821" t="n">
        <v>0</v>
      </c>
      <c r="K2821" t="n">
        <v>0</v>
      </c>
      <c r="L2821" t="n">
        <v>20</v>
      </c>
      <c r="M2821" t="n">
        <v>20</v>
      </c>
      <c r="N2821" t="n">
        <v>0</v>
      </c>
      <c r="O2821" t="n">
        <v>2</v>
      </c>
      <c r="P2821" s="96">
        <f>_xlfn.XLOOKUP(Tabla5[[#This Row],[EAN CORREGIDO]],'Tabla Articulos'!B:B,'Tabla Articulos'!D:D)</f>
        <v/>
      </c>
      <c r="Q2821" s="96">
        <f>_xlfn.XLOOKUP(S2821,'Tabla Articulos'!B:B,'Tabla Articulos'!E:E)</f>
        <v/>
      </c>
      <c r="R2821" s="96">
        <f>O2821*Q2821</f>
        <v/>
      </c>
      <c r="S2821" s="97">
        <f>TRIM(E2821)</f>
        <v/>
      </c>
    </row>
    <row r="2822" hidden="1">
      <c r="A2822" s="22" t="n">
        <v>2</v>
      </c>
      <c r="B2822" t="inlineStr">
        <is>
          <t xml:space="preserve">CD CIUDADELA                  </t>
        </is>
      </c>
      <c r="C2822" t="inlineStr">
        <is>
          <t xml:space="preserve">GRUPO L.                      </t>
        </is>
      </c>
      <c r="D2822" t="inlineStr">
        <is>
          <t>PAN CONGELADO</t>
        </is>
      </c>
      <c r="E2822" t="inlineStr">
        <is>
          <t xml:space="preserve">17792180005738      </t>
        </is>
      </c>
      <c r="F2822" t="n">
        <v>4024755</v>
      </c>
      <c r="G2822" t="inlineStr">
        <is>
          <t xml:space="preserve">PAN LOMITERO CONG.CJX65 CA#UELAS   </t>
        </is>
      </c>
      <c r="H2822" t="inlineStr">
        <is>
          <t xml:space="preserve">UNIDAD              </t>
        </is>
      </c>
      <c r="I2822" t="n">
        <v>5</v>
      </c>
      <c r="J2822" t="n">
        <v>0</v>
      </c>
      <c r="K2822" t="n">
        <v>0</v>
      </c>
      <c r="L2822" t="n">
        <v>1</v>
      </c>
      <c r="M2822" t="n">
        <v>1</v>
      </c>
      <c r="N2822" t="n">
        <v>0</v>
      </c>
      <c r="O2822" t="n">
        <v>3</v>
      </c>
      <c r="P2822" s="96">
        <f>_xlfn.XLOOKUP(Tabla5[[#This Row],[EAN CORREGIDO]],'Tabla Articulos'!B:B,'Tabla Articulos'!D:D)</f>
        <v/>
      </c>
      <c r="Q2822" s="96">
        <f>_xlfn.XLOOKUP(S2822,'Tabla Articulos'!B:B,'Tabla Articulos'!E:E)</f>
        <v/>
      </c>
      <c r="R2822" s="96">
        <f>O2822*Q2822</f>
        <v/>
      </c>
      <c r="S2822" s="97">
        <f>TRIM(E2822)</f>
        <v/>
      </c>
    </row>
    <row r="2823" hidden="1">
      <c r="A2823" s="22" t="n">
        <v>2</v>
      </c>
      <c r="B2823" t="inlineStr">
        <is>
          <t xml:space="preserve">CD CIUDADELA                  </t>
        </is>
      </c>
      <c r="C2823" t="inlineStr">
        <is>
          <t xml:space="preserve">GRUPO L.                      </t>
        </is>
      </c>
      <c r="D2823" t="inlineStr">
        <is>
          <t>AGUA SAB POMELO</t>
        </is>
      </c>
      <c r="E2823" t="inlineStr">
        <is>
          <t xml:space="preserve">7790895640490       </t>
        </is>
      </c>
      <c r="F2823" t="n">
        <v>4017200</v>
      </c>
      <c r="G2823" t="inlineStr">
        <is>
          <t xml:space="preserve">AGUA SAB POMELO X 1.5 L AQUARIUS   </t>
        </is>
      </c>
      <c r="H2823" t="inlineStr">
        <is>
          <t xml:space="preserve">UNIDAD              </t>
        </is>
      </c>
      <c r="I2823" t="n">
        <v>91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91</v>
      </c>
      <c r="P2823" s="96">
        <f>_xlfn.XLOOKUP(Tabla5[[#This Row],[EAN CORREGIDO]],'Tabla Articulos'!B:B,'Tabla Articulos'!D:D)</f>
        <v/>
      </c>
      <c r="Q2823" s="96">
        <f>_xlfn.XLOOKUP(S2823,'Tabla Articulos'!B:B,'Tabla Articulos'!E:E)</f>
        <v/>
      </c>
      <c r="R2823" s="96">
        <f>O2823*Q2823</f>
        <v/>
      </c>
      <c r="S2823" s="97">
        <f>TRIM(E2823)</f>
        <v/>
      </c>
    </row>
    <row r="2824" hidden="1">
      <c r="A2824" s="22" t="n">
        <v>2</v>
      </c>
      <c r="B2824" t="inlineStr">
        <is>
          <t xml:space="preserve">CD CIUDADELA                  </t>
        </is>
      </c>
      <c r="C2824" t="inlineStr">
        <is>
          <t xml:space="preserve">GRUPO L.                      </t>
        </is>
      </c>
      <c r="D2824" t="inlineStr">
        <is>
          <t>TE MANZANILLA ENSOBR</t>
        </is>
      </c>
      <c r="E2824" t="inlineStr">
        <is>
          <t xml:space="preserve">7790150330166       </t>
        </is>
      </c>
      <c r="F2824" t="n">
        <v>4019462</v>
      </c>
      <c r="G2824" t="inlineStr">
        <is>
          <t xml:space="preserve">TE MANZANILLA SOB X25U LA VIRGINIA </t>
        </is>
      </c>
      <c r="H2824" t="inlineStr">
        <is>
          <t xml:space="preserve">UNIDAD              </t>
        </is>
      </c>
      <c r="I2824" t="n">
        <v>137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137</v>
      </c>
      <c r="P2824" s="96">
        <f>_xlfn.XLOOKUP(Tabla5[[#This Row],[EAN CORREGIDO]],'Tabla Articulos'!B:B,'Tabla Articulos'!D:D)</f>
        <v/>
      </c>
      <c r="Q2824" s="96">
        <f>_xlfn.XLOOKUP(S2824,'Tabla Articulos'!B:B,'Tabla Articulos'!E:E)</f>
        <v/>
      </c>
      <c r="R2824" s="96">
        <f>O2824*Q2824</f>
        <v/>
      </c>
      <c r="S2824" s="97">
        <f>TRIM(E2824)</f>
        <v/>
      </c>
    </row>
    <row r="2825" hidden="1">
      <c r="A2825" s="22" t="n">
        <v>2</v>
      </c>
      <c r="B2825" t="inlineStr">
        <is>
          <t xml:space="preserve">CD CIUDADELA                  </t>
        </is>
      </c>
      <c r="C2825" t="inlineStr">
        <is>
          <t xml:space="preserve">GRUPO L.                      </t>
        </is>
      </c>
      <c r="D2825" t="inlineStr">
        <is>
          <t>MANTEL LOGO CHEF</t>
        </is>
      </c>
      <c r="E2825" t="inlineStr">
        <is>
          <t xml:space="preserve">7790000000236       </t>
        </is>
      </c>
      <c r="F2825" t="n">
        <v>2007192</v>
      </c>
      <c r="G2825" t="inlineStr">
        <is>
          <t>INDIVIDUAL CHEF GOURMET FOOD UN X10</t>
        </is>
      </c>
      <c r="H2825" t="inlineStr">
        <is>
          <t xml:space="preserve">UNIDAD              </t>
        </is>
      </c>
      <c r="I2825" t="n">
        <v>124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124</v>
      </c>
      <c r="P2825" s="96">
        <f>_xlfn.XLOOKUP(Tabla5[[#This Row],[EAN CORREGIDO]],'Tabla Articulos'!B:B,'Tabla Articulos'!D:D)</f>
        <v/>
      </c>
      <c r="Q2825" s="96">
        <f>_xlfn.XLOOKUP(S2825,'Tabla Articulos'!B:B,'Tabla Articulos'!E:E)</f>
        <v/>
      </c>
      <c r="R2825" s="96">
        <f>O2825*Q2825</f>
        <v/>
      </c>
      <c r="S2825" s="97">
        <f>TRIM(E2825)</f>
        <v/>
      </c>
    </row>
    <row r="2826" hidden="1">
      <c r="A2826" s="22" t="n">
        <v>2</v>
      </c>
      <c r="B2826" t="inlineStr">
        <is>
          <t xml:space="preserve">CD CIUDADELA                  </t>
        </is>
      </c>
      <c r="C2826" t="inlineStr">
        <is>
          <t xml:space="preserve">GRUPO L.                      </t>
        </is>
      </c>
      <c r="D2826" t="inlineStr">
        <is>
          <t>BOCADITO CORTESIA</t>
        </is>
      </c>
      <c r="E2826" t="inlineStr">
        <is>
          <t xml:space="preserve">7798182730732       </t>
        </is>
      </c>
      <c r="F2826" t="n">
        <v>4023676</v>
      </c>
      <c r="G2826" t="inlineStr">
        <is>
          <t xml:space="preserve">BOCADITO CORTESIA X200UN LBDCF     </t>
        </is>
      </c>
      <c r="H2826" t="inlineStr">
        <is>
          <t xml:space="preserve">PALLET              </t>
        </is>
      </c>
      <c r="I2826" t="n">
        <v>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7</v>
      </c>
      <c r="P2826" s="96">
        <f>_xlfn.XLOOKUP(Tabla5[[#This Row],[EAN CORREGIDO]],'Tabla Articulos'!B:B,'Tabla Articulos'!D:D)</f>
        <v/>
      </c>
      <c r="Q2826" s="96">
        <f>_xlfn.XLOOKUP(S2826,'Tabla Articulos'!B:B,'Tabla Articulos'!E:E)</f>
        <v/>
      </c>
      <c r="R2826" s="96">
        <f>O2826*Q2826</f>
        <v/>
      </c>
      <c r="S2826" s="97">
        <f>TRIM(E2826)</f>
        <v/>
      </c>
    </row>
    <row r="2827" hidden="1">
      <c r="A2827" s="22" t="n">
        <v>2</v>
      </c>
      <c r="B2827" t="inlineStr">
        <is>
          <t xml:space="preserve">CD CIUDADELA                  </t>
        </is>
      </c>
      <c r="C2827" t="inlineStr">
        <is>
          <t xml:space="preserve">GRUPO L.                      </t>
        </is>
      </c>
      <c r="D2827" t="inlineStr">
        <is>
          <t>ACEITUNA VERDE C/C</t>
        </is>
      </c>
      <c r="E2827" t="inlineStr">
        <is>
          <t xml:space="preserve">7793275000259       </t>
        </is>
      </c>
      <c r="F2827" t="n">
        <v>4023104</v>
      </c>
      <c r="G2827" t="inlineStr">
        <is>
          <t>ACEITUNAS VERDES  DESC N1 X 3KL REY</t>
        </is>
      </c>
      <c r="H2827" t="inlineStr">
        <is>
          <t xml:space="preserve">UNIDAD              </t>
        </is>
      </c>
      <c r="I2827" t="n">
        <v>116</v>
      </c>
      <c r="J2827" t="n">
        <v>0</v>
      </c>
      <c r="K2827" t="n">
        <v>71</v>
      </c>
      <c r="L2827" t="n">
        <v>0</v>
      </c>
      <c r="M2827" t="n">
        <v>0</v>
      </c>
      <c r="N2827" t="n">
        <v>0</v>
      </c>
      <c r="O2827" t="n">
        <v>45</v>
      </c>
      <c r="P2827" s="96">
        <f>_xlfn.XLOOKUP(Tabla5[[#This Row],[EAN CORREGIDO]],'Tabla Articulos'!B:B,'Tabla Articulos'!D:D)</f>
        <v/>
      </c>
      <c r="Q2827" s="96">
        <f>_xlfn.XLOOKUP(S2827,'Tabla Articulos'!B:B,'Tabla Articulos'!E:E)</f>
        <v/>
      </c>
      <c r="R2827" s="96">
        <f>O2827*Q2827</f>
        <v/>
      </c>
      <c r="S2827" s="97">
        <f>TRIM(E2827)</f>
        <v/>
      </c>
    </row>
    <row r="2828" hidden="1">
      <c r="A2828" s="22" t="n">
        <v>2</v>
      </c>
      <c r="B2828" t="inlineStr">
        <is>
          <t xml:space="preserve">CD CIUDADELA                  </t>
        </is>
      </c>
      <c r="C2828" t="inlineStr">
        <is>
          <t xml:space="preserve">GRUPO L.                      </t>
        </is>
      </c>
      <c r="D2828" t="inlineStr">
        <is>
          <t>LAUREL SECO</t>
        </is>
      </c>
      <c r="E2828" t="inlineStr">
        <is>
          <t xml:space="preserve">7793875314749       </t>
        </is>
      </c>
      <c r="F2828" t="n">
        <v>4020186</v>
      </c>
      <c r="G2828" t="inlineStr">
        <is>
          <t xml:space="preserve">LAUREL X500G AROMAS Y SABORES      </t>
        </is>
      </c>
      <c r="H2828" t="inlineStr">
        <is>
          <t xml:space="preserve">UNIDAD              </t>
        </is>
      </c>
      <c r="I2828" t="n">
        <v>11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11</v>
      </c>
      <c r="P2828" s="96">
        <f>_xlfn.XLOOKUP(Tabla5[[#This Row],[EAN CORREGIDO]],'Tabla Articulos'!B:B,'Tabla Articulos'!D:D)</f>
        <v/>
      </c>
      <c r="Q2828" s="96">
        <f>_xlfn.XLOOKUP(S2828,'Tabla Articulos'!B:B,'Tabla Articulos'!E:E)</f>
        <v/>
      </c>
      <c r="R2828" s="96">
        <f>O2828*Q2828</f>
        <v/>
      </c>
      <c r="S2828" s="97">
        <f>TRIM(E2828)</f>
        <v/>
      </c>
    </row>
    <row r="2829" hidden="1">
      <c r="A2829" s="22" t="n">
        <v>2</v>
      </c>
      <c r="B2829" t="inlineStr">
        <is>
          <t xml:space="preserve">CD CIUDADELA                  </t>
        </is>
      </c>
      <c r="C2829" t="inlineStr">
        <is>
          <t xml:space="preserve">GRUPO L.                      </t>
        </is>
      </c>
      <c r="D2829" t="inlineStr">
        <is>
          <t>AGITADOR</t>
        </is>
      </c>
      <c r="E2829" t="inlineStr">
        <is>
          <t xml:space="preserve">7790000000519       </t>
        </is>
      </c>
      <c r="F2829" t="n">
        <v>2007573</v>
      </c>
      <c r="G2829" t="inlineStr">
        <is>
          <t xml:space="preserve">AGITAD MADE ECO 15CM X500 BIOPAC   </t>
        </is>
      </c>
      <c r="H2829" t="inlineStr">
        <is>
          <t xml:space="preserve">UNIDAD              </t>
        </is>
      </c>
      <c r="I2829" t="n">
        <v>26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26</v>
      </c>
      <c r="P2829" s="96">
        <f>_xlfn.XLOOKUP(Tabla5[[#This Row],[EAN CORREGIDO]],'Tabla Articulos'!B:B,'Tabla Articulos'!D:D)</f>
        <v/>
      </c>
      <c r="Q2829" s="96">
        <f>_xlfn.XLOOKUP(S2829,'Tabla Articulos'!B:B,'Tabla Articulos'!E:E)</f>
        <v/>
      </c>
      <c r="R2829" s="96">
        <f>O2829*Q2829</f>
        <v/>
      </c>
      <c r="S2829" s="97">
        <f>TRIM(E2829)</f>
        <v/>
      </c>
    </row>
    <row r="2830" hidden="1">
      <c r="A2830" s="22" t="n">
        <v>2</v>
      </c>
      <c r="B2830" t="inlineStr">
        <is>
          <t xml:space="preserve">CD CIUDADELA                  </t>
        </is>
      </c>
      <c r="C2830" t="inlineStr">
        <is>
          <t xml:space="preserve">GRUPO L.                      </t>
        </is>
      </c>
      <c r="D2830" t="inlineStr">
        <is>
          <t>BONDIOLA</t>
        </is>
      </c>
      <c r="E2830" t="inlineStr">
        <is>
          <t xml:space="preserve">7790212031220       </t>
        </is>
      </c>
      <c r="F2830" t="n">
        <v>4017778</v>
      </c>
      <c r="G2830" t="inlineStr">
        <is>
          <t xml:space="preserve">BONDIOLA DE CERDO X KG             </t>
        </is>
      </c>
      <c r="H2830" t="inlineStr">
        <is>
          <t xml:space="preserve">Kgs                 </t>
        </is>
      </c>
      <c r="I2830" t="n">
        <v>741.58</v>
      </c>
      <c r="J2830" t="n">
        <v>0</v>
      </c>
      <c r="K2830" t="n">
        <v>0</v>
      </c>
      <c r="L2830" t="n">
        <v>145.6</v>
      </c>
      <c r="M2830" t="n">
        <v>145.6</v>
      </c>
      <c r="N2830" t="n">
        <v>0</v>
      </c>
      <c r="O2830" t="n">
        <v>450.38</v>
      </c>
      <c r="P2830" s="96">
        <f>_xlfn.XLOOKUP(Tabla5[[#This Row],[EAN CORREGIDO]],'Tabla Articulos'!B:B,'Tabla Articulos'!D:D)</f>
        <v/>
      </c>
      <c r="Q2830" s="96">
        <f>_xlfn.XLOOKUP(S2830,'Tabla Articulos'!B:B,'Tabla Articulos'!E:E)</f>
        <v/>
      </c>
      <c r="R2830" s="96">
        <f>O2830*Q2830</f>
        <v/>
      </c>
      <c r="S2830" s="97">
        <f>TRIM(E2830)</f>
        <v/>
      </c>
    </row>
    <row r="2831" hidden="1">
      <c r="A2831" s="22" t="n">
        <v>2</v>
      </c>
      <c r="B2831" t="inlineStr">
        <is>
          <t xml:space="preserve">CD CIUDADELA                  </t>
        </is>
      </c>
      <c r="C2831" t="inlineStr">
        <is>
          <t xml:space="preserve">GRUPO L.                      </t>
        </is>
      </c>
      <c r="D2831" t="inlineStr">
        <is>
          <t>CIABATTA CONGELADA</t>
        </is>
      </c>
      <c r="E2831" t="inlineStr">
        <is>
          <t xml:space="preserve">17792180009422      </t>
        </is>
      </c>
      <c r="F2831" t="n">
        <v>4077141</v>
      </c>
      <c r="G2831" t="inlineStr">
        <is>
          <t xml:space="preserve">CIABATTA CONG 112GX69U CANUELAS    </t>
        </is>
      </c>
      <c r="H2831" t="inlineStr">
        <is>
          <t xml:space="preserve">UNIDAD              </t>
        </is>
      </c>
      <c r="I2831" t="n">
        <v>54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54</v>
      </c>
      <c r="P2831" s="96">
        <f>_xlfn.XLOOKUP(Tabla5[[#This Row],[EAN CORREGIDO]],'Tabla Articulos'!B:B,'Tabla Articulos'!D:D)</f>
        <v/>
      </c>
      <c r="Q2831" s="96">
        <f>_xlfn.XLOOKUP(S2831,'Tabla Articulos'!B:B,'Tabla Articulos'!E:E)</f>
        <v/>
      </c>
      <c r="R2831" s="96">
        <f>O2831*Q2831</f>
        <v/>
      </c>
      <c r="S2831" s="97">
        <f>TRIM(E2831)</f>
        <v/>
      </c>
    </row>
    <row r="2832" hidden="1">
      <c r="A2832" s="22" t="n">
        <v>2</v>
      </c>
      <c r="B2832" t="inlineStr">
        <is>
          <t xml:space="preserve">CD CIUDADELA                  </t>
        </is>
      </c>
      <c r="C2832" t="inlineStr">
        <is>
          <t xml:space="preserve">GRUPO L.                      </t>
        </is>
      </c>
      <c r="D2832" t="inlineStr">
        <is>
          <t>PREMEZCLA P/CELIACOS</t>
        </is>
      </c>
      <c r="E2832" t="inlineStr">
        <is>
          <t xml:space="preserve">7798082000188       </t>
        </is>
      </c>
      <c r="F2832" t="n">
        <v>4020793</v>
      </c>
      <c r="G2832" t="inlineStr">
        <is>
          <t xml:space="preserve">PREMEZCLA UNIVERSAL X450G NATU     </t>
        </is>
      </c>
      <c r="H2832" t="inlineStr">
        <is>
          <t xml:space="preserve">UNIDAD              </t>
        </is>
      </c>
      <c r="I2832" t="n">
        <v>53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53</v>
      </c>
      <c r="P2832" s="96">
        <f>_xlfn.XLOOKUP(Tabla5[[#This Row],[EAN CORREGIDO]],'Tabla Articulos'!B:B,'Tabla Articulos'!D:D)</f>
        <v/>
      </c>
      <c r="Q2832" s="96">
        <f>_xlfn.XLOOKUP(S2832,'Tabla Articulos'!B:B,'Tabla Articulos'!E:E)</f>
        <v/>
      </c>
      <c r="R2832" s="96">
        <f>O2832*Q2832</f>
        <v/>
      </c>
      <c r="S2832" s="97">
        <f>TRIM(E2832)</f>
        <v/>
      </c>
    </row>
    <row r="2833" hidden="1">
      <c r="A2833" s="22" t="n">
        <v>2</v>
      </c>
      <c r="B2833" t="inlineStr">
        <is>
          <t xml:space="preserve">CD CIUDADELA                  </t>
        </is>
      </c>
      <c r="C2833" t="inlineStr">
        <is>
          <t xml:space="preserve">GRUPO L.                      </t>
        </is>
      </c>
      <c r="D2833" t="inlineStr">
        <is>
          <t>CUCHARAS</t>
        </is>
      </c>
      <c r="E2833" t="inlineStr">
        <is>
          <t xml:space="preserve">7790321020196       </t>
        </is>
      </c>
      <c r="F2833" t="n">
        <v>2006682</v>
      </c>
      <c r="G2833" t="inlineStr">
        <is>
          <t xml:space="preserve">CUCHARA SUNDAE DESC X 1000 U       </t>
        </is>
      </c>
      <c r="H2833" t="inlineStr">
        <is>
          <t xml:space="preserve">UNIDAD              </t>
        </is>
      </c>
      <c r="I2833" t="n">
        <v>20</v>
      </c>
      <c r="J2833" t="n">
        <v>0</v>
      </c>
      <c r="K2833" t="n">
        <v>0</v>
      </c>
      <c r="L2833" t="n">
        <v>8</v>
      </c>
      <c r="M2833" t="n">
        <v>8</v>
      </c>
      <c r="N2833" t="n">
        <v>0</v>
      </c>
      <c r="O2833" t="n">
        <v>4</v>
      </c>
      <c r="P2833" s="96">
        <f>_xlfn.XLOOKUP(Tabla5[[#This Row],[EAN CORREGIDO]],'Tabla Articulos'!B:B,'Tabla Articulos'!D:D)</f>
        <v/>
      </c>
      <c r="Q2833" s="96">
        <f>_xlfn.XLOOKUP(S2833,'Tabla Articulos'!B:B,'Tabla Articulos'!E:E)</f>
        <v/>
      </c>
      <c r="R2833" s="96">
        <f>O2833*Q2833</f>
        <v/>
      </c>
      <c r="S2833" s="97">
        <f>TRIM(E2833)</f>
        <v/>
      </c>
    </row>
    <row r="2834" hidden="1">
      <c r="A2834" s="22" t="n">
        <v>2</v>
      </c>
      <c r="B2834" t="inlineStr">
        <is>
          <t xml:space="preserve">CD CIUDADELA                  </t>
        </is>
      </c>
      <c r="C2834" t="inlineStr">
        <is>
          <t xml:space="preserve">GRUPO L.                      </t>
        </is>
      </c>
      <c r="D2834" t="inlineStr">
        <is>
          <t>CARNE ENTERA</t>
        </is>
      </c>
      <c r="E2834" t="inlineStr">
        <is>
          <t xml:space="preserve">7790212031237       </t>
        </is>
      </c>
      <c r="F2834" t="n">
        <v>4017781</v>
      </c>
      <c r="G2834" t="inlineStr">
        <is>
          <t xml:space="preserve">ASADO XKG                          </t>
        </is>
      </c>
      <c r="H2834" t="inlineStr">
        <is>
          <t xml:space="preserve">Kgs                 </t>
        </is>
      </c>
      <c r="I2834" t="n">
        <v>20.95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20.95</v>
      </c>
      <c r="P2834" s="96">
        <f>_xlfn.XLOOKUP(Tabla5[[#This Row],[EAN CORREGIDO]],'Tabla Articulos'!B:B,'Tabla Articulos'!D:D)</f>
        <v/>
      </c>
      <c r="Q2834" s="96">
        <f>_xlfn.XLOOKUP(S2834,'Tabla Articulos'!B:B,'Tabla Articulos'!E:E)</f>
        <v/>
      </c>
      <c r="R2834" s="96">
        <f>O2834*Q2834</f>
        <v/>
      </c>
      <c r="S2834" s="97">
        <f>TRIM(E2834)</f>
        <v/>
      </c>
    </row>
    <row r="2835" hidden="1">
      <c r="A2835" s="22" t="n">
        <v>2</v>
      </c>
      <c r="B2835" t="inlineStr">
        <is>
          <t xml:space="preserve">CD CIUDADELA                  </t>
        </is>
      </c>
      <c r="C2835" t="inlineStr">
        <is>
          <t xml:space="preserve">GRUPO L.                      </t>
        </is>
      </c>
      <c r="D2835" t="inlineStr">
        <is>
          <t>GALLE CHOCOLATE</t>
        </is>
      </c>
      <c r="E2835" t="inlineStr">
        <is>
          <t xml:space="preserve">7790040116955       </t>
        </is>
      </c>
      <c r="F2835" t="n">
        <v>4018784</v>
      </c>
      <c r="G2835" t="inlineStr">
        <is>
          <t xml:space="preserve">GALLE CHOCO MANI X125G BLOCK       </t>
        </is>
      </c>
      <c r="H2835" t="inlineStr">
        <is>
          <t xml:space="preserve">UNIDAD              </t>
        </is>
      </c>
      <c r="I2835" t="n">
        <v>44</v>
      </c>
      <c r="J2835" t="n">
        <v>0</v>
      </c>
      <c r="K2835" t="n">
        <v>30</v>
      </c>
      <c r="L2835" t="n">
        <v>0</v>
      </c>
      <c r="M2835" t="n">
        <v>0</v>
      </c>
      <c r="N2835" t="n">
        <v>0</v>
      </c>
      <c r="O2835" t="n">
        <v>14</v>
      </c>
      <c r="P2835" s="96">
        <f>_xlfn.XLOOKUP(Tabla5[[#This Row],[EAN CORREGIDO]],'Tabla Articulos'!B:B,'Tabla Articulos'!D:D)</f>
        <v/>
      </c>
      <c r="Q2835" s="96">
        <f>_xlfn.XLOOKUP(S2835,'Tabla Articulos'!B:B,'Tabla Articulos'!E:E)</f>
        <v/>
      </c>
      <c r="R2835" s="96">
        <f>O2835*Q2835</f>
        <v/>
      </c>
      <c r="S2835" s="97">
        <f>TRIM(E2835)</f>
        <v/>
      </c>
    </row>
    <row r="2836" hidden="1">
      <c r="A2836" s="22" t="n">
        <v>2</v>
      </c>
      <c r="B2836" t="inlineStr">
        <is>
          <t xml:space="preserve">CD CIUDADELA                  </t>
        </is>
      </c>
      <c r="C2836" t="inlineStr">
        <is>
          <t xml:space="preserve">GRUPO L.                      </t>
        </is>
      </c>
      <c r="D2836" t="inlineStr">
        <is>
          <t>GELATINA FRUTILLA LIGHT</t>
        </is>
      </c>
      <c r="E2836" t="inlineStr">
        <is>
          <t xml:space="preserve">7790971000651       </t>
        </is>
      </c>
      <c r="F2836" t="n">
        <v>4019860</v>
      </c>
      <c r="G2836" t="inlineStr">
        <is>
          <t xml:space="preserve">GELATINA FRUTI LIGHT X1K RAVAN     </t>
        </is>
      </c>
      <c r="H2836" t="inlineStr">
        <is>
          <t xml:space="preserve">UNIDAD              </t>
        </is>
      </c>
      <c r="I2836" t="n">
        <v>84</v>
      </c>
      <c r="J2836" t="n">
        <v>0</v>
      </c>
      <c r="K2836" t="n">
        <v>0</v>
      </c>
      <c r="L2836" t="n">
        <v>8</v>
      </c>
      <c r="M2836" t="n">
        <v>8</v>
      </c>
      <c r="N2836" t="n">
        <v>0</v>
      </c>
      <c r="O2836" t="n">
        <v>68</v>
      </c>
      <c r="P2836" s="96">
        <f>_xlfn.XLOOKUP(Tabla5[[#This Row],[EAN CORREGIDO]],'Tabla Articulos'!B:B,'Tabla Articulos'!D:D)</f>
        <v/>
      </c>
      <c r="Q2836" s="96">
        <f>_xlfn.XLOOKUP(S2836,'Tabla Articulos'!B:B,'Tabla Articulos'!E:E)</f>
        <v/>
      </c>
      <c r="R2836" s="96">
        <f>O2836*Q2836</f>
        <v/>
      </c>
      <c r="S2836" s="97">
        <f>TRIM(E2836)</f>
        <v/>
      </c>
    </row>
    <row r="2837" hidden="1">
      <c r="A2837" s="22" t="n">
        <v>2</v>
      </c>
      <c r="B2837" t="inlineStr">
        <is>
          <t xml:space="preserve">CD CIUDADELA                  </t>
        </is>
      </c>
      <c r="C2837" t="inlineStr">
        <is>
          <t xml:space="preserve">GRUPO L.                      </t>
        </is>
      </c>
      <c r="D2837" t="inlineStr">
        <is>
          <t>GALLE CON CHIPS</t>
        </is>
      </c>
      <c r="E2837" t="inlineStr">
        <is>
          <t xml:space="preserve">7790040127944       </t>
        </is>
      </c>
      <c r="F2837" t="n">
        <v>4019237</v>
      </c>
      <c r="G2837" t="inlineStr">
        <is>
          <t xml:space="preserve">GALLE CHIPS CHOCO X120G COFLER     </t>
        </is>
      </c>
      <c r="H2837" t="inlineStr">
        <is>
          <t xml:space="preserve">UNIDAD              </t>
        </is>
      </c>
      <c r="I2837" t="n">
        <v>214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214</v>
      </c>
      <c r="P2837" s="96">
        <f>_xlfn.XLOOKUP(Tabla5[[#This Row],[EAN CORREGIDO]],'Tabla Articulos'!B:B,'Tabla Articulos'!D:D)</f>
        <v/>
      </c>
      <c r="Q2837" s="96">
        <f>_xlfn.XLOOKUP(S2837,'Tabla Articulos'!B:B,'Tabla Articulos'!E:E)</f>
        <v/>
      </c>
      <c r="R2837" s="96">
        <f>O2837*Q2837</f>
        <v/>
      </c>
      <c r="S2837" s="97">
        <f>TRIM(E2837)</f>
        <v/>
      </c>
    </row>
    <row r="2838" hidden="1">
      <c r="A2838" s="22" t="n">
        <v>2</v>
      </c>
      <c r="B2838" t="inlineStr">
        <is>
          <t xml:space="preserve">CD CIUDADELA                  </t>
        </is>
      </c>
      <c r="C2838" t="inlineStr">
        <is>
          <t xml:space="preserve">GRUPO L.                      </t>
        </is>
      </c>
      <c r="D2838" t="inlineStr">
        <is>
          <t>PALTA</t>
        </is>
      </c>
      <c r="E2838" t="inlineStr">
        <is>
          <t xml:space="preserve">7790216012624       </t>
        </is>
      </c>
      <c r="F2838" t="n">
        <v>4017963</v>
      </c>
      <c r="G2838" t="inlineStr">
        <is>
          <t xml:space="preserve">PALTA X KG                         </t>
        </is>
      </c>
      <c r="H2838" t="inlineStr">
        <is>
          <t xml:space="preserve">Kgs                 </t>
        </is>
      </c>
      <c r="I2838" t="n">
        <v>44.6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44.6</v>
      </c>
      <c r="P2838" s="96">
        <f>_xlfn.XLOOKUP(Tabla5[[#This Row],[EAN CORREGIDO]],'Tabla Articulos'!B:B,'Tabla Articulos'!D:D)</f>
        <v/>
      </c>
      <c r="Q2838" s="96">
        <f>_xlfn.XLOOKUP(S2838,'Tabla Articulos'!B:B,'Tabla Articulos'!E:E)</f>
        <v/>
      </c>
      <c r="R2838" s="96">
        <f>O2838*Q2838</f>
        <v/>
      </c>
      <c r="S2838" s="97">
        <f>TRIM(E2838)</f>
        <v/>
      </c>
    </row>
    <row r="2839" hidden="1">
      <c r="A2839" s="22" t="n">
        <v>2</v>
      </c>
      <c r="B2839" t="inlineStr">
        <is>
          <t xml:space="preserve">CD CIUDADELA                  </t>
        </is>
      </c>
      <c r="C2839" t="inlineStr">
        <is>
          <t xml:space="preserve">GRUPO L.                      </t>
        </is>
      </c>
      <c r="D2839" t="inlineStr">
        <is>
          <t>POSTRE VAINILLA</t>
        </is>
      </c>
      <c r="E2839" t="inlineStr">
        <is>
          <t xml:space="preserve">7791113001611       </t>
        </is>
      </c>
      <c r="F2839" t="n">
        <v>4019808</v>
      </c>
      <c r="G2839" t="inlineStr">
        <is>
          <t xml:space="preserve">POSTRE VAINILLA X 120 G EMETH      </t>
        </is>
      </c>
      <c r="H2839" t="inlineStr">
        <is>
          <t xml:space="preserve">UNIDAD              </t>
        </is>
      </c>
      <c r="I2839" t="n">
        <v>237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237</v>
      </c>
      <c r="P2839" s="96">
        <f>_xlfn.XLOOKUP(Tabla5[[#This Row],[EAN CORREGIDO]],'Tabla Articulos'!B:B,'Tabla Articulos'!D:D)</f>
        <v/>
      </c>
      <c r="Q2839" s="96">
        <f>_xlfn.XLOOKUP(S2839,'Tabla Articulos'!B:B,'Tabla Articulos'!E:E)</f>
        <v/>
      </c>
      <c r="R2839" s="96">
        <f>O2839*Q2839</f>
        <v/>
      </c>
      <c r="S2839" s="97">
        <f>TRIM(E2839)</f>
        <v/>
      </c>
    </row>
    <row r="2840" hidden="1">
      <c r="A2840" s="22" t="n">
        <v>2</v>
      </c>
      <c r="B2840" t="inlineStr">
        <is>
          <t xml:space="preserve">CD CIUDADELA                  </t>
        </is>
      </c>
      <c r="C2840" t="inlineStr">
        <is>
          <t xml:space="preserve">GRUPO L.                      </t>
        </is>
      </c>
      <c r="D2840" t="inlineStr">
        <is>
          <t>GALLE AGUA</t>
        </is>
      </c>
      <c r="E2840" t="inlineStr">
        <is>
          <t xml:space="preserve">7792683000370       </t>
        </is>
      </c>
      <c r="F2840" t="n">
        <v>4018840</v>
      </c>
      <c r="G2840" t="inlineStr">
        <is>
          <t xml:space="preserve">GALLET AGUA X300G NOGALITAS        </t>
        </is>
      </c>
      <c r="H2840" t="inlineStr">
        <is>
          <t xml:space="preserve">UNIDAD              </t>
        </is>
      </c>
      <c r="I2840" t="n">
        <v>3319</v>
      </c>
      <c r="J2840" t="n">
        <v>0</v>
      </c>
      <c r="K2840" t="n">
        <v>0</v>
      </c>
      <c r="L2840" t="n">
        <v>7</v>
      </c>
      <c r="M2840" t="n">
        <v>7</v>
      </c>
      <c r="N2840" t="n">
        <v>0</v>
      </c>
      <c r="O2840" t="n">
        <v>3305</v>
      </c>
      <c r="P2840" s="96">
        <f>_xlfn.XLOOKUP(Tabla5[[#This Row],[EAN CORREGIDO]],'Tabla Articulos'!B:B,'Tabla Articulos'!D:D)</f>
        <v/>
      </c>
      <c r="Q2840" s="96">
        <f>_xlfn.XLOOKUP(S2840,'Tabla Articulos'!B:B,'Tabla Articulos'!E:E)</f>
        <v/>
      </c>
      <c r="R2840" s="96">
        <f>O2840*Q2840</f>
        <v/>
      </c>
      <c r="S2840" s="97">
        <f>TRIM(E2840)</f>
        <v/>
      </c>
    </row>
    <row r="2841" hidden="1">
      <c r="A2841" s="22" t="n">
        <v>2</v>
      </c>
      <c r="B2841" t="inlineStr">
        <is>
          <t xml:space="preserve">CD CIUDADELA                  </t>
        </is>
      </c>
      <c r="C2841" t="inlineStr">
        <is>
          <t xml:space="preserve">GRUPO L.                      </t>
        </is>
      </c>
      <c r="D2841" t="inlineStr">
        <is>
          <t>MILA CARNE CONGELADA</t>
        </is>
      </c>
      <c r="E2841" t="inlineStr">
        <is>
          <t xml:space="preserve">7790360967830       </t>
        </is>
      </c>
      <c r="F2841" t="n">
        <v>4017596</v>
      </c>
      <c r="G2841" t="inlineStr">
        <is>
          <t xml:space="preserve">MILANESA CARNE X 6.2KG             </t>
        </is>
      </c>
      <c r="H2841" t="inlineStr">
        <is>
          <t xml:space="preserve">UNIDAD              </t>
        </is>
      </c>
      <c r="I2841" t="n">
        <v>380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380</v>
      </c>
      <c r="P2841" s="96">
        <f>_xlfn.XLOOKUP(Tabla5[[#This Row],[EAN CORREGIDO]],'Tabla Articulos'!B:B,'Tabla Articulos'!D:D)</f>
        <v/>
      </c>
      <c r="Q2841" s="96">
        <f>_xlfn.XLOOKUP(S2841,'Tabla Articulos'!B:B,'Tabla Articulos'!E:E)</f>
        <v/>
      </c>
      <c r="R2841" s="96">
        <f>O2841*Q2841</f>
        <v/>
      </c>
      <c r="S2841" s="97">
        <f>TRIM(E2841)</f>
        <v/>
      </c>
    </row>
    <row r="2842" hidden="1">
      <c r="A2842" s="22" t="n">
        <v>2</v>
      </c>
      <c r="B2842" t="inlineStr">
        <is>
          <t xml:space="preserve">CD CIUDADELA                  </t>
        </is>
      </c>
      <c r="C2842" t="inlineStr">
        <is>
          <t xml:space="preserve">GRUPO L.                      </t>
        </is>
      </c>
      <c r="D2842" t="inlineStr">
        <is>
          <t>ATUN A/A DESMEN</t>
        </is>
      </c>
      <c r="E2842" t="inlineStr">
        <is>
          <t xml:space="preserve">7790199604792       </t>
        </is>
      </c>
      <c r="F2842" t="n">
        <v>4023173</v>
      </c>
      <c r="G2842" t="inlineStr">
        <is>
          <t xml:space="preserve">ATUN DESM E/AC 170GR MORIXE        </t>
        </is>
      </c>
      <c r="H2842" t="inlineStr">
        <is>
          <t xml:space="preserve">UNIDAD              </t>
        </is>
      </c>
      <c r="I2842" t="n">
        <v>2000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2000</v>
      </c>
      <c r="P2842" s="96">
        <f>_xlfn.XLOOKUP(Tabla5[[#This Row],[EAN CORREGIDO]],'Tabla Articulos'!B:B,'Tabla Articulos'!D:D)</f>
        <v/>
      </c>
      <c r="Q2842" s="96">
        <f>_xlfn.XLOOKUP(S2842,'Tabla Articulos'!B:B,'Tabla Articulos'!E:E)</f>
        <v/>
      </c>
      <c r="R2842" s="96">
        <f>O2842*Q2842</f>
        <v/>
      </c>
      <c r="S2842" s="97">
        <f>TRIM(E2842)</f>
        <v/>
      </c>
    </row>
    <row r="2843" hidden="1">
      <c r="A2843" s="22" t="n">
        <v>2</v>
      </c>
      <c r="B2843" t="inlineStr">
        <is>
          <t xml:space="preserve">CD CIUDADELA                  </t>
        </is>
      </c>
      <c r="C2843" t="inlineStr">
        <is>
          <t xml:space="preserve">GRUPO L.                      </t>
        </is>
      </c>
      <c r="D2843" t="inlineStr">
        <is>
          <t>PANADERIA CONGELADA</t>
        </is>
      </c>
      <c r="E2843" t="inlineStr">
        <is>
          <t xml:space="preserve">7790000000009       </t>
        </is>
      </c>
      <c r="F2843" t="n">
        <v>4021556</v>
      </c>
      <c r="G2843" t="inlineStr">
        <is>
          <t xml:space="preserve">CUADRADO COCO/DDL SELYGEL X12UN    </t>
        </is>
      </c>
      <c r="H2843" t="inlineStr">
        <is>
          <t xml:space="preserve">UNIDAD              </t>
        </is>
      </c>
      <c r="I2843" t="n">
        <v>14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14</v>
      </c>
      <c r="P2843" s="96">
        <f>_xlfn.XLOOKUP(Tabla5[[#This Row],[EAN CORREGIDO]],'Tabla Articulos'!B:B,'Tabla Articulos'!D:D)</f>
        <v/>
      </c>
      <c r="Q2843" s="96">
        <f>_xlfn.XLOOKUP(S2843,'Tabla Articulos'!B:B,'Tabla Articulos'!E:E)</f>
        <v/>
      </c>
      <c r="R2843" s="96">
        <f>O2843*Q2843</f>
        <v/>
      </c>
      <c r="S2843" s="97">
        <f>TRIM(E2843)</f>
        <v/>
      </c>
    </row>
    <row r="2844" hidden="1">
      <c r="A2844" s="22" t="n">
        <v>2</v>
      </c>
      <c r="B2844" t="inlineStr">
        <is>
          <t xml:space="preserve">CD CIUDADELA                  </t>
        </is>
      </c>
      <c r="C2844" t="inlineStr">
        <is>
          <t xml:space="preserve">GRUPO L.                      </t>
        </is>
      </c>
      <c r="D2844" t="inlineStr">
        <is>
          <t>CALDO GRANULADO</t>
        </is>
      </c>
      <c r="E2844" t="inlineStr">
        <is>
          <t xml:space="preserve">7794000004030       </t>
        </is>
      </c>
      <c r="F2844" t="n">
        <v>4020761</v>
      </c>
      <c r="G2844" t="inlineStr">
        <is>
          <t xml:space="preserve">CALDO VERDURA GRANU X650G KNORR    </t>
        </is>
      </c>
      <c r="H2844" t="inlineStr">
        <is>
          <t xml:space="preserve">UNIDAD              </t>
        </is>
      </c>
      <c r="I2844" t="n">
        <v>87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87</v>
      </c>
      <c r="P2844" s="96">
        <f>_xlfn.XLOOKUP(Tabla5[[#This Row],[EAN CORREGIDO]],'Tabla Articulos'!B:B,'Tabla Articulos'!D:D)</f>
        <v/>
      </c>
      <c r="Q2844" s="96">
        <f>_xlfn.XLOOKUP(S2844,'Tabla Articulos'!B:B,'Tabla Articulos'!E:E)</f>
        <v/>
      </c>
      <c r="R2844" s="96">
        <f>O2844*Q2844</f>
        <v/>
      </c>
      <c r="S2844" s="97">
        <f>TRIM(E2844)</f>
        <v/>
      </c>
    </row>
    <row r="2845" hidden="1">
      <c r="A2845" s="22" t="n">
        <v>2</v>
      </c>
      <c r="B2845" t="inlineStr">
        <is>
          <t xml:space="preserve">CD CIUDADELA                  </t>
        </is>
      </c>
      <c r="C2845" t="inlineStr">
        <is>
          <t xml:space="preserve">GRUPO L.                      </t>
        </is>
      </c>
      <c r="D2845" t="inlineStr">
        <is>
          <t>LIMON</t>
        </is>
      </c>
      <c r="E2845" t="inlineStr">
        <is>
          <t xml:space="preserve">7790216020098       </t>
        </is>
      </c>
      <c r="F2845" t="n">
        <v>4018059</v>
      </c>
      <c r="G2845" t="inlineStr">
        <is>
          <t xml:space="preserve">LIMON X KG                         </t>
        </is>
      </c>
      <c r="H2845" t="inlineStr">
        <is>
          <t xml:space="preserve">Kgs                 </t>
        </is>
      </c>
      <c r="I2845" t="n">
        <v>235.435</v>
      </c>
      <c r="J2845" t="n">
        <v>0</v>
      </c>
      <c r="K2845" t="n">
        <v>0</v>
      </c>
      <c r="L2845" t="n">
        <v>83.67</v>
      </c>
      <c r="M2845" t="n">
        <v>85.87</v>
      </c>
      <c r="N2845" t="n">
        <v>0</v>
      </c>
      <c r="O2845" t="n">
        <v>65.895</v>
      </c>
      <c r="P2845" s="96">
        <f>_xlfn.XLOOKUP(Tabla5[[#This Row],[EAN CORREGIDO]],'Tabla Articulos'!B:B,'Tabla Articulos'!D:D)</f>
        <v/>
      </c>
      <c r="Q2845" s="96">
        <f>_xlfn.XLOOKUP(S2845,'Tabla Articulos'!B:B,'Tabla Articulos'!E:E)</f>
        <v/>
      </c>
      <c r="R2845" s="96">
        <f>O2845*Q2845</f>
        <v/>
      </c>
      <c r="S2845" s="97">
        <f>TRIM(E2845)</f>
        <v/>
      </c>
    </row>
    <row r="2846" hidden="1">
      <c r="A2846" s="22" t="n">
        <v>2</v>
      </c>
      <c r="B2846" t="inlineStr">
        <is>
          <t xml:space="preserve">CD CIUDADELA                  </t>
        </is>
      </c>
      <c r="C2846" t="inlineStr">
        <is>
          <t xml:space="preserve">GRUPO L.                      </t>
        </is>
      </c>
      <c r="D2846" t="inlineStr">
        <is>
          <t xml:space="preserve">TENEDOR </t>
        </is>
      </c>
      <c r="E2846" t="inlineStr">
        <is>
          <t xml:space="preserve">7790000000251       </t>
        </is>
      </c>
      <c r="F2846" t="n">
        <v>2007128</v>
      </c>
      <c r="G2846" t="inlineStr">
        <is>
          <t xml:space="preserve">TENEDOR DESC. BLANCO ALUM X1000UN  </t>
        </is>
      </c>
      <c r="H2846" t="inlineStr">
        <is>
          <t xml:space="preserve">UNIDAD              </t>
        </is>
      </c>
      <c r="I2846" t="n">
        <v>53</v>
      </c>
      <c r="J2846" t="n">
        <v>0</v>
      </c>
      <c r="K2846" t="n">
        <v>0</v>
      </c>
      <c r="L2846" t="n">
        <v>3</v>
      </c>
      <c r="M2846" t="n">
        <v>3</v>
      </c>
      <c r="N2846" t="n">
        <v>0</v>
      </c>
      <c r="O2846" t="n">
        <v>47</v>
      </c>
      <c r="P2846" s="96">
        <f>_xlfn.XLOOKUP(Tabla5[[#This Row],[EAN CORREGIDO]],'Tabla Articulos'!B:B,'Tabla Articulos'!D:D)</f>
        <v/>
      </c>
      <c r="Q2846" s="96">
        <f>_xlfn.XLOOKUP(S2846,'Tabla Articulos'!B:B,'Tabla Articulos'!E:E)</f>
        <v/>
      </c>
      <c r="R2846" s="96">
        <f>O2846*Q2846</f>
        <v/>
      </c>
      <c r="S2846" s="97">
        <f>TRIM(E2846)</f>
        <v/>
      </c>
    </row>
    <row r="2847" hidden="1">
      <c r="A2847" s="22" t="n">
        <v>2</v>
      </c>
      <c r="B2847" t="inlineStr">
        <is>
          <t xml:space="preserve">CD CIUDADELA                  </t>
        </is>
      </c>
      <c r="C2847" t="inlineStr">
        <is>
          <t xml:space="preserve">GRUPO L.                      </t>
        </is>
      </c>
      <c r="D2847" t="inlineStr">
        <is>
          <t>PLATOS DESCARTABLES</t>
        </is>
      </c>
      <c r="E2847" t="inlineStr">
        <is>
          <t xml:space="preserve">7798102570653       </t>
        </is>
      </c>
      <c r="F2847" t="n">
        <v>2016703</v>
      </c>
      <c r="G2847" t="inlineStr">
        <is>
          <t xml:space="preserve">PLATO DESCARTABLE 17CM X50UN       </t>
        </is>
      </c>
      <c r="H2847" t="inlineStr">
        <is>
          <t xml:space="preserve">UNIDAD              </t>
        </is>
      </c>
      <c r="I2847" t="n">
        <v>0</v>
      </c>
      <c r="J2847" t="n">
        <v>10</v>
      </c>
      <c r="K2847" t="n">
        <v>10</v>
      </c>
      <c r="L2847" t="n">
        <v>0</v>
      </c>
      <c r="M2847" t="n">
        <v>0</v>
      </c>
      <c r="N2847" t="n">
        <v>0</v>
      </c>
      <c r="O2847" t="n">
        <v>0</v>
      </c>
      <c r="P2847" s="96">
        <f>_xlfn.XLOOKUP(Tabla5[[#This Row],[EAN CORREGIDO]],'Tabla Articulos'!B:B,'Tabla Articulos'!D:D)</f>
        <v/>
      </c>
      <c r="Q2847" s="96">
        <f>_xlfn.XLOOKUP(S2847,'Tabla Articulos'!B:B,'Tabla Articulos'!E:E)</f>
        <v/>
      </c>
      <c r="R2847" s="96">
        <f>O2847*Q2847</f>
        <v/>
      </c>
      <c r="S2847" s="97">
        <f>TRIM(E2847)</f>
        <v/>
      </c>
    </row>
    <row r="2848" hidden="1">
      <c r="A2848" s="22" t="n">
        <v>2</v>
      </c>
      <c r="B2848" t="inlineStr">
        <is>
          <t xml:space="preserve">CD CIUDADELA                  </t>
        </is>
      </c>
      <c r="C2848" t="inlineStr">
        <is>
          <t xml:space="preserve">GRUPO L.                      </t>
        </is>
      </c>
      <c r="D2848" t="inlineStr">
        <is>
          <t>MATE COCIDO SAQ S/TACC</t>
        </is>
      </c>
      <c r="E2848" t="inlineStr">
        <is>
          <t xml:space="preserve">7790387800050       </t>
        </is>
      </c>
      <c r="F2848" t="n">
        <v>4077164</v>
      </c>
      <c r="G2848" t="inlineStr">
        <is>
          <t xml:space="preserve">MATE COCIDO SAQUITO X 25U TARAGUI  </t>
        </is>
      </c>
      <c r="H2848" t="inlineStr">
        <is>
          <t xml:space="preserve">UNIDAD              </t>
        </is>
      </c>
      <c r="I2848" t="n">
        <v>17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17</v>
      </c>
      <c r="P2848" s="96">
        <f>_xlfn.XLOOKUP(Tabla5[[#This Row],[EAN CORREGIDO]],'Tabla Articulos'!B:B,'Tabla Articulos'!D:D)</f>
        <v/>
      </c>
      <c r="Q2848" s="96">
        <f>_xlfn.XLOOKUP(S2848,'Tabla Articulos'!B:B,'Tabla Articulos'!E:E)</f>
        <v/>
      </c>
      <c r="R2848" s="96">
        <f>O2848*Q2848</f>
        <v/>
      </c>
      <c r="S2848" s="97">
        <f>TRIM(E2848)</f>
        <v/>
      </c>
    </row>
    <row r="2849" hidden="1">
      <c r="A2849" s="22" t="n">
        <v>2</v>
      </c>
      <c r="B2849" t="inlineStr">
        <is>
          <t xml:space="preserve">CD CIUDADELA                  </t>
        </is>
      </c>
      <c r="C2849" t="inlineStr">
        <is>
          <t xml:space="preserve">GRUPO L.                      </t>
        </is>
      </c>
      <c r="D2849" t="inlineStr">
        <is>
          <t>PAPA PROCESADA</t>
        </is>
      </c>
      <c r="E2849" t="inlineStr">
        <is>
          <t xml:space="preserve">7790216012641       </t>
        </is>
      </c>
      <c r="F2849" t="n">
        <v>4018032</v>
      </c>
      <c r="G2849" t="inlineStr">
        <is>
          <t xml:space="preserve">PAPA PROCESADA X KG                </t>
        </is>
      </c>
      <c r="H2849" t="inlineStr">
        <is>
          <t xml:space="preserve">Kgs                 </t>
        </is>
      </c>
      <c r="I2849" t="n">
        <v>113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113</v>
      </c>
      <c r="P2849" s="96">
        <f>_xlfn.XLOOKUP(Tabla5[[#This Row],[EAN CORREGIDO]],'Tabla Articulos'!B:B,'Tabla Articulos'!D:D)</f>
        <v/>
      </c>
      <c r="Q2849" s="96">
        <f>_xlfn.XLOOKUP(S2849,'Tabla Articulos'!B:B,'Tabla Articulos'!E:E)</f>
        <v/>
      </c>
      <c r="R2849" s="96">
        <f>O2849*Q2849</f>
        <v/>
      </c>
      <c r="S2849" s="97">
        <f>TRIM(E2849)</f>
        <v/>
      </c>
    </row>
    <row r="2850" hidden="1">
      <c r="A2850" s="22" t="n">
        <v>2</v>
      </c>
      <c r="B2850" t="inlineStr">
        <is>
          <t xml:space="preserve">CD CIUDADELA                  </t>
        </is>
      </c>
      <c r="C2850" t="inlineStr">
        <is>
          <t xml:space="preserve">GRUPO L.                      </t>
        </is>
      </c>
      <c r="D2850" t="inlineStr">
        <is>
          <t>TAPA P/EMP ROTIS CRIOLLA</t>
        </is>
      </c>
      <c r="E2850" t="inlineStr">
        <is>
          <t xml:space="preserve">7795711008218       </t>
        </is>
      </c>
      <c r="F2850" t="n">
        <v>4077650</v>
      </c>
      <c r="G2850" t="inlineStr">
        <is>
          <t xml:space="preserve">TAPAS EMP CRIOLLAS X12U VDAGR      </t>
        </is>
      </c>
      <c r="H2850" t="inlineStr">
        <is>
          <t xml:space="preserve">UNIDAD              </t>
        </is>
      </c>
      <c r="I2850" t="n">
        <v>660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660</v>
      </c>
      <c r="P2850" s="96">
        <f>_xlfn.XLOOKUP(Tabla5[[#This Row],[EAN CORREGIDO]],'Tabla Articulos'!B:B,'Tabla Articulos'!D:D)</f>
        <v/>
      </c>
      <c r="Q2850" s="96">
        <f>_xlfn.XLOOKUP(S2850,'Tabla Articulos'!B:B,'Tabla Articulos'!E:E)</f>
        <v/>
      </c>
      <c r="R2850" s="96">
        <f>O2850*Q2850</f>
        <v/>
      </c>
      <c r="S2850" s="97">
        <f>TRIM(E2850)</f>
        <v/>
      </c>
    </row>
    <row r="2851" hidden="1">
      <c r="A2851" s="22" t="n">
        <v>2</v>
      </c>
      <c r="B2851" t="inlineStr">
        <is>
          <t xml:space="preserve">CD CIUDADELA                  </t>
        </is>
      </c>
      <c r="C2851" t="inlineStr">
        <is>
          <t xml:space="preserve">GRUPO L.                      </t>
        </is>
      </c>
      <c r="D2851" t="inlineStr">
        <is>
          <t>JUGO POLVO NARANJA</t>
        </is>
      </c>
      <c r="E2851" t="inlineStr">
        <is>
          <t xml:space="preserve">7790971001481       </t>
        </is>
      </c>
      <c r="F2851" t="n">
        <v>4019992</v>
      </c>
      <c r="G2851" t="inlineStr">
        <is>
          <t xml:space="preserve">JUGO POLVO NARANJA X KG ORLOC      </t>
        </is>
      </c>
      <c r="H2851" t="inlineStr">
        <is>
          <t xml:space="preserve">UNIDAD              </t>
        </is>
      </c>
      <c r="I2851" t="n">
        <v>221</v>
      </c>
      <c r="J2851" t="n">
        <v>0</v>
      </c>
      <c r="K2851" t="n">
        <v>0</v>
      </c>
      <c r="L2851" t="n">
        <v>20</v>
      </c>
      <c r="M2851" t="n">
        <v>20</v>
      </c>
      <c r="N2851" t="n">
        <v>0</v>
      </c>
      <c r="O2851" t="n">
        <v>181</v>
      </c>
      <c r="P2851" s="96">
        <f>_xlfn.XLOOKUP(Tabla5[[#This Row],[EAN CORREGIDO]],'Tabla Articulos'!B:B,'Tabla Articulos'!D:D)</f>
        <v/>
      </c>
      <c r="Q2851" s="96">
        <f>_xlfn.XLOOKUP(S2851,'Tabla Articulos'!B:B,'Tabla Articulos'!E:E)</f>
        <v/>
      </c>
      <c r="R2851" s="96">
        <f>O2851*Q2851</f>
        <v/>
      </c>
      <c r="S2851" s="97">
        <f>TRIM(E2851)</f>
        <v/>
      </c>
    </row>
    <row r="2852" hidden="1">
      <c r="A2852" s="22" t="n">
        <v>2</v>
      </c>
      <c r="B2852" t="inlineStr">
        <is>
          <t xml:space="preserve">CD CIUDADELA                  </t>
        </is>
      </c>
      <c r="C2852" t="inlineStr">
        <is>
          <t xml:space="preserve">GRUPO L.                      </t>
        </is>
      </c>
      <c r="D2852" t="inlineStr">
        <is>
          <t>POROTOS DE SOJA</t>
        </is>
      </c>
      <c r="E2852" t="inlineStr">
        <is>
          <t xml:space="preserve">7790279000070       </t>
        </is>
      </c>
      <c r="F2852" t="n">
        <v>4019754</v>
      </c>
      <c r="G2852" t="inlineStr">
        <is>
          <t xml:space="preserve">POROTOS DE SOJA X500G RAMONEDA     </t>
        </is>
      </c>
      <c r="H2852" t="inlineStr">
        <is>
          <t xml:space="preserve">UNIDAD              </t>
        </is>
      </c>
      <c r="I2852" t="n">
        <v>858</v>
      </c>
      <c r="J2852" t="n">
        <v>0</v>
      </c>
      <c r="K2852" t="n">
        <v>0</v>
      </c>
      <c r="L2852" t="n">
        <v>14</v>
      </c>
      <c r="M2852" t="n">
        <v>14</v>
      </c>
      <c r="N2852" t="n">
        <v>0</v>
      </c>
      <c r="O2852" t="n">
        <v>830</v>
      </c>
      <c r="P2852" s="96">
        <f>_xlfn.XLOOKUP(Tabla5[[#This Row],[EAN CORREGIDO]],'Tabla Articulos'!B:B,'Tabla Articulos'!D:D)</f>
        <v/>
      </c>
      <c r="Q2852" s="96">
        <f>_xlfn.XLOOKUP(S2852,'Tabla Articulos'!B:B,'Tabla Articulos'!E:E)</f>
        <v/>
      </c>
      <c r="R2852" s="96">
        <f>O2852*Q2852</f>
        <v/>
      </c>
      <c r="S2852" s="97">
        <f>TRIM(E2852)</f>
        <v/>
      </c>
    </row>
    <row r="2853" hidden="1">
      <c r="A2853" s="22" t="n">
        <v>2</v>
      </c>
      <c r="B2853" t="inlineStr">
        <is>
          <t xml:space="preserve">CD CIUDADELA                  </t>
        </is>
      </c>
      <c r="C2853" t="inlineStr">
        <is>
          <t xml:space="preserve">GRUPO L.                      </t>
        </is>
      </c>
      <c r="D2853" t="inlineStr">
        <is>
          <t>MORCILLA</t>
        </is>
      </c>
      <c r="E2853" t="inlineStr">
        <is>
          <t xml:space="preserve">7790212031216       </t>
        </is>
      </c>
      <c r="F2853" t="n">
        <v>4021176</v>
      </c>
      <c r="G2853" t="inlineStr">
        <is>
          <t xml:space="preserve">MORCILLA BOMBON X KG               </t>
        </is>
      </c>
      <c r="H2853" t="inlineStr">
        <is>
          <t xml:space="preserve">Kgs                 </t>
        </is>
      </c>
      <c r="I2853" t="n">
        <v>213.6</v>
      </c>
      <c r="J2853" t="n">
        <v>0</v>
      </c>
      <c r="K2853" t="n">
        <v>0</v>
      </c>
      <c r="L2853" t="n">
        <v>18.1</v>
      </c>
      <c r="M2853" t="n">
        <v>18.1</v>
      </c>
      <c r="N2853" t="n">
        <v>0</v>
      </c>
      <c r="O2853" t="n">
        <v>177.4</v>
      </c>
      <c r="P2853" s="96">
        <f>_xlfn.XLOOKUP(Tabla5[[#This Row],[EAN CORREGIDO]],'Tabla Articulos'!B:B,'Tabla Articulos'!D:D)</f>
        <v/>
      </c>
      <c r="Q2853" s="96">
        <f>_xlfn.XLOOKUP(S2853,'Tabla Articulos'!B:B,'Tabla Articulos'!E:E)</f>
        <v/>
      </c>
      <c r="R2853" s="96">
        <f>O2853*Q2853</f>
        <v/>
      </c>
      <c r="S2853" s="97">
        <f>TRIM(E2853)</f>
        <v/>
      </c>
    </row>
    <row r="2854" hidden="1">
      <c r="A2854" s="22" t="n">
        <v>2</v>
      </c>
      <c r="B2854" t="inlineStr">
        <is>
          <t xml:space="preserve">CD CIUDADELA                  </t>
        </is>
      </c>
      <c r="C2854" t="inlineStr">
        <is>
          <t xml:space="preserve">GRUPO L.                      </t>
        </is>
      </c>
      <c r="D2854" t="inlineStr">
        <is>
          <t>BOLSA CAMISETA REFORZADA</t>
        </is>
      </c>
      <c r="E2854" t="inlineStr">
        <is>
          <t xml:space="preserve">7790321020167       </t>
        </is>
      </c>
      <c r="F2854" t="n">
        <v>2006162</v>
      </c>
      <c r="G2854" t="inlineStr">
        <is>
          <t xml:space="preserve">BOLSA CAMISETA 50 X 60 X 100U      </t>
        </is>
      </c>
      <c r="H2854" t="inlineStr">
        <is>
          <t xml:space="preserve">UNIDAD              </t>
        </is>
      </c>
      <c r="I2854" t="n">
        <v>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5</v>
      </c>
      <c r="P2854" s="96">
        <f>_xlfn.XLOOKUP(Tabla5[[#This Row],[EAN CORREGIDO]],'Tabla Articulos'!B:B,'Tabla Articulos'!D:D)</f>
        <v/>
      </c>
      <c r="Q2854" s="96">
        <f>_xlfn.XLOOKUP(S2854,'Tabla Articulos'!B:B,'Tabla Articulos'!E:E)</f>
        <v/>
      </c>
      <c r="R2854" s="96">
        <f>O2854*Q2854</f>
        <v/>
      </c>
      <c r="S2854" s="97">
        <f>TRIM(E2854)</f>
        <v/>
      </c>
    </row>
    <row r="2855" hidden="1">
      <c r="A2855" s="22" t="n">
        <v>2</v>
      </c>
      <c r="B2855" t="inlineStr">
        <is>
          <t xml:space="preserve">CD CIUDADELA                  </t>
        </is>
      </c>
      <c r="C2855" t="inlineStr">
        <is>
          <t xml:space="preserve">GRUPO L.                      </t>
        </is>
      </c>
      <c r="D2855" t="inlineStr">
        <is>
          <t>PAPEL FOLEX</t>
        </is>
      </c>
      <c r="E2855" t="inlineStr">
        <is>
          <t xml:space="preserve">7791101002132       </t>
        </is>
      </c>
      <c r="F2855" t="n">
        <v>2007310</v>
      </c>
      <c r="G2855" t="inlineStr">
        <is>
          <t xml:space="preserve">FOLEX 20CMX25CM XKG MPROPIA        </t>
        </is>
      </c>
      <c r="H2855" t="inlineStr">
        <is>
          <t xml:space="preserve">Kgs                 </t>
        </is>
      </c>
      <c r="I2855" t="n">
        <v>163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163</v>
      </c>
      <c r="P2855" s="96">
        <f>_xlfn.XLOOKUP(Tabla5[[#This Row],[EAN CORREGIDO]],'Tabla Articulos'!B:B,'Tabla Articulos'!D:D)</f>
        <v/>
      </c>
      <c r="Q2855" s="96">
        <f>_xlfn.XLOOKUP(S2855,'Tabla Articulos'!B:B,'Tabla Articulos'!E:E)</f>
        <v/>
      </c>
      <c r="R2855" s="96">
        <f>O2855*Q2855</f>
        <v/>
      </c>
      <c r="S2855" s="97">
        <f>TRIM(E2855)</f>
        <v/>
      </c>
    </row>
    <row r="2856" hidden="1">
      <c r="A2856" s="22" t="n">
        <v>2</v>
      </c>
      <c r="B2856" t="inlineStr">
        <is>
          <t xml:space="preserve">CD CIUDADELA                  </t>
        </is>
      </c>
      <c r="C2856" t="inlineStr">
        <is>
          <t xml:space="preserve">GRUPO L.                      </t>
        </is>
      </c>
      <c r="D2856" t="inlineStr">
        <is>
          <t>PAN CONGELADO</t>
        </is>
      </c>
      <c r="E2856" t="inlineStr">
        <is>
          <t xml:space="preserve">17792180136838      </t>
        </is>
      </c>
      <c r="F2856" t="n">
        <v>4024760</v>
      </c>
      <c r="G2856" t="inlineStr">
        <is>
          <t xml:space="preserve">PAN MIGNON BCO.CONG.X329 CAÑUELAS  </t>
        </is>
      </c>
      <c r="H2856" t="inlineStr">
        <is>
          <t xml:space="preserve">UNIDAD              </t>
        </is>
      </c>
      <c r="I2856" t="n">
        <v>24</v>
      </c>
      <c r="J2856" t="n">
        <v>0</v>
      </c>
      <c r="K2856" t="n">
        <v>0</v>
      </c>
      <c r="L2856" t="n">
        <v>5</v>
      </c>
      <c r="M2856" t="n">
        <v>5</v>
      </c>
      <c r="N2856" t="n">
        <v>1</v>
      </c>
      <c r="O2856" t="n">
        <v>13</v>
      </c>
      <c r="P2856" s="96">
        <f>_xlfn.XLOOKUP(Tabla5[[#This Row],[EAN CORREGIDO]],'Tabla Articulos'!B:B,'Tabla Articulos'!D:D)</f>
        <v/>
      </c>
      <c r="Q2856" s="96">
        <f>_xlfn.XLOOKUP(S2856,'Tabla Articulos'!B:B,'Tabla Articulos'!E:E)</f>
        <v/>
      </c>
      <c r="R2856" s="96">
        <f>O2856*Q2856</f>
        <v/>
      </c>
      <c r="S2856" s="97">
        <f>TRIM(E2856)</f>
        <v/>
      </c>
    </row>
    <row r="2857" hidden="1">
      <c r="A2857" s="22" t="n">
        <v>2</v>
      </c>
      <c r="B2857" t="inlineStr">
        <is>
          <t xml:space="preserve">CD CIUDADELA                  </t>
        </is>
      </c>
      <c r="C2857" t="inlineStr">
        <is>
          <t xml:space="preserve">GRUPO L.                      </t>
        </is>
      </c>
      <c r="D2857" t="inlineStr">
        <is>
          <t>POROTOS SECOS COLORADOS</t>
        </is>
      </c>
      <c r="E2857" t="inlineStr">
        <is>
          <t xml:space="preserve">7790279000193       </t>
        </is>
      </c>
      <c r="F2857" t="n">
        <v>4019633</v>
      </c>
      <c r="G2857" t="inlineStr">
        <is>
          <t xml:space="preserve">POROTOS COLORADOS X500G RAMONEDA   </t>
        </is>
      </c>
      <c r="H2857" t="inlineStr">
        <is>
          <t xml:space="preserve">UNIDAD              </t>
        </is>
      </c>
      <c r="I2857" t="n">
        <v>1779</v>
      </c>
      <c r="J2857" t="n">
        <v>0</v>
      </c>
      <c r="K2857" t="n">
        <v>0</v>
      </c>
      <c r="L2857" t="n">
        <v>23</v>
      </c>
      <c r="M2857" t="n">
        <v>23</v>
      </c>
      <c r="N2857" t="n">
        <v>0</v>
      </c>
      <c r="O2857" t="n">
        <v>1733</v>
      </c>
      <c r="P2857" s="96">
        <f>_xlfn.XLOOKUP(Tabla5[[#This Row],[EAN CORREGIDO]],'Tabla Articulos'!B:B,'Tabla Articulos'!D:D)</f>
        <v/>
      </c>
      <c r="Q2857" s="96">
        <f>_xlfn.XLOOKUP(S2857,'Tabla Articulos'!B:B,'Tabla Articulos'!E:E)</f>
        <v/>
      </c>
      <c r="R2857" s="96">
        <f>O2857*Q2857</f>
        <v/>
      </c>
      <c r="S2857" s="97">
        <f>TRIM(E2857)</f>
        <v/>
      </c>
    </row>
    <row r="2858" hidden="1">
      <c r="A2858" s="22" t="n">
        <v>2</v>
      </c>
      <c r="B2858" t="inlineStr">
        <is>
          <t xml:space="preserve">CD CIUDADELA                  </t>
        </is>
      </c>
      <c r="C2858" t="inlineStr">
        <is>
          <t xml:space="preserve">GRUPO L.                      </t>
        </is>
      </c>
      <c r="D2858" t="inlineStr">
        <is>
          <t>ARROZ 00000</t>
        </is>
      </c>
      <c r="E2858" t="inlineStr">
        <is>
          <t xml:space="preserve">7797470003718       </t>
        </is>
      </c>
      <c r="F2858" t="n">
        <v>4022301</v>
      </c>
      <c r="G2858" t="inlineStr">
        <is>
          <t xml:space="preserve">ARROZ 00000 S/TACC X1KG MAROLIO    </t>
        </is>
      </c>
      <c r="H2858" t="inlineStr">
        <is>
          <t xml:space="preserve">UNIDAD              </t>
        </is>
      </c>
      <c r="I2858" t="n">
        <v>3481</v>
      </c>
      <c r="J2858" t="n">
        <v>0</v>
      </c>
      <c r="K2858" t="n">
        <v>0</v>
      </c>
      <c r="L2858" t="n">
        <v>276</v>
      </c>
      <c r="M2858" t="n">
        <v>276</v>
      </c>
      <c r="N2858" t="n">
        <v>0</v>
      </c>
      <c r="O2858" t="n">
        <v>2929</v>
      </c>
      <c r="P2858" s="96">
        <f>_xlfn.XLOOKUP(Tabla5[[#This Row],[EAN CORREGIDO]],'Tabla Articulos'!B:B,'Tabla Articulos'!D:D)</f>
        <v/>
      </c>
      <c r="Q2858" s="96">
        <f>_xlfn.XLOOKUP(S2858,'Tabla Articulos'!B:B,'Tabla Articulos'!E:E)</f>
        <v/>
      </c>
      <c r="R2858" s="96">
        <f>O2858*Q2858</f>
        <v/>
      </c>
      <c r="S2858" s="97">
        <f>TRIM(E2858)</f>
        <v/>
      </c>
    </row>
    <row r="2859" hidden="1">
      <c r="A2859" s="22" t="n">
        <v>2</v>
      </c>
      <c r="B2859" t="inlineStr">
        <is>
          <t xml:space="preserve">CD CIUDADELA                  </t>
        </is>
      </c>
      <c r="C2859" t="inlineStr">
        <is>
          <t xml:space="preserve">GRUPO L.                      </t>
        </is>
      </c>
      <c r="D2859" t="inlineStr">
        <is>
          <t>DULCE DE LECHE</t>
        </is>
      </c>
      <c r="E2859" t="inlineStr">
        <is>
          <t xml:space="preserve">7790787150632       </t>
        </is>
      </c>
      <c r="F2859" t="n">
        <v>4048893</v>
      </c>
      <c r="G2859" t="inlineStr">
        <is>
          <t xml:space="preserve">DULCE DE LECHE X1KG ILOLAY         </t>
        </is>
      </c>
      <c r="H2859" t="inlineStr">
        <is>
          <t xml:space="preserve">UNIDAD              </t>
        </is>
      </c>
      <c r="I2859" t="n">
        <v>205</v>
      </c>
      <c r="J2859" t="n">
        <v>0</v>
      </c>
      <c r="K2859" t="n">
        <v>0</v>
      </c>
      <c r="L2859" t="n">
        <v>8</v>
      </c>
      <c r="M2859" t="n">
        <v>8</v>
      </c>
      <c r="N2859" t="n">
        <v>0</v>
      </c>
      <c r="O2859" t="n">
        <v>189</v>
      </c>
      <c r="P2859" s="96">
        <f>_xlfn.XLOOKUP(Tabla5[[#This Row],[EAN CORREGIDO]],'Tabla Articulos'!B:B,'Tabla Articulos'!D:D)</f>
        <v/>
      </c>
      <c r="Q2859" s="96">
        <f>_xlfn.XLOOKUP(S2859,'Tabla Articulos'!B:B,'Tabla Articulos'!E:E)</f>
        <v/>
      </c>
      <c r="R2859" s="96">
        <f>O2859*Q2859</f>
        <v/>
      </c>
      <c r="S2859" s="97">
        <f>TRIM(E2859)</f>
        <v/>
      </c>
    </row>
    <row r="2860" hidden="1">
      <c r="A2860" s="22" t="n">
        <v>2</v>
      </c>
      <c r="B2860" t="inlineStr">
        <is>
          <t xml:space="preserve">CD CIUDADELA                  </t>
        </is>
      </c>
      <c r="C2860" t="inlineStr">
        <is>
          <t xml:space="preserve">GRUPO L.                      </t>
        </is>
      </c>
      <c r="D2860" t="inlineStr">
        <is>
          <t>SERVILLETA DESC S/LOGO</t>
        </is>
      </c>
      <c r="E2860" t="inlineStr">
        <is>
          <t xml:space="preserve">7798188651727       </t>
        </is>
      </c>
      <c r="F2860" t="n">
        <v>2016626</v>
      </c>
      <c r="G2860" t="inlineStr">
        <is>
          <t xml:space="preserve">SERVILLETA S/LOGO 30X30X1000U      </t>
        </is>
      </c>
      <c r="H2860" t="inlineStr">
        <is>
          <t xml:space="preserve">UNIDAD              </t>
        </is>
      </c>
      <c r="I2860" t="n">
        <v>123</v>
      </c>
      <c r="J2860" t="n">
        <v>0</v>
      </c>
      <c r="K2860" t="n">
        <v>0</v>
      </c>
      <c r="L2860" t="n">
        <v>21</v>
      </c>
      <c r="M2860" t="n">
        <v>21</v>
      </c>
      <c r="N2860" t="n">
        <v>0</v>
      </c>
      <c r="O2860" t="n">
        <v>81</v>
      </c>
      <c r="P2860" s="96">
        <f>_xlfn.XLOOKUP(Tabla5[[#This Row],[EAN CORREGIDO]],'Tabla Articulos'!B:B,'Tabla Articulos'!D:D)</f>
        <v/>
      </c>
      <c r="Q2860" s="96">
        <f>_xlfn.XLOOKUP(S2860,'Tabla Articulos'!B:B,'Tabla Articulos'!E:E)</f>
        <v/>
      </c>
      <c r="R2860" s="96">
        <f>O2860*Q2860</f>
        <v/>
      </c>
      <c r="S2860" s="97">
        <f>TRIM(E2860)</f>
        <v/>
      </c>
    </row>
    <row r="2861" hidden="1">
      <c r="A2861" s="22" t="n">
        <v>2</v>
      </c>
      <c r="B2861" t="inlineStr">
        <is>
          <t xml:space="preserve">CD CIUDADELA                  </t>
        </is>
      </c>
      <c r="C2861" t="inlineStr">
        <is>
          <t xml:space="preserve">GRUPO L.                      </t>
        </is>
      </c>
      <c r="D2861" t="inlineStr">
        <is>
          <t>NUEZ CUARTA</t>
        </is>
      </c>
      <c r="E2861" t="inlineStr">
        <is>
          <t xml:space="preserve">724751080240        </t>
        </is>
      </c>
      <c r="F2861" t="n">
        <v>4024234</v>
      </c>
      <c r="G2861" t="inlineStr">
        <is>
          <t xml:space="preserve">NUEZ PELADA CUARTO X1KG P.GOURMET  </t>
        </is>
      </c>
      <c r="H2861" t="inlineStr">
        <is>
          <t xml:space="preserve">UNIDAD              </t>
        </is>
      </c>
      <c r="I2861" t="n">
        <v>33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33</v>
      </c>
      <c r="P2861" s="96">
        <f>_xlfn.XLOOKUP(Tabla5[[#This Row],[EAN CORREGIDO]],'Tabla Articulos'!B:B,'Tabla Articulos'!D:D)</f>
        <v/>
      </c>
      <c r="Q2861" s="96">
        <f>_xlfn.XLOOKUP(S2861,'Tabla Articulos'!B:B,'Tabla Articulos'!E:E)</f>
        <v/>
      </c>
      <c r="R2861" s="96">
        <f>O2861*Q2861</f>
        <v/>
      </c>
      <c r="S2861" s="97">
        <f>TRIM(E2861)</f>
        <v/>
      </c>
    </row>
    <row r="2862" hidden="1">
      <c r="A2862" s="22" t="n">
        <v>2</v>
      </c>
      <c r="B2862" t="inlineStr">
        <is>
          <t xml:space="preserve">CD CIUDADELA                  </t>
        </is>
      </c>
      <c r="C2862" t="inlineStr">
        <is>
          <t xml:space="preserve">GRUPO L.                      </t>
        </is>
      </c>
      <c r="D2862" t="inlineStr">
        <is>
          <t>POLLO T9 NO ADITIVADO</t>
        </is>
      </c>
      <c r="E2862" t="inlineStr">
        <is>
          <t xml:space="preserve">779804920005        </t>
        </is>
      </c>
      <c r="F2862" t="n">
        <v>4021441</v>
      </c>
      <c r="G2862" t="inlineStr">
        <is>
          <t xml:space="preserve">POLLO GOURMET REFRI T9 XUN         </t>
        </is>
      </c>
      <c r="H2862" t="inlineStr">
        <is>
          <t xml:space="preserve">UNIDAD              </t>
        </is>
      </c>
      <c r="I2862" t="n">
        <v>9</v>
      </c>
      <c r="J2862" t="n">
        <v>0</v>
      </c>
      <c r="K2862" t="n">
        <v>0</v>
      </c>
      <c r="L2862" t="n">
        <v>0</v>
      </c>
      <c r="M2862" t="n">
        <v>0</v>
      </c>
      <c r="N2862" t="n">
        <v>46</v>
      </c>
      <c r="O2862" t="n">
        <v>-37</v>
      </c>
      <c r="P2862" s="96">
        <f>_xlfn.XLOOKUP(Tabla5[[#This Row],[EAN CORREGIDO]],'Tabla Articulos'!B:B,'Tabla Articulos'!D:D)</f>
        <v/>
      </c>
      <c r="Q2862" s="96">
        <f>_xlfn.XLOOKUP(S2862,'Tabla Articulos'!B:B,'Tabla Articulos'!E:E)</f>
        <v/>
      </c>
      <c r="R2862" s="96">
        <f>O2862*Q2862</f>
        <v/>
      </c>
      <c r="S2862" s="97">
        <f>TRIM(E2862)</f>
        <v/>
      </c>
    </row>
    <row r="2863" hidden="1">
      <c r="A2863" s="22" t="n">
        <v>2</v>
      </c>
      <c r="B2863" t="inlineStr">
        <is>
          <t xml:space="preserve">CD CIUDADELA                  </t>
        </is>
      </c>
      <c r="C2863" t="inlineStr">
        <is>
          <t xml:space="preserve">GRUPO L.                      </t>
        </is>
      </c>
      <c r="D2863" t="inlineStr">
        <is>
          <t>OBLEAS</t>
        </is>
      </c>
      <c r="E2863" t="inlineStr">
        <is>
          <t xml:space="preserve">7793123160265       </t>
        </is>
      </c>
      <c r="F2863" t="n">
        <v>4049169</v>
      </c>
      <c r="G2863" t="inlineStr">
        <is>
          <t xml:space="preserve">OBLEA SAB VAIN 100GR OBLITA        </t>
        </is>
      </c>
      <c r="H2863" t="inlineStr">
        <is>
          <t xml:space="preserve">UNIDAD              </t>
        </is>
      </c>
      <c r="I2863" t="n">
        <v>195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195</v>
      </c>
      <c r="P2863" s="96">
        <f>_xlfn.XLOOKUP(Tabla5[[#This Row],[EAN CORREGIDO]],'Tabla Articulos'!B:B,'Tabla Articulos'!D:D)</f>
        <v/>
      </c>
      <c r="Q2863" s="96">
        <f>_xlfn.XLOOKUP(S2863,'Tabla Articulos'!B:B,'Tabla Articulos'!E:E)</f>
        <v/>
      </c>
      <c r="R2863" s="96">
        <f>O2863*Q2863</f>
        <v/>
      </c>
      <c r="S2863" s="97">
        <f>TRIM(E2863)</f>
        <v/>
      </c>
    </row>
    <row r="2864" hidden="1">
      <c r="A2864" s="22" t="n">
        <v>2</v>
      </c>
      <c r="B2864" t="inlineStr">
        <is>
          <t xml:space="preserve">CD CIUDADELA                  </t>
        </is>
      </c>
      <c r="C2864" t="inlineStr">
        <is>
          <t xml:space="preserve">GRUPO L.                      </t>
        </is>
      </c>
      <c r="D2864" t="inlineStr">
        <is>
          <t>PAN LACTAL CAMPO</t>
        </is>
      </c>
      <c r="E2864" t="inlineStr">
        <is>
          <t xml:space="preserve">7790606000643       </t>
        </is>
      </c>
      <c r="F2864" t="n">
        <v>4018411</v>
      </c>
      <c r="G2864" t="inlineStr">
        <is>
          <t xml:space="preserve">PAN LACTAL CAMPO X540G NOLY        </t>
        </is>
      </c>
      <c r="H2864" t="inlineStr">
        <is>
          <t xml:space="preserve">UNIDAD              </t>
        </is>
      </c>
      <c r="I2864" t="n">
        <v>45</v>
      </c>
      <c r="J2864" t="n">
        <v>0</v>
      </c>
      <c r="K2864" t="n">
        <v>0</v>
      </c>
      <c r="L2864" t="n">
        <v>16</v>
      </c>
      <c r="M2864" t="n">
        <v>16</v>
      </c>
      <c r="N2864" t="n">
        <v>0</v>
      </c>
      <c r="O2864" t="n">
        <v>13</v>
      </c>
      <c r="P2864" s="96">
        <f>_xlfn.XLOOKUP(Tabla5[[#This Row],[EAN CORREGIDO]],'Tabla Articulos'!B:B,'Tabla Articulos'!D:D)</f>
        <v/>
      </c>
      <c r="Q2864" s="96">
        <f>_xlfn.XLOOKUP(S2864,'Tabla Articulos'!B:B,'Tabla Articulos'!E:E)</f>
        <v/>
      </c>
      <c r="R2864" s="96">
        <f>O2864*Q2864</f>
        <v/>
      </c>
      <c r="S2864" s="97">
        <f>TRIM(E2864)</f>
        <v/>
      </c>
    </row>
    <row r="2865" hidden="1">
      <c r="A2865" s="22" t="n">
        <v>2</v>
      </c>
      <c r="B2865" t="inlineStr">
        <is>
          <t xml:space="preserve">CD CIUDADELA                  </t>
        </is>
      </c>
      <c r="C2865" t="inlineStr">
        <is>
          <t xml:space="preserve">GRUPO L.                      </t>
        </is>
      </c>
      <c r="D2865" t="inlineStr">
        <is>
          <t>LECHE LV DESCREMADA</t>
        </is>
      </c>
      <c r="E2865" t="inlineStr">
        <is>
          <t xml:space="preserve">7791058000816       </t>
        </is>
      </c>
      <c r="F2865" t="n">
        <v>4018356</v>
      </c>
      <c r="G2865" t="inlineStr">
        <is>
          <t xml:space="preserve">LECHE LV DESC X 1 L MANFREY        </t>
        </is>
      </c>
      <c r="H2865" t="inlineStr">
        <is>
          <t xml:space="preserve">UNIDAD              </t>
        </is>
      </c>
      <c r="I2865" t="n">
        <v>551</v>
      </c>
      <c r="J2865" t="n">
        <v>0</v>
      </c>
      <c r="K2865" t="n">
        <v>0</v>
      </c>
      <c r="L2865" t="n">
        <v>219</v>
      </c>
      <c r="M2865" t="n">
        <v>219</v>
      </c>
      <c r="N2865" t="n">
        <v>0</v>
      </c>
      <c r="O2865" t="n">
        <v>113</v>
      </c>
      <c r="P2865" s="96">
        <f>_xlfn.XLOOKUP(Tabla5[[#This Row],[EAN CORREGIDO]],'Tabla Articulos'!B:B,'Tabla Articulos'!D:D)</f>
        <v/>
      </c>
      <c r="Q2865" s="96">
        <f>_xlfn.XLOOKUP(S2865,'Tabla Articulos'!B:B,'Tabla Articulos'!E:E)</f>
        <v/>
      </c>
      <c r="R2865" s="96">
        <f>O2865*Q2865</f>
        <v/>
      </c>
      <c r="S2865" s="97">
        <f>TRIM(E2865)</f>
        <v/>
      </c>
    </row>
    <row r="2866" hidden="1">
      <c r="A2866" s="22" t="n">
        <v>2</v>
      </c>
      <c r="B2866" t="inlineStr">
        <is>
          <t xml:space="preserve">CD CIUDADELA                  </t>
        </is>
      </c>
      <c r="C2866" t="inlineStr">
        <is>
          <t xml:space="preserve">GRUPO L.                      </t>
        </is>
      </c>
      <c r="D2866" t="inlineStr">
        <is>
          <t>CUCHILLOS COMPSTABLE</t>
        </is>
      </c>
      <c r="E2866" t="inlineStr">
        <is>
          <t xml:space="preserve">7790900031701       </t>
        </is>
      </c>
      <c r="F2866" t="n">
        <v>2016661</v>
      </c>
      <c r="G2866" t="inlineStr">
        <is>
          <t xml:space="preserve"> CUCHILLO 16CM COMPOSTABLE X100U   </t>
        </is>
      </c>
      <c r="H2866" t="inlineStr">
        <is>
          <t xml:space="preserve">UNIDAD              </t>
        </is>
      </c>
      <c r="I2866" t="n">
        <v>170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170</v>
      </c>
      <c r="P2866" s="96">
        <f>_xlfn.XLOOKUP(Tabla5[[#This Row],[EAN CORREGIDO]],'Tabla Articulos'!B:B,'Tabla Articulos'!D:D)</f>
        <v/>
      </c>
      <c r="Q2866" s="96">
        <f>_xlfn.XLOOKUP(S2866,'Tabla Articulos'!B:B,'Tabla Articulos'!E:E)</f>
        <v/>
      </c>
      <c r="R2866" s="96">
        <f>O2866*Q2866</f>
        <v/>
      </c>
      <c r="S2866" s="97">
        <f>TRIM(E2866)</f>
        <v/>
      </c>
    </row>
    <row r="2867" hidden="1">
      <c r="A2867" s="22" t="n">
        <v>2</v>
      </c>
      <c r="B2867" t="inlineStr">
        <is>
          <t xml:space="preserve">CD CIUDADELA                  </t>
        </is>
      </c>
      <c r="C2867" t="inlineStr">
        <is>
          <t xml:space="preserve">GRUPO L.                      </t>
        </is>
      </c>
      <c r="D2867" t="inlineStr">
        <is>
          <t>BANDEJA 101 TAPA BISAGRA</t>
        </is>
      </c>
      <c r="E2867" t="inlineStr">
        <is>
          <t xml:space="preserve">BAZ00010            </t>
        </is>
      </c>
      <c r="F2867" t="n">
        <v>2006448</v>
      </c>
      <c r="G2867" t="inlineStr">
        <is>
          <t>BAND 104 C/BIS OVAL X 50 U ECOFORMA</t>
        </is>
      </c>
      <c r="H2867" t="inlineStr">
        <is>
          <t xml:space="preserve">UNIDAD              </t>
        </is>
      </c>
      <c r="I2867" t="n">
        <v>293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293</v>
      </c>
      <c r="P2867" s="96">
        <f>_xlfn.XLOOKUP(Tabla5[[#This Row],[EAN CORREGIDO]],'Tabla Articulos'!B:B,'Tabla Articulos'!D:D)</f>
        <v/>
      </c>
      <c r="Q2867" s="96">
        <f>_xlfn.XLOOKUP(S2867,'Tabla Articulos'!B:B,'Tabla Articulos'!E:E)</f>
        <v/>
      </c>
      <c r="R2867" s="96">
        <f>O2867*Q2867</f>
        <v/>
      </c>
      <c r="S2867" s="97">
        <f>TRIM(E2867)</f>
        <v/>
      </c>
    </row>
    <row r="2868" hidden="1">
      <c r="A2868" s="22" t="n">
        <v>2</v>
      </c>
      <c r="B2868" t="inlineStr">
        <is>
          <t xml:space="preserve">CD CIUDADELA                  </t>
        </is>
      </c>
      <c r="C2868" t="inlineStr">
        <is>
          <t xml:space="preserve">GRUPO L.                      </t>
        </is>
      </c>
      <c r="D2868" t="inlineStr">
        <is>
          <t>QUESO UNTABLE INDIV</t>
        </is>
      </c>
      <c r="E2868" t="inlineStr">
        <is>
          <t xml:space="preserve">7798060852679       </t>
        </is>
      </c>
      <c r="F2868" t="n">
        <v>4018398</v>
      </c>
      <c r="G2868" t="inlineStr">
        <is>
          <t xml:space="preserve">QUESO UNT IND 20GX90U TONADITA     </t>
        </is>
      </c>
      <c r="H2868" t="inlineStr">
        <is>
          <t xml:space="preserve">UNIDAD              </t>
        </is>
      </c>
      <c r="I2868" t="n">
        <v>120</v>
      </c>
      <c r="J2868" t="n">
        <v>0</v>
      </c>
      <c r="K2868" t="n">
        <v>0</v>
      </c>
      <c r="L2868" t="n">
        <v>1</v>
      </c>
      <c r="M2868" t="n">
        <v>1</v>
      </c>
      <c r="N2868" t="n">
        <v>0</v>
      </c>
      <c r="O2868" t="n">
        <v>118</v>
      </c>
      <c r="P2868" s="96">
        <f>_xlfn.XLOOKUP(Tabla5[[#This Row],[EAN CORREGIDO]],'Tabla Articulos'!B:B,'Tabla Articulos'!D:D)</f>
        <v/>
      </c>
      <c r="Q2868" s="96">
        <f>_xlfn.XLOOKUP(S2868,'Tabla Articulos'!B:B,'Tabla Articulos'!E:E)</f>
        <v/>
      </c>
      <c r="R2868" s="96">
        <f>O2868*Q2868</f>
        <v/>
      </c>
      <c r="S2868" s="97">
        <f>TRIM(E2868)</f>
        <v/>
      </c>
    </row>
    <row r="2869" hidden="1">
      <c r="A2869" s="22" t="n">
        <v>2</v>
      </c>
      <c r="B2869" t="inlineStr">
        <is>
          <t xml:space="preserve">CD CIUDADELA                  </t>
        </is>
      </c>
      <c r="C2869" t="inlineStr">
        <is>
          <t xml:space="preserve">GRUPO L.                      </t>
        </is>
      </c>
      <c r="D2869" t="inlineStr">
        <is>
          <t>SERVILLETA DESC C/LOGO</t>
        </is>
      </c>
      <c r="E2869" t="inlineStr">
        <is>
          <t xml:space="preserve">7790000000708       </t>
        </is>
      </c>
      <c r="F2869" t="n">
        <v>2016499</v>
      </c>
      <c r="G2869" t="inlineStr">
        <is>
          <t>SERV 33X21.5 BLUE CATTERING X1000UN</t>
        </is>
      </c>
      <c r="H2869" t="inlineStr">
        <is>
          <t xml:space="preserve">UNIDAD              </t>
        </is>
      </c>
      <c r="I2869" t="n">
        <v>47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47</v>
      </c>
      <c r="P2869" s="96">
        <f>_xlfn.XLOOKUP(Tabla5[[#This Row],[EAN CORREGIDO]],'Tabla Articulos'!B:B,'Tabla Articulos'!D:D)</f>
        <v/>
      </c>
      <c r="Q2869" s="96">
        <f>_xlfn.XLOOKUP(S2869,'Tabla Articulos'!B:B,'Tabla Articulos'!E:E)</f>
        <v/>
      </c>
      <c r="R2869" s="96">
        <f>O2869*Q2869</f>
        <v/>
      </c>
      <c r="S2869" s="97">
        <f>TRIM(E2869)</f>
        <v/>
      </c>
    </row>
    <row r="2870" hidden="1">
      <c r="A2870" s="22" t="n">
        <v>2</v>
      </c>
      <c r="B2870" t="inlineStr">
        <is>
          <t xml:space="preserve">CD CIUDADELA                  </t>
        </is>
      </c>
      <c r="C2870" t="inlineStr">
        <is>
          <t xml:space="preserve">GRUPO L.                      </t>
        </is>
      </c>
      <c r="D2870" t="inlineStr">
        <is>
          <t>TE SOBRE</t>
        </is>
      </c>
      <c r="E2870" t="inlineStr">
        <is>
          <t xml:space="preserve">7798092900157       </t>
        </is>
      </c>
      <c r="F2870" t="n">
        <v>4077013</v>
      </c>
      <c r="G2870" t="inlineStr">
        <is>
          <t xml:space="preserve">TE ENSOBR X100UN BOSTON            </t>
        </is>
      </c>
      <c r="H2870" t="inlineStr">
        <is>
          <t xml:space="preserve">UNIDAD              </t>
        </is>
      </c>
      <c r="I2870" t="n">
        <v>1066</v>
      </c>
      <c r="J2870" t="n">
        <v>0</v>
      </c>
      <c r="K2870" t="n">
        <v>0</v>
      </c>
      <c r="L2870" t="n">
        <v>22</v>
      </c>
      <c r="M2870" t="n">
        <v>22</v>
      </c>
      <c r="N2870" t="n">
        <v>0</v>
      </c>
      <c r="O2870" t="n">
        <v>1022</v>
      </c>
      <c r="P2870" s="96">
        <f>_xlfn.XLOOKUP(Tabla5[[#This Row],[EAN CORREGIDO]],'Tabla Articulos'!B:B,'Tabla Articulos'!D:D)</f>
        <v/>
      </c>
      <c r="Q2870" s="96">
        <f>_xlfn.XLOOKUP(S2870,'Tabla Articulos'!B:B,'Tabla Articulos'!E:E)</f>
        <v/>
      </c>
      <c r="R2870" s="96">
        <f>O2870*Q2870</f>
        <v/>
      </c>
      <c r="S2870" s="97">
        <f>TRIM(E2870)</f>
        <v/>
      </c>
    </row>
    <row r="2871" hidden="1">
      <c r="A2871" s="22" t="n">
        <v>2</v>
      </c>
      <c r="B2871" t="inlineStr">
        <is>
          <t xml:space="preserve">CD CIUDADELA                  </t>
        </is>
      </c>
      <c r="C2871" t="inlineStr">
        <is>
          <t xml:space="preserve">GRUPO L.                      </t>
        </is>
      </c>
      <c r="D2871" t="inlineStr">
        <is>
          <t>CARNE PICADA VACUNA</t>
        </is>
      </c>
      <c r="E2871" t="inlineStr">
        <is>
          <t xml:space="preserve">7790000000596       </t>
        </is>
      </c>
      <c r="F2871" t="n">
        <v>4001074</v>
      </c>
      <c r="G2871" t="inlineStr">
        <is>
          <t xml:space="preserve">CARNE PICADA CONG ENV VAC XKG      </t>
        </is>
      </c>
      <c r="H2871" t="inlineStr">
        <is>
          <t xml:space="preserve">Kgs                 </t>
        </is>
      </c>
      <c r="I2871" t="n">
        <v>150.15</v>
      </c>
      <c r="J2871" t="n">
        <v>0</v>
      </c>
      <c r="K2871" t="n">
        <v>0</v>
      </c>
      <c r="L2871" t="n">
        <v>8</v>
      </c>
      <c r="M2871" t="n">
        <v>8</v>
      </c>
      <c r="N2871" t="n">
        <v>0</v>
      </c>
      <c r="O2871" t="n">
        <v>134.15</v>
      </c>
      <c r="P2871" s="96">
        <f>_xlfn.XLOOKUP(Tabla5[[#This Row],[EAN CORREGIDO]],'Tabla Articulos'!B:B,'Tabla Articulos'!D:D)</f>
        <v/>
      </c>
      <c r="Q2871" s="96">
        <f>_xlfn.XLOOKUP(S2871,'Tabla Articulos'!B:B,'Tabla Articulos'!E:E)</f>
        <v/>
      </c>
      <c r="R2871" s="96">
        <f>O2871*Q2871</f>
        <v/>
      </c>
      <c r="S2871" s="97">
        <f>TRIM(E2871)</f>
        <v/>
      </c>
    </row>
    <row r="2872" hidden="1">
      <c r="A2872" s="22" t="n">
        <v>2</v>
      </c>
      <c r="B2872" t="inlineStr">
        <is>
          <t xml:space="preserve">CD CIUDADELA                  </t>
        </is>
      </c>
      <c r="C2872" t="inlineStr">
        <is>
          <t xml:space="preserve">GRUPO L.                      </t>
        </is>
      </c>
      <c r="D2872" t="inlineStr">
        <is>
          <t>QUESO FRESCO</t>
        </is>
      </c>
      <c r="E2872" t="inlineStr">
        <is>
          <t xml:space="preserve">754697526823        </t>
        </is>
      </c>
      <c r="F2872" t="n">
        <v>4018280</v>
      </c>
      <c r="G2872" t="inlineStr">
        <is>
          <t xml:space="preserve">QUESO FRESCO X KG CASTELAR         </t>
        </is>
      </c>
      <c r="H2872" t="inlineStr">
        <is>
          <t xml:space="preserve">Kgs                 </t>
        </is>
      </c>
      <c r="I2872" t="n">
        <v>554.155</v>
      </c>
      <c r="J2872" t="n">
        <v>0</v>
      </c>
      <c r="K2872" t="n">
        <v>0</v>
      </c>
      <c r="L2872" t="n">
        <v>24.715</v>
      </c>
      <c r="M2872" t="n">
        <v>135.84</v>
      </c>
      <c r="N2872" t="n">
        <v>0</v>
      </c>
      <c r="O2872" t="n">
        <v>393.6</v>
      </c>
      <c r="P2872" s="96">
        <f>_xlfn.XLOOKUP(Tabla5[[#This Row],[EAN CORREGIDO]],'Tabla Articulos'!B:B,'Tabla Articulos'!D:D)</f>
        <v/>
      </c>
      <c r="Q2872" s="96">
        <f>_xlfn.XLOOKUP(S2872,'Tabla Articulos'!B:B,'Tabla Articulos'!E:E)</f>
        <v/>
      </c>
      <c r="R2872" s="96">
        <f>O2872*Q2872</f>
        <v/>
      </c>
      <c r="S2872" s="97">
        <f>TRIM(E2872)</f>
        <v/>
      </c>
    </row>
    <row r="2873" hidden="1">
      <c r="A2873" s="22" t="n">
        <v>2</v>
      </c>
      <c r="B2873" t="inlineStr">
        <is>
          <t xml:space="preserve">CD CIUDADELA                  </t>
        </is>
      </c>
      <c r="C2873" t="inlineStr">
        <is>
          <t xml:space="preserve">GRUPO L.                      </t>
        </is>
      </c>
      <c r="D2873" t="inlineStr">
        <is>
          <t>ALFAJOR SIMPLE BLANCO</t>
        </is>
      </c>
      <c r="E2873" t="inlineStr">
        <is>
          <t xml:space="preserve">77934505            </t>
        </is>
      </c>
      <c r="F2873" t="n">
        <v>4077151</v>
      </c>
      <c r="G2873" t="inlineStr">
        <is>
          <t xml:space="preserve"> ALFAJOR SIMP BCO CACHAFAZ 60GR    </t>
        </is>
      </c>
      <c r="H2873" t="inlineStr">
        <is>
          <t xml:space="preserve">UNIDAD              </t>
        </is>
      </c>
      <c r="I2873" t="n">
        <v>363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363</v>
      </c>
      <c r="P2873" s="96">
        <f>_xlfn.XLOOKUP(Tabla5[[#This Row],[EAN CORREGIDO]],'Tabla Articulos'!B:B,'Tabla Articulos'!D:D)</f>
        <v/>
      </c>
      <c r="Q2873" s="96">
        <f>_xlfn.XLOOKUP(S2873,'Tabla Articulos'!B:B,'Tabla Articulos'!E:E)</f>
        <v/>
      </c>
      <c r="R2873" s="96">
        <f>O2873*Q2873</f>
        <v/>
      </c>
      <c r="S2873" s="97">
        <f>TRIM(E2873)</f>
        <v/>
      </c>
    </row>
    <row r="2874" hidden="1">
      <c r="A2874" s="22" t="n">
        <v>2</v>
      </c>
      <c r="B2874" t="inlineStr">
        <is>
          <t xml:space="preserve">CD CIUDADELA                  </t>
        </is>
      </c>
      <c r="C2874" t="inlineStr">
        <is>
          <t xml:space="preserve">GRUPO L.                      </t>
        </is>
      </c>
      <c r="D2874" t="inlineStr">
        <is>
          <t>JUGO NARANJA</t>
        </is>
      </c>
      <c r="E2874" t="inlineStr">
        <is>
          <t xml:space="preserve">7790895648267       </t>
        </is>
      </c>
      <c r="F2874" t="n">
        <v>4017180</v>
      </c>
      <c r="G2874" t="inlineStr">
        <is>
          <t xml:space="preserve">JUGO NARANJA X1L CEPITA            </t>
        </is>
      </c>
      <c r="H2874" t="inlineStr">
        <is>
          <t xml:space="preserve">UNIDAD              </t>
        </is>
      </c>
      <c r="I2874" t="n">
        <v>370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370</v>
      </c>
      <c r="P2874" s="96">
        <f>_xlfn.XLOOKUP(Tabla5[[#This Row],[EAN CORREGIDO]],'Tabla Articulos'!B:B,'Tabla Articulos'!D:D)</f>
        <v/>
      </c>
      <c r="Q2874" s="96">
        <f>_xlfn.XLOOKUP(S2874,'Tabla Articulos'!B:B,'Tabla Articulos'!E:E)</f>
        <v/>
      </c>
      <c r="R2874" s="96">
        <f>O2874*Q2874</f>
        <v/>
      </c>
      <c r="S2874" s="97">
        <f>TRIM(E2874)</f>
        <v/>
      </c>
    </row>
    <row r="2875" hidden="1">
      <c r="A2875" s="22" t="n">
        <v>2</v>
      </c>
      <c r="B2875" t="inlineStr">
        <is>
          <t xml:space="preserve">CD CIUDADELA                  </t>
        </is>
      </c>
      <c r="C2875" t="inlineStr">
        <is>
          <t xml:space="preserve">GRUPO L.                      </t>
        </is>
      </c>
      <c r="D2875" t="inlineStr">
        <is>
          <t>CEBOLLA</t>
        </is>
      </c>
      <c r="E2875" t="inlineStr">
        <is>
          <t xml:space="preserve">7790216010032       </t>
        </is>
      </c>
      <c r="F2875" t="n">
        <v>4017997</v>
      </c>
      <c r="G2875" t="inlineStr">
        <is>
          <t xml:space="preserve">CEBOLLA X KG                       </t>
        </is>
      </c>
      <c r="H2875" t="inlineStr">
        <is>
          <t xml:space="preserve">Kgs                 </t>
        </is>
      </c>
      <c r="I2875" t="n">
        <v>1990.361</v>
      </c>
      <c r="J2875" t="n">
        <v>0</v>
      </c>
      <c r="K2875" t="n">
        <v>0</v>
      </c>
      <c r="L2875" t="n">
        <v>760.265</v>
      </c>
      <c r="M2875" t="n">
        <v>760.265</v>
      </c>
      <c r="N2875" t="n">
        <v>0</v>
      </c>
      <c r="O2875" t="n">
        <v>469.831</v>
      </c>
      <c r="P2875" s="96">
        <f>_xlfn.XLOOKUP(Tabla5[[#This Row],[EAN CORREGIDO]],'Tabla Articulos'!B:B,'Tabla Articulos'!D:D)</f>
        <v/>
      </c>
      <c r="Q2875" s="96">
        <f>_xlfn.XLOOKUP(S2875,'Tabla Articulos'!B:B,'Tabla Articulos'!E:E)</f>
        <v/>
      </c>
      <c r="R2875" s="96">
        <f>O2875*Q2875</f>
        <v/>
      </c>
      <c r="S2875" s="97">
        <f>TRIM(E2875)</f>
        <v/>
      </c>
    </row>
    <row r="2876" hidden="1">
      <c r="A2876" s="22" t="n">
        <v>2</v>
      </c>
      <c r="B2876" t="inlineStr">
        <is>
          <t xml:space="preserve">CD CIUDADELA                  </t>
        </is>
      </c>
      <c r="C2876" t="inlineStr">
        <is>
          <t xml:space="preserve">GRUPO L.                      </t>
        </is>
      </c>
      <c r="D2876" t="inlineStr">
        <is>
          <t>NUEZ MOSCADA</t>
        </is>
      </c>
      <c r="E2876" t="inlineStr">
        <is>
          <t xml:space="preserve">7793875314206       </t>
        </is>
      </c>
      <c r="F2876" t="n">
        <v>4020056</v>
      </c>
      <c r="G2876" t="inlineStr">
        <is>
          <t xml:space="preserve">NUEZ MOSCADA MOLIDA X 25G AROM     </t>
        </is>
      </c>
      <c r="H2876" t="inlineStr">
        <is>
          <t xml:space="preserve">UNIDAD              </t>
        </is>
      </c>
      <c r="I2876" t="n">
        <v>2046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2046</v>
      </c>
      <c r="P2876" s="96">
        <f>_xlfn.XLOOKUP(Tabla5[[#This Row],[EAN CORREGIDO]],'Tabla Articulos'!B:B,'Tabla Articulos'!D:D)</f>
        <v/>
      </c>
      <c r="Q2876" s="96">
        <f>_xlfn.XLOOKUP(S2876,'Tabla Articulos'!B:B,'Tabla Articulos'!E:E)</f>
        <v/>
      </c>
      <c r="R2876" s="96">
        <f>O2876*Q2876</f>
        <v/>
      </c>
      <c r="S2876" s="97">
        <f>TRIM(E2876)</f>
        <v/>
      </c>
    </row>
    <row r="2877" hidden="1">
      <c r="A2877" s="22" t="n">
        <v>2</v>
      </c>
      <c r="B2877" t="inlineStr">
        <is>
          <t xml:space="preserve">CD CIUDADELA                  </t>
        </is>
      </c>
      <c r="C2877" t="inlineStr">
        <is>
          <t xml:space="preserve">GRUPO L.                      </t>
        </is>
      </c>
      <c r="D2877" t="inlineStr">
        <is>
          <t>PIMIENTA NEGRA</t>
        </is>
      </c>
      <c r="E2877" t="inlineStr">
        <is>
          <t xml:space="preserve">7793875316934       </t>
        </is>
      </c>
      <c r="F2877" t="n">
        <v>4020096</v>
      </c>
      <c r="G2877" t="inlineStr">
        <is>
          <t>PIMIENTA NEGRA X250G AROMAS Y SABOR</t>
        </is>
      </c>
      <c r="H2877" t="inlineStr">
        <is>
          <t xml:space="preserve">UNIDAD              </t>
        </is>
      </c>
      <c r="I2877" t="n">
        <v>390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390</v>
      </c>
      <c r="P2877" s="96">
        <f>_xlfn.XLOOKUP(Tabla5[[#This Row],[EAN CORREGIDO]],'Tabla Articulos'!B:B,'Tabla Articulos'!D:D)</f>
        <v/>
      </c>
      <c r="Q2877" s="96">
        <f>_xlfn.XLOOKUP(S2877,'Tabla Articulos'!B:B,'Tabla Articulos'!E:E)</f>
        <v/>
      </c>
      <c r="R2877" s="96">
        <f>O2877*Q2877</f>
        <v/>
      </c>
      <c r="S2877" s="97">
        <f>TRIM(E2877)</f>
        <v/>
      </c>
    </row>
    <row r="2878" hidden="1">
      <c r="A2878" s="22" t="n">
        <v>2</v>
      </c>
      <c r="B2878" t="inlineStr">
        <is>
          <t xml:space="preserve">CD CIUDADELA                  </t>
        </is>
      </c>
      <c r="C2878" t="inlineStr">
        <is>
          <t xml:space="preserve">GRUPO L.                      </t>
        </is>
      </c>
      <c r="D2878" t="inlineStr">
        <is>
          <t>CHOCOLATE</t>
        </is>
      </c>
      <c r="E2878" t="inlineStr">
        <is>
          <t xml:space="preserve">7790580119133       </t>
        </is>
      </c>
      <c r="F2878" t="n">
        <v>4019003</v>
      </c>
      <c r="G2878" t="inlineStr">
        <is>
          <t xml:space="preserve">BONOBON ORIGINAL 30U X 15GRS       </t>
        </is>
      </c>
      <c r="H2878" t="inlineStr">
        <is>
          <t xml:space="preserve">UNIDAD              </t>
        </is>
      </c>
      <c r="I2878" t="n">
        <v>4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4</v>
      </c>
      <c r="P2878" s="96">
        <f>_xlfn.XLOOKUP(Tabla5[[#This Row],[EAN CORREGIDO]],'Tabla Articulos'!B:B,'Tabla Articulos'!D:D)</f>
        <v/>
      </c>
      <c r="Q2878" s="96">
        <f>_xlfn.XLOOKUP(S2878,'Tabla Articulos'!B:B,'Tabla Articulos'!E:E)</f>
        <v/>
      </c>
      <c r="R2878" s="96">
        <f>O2878*Q2878</f>
        <v/>
      </c>
      <c r="S2878" s="97">
        <f>TRIM(E2878)</f>
        <v/>
      </c>
    </row>
    <row r="2879" hidden="1">
      <c r="A2879" s="22" t="n">
        <v>2</v>
      </c>
      <c r="B2879" t="inlineStr">
        <is>
          <t xml:space="preserve">CD CIUDADELA                  </t>
        </is>
      </c>
      <c r="C2879" t="inlineStr">
        <is>
          <t xml:space="preserve">GRUPO L.                      </t>
        </is>
      </c>
      <c r="D2879" t="inlineStr">
        <is>
          <t>PANADERIA CONGELADA</t>
        </is>
      </c>
      <c r="E2879" t="inlineStr">
        <is>
          <t xml:space="preserve">7799132966511       </t>
        </is>
      </c>
      <c r="F2879" t="n">
        <v>4018525</v>
      </c>
      <c r="G2879" t="inlineStr">
        <is>
          <t xml:space="preserve">BUDIN MARMOLADO X30U SELYGEL       </t>
        </is>
      </c>
      <c r="H2879" t="inlineStr">
        <is>
          <t xml:space="preserve">UNIDAD              </t>
        </is>
      </c>
      <c r="I2879" t="n">
        <v>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2</v>
      </c>
      <c r="P2879" s="96">
        <f>_xlfn.XLOOKUP(Tabla5[[#This Row],[EAN CORREGIDO]],'Tabla Articulos'!B:B,'Tabla Articulos'!D:D)</f>
        <v/>
      </c>
      <c r="Q2879" s="96">
        <f>_xlfn.XLOOKUP(S2879,'Tabla Articulos'!B:B,'Tabla Articulos'!E:E)</f>
        <v/>
      </c>
      <c r="R2879" s="96">
        <f>O2879*Q2879</f>
        <v/>
      </c>
      <c r="S2879" s="97">
        <f>TRIM(E2879)</f>
        <v/>
      </c>
    </row>
    <row r="2880" hidden="1">
      <c r="A2880" s="22" t="n">
        <v>2</v>
      </c>
      <c r="B2880" t="inlineStr">
        <is>
          <t xml:space="preserve">CD CIUDADELA                  </t>
        </is>
      </c>
      <c r="C2880" t="inlineStr">
        <is>
          <t xml:space="preserve">GRUPO L.                      </t>
        </is>
      </c>
      <c r="D2880" t="inlineStr">
        <is>
          <t>MERMELADA FRUTILLA VIDRIO</t>
        </is>
      </c>
      <c r="E2880" t="inlineStr">
        <is>
          <t xml:space="preserve">7793360131417       </t>
        </is>
      </c>
      <c r="F2880" t="n">
        <v>4024105</v>
      </c>
      <c r="G2880" t="inlineStr">
        <is>
          <t xml:space="preserve">MERM FRUT X454GR LA CAMPAGNOLA     </t>
        </is>
      </c>
      <c r="H2880" t="inlineStr">
        <is>
          <t xml:space="preserve">UNIDAD              </t>
        </is>
      </c>
      <c r="I2880" t="n">
        <v>262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262</v>
      </c>
      <c r="P2880" s="96">
        <f>_xlfn.XLOOKUP(Tabla5[[#This Row],[EAN CORREGIDO]],'Tabla Articulos'!B:B,'Tabla Articulos'!D:D)</f>
        <v/>
      </c>
      <c r="Q2880" s="96">
        <f>_xlfn.XLOOKUP(S2880,'Tabla Articulos'!B:B,'Tabla Articulos'!E:E)</f>
        <v/>
      </c>
      <c r="R2880" s="96">
        <f>O2880*Q2880</f>
        <v/>
      </c>
      <c r="S2880" s="97">
        <f>TRIM(E2880)</f>
        <v/>
      </c>
    </row>
    <row r="2881" hidden="1">
      <c r="A2881" s="22" t="n">
        <v>2</v>
      </c>
      <c r="B2881" t="inlineStr">
        <is>
          <t xml:space="preserve">CD CIUDADELA                  </t>
        </is>
      </c>
      <c r="C2881" t="inlineStr">
        <is>
          <t xml:space="preserve">GRUPO L.                      </t>
        </is>
      </c>
      <c r="D2881" t="inlineStr">
        <is>
          <t>PALTA CONGELADA</t>
        </is>
      </c>
      <c r="E2881" t="inlineStr">
        <is>
          <t xml:space="preserve">7798184270441       </t>
        </is>
      </c>
      <c r="F2881" t="n">
        <v>4076652</v>
      </c>
      <c r="G2881" t="inlineStr">
        <is>
          <t xml:space="preserve">PALTA PULPA CONG X500G BIOMAC      </t>
        </is>
      </c>
      <c r="H2881" t="inlineStr">
        <is>
          <t xml:space="preserve">UNIDAD              </t>
        </is>
      </c>
      <c r="I2881" t="n">
        <v>32</v>
      </c>
      <c r="J2881" t="n">
        <v>0</v>
      </c>
      <c r="K2881" t="n">
        <v>0</v>
      </c>
      <c r="L2881" t="n">
        <v>16</v>
      </c>
      <c r="M2881" t="n">
        <v>16</v>
      </c>
      <c r="N2881" t="n">
        <v>0</v>
      </c>
      <c r="O2881" t="n">
        <v>0</v>
      </c>
      <c r="P2881" s="96">
        <f>_xlfn.XLOOKUP(Tabla5[[#This Row],[EAN CORREGIDO]],'Tabla Articulos'!B:B,'Tabla Articulos'!D:D)</f>
        <v/>
      </c>
      <c r="Q2881" s="96">
        <f>_xlfn.XLOOKUP(S2881,'Tabla Articulos'!B:B,'Tabla Articulos'!E:E)</f>
        <v/>
      </c>
      <c r="R2881" s="96">
        <f>O2881*Q2881</f>
        <v/>
      </c>
      <c r="S2881" s="97">
        <f>TRIM(E2881)</f>
        <v/>
      </c>
    </row>
    <row r="2882" hidden="1">
      <c r="A2882" s="22" t="n">
        <v>2</v>
      </c>
      <c r="B2882" t="inlineStr">
        <is>
          <t xml:space="preserve">CD CIUDADELA                  </t>
        </is>
      </c>
      <c r="C2882" t="inlineStr">
        <is>
          <t xml:space="preserve">GRUPO L.                      </t>
        </is>
      </c>
      <c r="D2882" t="inlineStr">
        <is>
          <t>PANADERIA CONGELADA</t>
        </is>
      </c>
      <c r="E2882" t="inlineStr">
        <is>
          <t xml:space="preserve">7799132966561       </t>
        </is>
      </c>
      <c r="F2882" t="n">
        <v>4018471</v>
      </c>
      <c r="G2882" t="inlineStr">
        <is>
          <t xml:space="preserve">COOKIE VAINI C/CHIPS DDL X30U SELY </t>
        </is>
      </c>
      <c r="H2882" t="inlineStr">
        <is>
          <t xml:space="preserve">UNIDAD              </t>
        </is>
      </c>
      <c r="I2882" t="n">
        <v>2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2</v>
      </c>
      <c r="P2882" s="96">
        <f>_xlfn.XLOOKUP(Tabla5[[#This Row],[EAN CORREGIDO]],'Tabla Articulos'!B:B,'Tabla Articulos'!D:D)</f>
        <v/>
      </c>
      <c r="Q2882" s="96">
        <f>_xlfn.XLOOKUP(S2882,'Tabla Articulos'!B:B,'Tabla Articulos'!E:E)</f>
        <v/>
      </c>
      <c r="R2882" s="96">
        <f>O2882*Q2882</f>
        <v/>
      </c>
      <c r="S2882" s="97">
        <f>TRIM(E2882)</f>
        <v/>
      </c>
    </row>
    <row r="2883" hidden="1">
      <c r="A2883" s="22" t="n">
        <v>2</v>
      </c>
      <c r="B2883" t="inlineStr">
        <is>
          <t xml:space="preserve">CD CIUDADELA                  </t>
        </is>
      </c>
      <c r="C2883" t="inlineStr">
        <is>
          <t xml:space="preserve">GRUPO L.                      </t>
        </is>
      </c>
      <c r="D2883" t="inlineStr">
        <is>
          <t>GELATINA S/SABOR</t>
        </is>
      </c>
      <c r="E2883" t="inlineStr">
        <is>
          <t xml:space="preserve">7791113002656       </t>
        </is>
      </c>
      <c r="F2883" t="n">
        <v>4019694</v>
      </c>
      <c r="G2883" t="inlineStr">
        <is>
          <t xml:space="preserve">GELATINA S/SABOR XKG EMETH         </t>
        </is>
      </c>
      <c r="H2883" t="inlineStr">
        <is>
          <t xml:space="preserve">UNIDAD              </t>
        </is>
      </c>
      <c r="I2883" t="n">
        <v>192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192</v>
      </c>
      <c r="P2883" s="96">
        <f>_xlfn.XLOOKUP(Tabla5[[#This Row],[EAN CORREGIDO]],'Tabla Articulos'!B:B,'Tabla Articulos'!D:D)</f>
        <v/>
      </c>
      <c r="Q2883" s="96">
        <f>_xlfn.XLOOKUP(S2883,'Tabla Articulos'!B:B,'Tabla Articulos'!E:E)</f>
        <v/>
      </c>
      <c r="R2883" s="96">
        <f>O2883*Q2883</f>
        <v/>
      </c>
      <c r="S2883" s="97">
        <f>TRIM(E2883)</f>
        <v/>
      </c>
    </row>
    <row r="2884" hidden="1">
      <c r="A2884" s="22" t="n">
        <v>2</v>
      </c>
      <c r="B2884" t="inlineStr">
        <is>
          <t xml:space="preserve">CD CIUDADELA                  </t>
        </is>
      </c>
      <c r="C2884" t="inlineStr">
        <is>
          <t xml:space="preserve">GRUPO L.                      </t>
        </is>
      </c>
      <c r="D2884" t="inlineStr">
        <is>
          <t>ALFAJOR TRIPLE BLANCO</t>
        </is>
      </c>
      <c r="E2884" t="inlineStr">
        <is>
          <t xml:space="preserve">7798094220963       </t>
        </is>
      </c>
      <c r="F2884" t="n">
        <v>4019072</v>
      </c>
      <c r="G2884" t="inlineStr">
        <is>
          <t xml:space="preserve">ALFAJOR TRIPLE BLANCO X 60GR GENIO </t>
        </is>
      </c>
      <c r="H2884" t="inlineStr">
        <is>
          <t xml:space="preserve">UNIDAD              </t>
        </is>
      </c>
      <c r="I2884" t="n">
        <v>264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264</v>
      </c>
      <c r="P2884" s="96">
        <f>_xlfn.XLOOKUP(Tabla5[[#This Row],[EAN CORREGIDO]],'Tabla Articulos'!B:B,'Tabla Articulos'!D:D)</f>
        <v/>
      </c>
      <c r="Q2884" s="96">
        <f>_xlfn.XLOOKUP(S2884,'Tabla Articulos'!B:B,'Tabla Articulos'!E:E)</f>
        <v/>
      </c>
      <c r="R2884" s="96">
        <f>O2884*Q2884</f>
        <v/>
      </c>
      <c r="S2884" s="97">
        <f>TRIM(E2884)</f>
        <v/>
      </c>
    </row>
    <row r="2885" hidden="1">
      <c r="A2885" s="22" t="n">
        <v>2</v>
      </c>
      <c r="B2885" t="inlineStr">
        <is>
          <t xml:space="preserve">CD CIUDADELA                  </t>
        </is>
      </c>
      <c r="C2885" t="inlineStr">
        <is>
          <t xml:space="preserve">GRUPO L.                      </t>
        </is>
      </c>
      <c r="D2885" t="inlineStr">
        <is>
          <t xml:space="preserve">TENEDOR </t>
        </is>
      </c>
      <c r="E2885" t="inlineStr">
        <is>
          <t xml:space="preserve">7790000000523       </t>
        </is>
      </c>
      <c r="F2885" t="n">
        <v>2007577</v>
      </c>
      <c r="G2885" t="inlineStr">
        <is>
          <t xml:space="preserve">TENEDOR COMPOST 16CM X100 BIOPAC   </t>
        </is>
      </c>
      <c r="H2885" t="inlineStr">
        <is>
          <t xml:space="preserve">UNIDAD              </t>
        </is>
      </c>
      <c r="I2885" t="n">
        <v>100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100</v>
      </c>
      <c r="P2885" s="96">
        <f>_xlfn.XLOOKUP(Tabla5[[#This Row],[EAN CORREGIDO]],'Tabla Articulos'!B:B,'Tabla Articulos'!D:D)</f>
        <v/>
      </c>
      <c r="Q2885" s="96">
        <f>_xlfn.XLOOKUP(S2885,'Tabla Articulos'!B:B,'Tabla Articulos'!E:E)</f>
        <v/>
      </c>
      <c r="R2885" s="96">
        <f>O2885*Q2885</f>
        <v/>
      </c>
      <c r="S2885" s="97">
        <f>TRIM(E2885)</f>
        <v/>
      </c>
    </row>
    <row r="2886" hidden="1">
      <c r="A2886" s="22" t="n">
        <v>2</v>
      </c>
      <c r="B2886" t="inlineStr">
        <is>
          <t xml:space="preserve">CD CIUDADELA                  </t>
        </is>
      </c>
      <c r="C2886" t="inlineStr">
        <is>
          <t xml:space="preserve">GRUPO L.                      </t>
        </is>
      </c>
      <c r="D2886" t="inlineStr">
        <is>
          <t>PIONONO</t>
        </is>
      </c>
      <c r="E2886" t="inlineStr">
        <is>
          <t xml:space="preserve">7791473000019       </t>
        </is>
      </c>
      <c r="F2886" t="n">
        <v>4018545</v>
      </c>
      <c r="G2886" t="inlineStr">
        <is>
          <t xml:space="preserve">PIONONO VAINILLA X200G BON MASE    </t>
        </is>
      </c>
      <c r="H2886" t="inlineStr">
        <is>
          <t xml:space="preserve">UNIDAD              </t>
        </is>
      </c>
      <c r="I2886" t="n">
        <v>606</v>
      </c>
      <c r="J2886" t="n">
        <v>0</v>
      </c>
      <c r="K2886" t="n">
        <v>0</v>
      </c>
      <c r="L2886" t="n">
        <v>81</v>
      </c>
      <c r="M2886" t="n">
        <v>81</v>
      </c>
      <c r="N2886" t="n">
        <v>0</v>
      </c>
      <c r="O2886" t="n">
        <v>444</v>
      </c>
      <c r="P2886" s="96">
        <f>_xlfn.XLOOKUP(Tabla5[[#This Row],[EAN CORREGIDO]],'Tabla Articulos'!B:B,'Tabla Articulos'!D:D)</f>
        <v/>
      </c>
      <c r="Q2886" s="96">
        <f>_xlfn.XLOOKUP(S2886,'Tabla Articulos'!B:B,'Tabla Articulos'!E:E)</f>
        <v/>
      </c>
      <c r="R2886" s="96">
        <f>O2886*Q2886</f>
        <v/>
      </c>
      <c r="S2886" s="97">
        <f>TRIM(E2886)</f>
        <v/>
      </c>
    </row>
    <row r="2887" hidden="1">
      <c r="A2887" s="22" t="n">
        <v>2</v>
      </c>
      <c r="B2887" t="inlineStr">
        <is>
          <t xml:space="preserve">CD CIUDADELA                  </t>
        </is>
      </c>
      <c r="C2887" t="inlineStr">
        <is>
          <t xml:space="preserve">GRUPO L.                      </t>
        </is>
      </c>
      <c r="D2887" t="inlineStr">
        <is>
          <t>QUESO PARMESANO</t>
        </is>
      </c>
      <c r="E2887" t="inlineStr">
        <is>
          <t xml:space="preserve">7790212060893       </t>
        </is>
      </c>
      <c r="F2887" t="n">
        <v>4018379</v>
      </c>
      <c r="G2887" t="inlineStr">
        <is>
          <t xml:space="preserve">QUESO PARMESANO X KG               </t>
        </is>
      </c>
      <c r="H2887" t="inlineStr">
        <is>
          <t xml:space="preserve">Kgs                 </t>
        </is>
      </c>
      <c r="I2887" t="n">
        <v>19.42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19.42</v>
      </c>
      <c r="P2887" s="96">
        <f>_xlfn.XLOOKUP(Tabla5[[#This Row],[EAN CORREGIDO]],'Tabla Articulos'!B:B,'Tabla Articulos'!D:D)</f>
        <v/>
      </c>
      <c r="Q2887" s="96">
        <f>_xlfn.XLOOKUP(S2887,'Tabla Articulos'!B:B,'Tabla Articulos'!E:E)</f>
        <v/>
      </c>
      <c r="R2887" s="96">
        <f>O2887*Q2887</f>
        <v/>
      </c>
      <c r="S2887" s="97">
        <f>TRIM(E2887)</f>
        <v/>
      </c>
    </row>
    <row r="2888" hidden="1">
      <c r="A2888" s="22" t="n">
        <v>2</v>
      </c>
      <c r="B2888" t="inlineStr">
        <is>
          <t xml:space="preserve">CD CIUDADELA                  </t>
        </is>
      </c>
      <c r="C2888" t="inlineStr">
        <is>
          <t xml:space="preserve">GRUPO L.                      </t>
        </is>
      </c>
      <c r="D2888" t="inlineStr">
        <is>
          <t>BANANA</t>
        </is>
      </c>
      <c r="E2888" t="inlineStr">
        <is>
          <t xml:space="preserve">7790216020080       </t>
        </is>
      </c>
      <c r="F2888" t="n">
        <v>4018036</v>
      </c>
      <c r="G2888" t="inlineStr">
        <is>
          <t xml:space="preserve">FRUTA BANANA X KG                  </t>
        </is>
      </c>
      <c r="H2888" t="inlineStr">
        <is>
          <t xml:space="preserve">Kgs                 </t>
        </is>
      </c>
      <c r="I2888" t="n">
        <v>1548.55</v>
      </c>
      <c r="J2888" t="n">
        <v>0</v>
      </c>
      <c r="K2888" t="n">
        <v>0</v>
      </c>
      <c r="L2888" t="n">
        <v>7.05</v>
      </c>
      <c r="M2888" t="n">
        <v>7.05</v>
      </c>
      <c r="N2888" t="n">
        <v>0</v>
      </c>
      <c r="O2888" t="n">
        <v>1534.45</v>
      </c>
      <c r="P2888" s="96">
        <f>_xlfn.XLOOKUP(Tabla5[[#This Row],[EAN CORREGIDO]],'Tabla Articulos'!B:B,'Tabla Articulos'!D:D)</f>
        <v/>
      </c>
      <c r="Q2888" s="96">
        <f>_xlfn.XLOOKUP(S2888,'Tabla Articulos'!B:B,'Tabla Articulos'!E:E)</f>
        <v/>
      </c>
      <c r="R2888" s="96">
        <f>O2888*Q2888</f>
        <v/>
      </c>
      <c r="S2888" s="97">
        <f>TRIM(E2888)</f>
        <v/>
      </c>
    </row>
    <row r="2889" hidden="1">
      <c r="A2889" s="22" t="n">
        <v>2</v>
      </c>
      <c r="B2889" t="inlineStr">
        <is>
          <t xml:space="preserve">CD CIUDADELA                  </t>
        </is>
      </c>
      <c r="C2889" t="inlineStr">
        <is>
          <t xml:space="preserve">GRUPO L.                      </t>
        </is>
      </c>
      <c r="D2889" t="inlineStr">
        <is>
          <t>ARVEJA CONGELADA</t>
        </is>
      </c>
      <c r="E2889" t="inlineStr">
        <is>
          <t xml:space="preserve">7797906001950       </t>
        </is>
      </c>
      <c r="F2889" t="n">
        <v>4022319</v>
      </c>
      <c r="G2889" t="inlineStr">
        <is>
          <t xml:space="preserve">ARVEJAS CONG X2KG MCCAIN           </t>
        </is>
      </c>
      <c r="H2889" t="inlineStr">
        <is>
          <t xml:space="preserve">UNIDAD              </t>
        </is>
      </c>
      <c r="I2889" t="n">
        <v>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3</v>
      </c>
      <c r="P2889" s="96">
        <f>_xlfn.XLOOKUP(Tabla5[[#This Row],[EAN CORREGIDO]],'Tabla Articulos'!B:B,'Tabla Articulos'!D:D)</f>
        <v/>
      </c>
      <c r="Q2889" s="96">
        <f>_xlfn.XLOOKUP(S2889,'Tabla Articulos'!B:B,'Tabla Articulos'!E:E)</f>
        <v/>
      </c>
      <c r="R2889" s="96">
        <f>O2889*Q2889</f>
        <v/>
      </c>
      <c r="S2889" s="97">
        <f>TRIM(E2889)</f>
        <v/>
      </c>
    </row>
    <row r="2890" hidden="1">
      <c r="A2890" s="22" t="n">
        <v>2</v>
      </c>
      <c r="B2890" t="inlineStr">
        <is>
          <t xml:space="preserve">CD CIUDADELA                  </t>
        </is>
      </c>
      <c r="C2890" t="inlineStr">
        <is>
          <t xml:space="preserve">GRUPO L.                      </t>
        </is>
      </c>
      <c r="D2890" t="inlineStr">
        <is>
          <t>QUESO MUZARELLA</t>
        </is>
      </c>
      <c r="E2890" t="inlineStr">
        <is>
          <t xml:space="preserve">7790212060881       </t>
        </is>
      </c>
      <c r="F2890" t="n">
        <v>4018246</v>
      </c>
      <c r="G2890" t="inlineStr">
        <is>
          <t xml:space="preserve">QUESO MUZZARELLA X KG              </t>
        </is>
      </c>
      <c r="H2890" t="inlineStr">
        <is>
          <t xml:space="preserve">Kgs                 </t>
        </is>
      </c>
      <c r="I2890" t="n">
        <v>1518.02</v>
      </c>
      <c r="J2890" t="n">
        <v>0</v>
      </c>
      <c r="K2890" t="n">
        <v>0</v>
      </c>
      <c r="L2890" t="n">
        <v>112.295</v>
      </c>
      <c r="M2890" t="n">
        <v>112.295</v>
      </c>
      <c r="N2890" t="n">
        <v>0</v>
      </c>
      <c r="O2890" t="n">
        <v>1293.43</v>
      </c>
      <c r="P2890" s="96">
        <f>_xlfn.XLOOKUP(Tabla5[[#This Row],[EAN CORREGIDO]],'Tabla Articulos'!B:B,'Tabla Articulos'!D:D)</f>
        <v/>
      </c>
      <c r="Q2890" s="96">
        <f>_xlfn.XLOOKUP(S2890,'Tabla Articulos'!B:B,'Tabla Articulos'!E:E)</f>
        <v/>
      </c>
      <c r="R2890" s="96">
        <f>O2890*Q2890</f>
        <v/>
      </c>
      <c r="S2890" s="97">
        <f>TRIM(E2890)</f>
        <v/>
      </c>
    </row>
    <row r="2891" hidden="1">
      <c r="A2891" s="22" t="n">
        <v>2</v>
      </c>
      <c r="B2891" t="inlineStr">
        <is>
          <t xml:space="preserve">CD CIUDADELA                  </t>
        </is>
      </c>
      <c r="C2891" t="inlineStr">
        <is>
          <t xml:space="preserve">GRUPO L.                      </t>
        </is>
      </c>
      <c r="D2891" t="inlineStr">
        <is>
          <t>JUGO IND SOJA MANZANA</t>
        </is>
      </c>
      <c r="E2891" t="inlineStr">
        <is>
          <t xml:space="preserve">7790895643743       </t>
        </is>
      </c>
      <c r="F2891" t="n">
        <v>4019892</v>
      </c>
      <c r="G2891" t="inlineStr">
        <is>
          <t xml:space="preserve">JUGO SOJA MANZANA X200CC ADES      </t>
        </is>
      </c>
      <c r="H2891" t="inlineStr">
        <is>
          <t xml:space="preserve">UNIDAD              </t>
        </is>
      </c>
      <c r="I2891" t="n">
        <v>24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24</v>
      </c>
      <c r="P2891" s="96">
        <f>_xlfn.XLOOKUP(Tabla5[[#This Row],[EAN CORREGIDO]],'Tabla Articulos'!B:B,'Tabla Articulos'!D:D)</f>
        <v/>
      </c>
      <c r="Q2891" s="96">
        <f>_xlfn.XLOOKUP(S2891,'Tabla Articulos'!B:B,'Tabla Articulos'!E:E)</f>
        <v/>
      </c>
      <c r="R2891" s="96">
        <f>O2891*Q2891</f>
        <v/>
      </c>
      <c r="S2891" s="97">
        <f>TRIM(E2891)</f>
        <v/>
      </c>
    </row>
    <row r="2892" hidden="1">
      <c r="A2892" s="22" t="n">
        <v>2</v>
      </c>
      <c r="B2892" t="inlineStr">
        <is>
          <t xml:space="preserve">CD CIUDADELA                  </t>
        </is>
      </c>
      <c r="C2892" t="inlineStr">
        <is>
          <t xml:space="preserve">GRUPO L.                      </t>
        </is>
      </c>
      <c r="D2892" t="inlineStr">
        <is>
          <t>TOMILLO</t>
        </is>
      </c>
      <c r="E2892" t="inlineStr">
        <is>
          <t xml:space="preserve">7793875317535       </t>
        </is>
      </c>
      <c r="F2892" t="n">
        <v>4020058</v>
      </c>
      <c r="G2892" t="inlineStr">
        <is>
          <t xml:space="preserve">TOMILLO X250G AROMAS               </t>
        </is>
      </c>
      <c r="H2892" t="inlineStr">
        <is>
          <t xml:space="preserve">UNIDAD              </t>
        </is>
      </c>
      <c r="I2892" t="n">
        <v>2</v>
      </c>
      <c r="J2892" t="n">
        <v>0</v>
      </c>
      <c r="K2892" t="n">
        <v>0</v>
      </c>
      <c r="L2892" t="n">
        <v>1</v>
      </c>
      <c r="M2892" t="n">
        <v>1</v>
      </c>
      <c r="N2892" t="n">
        <v>0</v>
      </c>
      <c r="O2892" t="n">
        <v>0</v>
      </c>
      <c r="P2892" s="96">
        <f>_xlfn.XLOOKUP(Tabla5[[#This Row],[EAN CORREGIDO]],'Tabla Articulos'!B:B,'Tabla Articulos'!D:D)</f>
        <v/>
      </c>
      <c r="Q2892" s="96">
        <f>_xlfn.XLOOKUP(S2892,'Tabla Articulos'!B:B,'Tabla Articulos'!E:E)</f>
        <v/>
      </c>
      <c r="R2892" s="96">
        <f>O2892*Q2892</f>
        <v/>
      </c>
      <c r="S2892" s="97">
        <f>TRIM(E2892)</f>
        <v/>
      </c>
    </row>
    <row r="2893" hidden="1">
      <c r="A2893" s="22" t="n">
        <v>2</v>
      </c>
      <c r="B2893" t="inlineStr">
        <is>
          <t xml:space="preserve">CD CIUDADELA                  </t>
        </is>
      </c>
      <c r="C2893" t="inlineStr">
        <is>
          <t xml:space="preserve">GRUPO L.                      </t>
        </is>
      </c>
      <c r="D2893" t="inlineStr">
        <is>
          <t>CURRY</t>
        </is>
      </c>
      <c r="E2893" t="inlineStr">
        <is>
          <t xml:space="preserve">7793875329718       </t>
        </is>
      </c>
      <c r="F2893" t="n">
        <v>4022788</v>
      </c>
      <c r="G2893" t="inlineStr">
        <is>
          <t xml:space="preserve">CURRY 1 KG AROMAS Y SABORES        </t>
        </is>
      </c>
      <c r="H2893" t="inlineStr">
        <is>
          <t xml:space="preserve">UNIDAD              </t>
        </is>
      </c>
      <c r="I2893" t="n">
        <v>56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56</v>
      </c>
      <c r="P2893" s="96">
        <f>_xlfn.XLOOKUP(Tabla5[[#This Row],[EAN CORREGIDO]],'Tabla Articulos'!B:B,'Tabla Articulos'!D:D)</f>
        <v/>
      </c>
      <c r="Q2893" s="96">
        <f>_xlfn.XLOOKUP(S2893,'Tabla Articulos'!B:B,'Tabla Articulos'!E:E)</f>
        <v/>
      </c>
      <c r="R2893" s="96">
        <f>O2893*Q2893</f>
        <v/>
      </c>
      <c r="S2893" s="97">
        <f>TRIM(E2893)</f>
        <v/>
      </c>
    </row>
    <row r="2894" hidden="1">
      <c r="A2894" s="22" t="n">
        <v>2</v>
      </c>
      <c r="B2894" t="inlineStr">
        <is>
          <t xml:space="preserve">CD CIUDADELA                  </t>
        </is>
      </c>
      <c r="C2894" t="inlineStr">
        <is>
          <t xml:space="preserve">GRUPO L.                      </t>
        </is>
      </c>
      <c r="D2894" t="inlineStr">
        <is>
          <t>MANZANA SAE</t>
        </is>
      </c>
      <c r="E2894" t="inlineStr">
        <is>
          <t xml:space="preserve">7790216020084       </t>
        </is>
      </c>
      <c r="F2894" t="n">
        <v>4018060</v>
      </c>
      <c r="G2894" t="inlineStr">
        <is>
          <t xml:space="preserve">FRUTA MANZANA X KG SAE             </t>
        </is>
      </c>
      <c r="H2894" t="inlineStr">
        <is>
          <t xml:space="preserve">Kgs                 </t>
        </is>
      </c>
      <c r="I2894" t="n">
        <v>14815.36</v>
      </c>
      <c r="J2894" t="n">
        <v>0</v>
      </c>
      <c r="K2894" t="n">
        <v>0</v>
      </c>
      <c r="L2894" t="n">
        <v>3400.565</v>
      </c>
      <c r="M2894" t="n">
        <v>3414.965</v>
      </c>
      <c r="N2894" t="n">
        <v>0</v>
      </c>
      <c r="O2894" t="n">
        <v>7999.83</v>
      </c>
      <c r="P2894" s="96">
        <f>_xlfn.XLOOKUP(Tabla5[[#This Row],[EAN CORREGIDO]],'Tabla Articulos'!B:B,'Tabla Articulos'!D:D)</f>
        <v/>
      </c>
      <c r="Q2894" s="96">
        <f>_xlfn.XLOOKUP(S2894,'Tabla Articulos'!B:B,'Tabla Articulos'!E:E)</f>
        <v/>
      </c>
      <c r="R2894" s="96">
        <f>O2894*Q2894</f>
        <v/>
      </c>
      <c r="S2894" s="97">
        <f>TRIM(E2894)</f>
        <v/>
      </c>
    </row>
    <row r="2895" hidden="1">
      <c r="A2895" s="22" t="n">
        <v>2</v>
      </c>
      <c r="B2895" t="inlineStr">
        <is>
          <t xml:space="preserve">CD CIUDADELA                  </t>
        </is>
      </c>
      <c r="C2895" t="inlineStr">
        <is>
          <t xml:space="preserve">GRUPO L.                      </t>
        </is>
      </c>
      <c r="D2895" t="inlineStr">
        <is>
          <t>CACAO</t>
        </is>
      </c>
      <c r="E2895" t="inlineStr">
        <is>
          <t xml:space="preserve">8445291388062       </t>
        </is>
      </c>
      <c r="F2895" t="n">
        <v>4020604</v>
      </c>
      <c r="G2895" t="inlineStr">
        <is>
          <t xml:space="preserve">CACAO POLVO X2KG NESQUIK	          </t>
        </is>
      </c>
      <c r="H2895" t="inlineStr">
        <is>
          <t xml:space="preserve">UNIDAD              </t>
        </is>
      </c>
      <c r="I2895" t="n">
        <v>33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33</v>
      </c>
      <c r="P2895" s="96">
        <f>_xlfn.XLOOKUP(Tabla5[[#This Row],[EAN CORREGIDO]],'Tabla Articulos'!B:B,'Tabla Articulos'!D:D)</f>
        <v/>
      </c>
      <c r="Q2895" s="96">
        <f>_xlfn.XLOOKUP(S2895,'Tabla Articulos'!B:B,'Tabla Articulos'!E:E)</f>
        <v/>
      </c>
      <c r="R2895" s="96">
        <f>O2895*Q2895</f>
        <v/>
      </c>
      <c r="S2895" s="97">
        <f>TRIM(E2895)</f>
        <v/>
      </c>
    </row>
    <row r="2896" hidden="1">
      <c r="A2896" s="22" t="n">
        <v>2</v>
      </c>
      <c r="B2896" t="inlineStr">
        <is>
          <t xml:space="preserve">CD CIUDADELA                  </t>
        </is>
      </c>
      <c r="C2896" t="inlineStr">
        <is>
          <t xml:space="preserve">GRUPO L.                      </t>
        </is>
      </c>
      <c r="D2896" t="inlineStr">
        <is>
          <t>YOGUR ENTERO VAINILLA</t>
        </is>
      </c>
      <c r="E2896" t="inlineStr">
        <is>
          <t xml:space="preserve">7790787960521       </t>
        </is>
      </c>
      <c r="F2896" t="n">
        <v>4018317</v>
      </c>
      <c r="G2896" t="inlineStr">
        <is>
          <t xml:space="preserve">YOGUR ENT VAINILLA X900G ILOLA     </t>
        </is>
      </c>
      <c r="H2896" t="inlineStr">
        <is>
          <t xml:space="preserve">UNIDAD              </t>
        </is>
      </c>
      <c r="I2896" t="n">
        <v>11619</v>
      </c>
      <c r="J2896" t="n">
        <v>0</v>
      </c>
      <c r="K2896" t="n">
        <v>0</v>
      </c>
      <c r="L2896" t="n">
        <v>15</v>
      </c>
      <c r="M2896" t="n">
        <v>15</v>
      </c>
      <c r="N2896" t="n">
        <v>0</v>
      </c>
      <c r="O2896" t="n">
        <v>11589</v>
      </c>
      <c r="P2896" s="96">
        <f>_xlfn.XLOOKUP(Tabla5[[#This Row],[EAN CORREGIDO]],'Tabla Articulos'!B:B,'Tabla Articulos'!D:D)</f>
        <v/>
      </c>
      <c r="Q2896" s="96">
        <f>_xlfn.XLOOKUP(S2896,'Tabla Articulos'!B:B,'Tabla Articulos'!E:E)</f>
        <v/>
      </c>
      <c r="R2896" s="96">
        <f>O2896*Q2896</f>
        <v/>
      </c>
      <c r="S2896" s="97">
        <f>TRIM(E2896)</f>
        <v/>
      </c>
    </row>
    <row r="2897" hidden="1">
      <c r="A2897" s="22" t="n">
        <v>2</v>
      </c>
      <c r="B2897" t="inlineStr">
        <is>
          <t xml:space="preserve">CD CIUDADELA                  </t>
        </is>
      </c>
      <c r="C2897" t="inlineStr">
        <is>
          <t xml:space="preserve">GRUPO L.                      </t>
        </is>
      </c>
      <c r="D2897" t="inlineStr">
        <is>
          <t>AGUA MIN S/GAS INDIV</t>
        </is>
      </c>
      <c r="E2897" t="inlineStr">
        <is>
          <t xml:space="preserve">7790895647741       </t>
        </is>
      </c>
      <c r="F2897" t="n">
        <v>4023933</v>
      </c>
      <c r="G2897" t="inlineStr">
        <is>
          <t xml:space="preserve">AGUA BENEDICTINO S/GAS 600CC       </t>
        </is>
      </c>
      <c r="H2897" t="inlineStr">
        <is>
          <t xml:space="preserve">UNIDAD              </t>
        </is>
      </c>
      <c r="I2897" t="n">
        <v>9658</v>
      </c>
      <c r="J2897" t="n">
        <v>0</v>
      </c>
      <c r="K2897" t="n">
        <v>0</v>
      </c>
      <c r="L2897" t="n">
        <v>1312</v>
      </c>
      <c r="M2897" t="n">
        <v>1312</v>
      </c>
      <c r="N2897" t="n">
        <v>0</v>
      </c>
      <c r="O2897" t="n">
        <v>7034</v>
      </c>
      <c r="P2897" s="96">
        <f>_xlfn.XLOOKUP(Tabla5[[#This Row],[EAN CORREGIDO]],'Tabla Articulos'!B:B,'Tabla Articulos'!D:D)</f>
        <v/>
      </c>
      <c r="Q2897" s="96">
        <f>_xlfn.XLOOKUP(S2897,'Tabla Articulos'!B:B,'Tabla Articulos'!E:E)</f>
        <v/>
      </c>
      <c r="R2897" s="96">
        <f>O2897*Q2897</f>
        <v/>
      </c>
      <c r="S2897" s="97">
        <f>TRIM(E2897)</f>
        <v/>
      </c>
    </row>
    <row r="2898" hidden="1">
      <c r="A2898" s="22" t="n">
        <v>2</v>
      </c>
      <c r="B2898" t="inlineStr">
        <is>
          <t xml:space="preserve">CD CIUDADELA                  </t>
        </is>
      </c>
      <c r="C2898" t="inlineStr">
        <is>
          <t xml:space="preserve">GRUPO L.                      </t>
        </is>
      </c>
      <c r="D2898" t="inlineStr">
        <is>
          <t>POLVO HORNEAR</t>
        </is>
      </c>
      <c r="E2898" t="inlineStr">
        <is>
          <t xml:space="preserve">7791113005800       </t>
        </is>
      </c>
      <c r="F2898" t="n">
        <v>4019799</v>
      </c>
      <c r="G2898" t="inlineStr">
        <is>
          <t xml:space="preserve">POLVO HORNEAR X500G EMETH          </t>
        </is>
      </c>
      <c r="H2898" t="inlineStr">
        <is>
          <t xml:space="preserve">UNIDAD              </t>
        </is>
      </c>
      <c r="I2898" t="n">
        <v>607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607</v>
      </c>
      <c r="P2898" s="96">
        <f>_xlfn.XLOOKUP(Tabla5[[#This Row],[EAN CORREGIDO]],'Tabla Articulos'!B:B,'Tabla Articulos'!D:D)</f>
        <v/>
      </c>
      <c r="Q2898" s="96">
        <f>_xlfn.XLOOKUP(S2898,'Tabla Articulos'!B:B,'Tabla Articulos'!E:E)</f>
        <v/>
      </c>
      <c r="R2898" s="96">
        <f>O2898*Q2898</f>
        <v/>
      </c>
      <c r="S2898" s="97">
        <f>TRIM(E2898)</f>
        <v/>
      </c>
    </row>
    <row r="2899" hidden="1">
      <c r="A2899" s="22" t="n">
        <v>2</v>
      </c>
      <c r="B2899" t="inlineStr">
        <is>
          <t xml:space="preserve">CD CIUDADELA                  </t>
        </is>
      </c>
      <c r="C2899" t="inlineStr">
        <is>
          <t xml:space="preserve">GRUPO L.                      </t>
        </is>
      </c>
      <c r="D2899" t="inlineStr">
        <is>
          <t>NUGGETS POLLO</t>
        </is>
      </c>
      <c r="E2899" t="inlineStr">
        <is>
          <t xml:space="preserve">7798016105323       </t>
        </is>
      </c>
      <c r="F2899" t="n">
        <v>4017506</v>
      </c>
      <c r="G2899" t="inlineStr">
        <is>
          <t xml:space="preserve">NUGGETS DE POLLO X1KG TRES ARROYOS	</t>
        </is>
      </c>
      <c r="H2899" t="inlineStr">
        <is>
          <t xml:space="preserve">UNIDAD              </t>
        </is>
      </c>
      <c r="I2899" t="n">
        <v>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1</v>
      </c>
      <c r="P2899" s="96">
        <f>_xlfn.XLOOKUP(Tabla5[[#This Row],[EAN CORREGIDO]],'Tabla Articulos'!B:B,'Tabla Articulos'!D:D)</f>
        <v/>
      </c>
      <c r="Q2899" s="96">
        <f>_xlfn.XLOOKUP(S2899,'Tabla Articulos'!B:B,'Tabla Articulos'!E:E)</f>
        <v/>
      </c>
      <c r="R2899" s="96">
        <f>O2899*Q2899</f>
        <v/>
      </c>
      <c r="S2899" s="97">
        <f>TRIM(E2899)</f>
        <v/>
      </c>
    </row>
    <row r="2900" hidden="1">
      <c r="A2900" s="22" t="n">
        <v>2</v>
      </c>
      <c r="B2900" t="inlineStr">
        <is>
          <t xml:space="preserve">CD CIUDADELA                  </t>
        </is>
      </c>
      <c r="C2900" t="inlineStr">
        <is>
          <t xml:space="preserve">GRUPO L.                      </t>
        </is>
      </c>
      <c r="D2900" t="inlineStr">
        <is>
          <t>GALLE DULCE VAINILLA</t>
        </is>
      </c>
      <c r="E2900" t="inlineStr">
        <is>
          <t xml:space="preserve">7790040137813       </t>
        </is>
      </c>
      <c r="F2900" t="n">
        <v>4018987</v>
      </c>
      <c r="G2900" t="inlineStr">
        <is>
          <t xml:space="preserve">GALLE CON LECHE X136G MANA         </t>
        </is>
      </c>
      <c r="H2900" t="inlineStr">
        <is>
          <t xml:space="preserve">UNIDAD              </t>
        </is>
      </c>
      <c r="I2900" t="n">
        <v>170</v>
      </c>
      <c r="J2900" t="n">
        <v>0</v>
      </c>
      <c r="K2900" t="n">
        <v>0</v>
      </c>
      <c r="L2900" t="n">
        <v>32</v>
      </c>
      <c r="M2900" t="n">
        <v>32</v>
      </c>
      <c r="N2900" t="n">
        <v>0</v>
      </c>
      <c r="O2900" t="n">
        <v>106</v>
      </c>
      <c r="P2900" s="96">
        <f>_xlfn.XLOOKUP(Tabla5[[#This Row],[EAN CORREGIDO]],'Tabla Articulos'!B:B,'Tabla Articulos'!D:D)</f>
        <v/>
      </c>
      <c r="Q2900" s="96">
        <f>_xlfn.XLOOKUP(S2900,'Tabla Articulos'!B:B,'Tabla Articulos'!E:E)</f>
        <v/>
      </c>
      <c r="R2900" s="96">
        <f>O2900*Q2900</f>
        <v/>
      </c>
      <c r="S2900" s="97">
        <f>TRIM(E2900)</f>
        <v/>
      </c>
    </row>
    <row r="2901" hidden="1">
      <c r="A2901" s="22" t="n">
        <v>2</v>
      </c>
      <c r="B2901" t="inlineStr">
        <is>
          <t xml:space="preserve">CD CIUDADELA                  </t>
        </is>
      </c>
      <c r="C2901" t="inlineStr">
        <is>
          <t xml:space="preserve">GRUPO L.                      </t>
        </is>
      </c>
      <c r="D2901" t="inlineStr">
        <is>
          <t>MANZANA VERDE</t>
        </is>
      </c>
      <c r="E2901" t="inlineStr">
        <is>
          <t xml:space="preserve">7790000000825       </t>
        </is>
      </c>
      <c r="F2901" t="n">
        <v>4077220</v>
      </c>
      <c r="G2901" t="inlineStr">
        <is>
          <t xml:space="preserve">FRUTA MANZANA SMITH XKG            </t>
        </is>
      </c>
      <c r="H2901" t="inlineStr">
        <is>
          <t xml:space="preserve">Kgs                 </t>
        </is>
      </c>
      <c r="I2901" t="n">
        <v>185.9</v>
      </c>
      <c r="J2901" t="n">
        <v>0</v>
      </c>
      <c r="K2901" t="n">
        <v>0</v>
      </c>
      <c r="L2901" t="n">
        <v>36</v>
      </c>
      <c r="M2901" t="n">
        <v>36</v>
      </c>
      <c r="N2901" t="n">
        <v>0</v>
      </c>
      <c r="O2901" t="n">
        <v>113.9</v>
      </c>
      <c r="P2901" s="96">
        <f>_xlfn.XLOOKUP(Tabla5[[#This Row],[EAN CORREGIDO]],'Tabla Articulos'!B:B,'Tabla Articulos'!D:D)</f>
        <v/>
      </c>
      <c r="Q2901" s="96">
        <f>_xlfn.XLOOKUP(S2901,'Tabla Articulos'!B:B,'Tabla Articulos'!E:E)</f>
        <v/>
      </c>
      <c r="R2901" s="96">
        <f>O2901*Q2901</f>
        <v/>
      </c>
      <c r="S2901" s="97">
        <f>TRIM(E2901)</f>
        <v/>
      </c>
    </row>
    <row r="2902" hidden="1">
      <c r="A2902" s="22" t="n">
        <v>2</v>
      </c>
      <c r="B2902" t="inlineStr">
        <is>
          <t xml:space="preserve">CD CIUDADELA                  </t>
        </is>
      </c>
      <c r="C2902" t="inlineStr">
        <is>
          <t xml:space="preserve">GRUPO L.                      </t>
        </is>
      </c>
      <c r="D2902" t="inlineStr">
        <is>
          <t>FIDEOS SOPEROS</t>
        </is>
      </c>
      <c r="E2902" t="inlineStr">
        <is>
          <t xml:space="preserve">7790070320025       </t>
        </is>
      </c>
      <c r="F2902" t="n">
        <v>4024321</v>
      </c>
      <c r="G2902" t="inlineStr">
        <is>
          <t xml:space="preserve">FIDEO DEDALITO X500G MATARAZZO     </t>
        </is>
      </c>
      <c r="H2902" t="inlineStr">
        <is>
          <t xml:space="preserve">UNIDAD              </t>
        </is>
      </c>
      <c r="I2902" t="n">
        <v>507</v>
      </c>
      <c r="J2902" t="n">
        <v>0</v>
      </c>
      <c r="K2902" t="n">
        <v>0</v>
      </c>
      <c r="L2902" t="n">
        <v>6</v>
      </c>
      <c r="M2902" t="n">
        <v>6</v>
      </c>
      <c r="N2902" t="n">
        <v>0</v>
      </c>
      <c r="O2902" t="n">
        <v>495</v>
      </c>
      <c r="P2902" s="96">
        <f>_xlfn.XLOOKUP(Tabla5[[#This Row],[EAN CORREGIDO]],'Tabla Articulos'!B:B,'Tabla Articulos'!D:D)</f>
        <v/>
      </c>
      <c r="Q2902" s="96">
        <f>_xlfn.XLOOKUP(S2902,'Tabla Articulos'!B:B,'Tabla Articulos'!E:E)</f>
        <v/>
      </c>
      <c r="R2902" s="96">
        <f>O2902*Q2902</f>
        <v/>
      </c>
      <c r="S2902" s="97">
        <f>TRIM(E2902)</f>
        <v/>
      </c>
    </row>
    <row r="2903" hidden="1">
      <c r="A2903" s="22" t="n">
        <v>2</v>
      </c>
      <c r="B2903" t="inlineStr">
        <is>
          <t xml:space="preserve">CD CIUDADELA                  </t>
        </is>
      </c>
      <c r="C2903" t="inlineStr">
        <is>
          <t xml:space="preserve">GRUPO L.                      </t>
        </is>
      </c>
      <c r="D2903" t="inlineStr">
        <is>
          <t>ACEITUNA NEGRA S/C</t>
        </is>
      </c>
      <c r="E2903" t="inlineStr">
        <is>
          <t xml:space="preserve">7791675908373       </t>
        </is>
      </c>
      <c r="F2903" t="n">
        <v>4023199</v>
      </c>
      <c r="G2903" t="inlineStr">
        <is>
          <t xml:space="preserve">ACEITUNA NEGR 0.9KG CASTELL        </t>
        </is>
      </c>
      <c r="H2903" t="inlineStr">
        <is>
          <t xml:space="preserve">UNIDAD              </t>
        </is>
      </c>
      <c r="I2903" t="n">
        <v>386</v>
      </c>
      <c r="J2903" t="n">
        <v>0</v>
      </c>
      <c r="K2903" t="n">
        <v>0</v>
      </c>
      <c r="L2903" t="n">
        <v>4</v>
      </c>
      <c r="M2903" t="n">
        <v>4</v>
      </c>
      <c r="N2903" t="n">
        <v>0</v>
      </c>
      <c r="O2903" t="n">
        <v>378</v>
      </c>
      <c r="P2903" s="96">
        <f>_xlfn.XLOOKUP(Tabla5[[#This Row],[EAN CORREGIDO]],'Tabla Articulos'!B:B,'Tabla Articulos'!D:D)</f>
        <v/>
      </c>
      <c r="Q2903" s="96">
        <f>_xlfn.XLOOKUP(S2903,'Tabla Articulos'!B:B,'Tabla Articulos'!E:E)</f>
        <v/>
      </c>
      <c r="R2903" s="96">
        <f>O2903*Q2903</f>
        <v/>
      </c>
      <c r="S2903" s="97">
        <f>TRIM(E2903)</f>
        <v/>
      </c>
    </row>
    <row r="2904" hidden="1">
      <c r="A2904" s="22" t="n">
        <v>2</v>
      </c>
      <c r="B2904" t="inlineStr">
        <is>
          <t xml:space="preserve">CD CIUDADELA                  </t>
        </is>
      </c>
      <c r="C2904" t="inlineStr">
        <is>
          <t xml:space="preserve">GRUPO L.                      </t>
        </is>
      </c>
      <c r="D2904" t="inlineStr">
        <is>
          <t>EMPANADA CONG CARNE</t>
        </is>
      </c>
      <c r="E2904" t="inlineStr">
        <is>
          <t xml:space="preserve">77902113030049      </t>
        </is>
      </c>
      <c r="F2904" t="n">
        <v>4018651</v>
      </c>
      <c r="G2904" t="inlineStr">
        <is>
          <t xml:space="preserve">EMPANADA CONGELADA CARNE X50U      </t>
        </is>
      </c>
      <c r="H2904" t="inlineStr">
        <is>
          <t xml:space="preserve">UNIDAD              </t>
        </is>
      </c>
      <c r="I2904" t="n">
        <v>38</v>
      </c>
      <c r="J2904" t="n">
        <v>0</v>
      </c>
      <c r="K2904" t="n">
        <v>0</v>
      </c>
      <c r="L2904" t="n">
        <v>5</v>
      </c>
      <c r="M2904" t="n">
        <v>5</v>
      </c>
      <c r="N2904" t="n">
        <v>0</v>
      </c>
      <c r="O2904" t="n">
        <v>28</v>
      </c>
      <c r="P2904" s="96">
        <f>_xlfn.XLOOKUP(Tabla5[[#This Row],[EAN CORREGIDO]],'Tabla Articulos'!B:B,'Tabla Articulos'!D:D)</f>
        <v/>
      </c>
      <c r="Q2904" s="96">
        <f>_xlfn.XLOOKUP(S2904,'Tabla Articulos'!B:B,'Tabla Articulos'!E:E)</f>
        <v/>
      </c>
      <c r="R2904" s="96">
        <f>O2904*Q2904</f>
        <v/>
      </c>
      <c r="S2904" s="97">
        <f>TRIM(E2904)</f>
        <v/>
      </c>
    </row>
    <row r="2905" hidden="1">
      <c r="A2905" s="22" t="n">
        <v>2</v>
      </c>
      <c r="B2905" t="inlineStr">
        <is>
          <t xml:space="preserve">CD CIUDADELA                  </t>
        </is>
      </c>
      <c r="C2905" t="inlineStr">
        <is>
          <t xml:space="preserve">GRUPO L.                      </t>
        </is>
      </c>
      <c r="D2905" t="inlineStr">
        <is>
          <t>PAN HAMBURGUESA</t>
        </is>
      </c>
      <c r="E2905" t="inlineStr">
        <is>
          <t xml:space="preserve">7793890258998       </t>
        </is>
      </c>
      <c r="F2905" t="n">
        <v>4018481</v>
      </c>
      <c r="G2905" t="inlineStr">
        <is>
          <t xml:space="preserve">PAN HAMBURGUESA ARTESANO X4U BIMBO </t>
        </is>
      </c>
      <c r="H2905" t="inlineStr">
        <is>
          <t xml:space="preserve">UNIDAD              </t>
        </is>
      </c>
      <c r="I2905" t="n">
        <v>10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10</v>
      </c>
      <c r="P2905" s="96">
        <f>_xlfn.XLOOKUP(Tabla5[[#This Row],[EAN CORREGIDO]],'Tabla Articulos'!B:B,'Tabla Articulos'!D:D)</f>
        <v/>
      </c>
      <c r="Q2905" s="96">
        <f>_xlfn.XLOOKUP(S2905,'Tabla Articulos'!B:B,'Tabla Articulos'!E:E)</f>
        <v/>
      </c>
      <c r="R2905" s="96">
        <f>O2905*Q2905</f>
        <v/>
      </c>
      <c r="S2905" s="97">
        <f>TRIM(E2905)</f>
        <v/>
      </c>
    </row>
    <row r="2906" hidden="1">
      <c r="A2906" s="22" t="n">
        <v>2</v>
      </c>
      <c r="B2906" t="inlineStr">
        <is>
          <t xml:space="preserve">CD CIUDADELA                  </t>
        </is>
      </c>
      <c r="C2906" t="inlineStr">
        <is>
          <t xml:space="preserve">GRUPO L.                      </t>
        </is>
      </c>
      <c r="D2906" t="inlineStr">
        <is>
          <t>MOUSSE VAINILLA</t>
        </is>
      </c>
      <c r="E2906" t="inlineStr">
        <is>
          <t xml:space="preserve">7791270013656       </t>
        </is>
      </c>
      <c r="F2906" t="n">
        <v>4020160</v>
      </c>
      <c r="G2906" t="inlineStr">
        <is>
          <t xml:space="preserve">MOUSSE VAINILLA X500G KEUKEN       </t>
        </is>
      </c>
      <c r="H2906" t="inlineStr">
        <is>
          <t xml:space="preserve">UNIDAD              </t>
        </is>
      </c>
      <c r="I2906" t="n">
        <v>4</v>
      </c>
      <c r="J2906" t="n">
        <v>0</v>
      </c>
      <c r="K2906" t="n">
        <v>0</v>
      </c>
      <c r="L2906" t="n">
        <v>2</v>
      </c>
      <c r="M2906" t="n">
        <v>2</v>
      </c>
      <c r="N2906" t="n">
        <v>0</v>
      </c>
      <c r="O2906" t="n">
        <v>0</v>
      </c>
      <c r="P2906" s="96">
        <f>_xlfn.XLOOKUP(Tabla5[[#This Row],[EAN CORREGIDO]],'Tabla Articulos'!B:B,'Tabla Articulos'!D:D)</f>
        <v/>
      </c>
      <c r="Q2906" s="96">
        <f>_xlfn.XLOOKUP(S2906,'Tabla Articulos'!B:B,'Tabla Articulos'!E:E)</f>
        <v/>
      </c>
      <c r="R2906" s="96">
        <f>O2906*Q2906</f>
        <v/>
      </c>
      <c r="S2906" s="97">
        <f>TRIM(E2906)</f>
        <v/>
      </c>
    </row>
    <row r="2907" hidden="1">
      <c r="A2907" s="22" t="n">
        <v>2</v>
      </c>
      <c r="B2907" t="inlineStr">
        <is>
          <t xml:space="preserve">CD CIUDADELA                  </t>
        </is>
      </c>
      <c r="C2907" t="inlineStr">
        <is>
          <t xml:space="preserve">GRUPO L.                      </t>
        </is>
      </c>
      <c r="D2907" t="inlineStr">
        <is>
          <t>GELATINA ANANA LIGHT</t>
        </is>
      </c>
      <c r="E2907" t="inlineStr">
        <is>
          <t xml:space="preserve">7791113001888       </t>
        </is>
      </c>
      <c r="F2907" t="n">
        <v>4019940</v>
      </c>
      <c r="G2907" t="inlineStr">
        <is>
          <t xml:space="preserve">GELATINA ANANA LIGHT X25G EMETH    </t>
        </is>
      </c>
      <c r="H2907" t="inlineStr">
        <is>
          <t xml:space="preserve">UNIDAD              </t>
        </is>
      </c>
      <c r="I2907" t="n">
        <v>879</v>
      </c>
      <c r="J2907" t="n">
        <v>0</v>
      </c>
      <c r="K2907" t="n">
        <v>0</v>
      </c>
      <c r="L2907" t="n">
        <v>10</v>
      </c>
      <c r="M2907" t="n">
        <v>10</v>
      </c>
      <c r="N2907" t="n">
        <v>0</v>
      </c>
      <c r="O2907" t="n">
        <v>859</v>
      </c>
      <c r="P2907" s="96">
        <f>_xlfn.XLOOKUP(Tabla5[[#This Row],[EAN CORREGIDO]],'Tabla Articulos'!B:B,'Tabla Articulos'!D:D)</f>
        <v/>
      </c>
      <c r="Q2907" s="96">
        <f>_xlfn.XLOOKUP(S2907,'Tabla Articulos'!B:B,'Tabla Articulos'!E:E)</f>
        <v/>
      </c>
      <c r="R2907" s="96">
        <f>O2907*Q2907</f>
        <v/>
      </c>
      <c r="S2907" s="97">
        <f>TRIM(E2907)</f>
        <v/>
      </c>
    </row>
    <row r="2908" hidden="1">
      <c r="A2908" s="22" t="n">
        <v>2</v>
      </c>
      <c r="B2908" t="inlineStr">
        <is>
          <t xml:space="preserve">CD CIUDADELA                  </t>
        </is>
      </c>
      <c r="C2908" t="inlineStr">
        <is>
          <t xml:space="preserve">GRUPO L.                      </t>
        </is>
      </c>
      <c r="D2908" t="inlineStr">
        <is>
          <t>BOLSAS ARRANQUE</t>
        </is>
      </c>
      <c r="E2908" t="inlineStr">
        <is>
          <t xml:space="preserve">16208001A           </t>
        </is>
      </c>
      <c r="F2908" t="n">
        <v>2006408</v>
      </c>
      <c r="G2908" t="inlineStr">
        <is>
          <t xml:space="preserve">ROLLO BOLSA ARRANQUE 20 X 30       </t>
        </is>
      </c>
      <c r="H2908" t="inlineStr">
        <is>
          <t xml:space="preserve">UNIDAD              </t>
        </is>
      </c>
      <c r="I2908" t="n">
        <v>34</v>
      </c>
      <c r="J2908" t="n">
        <v>0</v>
      </c>
      <c r="K2908" t="n">
        <v>0</v>
      </c>
      <c r="L2908" t="n">
        <v>3</v>
      </c>
      <c r="M2908" t="n">
        <v>3</v>
      </c>
      <c r="N2908" t="n">
        <v>0</v>
      </c>
      <c r="O2908" t="n">
        <v>28</v>
      </c>
      <c r="P2908" s="96">
        <f>_xlfn.XLOOKUP(Tabla5[[#This Row],[EAN CORREGIDO]],'Tabla Articulos'!B:B,'Tabla Articulos'!D:D)</f>
        <v/>
      </c>
      <c r="Q2908" s="96">
        <f>_xlfn.XLOOKUP(S2908,'Tabla Articulos'!B:B,'Tabla Articulos'!E:E)</f>
        <v/>
      </c>
      <c r="R2908" s="96">
        <f>O2908*Q2908</f>
        <v/>
      </c>
      <c r="S2908" s="97">
        <f>TRIM(E2908)</f>
        <v/>
      </c>
    </row>
    <row r="2909" hidden="1">
      <c r="A2909" s="22" t="n">
        <v>2</v>
      </c>
      <c r="B2909" t="inlineStr">
        <is>
          <t xml:space="preserve">CD CIUDADELA                  </t>
        </is>
      </c>
      <c r="C2909" t="inlineStr">
        <is>
          <t xml:space="preserve">GRUPO L.                      </t>
        </is>
      </c>
      <c r="D2909" t="inlineStr">
        <is>
          <t>ACEITE OLIVA</t>
        </is>
      </c>
      <c r="E2909" t="inlineStr">
        <is>
          <t xml:space="preserve">7790199603757       </t>
        </is>
      </c>
      <c r="F2909" t="n">
        <v>4019538</v>
      </c>
      <c r="G2909" t="inlineStr">
        <is>
          <t xml:space="preserve">ACEITE OLIVA X500CC MORIXE         </t>
        </is>
      </c>
      <c r="H2909" t="inlineStr">
        <is>
          <t xml:space="preserve">UNIDAD              </t>
        </is>
      </c>
      <c r="I2909" t="n">
        <v>1310</v>
      </c>
      <c r="J2909" t="n">
        <v>0</v>
      </c>
      <c r="K2909" t="n">
        <v>0</v>
      </c>
      <c r="L2909" t="n">
        <v>29</v>
      </c>
      <c r="M2909" t="n">
        <v>29</v>
      </c>
      <c r="N2909" t="n">
        <v>0</v>
      </c>
      <c r="O2909" t="n">
        <v>1252</v>
      </c>
      <c r="P2909" s="96">
        <f>_xlfn.XLOOKUP(Tabla5[[#This Row],[EAN CORREGIDO]],'Tabla Articulos'!B:B,'Tabla Articulos'!D:D)</f>
        <v/>
      </c>
      <c r="Q2909" s="96">
        <f>_xlfn.XLOOKUP(S2909,'Tabla Articulos'!B:B,'Tabla Articulos'!E:E)</f>
        <v/>
      </c>
      <c r="R2909" s="96">
        <f>O2909*Q2909</f>
        <v/>
      </c>
      <c r="S2909" s="97">
        <f>TRIM(E2909)</f>
        <v/>
      </c>
    </row>
    <row r="2910" hidden="1">
      <c r="A2910" s="22" t="n">
        <v>2</v>
      </c>
      <c r="B2910" t="inlineStr">
        <is>
          <t xml:space="preserve">CD CIUDADELA                  </t>
        </is>
      </c>
      <c r="C2910" t="inlineStr">
        <is>
          <t xml:space="preserve">GRUPO L.                      </t>
        </is>
      </c>
      <c r="D2910" t="inlineStr">
        <is>
          <t>AZUCAR INDIV BLUE CATERING</t>
        </is>
      </c>
      <c r="E2910" t="inlineStr">
        <is>
          <t xml:space="preserve">7790150805015       </t>
        </is>
      </c>
      <c r="F2910" t="n">
        <v>4019314</v>
      </c>
      <c r="G2910" t="inlineStr">
        <is>
          <t>AZUCAR SOB X800U BLUE CATER LA VIRG</t>
        </is>
      </c>
      <c r="H2910" t="inlineStr">
        <is>
          <t xml:space="preserve">UNIDAD              </t>
        </is>
      </c>
      <c r="I2910" t="n">
        <v>340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340</v>
      </c>
      <c r="P2910" s="96">
        <f>_xlfn.XLOOKUP(Tabla5[[#This Row],[EAN CORREGIDO]],'Tabla Articulos'!B:B,'Tabla Articulos'!D:D)</f>
        <v/>
      </c>
      <c r="Q2910" s="96">
        <f>_xlfn.XLOOKUP(S2910,'Tabla Articulos'!B:B,'Tabla Articulos'!E:E)</f>
        <v/>
      </c>
      <c r="R2910" s="96">
        <f>O2910*Q2910</f>
        <v/>
      </c>
      <c r="S2910" s="97">
        <f>TRIM(E2910)</f>
        <v/>
      </c>
    </row>
    <row r="2911" hidden="1">
      <c r="A2911" s="22" t="n">
        <v>2</v>
      </c>
      <c r="B2911" t="inlineStr">
        <is>
          <t xml:space="preserve">CD CIUDADELA                  </t>
        </is>
      </c>
      <c r="C2911" t="inlineStr">
        <is>
          <t xml:space="preserve">GRUPO L.                      </t>
        </is>
      </c>
      <c r="D2911" t="inlineStr">
        <is>
          <t>ALFAJOR DE ARROZ</t>
        </is>
      </c>
      <c r="E2911" t="inlineStr">
        <is>
          <t xml:space="preserve">77987846            </t>
        </is>
      </c>
      <c r="F2911" t="n">
        <v>4019256</v>
      </c>
      <c r="G2911" t="inlineStr">
        <is>
          <t xml:space="preserve">ALFAJOR CHOCOARROZ D/L 22G LULEMUU </t>
        </is>
      </c>
      <c r="H2911" t="inlineStr">
        <is>
          <t xml:space="preserve">UNIDAD              </t>
        </is>
      </c>
      <c r="I2911" t="n">
        <v>640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640</v>
      </c>
      <c r="P2911" s="96">
        <f>_xlfn.XLOOKUP(Tabla5[[#This Row],[EAN CORREGIDO]],'Tabla Articulos'!B:B,'Tabla Articulos'!D:D)</f>
        <v/>
      </c>
      <c r="Q2911" s="96">
        <f>_xlfn.XLOOKUP(S2911,'Tabla Articulos'!B:B,'Tabla Articulos'!E:E)</f>
        <v/>
      </c>
      <c r="R2911" s="96">
        <f>O2911*Q2911</f>
        <v/>
      </c>
      <c r="S2911" s="97">
        <f>TRIM(E2911)</f>
        <v/>
      </c>
    </row>
    <row r="2912" hidden="1">
      <c r="A2912" s="22" t="n">
        <v>2</v>
      </c>
      <c r="B2912" t="inlineStr">
        <is>
          <t xml:space="preserve">CD CIUDADELA                  </t>
        </is>
      </c>
      <c r="C2912" t="inlineStr">
        <is>
          <t xml:space="preserve">GRUPO L.                      </t>
        </is>
      </c>
      <c r="D2912" t="inlineStr">
        <is>
          <t>PAN CONGELADO</t>
        </is>
      </c>
      <c r="E2912" t="inlineStr">
        <is>
          <t xml:space="preserve">17792180009361      </t>
        </is>
      </c>
      <c r="F2912" t="n">
        <v>4024759</v>
      </c>
      <c r="G2912" t="inlineStr">
        <is>
          <t xml:space="preserve">PAN MIGNON SALVADO X238U CANUELAS  </t>
        </is>
      </c>
      <c r="H2912" t="inlineStr">
        <is>
          <t xml:space="preserve">UNIDAD              </t>
        </is>
      </c>
      <c r="I2912" t="n">
        <v>19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19</v>
      </c>
      <c r="P2912" s="96">
        <f>_xlfn.XLOOKUP(Tabla5[[#This Row],[EAN CORREGIDO]],'Tabla Articulos'!B:B,'Tabla Articulos'!D:D)</f>
        <v/>
      </c>
      <c r="Q2912" s="96">
        <f>_xlfn.XLOOKUP(S2912,'Tabla Articulos'!B:B,'Tabla Articulos'!E:E)</f>
        <v/>
      </c>
      <c r="R2912" s="96">
        <f>O2912*Q2912</f>
        <v/>
      </c>
      <c r="S2912" s="97">
        <f>TRIM(E2912)</f>
        <v/>
      </c>
    </row>
    <row r="2913" hidden="1">
      <c r="A2913" s="22" t="n">
        <v>2</v>
      </c>
      <c r="B2913" t="inlineStr">
        <is>
          <t xml:space="preserve">CD CIUDADELA                  </t>
        </is>
      </c>
      <c r="C2913" t="inlineStr">
        <is>
          <t xml:space="preserve">GRUPO L.                      </t>
        </is>
      </c>
      <c r="D2913" t="inlineStr">
        <is>
          <t>HIELO</t>
        </is>
      </c>
      <c r="E2913" t="inlineStr">
        <is>
          <t xml:space="preserve">7630236784664       </t>
        </is>
      </c>
      <c r="F2913" t="n">
        <v>4021962</v>
      </c>
      <c r="G2913" t="inlineStr">
        <is>
          <t xml:space="preserve">HIELO ONETO BOLSA X15 KG           </t>
        </is>
      </c>
      <c r="H2913" t="inlineStr">
        <is>
          <t xml:space="preserve">UNIDAD              </t>
        </is>
      </c>
      <c r="I2913" t="n">
        <v>86</v>
      </c>
      <c r="J2913" t="n">
        <v>0</v>
      </c>
      <c r="K2913" t="n">
        <v>0</v>
      </c>
      <c r="L2913" t="n">
        <v>10</v>
      </c>
      <c r="M2913" t="n">
        <v>10</v>
      </c>
      <c r="N2913" t="n">
        <v>0</v>
      </c>
      <c r="O2913" t="n">
        <v>66</v>
      </c>
      <c r="P2913" s="96">
        <f>_xlfn.XLOOKUP(Tabla5[[#This Row],[EAN CORREGIDO]],'Tabla Articulos'!B:B,'Tabla Articulos'!D:D)</f>
        <v/>
      </c>
      <c r="Q2913" s="96">
        <f>_xlfn.XLOOKUP(S2913,'Tabla Articulos'!B:B,'Tabla Articulos'!E:E)</f>
        <v/>
      </c>
      <c r="R2913" s="96">
        <f>O2913*Q2913</f>
        <v/>
      </c>
      <c r="S2913" s="97">
        <f>TRIM(E2913)</f>
        <v/>
      </c>
    </row>
    <row r="2914" hidden="1">
      <c r="A2914" s="22" t="n">
        <v>2</v>
      </c>
      <c r="B2914" t="inlineStr">
        <is>
          <t xml:space="preserve">CD CIUDADELA                  </t>
        </is>
      </c>
      <c r="C2914" t="inlineStr">
        <is>
          <t xml:space="preserve">GRUPO L.                      </t>
        </is>
      </c>
      <c r="D2914" t="inlineStr">
        <is>
          <t>TAPA P/PASCUALINA REDONDA</t>
        </is>
      </c>
      <c r="E2914" t="inlineStr">
        <is>
          <t xml:space="preserve">7791218000144       </t>
        </is>
      </c>
      <c r="F2914" t="n">
        <v>4022395</v>
      </c>
      <c r="G2914" t="inlineStr">
        <is>
          <t xml:space="preserve">TAPA PASC REDONDA X2U ORALI        </t>
        </is>
      </c>
      <c r="H2914" t="inlineStr">
        <is>
          <t xml:space="preserve">UNIDAD              </t>
        </is>
      </c>
      <c r="I2914" t="n">
        <v>63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63</v>
      </c>
      <c r="P2914" s="96">
        <f>_xlfn.XLOOKUP(Tabla5[[#This Row],[EAN CORREGIDO]],'Tabla Articulos'!B:B,'Tabla Articulos'!D:D)</f>
        <v/>
      </c>
      <c r="Q2914" s="96">
        <f>_xlfn.XLOOKUP(S2914,'Tabla Articulos'!B:B,'Tabla Articulos'!E:E)</f>
        <v/>
      </c>
      <c r="R2914" s="96">
        <f>O2914*Q2914</f>
        <v/>
      </c>
      <c r="S2914" s="97">
        <f>TRIM(E2914)</f>
        <v/>
      </c>
    </row>
    <row r="2915" hidden="1">
      <c r="A2915" s="22" t="n">
        <v>2</v>
      </c>
      <c r="B2915" t="inlineStr">
        <is>
          <t xml:space="preserve">CD CIUDADELA                  </t>
        </is>
      </c>
      <c r="C2915" t="inlineStr">
        <is>
          <t xml:space="preserve">GRUPO L.                      </t>
        </is>
      </c>
      <c r="D2915" t="inlineStr">
        <is>
          <t>LECHE CON PREBIOTICOS</t>
        </is>
      </c>
      <c r="E2915" t="inlineStr">
        <is>
          <t xml:space="preserve">7790742358509       </t>
        </is>
      </c>
      <c r="F2915" t="n">
        <v>4077228</v>
      </c>
      <c r="G2915" t="inlineStr">
        <is>
          <t xml:space="preserve">LECHE C/PREBIOTICOS PET 1LT LS     </t>
        </is>
      </c>
      <c r="H2915" t="inlineStr">
        <is>
          <t xml:space="preserve">UNIDAD              </t>
        </is>
      </c>
      <c r="I2915" t="n">
        <v>16</v>
      </c>
      <c r="J2915" t="n">
        <v>15</v>
      </c>
      <c r="K2915" t="n">
        <v>0</v>
      </c>
      <c r="L2915" t="n">
        <v>0</v>
      </c>
      <c r="M2915" t="n">
        <v>0</v>
      </c>
      <c r="N2915" t="n">
        <v>0</v>
      </c>
      <c r="O2915" t="n">
        <v>31</v>
      </c>
      <c r="P2915" s="96">
        <f>_xlfn.XLOOKUP(Tabla5[[#This Row],[EAN CORREGIDO]],'Tabla Articulos'!B:B,'Tabla Articulos'!D:D)</f>
        <v/>
      </c>
      <c r="Q2915" s="96">
        <f>_xlfn.XLOOKUP(S2915,'Tabla Articulos'!B:B,'Tabla Articulos'!E:E)</f>
        <v/>
      </c>
      <c r="R2915" s="96">
        <f>O2915*Q2915</f>
        <v/>
      </c>
      <c r="S2915" s="97">
        <f>TRIM(E2915)</f>
        <v/>
      </c>
    </row>
    <row r="2916" hidden="1">
      <c r="A2916" s="22" t="n">
        <v>2</v>
      </c>
      <c r="B2916" t="inlineStr">
        <is>
          <t xml:space="preserve">CD CIUDADELA                  </t>
        </is>
      </c>
      <c r="C2916" t="inlineStr">
        <is>
          <t xml:space="preserve">GRUPO L.                      </t>
        </is>
      </c>
      <c r="D2916" t="inlineStr">
        <is>
          <t>HARINA GARBANZO</t>
        </is>
      </c>
      <c r="E2916" t="inlineStr">
        <is>
          <t xml:space="preserve">727373134100        </t>
        </is>
      </c>
      <c r="F2916" t="n">
        <v>4024646</v>
      </c>
      <c r="G2916" t="inlineStr">
        <is>
          <t xml:space="preserve">HARINA GARBAN. X1K PTO.GOURMET     </t>
        </is>
      </c>
      <c r="H2916" t="inlineStr">
        <is>
          <t xml:space="preserve">UNIDAD              </t>
        </is>
      </c>
      <c r="I2916" t="n">
        <v>147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147</v>
      </c>
      <c r="P2916" s="96">
        <f>_xlfn.XLOOKUP(Tabla5[[#This Row],[EAN CORREGIDO]],'Tabla Articulos'!B:B,'Tabla Articulos'!D:D)</f>
        <v/>
      </c>
      <c r="Q2916" s="96">
        <f>_xlfn.XLOOKUP(S2916,'Tabla Articulos'!B:B,'Tabla Articulos'!E:E)</f>
        <v/>
      </c>
      <c r="R2916" s="96">
        <f>O2916*Q2916</f>
        <v/>
      </c>
      <c r="S2916" s="97">
        <f>TRIM(E2916)</f>
        <v/>
      </c>
    </row>
    <row r="2917" hidden="1">
      <c r="A2917" s="22" t="n">
        <v>2</v>
      </c>
      <c r="B2917" t="inlineStr">
        <is>
          <t xml:space="preserve">CD CIUDADELA                  </t>
        </is>
      </c>
      <c r="C2917" t="inlineStr">
        <is>
          <t xml:space="preserve">GRUPO L.                      </t>
        </is>
      </c>
      <c r="D2917" t="inlineStr">
        <is>
          <t>PANADERIA CONGELADA</t>
        </is>
      </c>
      <c r="E2917" t="inlineStr">
        <is>
          <t xml:space="preserve">7799132966562       </t>
        </is>
      </c>
      <c r="F2917" t="n">
        <v>4018604</v>
      </c>
      <c r="G2917" t="inlineStr">
        <is>
          <t xml:space="preserve">COOKIE CHOCO C/CHIPS DDL X30U SELY </t>
        </is>
      </c>
      <c r="H2917" t="inlineStr">
        <is>
          <t xml:space="preserve">UNIDAD              </t>
        </is>
      </c>
      <c r="I2917" t="n">
        <v>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2</v>
      </c>
      <c r="P2917" s="96">
        <f>_xlfn.XLOOKUP(Tabla5[[#This Row],[EAN CORREGIDO]],'Tabla Articulos'!B:B,'Tabla Articulos'!D:D)</f>
        <v/>
      </c>
      <c r="Q2917" s="96">
        <f>_xlfn.XLOOKUP(S2917,'Tabla Articulos'!B:B,'Tabla Articulos'!E:E)</f>
        <v/>
      </c>
      <c r="R2917" s="96">
        <f>O2917*Q2917</f>
        <v/>
      </c>
      <c r="S2917" s="97">
        <f>TRIM(E2917)</f>
        <v/>
      </c>
    </row>
    <row r="2918" hidden="1">
      <c r="A2918" s="22" t="n">
        <v>2</v>
      </c>
      <c r="B2918" t="inlineStr">
        <is>
          <t xml:space="preserve">CD CIUDADELA                  </t>
        </is>
      </c>
      <c r="C2918" t="inlineStr">
        <is>
          <t xml:space="preserve">GRUPO L.                      </t>
        </is>
      </c>
      <c r="D2918" t="inlineStr">
        <is>
          <t>CURCUMA</t>
        </is>
      </c>
      <c r="E2918" t="inlineStr">
        <is>
          <t xml:space="preserve">7797234082096       </t>
        </is>
      </c>
      <c r="F2918" t="n">
        <v>4020207</v>
      </c>
      <c r="G2918" t="inlineStr">
        <is>
          <t xml:space="preserve">CURCUMA X25G PERGOLA               </t>
        </is>
      </c>
      <c r="H2918" t="inlineStr">
        <is>
          <t xml:space="preserve">UNIDAD              </t>
        </is>
      </c>
      <c r="I2918" t="n">
        <v>19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19</v>
      </c>
      <c r="P2918" s="96">
        <f>_xlfn.XLOOKUP(Tabla5[[#This Row],[EAN CORREGIDO]],'Tabla Articulos'!B:B,'Tabla Articulos'!D:D)</f>
        <v/>
      </c>
      <c r="Q2918" s="96">
        <f>_xlfn.XLOOKUP(S2918,'Tabla Articulos'!B:B,'Tabla Articulos'!E:E)</f>
        <v/>
      </c>
      <c r="R2918" s="96">
        <f>O2918*Q2918</f>
        <v/>
      </c>
      <c r="S2918" s="97">
        <f>TRIM(E2918)</f>
        <v/>
      </c>
    </row>
    <row r="2919" hidden="1">
      <c r="A2919" s="22" t="n">
        <v>2</v>
      </c>
      <c r="B2919" t="inlineStr">
        <is>
          <t xml:space="preserve">CD CIUDADELA                  </t>
        </is>
      </c>
      <c r="C2919" t="inlineStr">
        <is>
          <t xml:space="preserve">GRUPO L.                      </t>
        </is>
      </c>
      <c r="D2919" t="inlineStr">
        <is>
          <t>CUCHARAS</t>
        </is>
      </c>
      <c r="E2919" t="inlineStr">
        <is>
          <t xml:space="preserve">714604111849        </t>
        </is>
      </c>
      <c r="F2919" t="n">
        <v>2016649</v>
      </c>
      <c r="G2919" t="inlineStr">
        <is>
          <t xml:space="preserve">CUCHARA SUNDAE BCA X1000U OASIS    </t>
        </is>
      </c>
      <c r="H2919" t="inlineStr">
        <is>
          <t xml:space="preserve">UNIDAD              </t>
        </is>
      </c>
      <c r="I2919" t="n">
        <v>176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176</v>
      </c>
      <c r="P2919" s="96">
        <f>_xlfn.XLOOKUP(Tabla5[[#This Row],[EAN CORREGIDO]],'Tabla Articulos'!B:B,'Tabla Articulos'!D:D)</f>
        <v/>
      </c>
      <c r="Q2919" s="96">
        <f>_xlfn.XLOOKUP(S2919,'Tabla Articulos'!B:B,'Tabla Articulos'!E:E)</f>
        <v/>
      </c>
      <c r="R2919" s="96">
        <f>O2919*Q2919</f>
        <v/>
      </c>
      <c r="S2919" s="97">
        <f>TRIM(E2919)</f>
        <v/>
      </c>
    </row>
    <row r="2920" hidden="1">
      <c r="A2920" s="22" t="n">
        <v>2</v>
      </c>
      <c r="B2920" t="inlineStr">
        <is>
          <t xml:space="preserve">CD CIUDADELA                  </t>
        </is>
      </c>
      <c r="C2920" t="inlineStr">
        <is>
          <t xml:space="preserve">GRUPO L.                      </t>
        </is>
      </c>
      <c r="D2920" t="inlineStr">
        <is>
          <t>ACELGA</t>
        </is>
      </c>
      <c r="E2920" t="inlineStr">
        <is>
          <t xml:space="preserve">7790216010072       </t>
        </is>
      </c>
      <c r="F2920" t="n">
        <v>4017960</v>
      </c>
      <c r="G2920" t="inlineStr">
        <is>
          <t xml:space="preserve">ACELGA X KG                        </t>
        </is>
      </c>
      <c r="H2920" t="inlineStr">
        <is>
          <t xml:space="preserve">Kgs                 </t>
        </is>
      </c>
      <c r="I2920" t="n">
        <v>682.61</v>
      </c>
      <c r="J2920" t="n">
        <v>0</v>
      </c>
      <c r="K2920" t="n">
        <v>0</v>
      </c>
      <c r="L2920" t="n">
        <v>20.41</v>
      </c>
      <c r="M2920" t="n">
        <v>172.51</v>
      </c>
      <c r="N2920" t="n">
        <v>0</v>
      </c>
      <c r="O2920" t="n">
        <v>489.69</v>
      </c>
      <c r="P2920" s="96">
        <f>_xlfn.XLOOKUP(Tabla5[[#This Row],[EAN CORREGIDO]],'Tabla Articulos'!B:B,'Tabla Articulos'!D:D)</f>
        <v/>
      </c>
      <c r="Q2920" s="96">
        <f>_xlfn.XLOOKUP(S2920,'Tabla Articulos'!B:B,'Tabla Articulos'!E:E)</f>
        <v/>
      </c>
      <c r="R2920" s="96">
        <f>O2920*Q2920</f>
        <v/>
      </c>
      <c r="S2920" s="97">
        <f>TRIM(E2920)</f>
        <v/>
      </c>
    </row>
    <row r="2921" hidden="1">
      <c r="A2921" s="22" t="n">
        <v>2</v>
      </c>
      <c r="B2921" t="inlineStr">
        <is>
          <t xml:space="preserve">CD CIUDADELA                  </t>
        </is>
      </c>
      <c r="C2921" t="inlineStr">
        <is>
          <t xml:space="preserve">GRUPO L.                      </t>
        </is>
      </c>
      <c r="D2921" t="inlineStr">
        <is>
          <t>TOMATE TRITURADO</t>
        </is>
      </c>
      <c r="E2921" t="inlineStr">
        <is>
          <t xml:space="preserve">7798156760314       </t>
        </is>
      </c>
      <c r="F2921" t="n">
        <v>4020336</v>
      </c>
      <c r="G2921" t="inlineStr">
        <is>
          <t xml:space="preserve">TOMATE TRIT STACC X500G SABORES    </t>
        </is>
      </c>
      <c r="H2921" t="inlineStr">
        <is>
          <t xml:space="preserve">UNIDAD              </t>
        </is>
      </c>
      <c r="I2921" t="n">
        <v>7867</v>
      </c>
      <c r="J2921" t="n">
        <v>0</v>
      </c>
      <c r="K2921" t="n">
        <v>0</v>
      </c>
      <c r="L2921" t="n">
        <v>593</v>
      </c>
      <c r="M2921" t="n">
        <v>593</v>
      </c>
      <c r="N2921" t="n">
        <v>0</v>
      </c>
      <c r="O2921" t="n">
        <v>6681</v>
      </c>
      <c r="P2921" s="96">
        <f>_xlfn.XLOOKUP(Tabla5[[#This Row],[EAN CORREGIDO]],'Tabla Articulos'!B:B,'Tabla Articulos'!D:D)</f>
        <v/>
      </c>
      <c r="Q2921" s="96">
        <f>_xlfn.XLOOKUP(S2921,'Tabla Articulos'!B:B,'Tabla Articulos'!E:E)</f>
        <v/>
      </c>
      <c r="R2921" s="96">
        <f>O2921*Q2921</f>
        <v/>
      </c>
      <c r="S2921" s="97">
        <f>TRIM(E2921)</f>
        <v/>
      </c>
    </row>
    <row r="2922" hidden="1">
      <c r="A2922" s="22" t="n">
        <v>2</v>
      </c>
      <c r="B2922" t="inlineStr">
        <is>
          <t xml:space="preserve">CD CIUDADELA                  </t>
        </is>
      </c>
      <c r="C2922" t="inlineStr">
        <is>
          <t xml:space="preserve">GRUPO L.                      </t>
        </is>
      </c>
      <c r="D2922" t="inlineStr">
        <is>
          <t xml:space="preserve">AGUA SAB LIMON IND LIGHT </t>
        </is>
      </c>
      <c r="E2922" t="inlineStr">
        <is>
          <t xml:space="preserve">7791813402022       </t>
        </is>
      </c>
      <c r="F2922" t="n">
        <v>4022155</v>
      </c>
      <c r="G2922" t="inlineStr">
        <is>
          <t xml:space="preserve">AGUA SAB S/G LIMONETO H20H STIL    </t>
        </is>
      </c>
      <c r="H2922" t="inlineStr">
        <is>
          <t xml:space="preserve">UNIDAD              </t>
        </is>
      </c>
      <c r="I2922" t="n">
        <v>242</v>
      </c>
      <c r="J2922" t="n">
        <v>0</v>
      </c>
      <c r="K2922" t="n">
        <v>0</v>
      </c>
      <c r="L2922" t="n">
        <v>80</v>
      </c>
      <c r="M2922" t="n">
        <v>80</v>
      </c>
      <c r="N2922" t="n">
        <v>0</v>
      </c>
      <c r="O2922" t="n">
        <v>82</v>
      </c>
      <c r="P2922" s="96">
        <f>_xlfn.XLOOKUP(Tabla5[[#This Row],[EAN CORREGIDO]],'Tabla Articulos'!B:B,'Tabla Articulos'!D:D)</f>
        <v/>
      </c>
      <c r="Q2922" s="96">
        <f>_xlfn.XLOOKUP(S2922,'Tabla Articulos'!B:B,'Tabla Articulos'!E:E)</f>
        <v/>
      </c>
      <c r="R2922" s="96">
        <f>O2922*Q2922</f>
        <v/>
      </c>
      <c r="S2922" s="97">
        <f>TRIM(E2922)</f>
        <v/>
      </c>
    </row>
    <row r="2923" hidden="1">
      <c r="A2923" s="22" t="n">
        <v>2</v>
      </c>
      <c r="B2923" t="inlineStr">
        <is>
          <t xml:space="preserve">CD CIUDADELA                  </t>
        </is>
      </c>
      <c r="C2923" t="inlineStr">
        <is>
          <t xml:space="preserve">GRUPO L.                      </t>
        </is>
      </c>
      <c r="D2923" t="inlineStr">
        <is>
          <t>PAN RALLADO</t>
        </is>
      </c>
      <c r="E2923" t="inlineStr">
        <is>
          <t xml:space="preserve">7790199602910       </t>
        </is>
      </c>
      <c r="F2923" t="n">
        <v>4019750</v>
      </c>
      <c r="G2923" t="inlineStr">
        <is>
          <t xml:space="preserve">PAN RALLADO X 500GRS MORIXE        </t>
        </is>
      </c>
      <c r="H2923" t="inlineStr">
        <is>
          <t xml:space="preserve">UNIDAD              </t>
        </is>
      </c>
      <c r="I2923" t="n">
        <v>5902</v>
      </c>
      <c r="J2923" t="n">
        <v>0</v>
      </c>
      <c r="K2923" t="n">
        <v>0</v>
      </c>
      <c r="L2923" t="n">
        <v>239</v>
      </c>
      <c r="M2923" t="n">
        <v>239</v>
      </c>
      <c r="N2923" t="n">
        <v>0</v>
      </c>
      <c r="O2923" t="n">
        <v>5424</v>
      </c>
      <c r="P2923" s="96">
        <f>_xlfn.XLOOKUP(Tabla5[[#This Row],[EAN CORREGIDO]],'Tabla Articulos'!B:B,'Tabla Articulos'!D:D)</f>
        <v/>
      </c>
      <c r="Q2923" s="96">
        <f>_xlfn.XLOOKUP(S2923,'Tabla Articulos'!B:B,'Tabla Articulos'!E:E)</f>
        <v/>
      </c>
      <c r="R2923" s="96">
        <f>O2923*Q2923</f>
        <v/>
      </c>
      <c r="S2923" s="97">
        <f>TRIM(E2923)</f>
        <v/>
      </c>
    </row>
    <row r="2924" hidden="1">
      <c r="A2924" s="22" t="n">
        <v>2</v>
      </c>
      <c r="B2924" t="inlineStr">
        <is>
          <t xml:space="preserve">CD CIUDADELA                  </t>
        </is>
      </c>
      <c r="C2924" t="inlineStr">
        <is>
          <t xml:space="preserve">GRUPO L.                      </t>
        </is>
      </c>
      <c r="D2924" t="inlineStr">
        <is>
          <t>ARVEJA</t>
        </is>
      </c>
      <c r="E2924" t="inlineStr">
        <is>
          <t xml:space="preserve">7797470007426       </t>
        </is>
      </c>
      <c r="F2924" t="n">
        <v>4022238</v>
      </c>
      <c r="G2924" t="inlineStr">
        <is>
          <t xml:space="preserve">ARVEJA TETRA X 340 GRA MAROLIO     </t>
        </is>
      </c>
      <c r="H2924" t="inlineStr">
        <is>
          <t xml:space="preserve">UNIDAD              </t>
        </is>
      </c>
      <c r="I2924" t="n">
        <v>3089</v>
      </c>
      <c r="J2924" t="n">
        <v>0</v>
      </c>
      <c r="K2924" t="n">
        <v>0</v>
      </c>
      <c r="L2924" t="n">
        <v>60</v>
      </c>
      <c r="M2924" t="n">
        <v>60</v>
      </c>
      <c r="N2924" t="n">
        <v>0</v>
      </c>
      <c r="O2924" t="n">
        <v>2969</v>
      </c>
      <c r="P2924" s="96">
        <f>_xlfn.XLOOKUP(Tabla5[[#This Row],[EAN CORREGIDO]],'Tabla Articulos'!B:B,'Tabla Articulos'!D:D)</f>
        <v/>
      </c>
      <c r="Q2924" s="96">
        <f>_xlfn.XLOOKUP(S2924,'Tabla Articulos'!B:B,'Tabla Articulos'!E:E)</f>
        <v/>
      </c>
      <c r="R2924" s="96">
        <f>O2924*Q2924</f>
        <v/>
      </c>
      <c r="S2924" s="97">
        <f>TRIM(E2924)</f>
        <v/>
      </c>
    </row>
    <row r="2925" hidden="1">
      <c r="A2925" s="22" t="n">
        <v>2</v>
      </c>
      <c r="B2925" t="inlineStr">
        <is>
          <t xml:space="preserve">CD CIUDADELA                  </t>
        </is>
      </c>
      <c r="C2925" t="inlineStr">
        <is>
          <t xml:space="preserve">GRUPO L.                      </t>
        </is>
      </c>
      <c r="D2925" t="inlineStr">
        <is>
          <t>DULCE MEMBRILLO</t>
        </is>
      </c>
      <c r="E2925" t="inlineStr">
        <is>
          <t xml:space="preserve">7791113001567       </t>
        </is>
      </c>
      <c r="F2925" t="n">
        <v>4020473</v>
      </c>
      <c r="G2925" t="inlineStr">
        <is>
          <t xml:space="preserve">DULCE MEMBRILLO X500G EMETH        </t>
        </is>
      </c>
      <c r="H2925" t="inlineStr">
        <is>
          <t xml:space="preserve">UNIDAD              </t>
        </is>
      </c>
      <c r="I2925" t="n">
        <v>136</v>
      </c>
      <c r="J2925" t="n">
        <v>0</v>
      </c>
      <c r="K2925" t="n">
        <v>0</v>
      </c>
      <c r="L2925" t="n">
        <v>14</v>
      </c>
      <c r="M2925" t="n">
        <v>14</v>
      </c>
      <c r="N2925" t="n">
        <v>0</v>
      </c>
      <c r="O2925" t="n">
        <v>108</v>
      </c>
      <c r="P2925" s="96">
        <f>_xlfn.XLOOKUP(Tabla5[[#This Row],[EAN CORREGIDO]],'Tabla Articulos'!B:B,'Tabla Articulos'!D:D)</f>
        <v/>
      </c>
      <c r="Q2925" s="96">
        <f>_xlfn.XLOOKUP(S2925,'Tabla Articulos'!B:B,'Tabla Articulos'!E:E)</f>
        <v/>
      </c>
      <c r="R2925" s="96">
        <f>O2925*Q2925</f>
        <v/>
      </c>
      <c r="S2925" s="97">
        <f>TRIM(E2925)</f>
        <v/>
      </c>
    </row>
    <row r="2926" hidden="1">
      <c r="A2926" s="22" t="n">
        <v>2</v>
      </c>
      <c r="B2926" t="inlineStr">
        <is>
          <t xml:space="preserve">CD CIUDADELA                  </t>
        </is>
      </c>
      <c r="C2926" t="inlineStr">
        <is>
          <t xml:space="preserve">GRUPO L.                      </t>
        </is>
      </c>
      <c r="D2926" t="inlineStr">
        <is>
          <t>QUESO PROVOLONE</t>
        </is>
      </c>
      <c r="E2926" t="inlineStr">
        <is>
          <t xml:space="preserve">7790212060917       </t>
        </is>
      </c>
      <c r="F2926" t="n">
        <v>4018102</v>
      </c>
      <c r="G2926" t="inlineStr">
        <is>
          <t xml:space="preserve">QUESO PROVOLONE X KG	              </t>
        </is>
      </c>
      <c r="H2926" t="inlineStr">
        <is>
          <t xml:space="preserve">Kgs                 </t>
        </is>
      </c>
      <c r="I2926" t="n">
        <v>12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12</v>
      </c>
      <c r="P2926" s="96">
        <f>_xlfn.XLOOKUP(Tabla5[[#This Row],[EAN CORREGIDO]],'Tabla Articulos'!B:B,'Tabla Articulos'!D:D)</f>
        <v/>
      </c>
      <c r="Q2926" s="96">
        <f>_xlfn.XLOOKUP(S2926,'Tabla Articulos'!B:B,'Tabla Articulos'!E:E)</f>
        <v/>
      </c>
      <c r="R2926" s="96">
        <f>O2926*Q2926</f>
        <v/>
      </c>
      <c r="S2926" s="97">
        <f>TRIM(E2926)</f>
        <v/>
      </c>
    </row>
    <row r="2927" hidden="1">
      <c r="A2927" s="22" t="n">
        <v>2</v>
      </c>
      <c r="B2927" t="inlineStr">
        <is>
          <t xml:space="preserve">CD CIUDADELA                  </t>
        </is>
      </c>
      <c r="C2927" t="inlineStr">
        <is>
          <t xml:space="preserve">GRUPO L.                      </t>
        </is>
      </c>
      <c r="D2927" t="inlineStr">
        <is>
          <t>PAN LACTAL DOBLE INTEGRAL</t>
        </is>
      </c>
      <c r="E2927" t="inlineStr">
        <is>
          <t xml:space="preserve">7790606000384       </t>
        </is>
      </c>
      <c r="F2927" t="n">
        <v>4018417</v>
      </c>
      <c r="G2927" t="inlineStr">
        <is>
          <t xml:space="preserve">PAN LACTAL DOBLE IN X540G NOLY     </t>
        </is>
      </c>
      <c r="H2927" t="inlineStr">
        <is>
          <t xml:space="preserve">UNIDAD              </t>
        </is>
      </c>
      <c r="I2927" t="n">
        <v>30</v>
      </c>
      <c r="J2927" t="n">
        <v>0</v>
      </c>
      <c r="K2927" t="n">
        <v>0</v>
      </c>
      <c r="L2927" t="n">
        <v>10</v>
      </c>
      <c r="M2927" t="n">
        <v>10</v>
      </c>
      <c r="N2927" t="n">
        <v>0</v>
      </c>
      <c r="O2927" t="n">
        <v>10</v>
      </c>
      <c r="P2927" s="96">
        <f>_xlfn.XLOOKUP(Tabla5[[#This Row],[EAN CORREGIDO]],'Tabla Articulos'!B:B,'Tabla Articulos'!D:D)</f>
        <v/>
      </c>
      <c r="Q2927" s="96">
        <f>_xlfn.XLOOKUP(S2927,'Tabla Articulos'!B:B,'Tabla Articulos'!E:E)</f>
        <v/>
      </c>
      <c r="R2927" s="96">
        <f>O2927*Q2927</f>
        <v/>
      </c>
      <c r="S2927" s="97">
        <f>TRIM(E2927)</f>
        <v/>
      </c>
    </row>
    <row r="2928" hidden="1">
      <c r="A2928" s="22" t="n">
        <v>2</v>
      </c>
      <c r="B2928" t="inlineStr">
        <is>
          <t xml:space="preserve">CD CIUDADELA                  </t>
        </is>
      </c>
      <c r="C2928" t="inlineStr">
        <is>
          <t xml:space="preserve">GRUPO L.                      </t>
        </is>
      </c>
      <c r="D2928" t="inlineStr">
        <is>
          <t>ARROZ 0000</t>
        </is>
      </c>
      <c r="E2928" t="inlineStr">
        <is>
          <t xml:space="preserve">7793650000034       </t>
        </is>
      </c>
      <c r="F2928" t="n">
        <v>4020619</v>
      </c>
      <c r="G2928" t="inlineStr">
        <is>
          <t xml:space="preserve">ARROZ 0000 X1KG CAROGRAN           </t>
        </is>
      </c>
      <c r="H2928" t="inlineStr">
        <is>
          <t xml:space="preserve">UNIDAD              </t>
        </is>
      </c>
      <c r="I2928" t="n">
        <v>1471</v>
      </c>
      <c r="J2928" t="n">
        <v>0</v>
      </c>
      <c r="K2928" t="n">
        <v>0</v>
      </c>
      <c r="L2928" t="n">
        <v>18</v>
      </c>
      <c r="M2928" t="n">
        <v>18</v>
      </c>
      <c r="N2928" t="n">
        <v>0</v>
      </c>
      <c r="O2928" t="n">
        <v>1435</v>
      </c>
      <c r="P2928" s="96">
        <f>_xlfn.XLOOKUP(Tabla5[[#This Row],[EAN CORREGIDO]],'Tabla Articulos'!B:B,'Tabla Articulos'!D:D)</f>
        <v/>
      </c>
      <c r="Q2928" s="96">
        <f>_xlfn.XLOOKUP(S2928,'Tabla Articulos'!B:B,'Tabla Articulos'!E:E)</f>
        <v/>
      </c>
      <c r="R2928" s="96">
        <f>O2928*Q2928</f>
        <v/>
      </c>
      <c r="S2928" s="97">
        <f>TRIM(E2928)</f>
        <v/>
      </c>
    </row>
    <row r="2929" hidden="1">
      <c r="A2929" s="22" t="n">
        <v>2</v>
      </c>
      <c r="B2929" t="inlineStr">
        <is>
          <t xml:space="preserve">CD CIUDADELA                  </t>
        </is>
      </c>
      <c r="C2929" t="inlineStr">
        <is>
          <t xml:space="preserve">GRUPO L.                      </t>
        </is>
      </c>
      <c r="D2929" t="inlineStr">
        <is>
          <t>PEREJIL</t>
        </is>
      </c>
      <c r="E2929" t="inlineStr">
        <is>
          <t xml:space="preserve">7790216012653       </t>
        </is>
      </c>
      <c r="F2929" t="n">
        <v>4018002</v>
      </c>
      <c r="G2929" t="inlineStr">
        <is>
          <t xml:space="preserve">PEREJIL X KG                       </t>
        </is>
      </c>
      <c r="H2929" t="inlineStr">
        <is>
          <t xml:space="preserve">Kgs                 </t>
        </is>
      </c>
      <c r="I2929" t="n">
        <v>20.79</v>
      </c>
      <c r="J2929" t="n">
        <v>0</v>
      </c>
      <c r="K2929" t="n">
        <v>0</v>
      </c>
      <c r="L2929" t="n">
        <v>6.55</v>
      </c>
      <c r="M2929" t="n">
        <v>6.85</v>
      </c>
      <c r="N2929" t="n">
        <v>0</v>
      </c>
      <c r="O2929" t="n">
        <v>7.39</v>
      </c>
      <c r="P2929" s="96">
        <f>_xlfn.XLOOKUP(Tabla5[[#This Row],[EAN CORREGIDO]],'Tabla Articulos'!B:B,'Tabla Articulos'!D:D)</f>
        <v/>
      </c>
      <c r="Q2929" s="96">
        <f>_xlfn.XLOOKUP(S2929,'Tabla Articulos'!B:B,'Tabla Articulos'!E:E)</f>
        <v/>
      </c>
      <c r="R2929" s="96">
        <f>O2929*Q2929</f>
        <v/>
      </c>
      <c r="S2929" s="97">
        <f>TRIM(E2929)</f>
        <v/>
      </c>
    </row>
    <row r="2930" hidden="1">
      <c r="A2930" s="22" t="n">
        <v>2</v>
      </c>
      <c r="B2930" t="inlineStr">
        <is>
          <t xml:space="preserve">CD CIUDADELA                  </t>
        </is>
      </c>
      <c r="C2930" t="inlineStr">
        <is>
          <t xml:space="preserve">GRUPO L.                      </t>
        </is>
      </c>
      <c r="D2930" t="inlineStr">
        <is>
          <t>PANAL MEMBR CONGELADA</t>
        </is>
      </c>
      <c r="E2930" t="inlineStr">
        <is>
          <t xml:space="preserve">7790213012023       </t>
        </is>
      </c>
      <c r="F2930" t="n">
        <v>4018472</v>
      </c>
      <c r="G2930" t="inlineStr">
        <is>
          <t xml:space="preserve">PANAL MEMBRILLO 45GX120U SELYGEL   </t>
        </is>
      </c>
      <c r="H2930" t="inlineStr">
        <is>
          <t xml:space="preserve">UNIDAD              </t>
        </is>
      </c>
      <c r="I2930" t="n">
        <v>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6</v>
      </c>
      <c r="P2930" s="96">
        <f>_xlfn.XLOOKUP(Tabla5[[#This Row],[EAN CORREGIDO]],'Tabla Articulos'!B:B,'Tabla Articulos'!D:D)</f>
        <v/>
      </c>
      <c r="Q2930" s="96">
        <f>_xlfn.XLOOKUP(S2930,'Tabla Articulos'!B:B,'Tabla Articulos'!E:E)</f>
        <v/>
      </c>
      <c r="R2930" s="96">
        <f>O2930*Q2930</f>
        <v/>
      </c>
      <c r="S2930" s="97">
        <f>TRIM(E2930)</f>
        <v/>
      </c>
    </row>
    <row r="2931" hidden="1">
      <c r="A2931" s="22" t="n">
        <v>2</v>
      </c>
      <c r="B2931" t="inlineStr">
        <is>
          <t xml:space="preserve">CD CIUDADELA                  </t>
        </is>
      </c>
      <c r="C2931" t="inlineStr">
        <is>
          <t xml:space="preserve">GRUPO L.                      </t>
        </is>
      </c>
      <c r="D2931" t="inlineStr">
        <is>
          <t>VIANDA PARA CELIACOS</t>
        </is>
      </c>
      <c r="E2931" t="inlineStr">
        <is>
          <t xml:space="preserve">7798131130781       </t>
        </is>
      </c>
      <c r="F2931" t="n">
        <v>4076553</v>
      </c>
      <c r="G2931" t="inlineStr">
        <is>
          <t xml:space="preserve">EMPANADAS JAMÓN Y QUESO X2 LA DE   </t>
        </is>
      </c>
      <c r="H2931" t="inlineStr">
        <is>
          <t xml:space="preserve">UNIDAD              </t>
        </is>
      </c>
      <c r="I2931" t="n">
        <v>12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12</v>
      </c>
      <c r="P2931" s="96">
        <f>_xlfn.XLOOKUP(Tabla5[[#This Row],[EAN CORREGIDO]],'Tabla Articulos'!B:B,'Tabla Articulos'!D:D)</f>
        <v/>
      </c>
      <c r="Q2931" s="96">
        <f>_xlfn.XLOOKUP(S2931,'Tabla Articulos'!B:B,'Tabla Articulos'!E:E)</f>
        <v/>
      </c>
      <c r="R2931" s="96">
        <f>O2931*Q2931</f>
        <v/>
      </c>
      <c r="S2931" s="97">
        <f>TRIM(E2931)</f>
        <v/>
      </c>
    </row>
    <row r="2932" hidden="1">
      <c r="A2932" s="22" t="n">
        <v>2</v>
      </c>
      <c r="B2932" t="inlineStr">
        <is>
          <t xml:space="preserve">CD CIUDADELA                  </t>
        </is>
      </c>
      <c r="C2932" t="inlineStr">
        <is>
          <t xml:space="preserve">GRUPO L.                      </t>
        </is>
      </c>
      <c r="D2932" t="inlineStr">
        <is>
          <t>SALSA DE SOJA</t>
        </is>
      </c>
      <c r="E2932" t="inlineStr">
        <is>
          <t xml:space="preserve">7798048981025       </t>
        </is>
      </c>
      <c r="F2932" t="n">
        <v>4022162</v>
      </c>
      <c r="G2932" t="inlineStr">
        <is>
          <t xml:space="preserve">SALSA DE SOJA FUMEIGA 5LT          </t>
        </is>
      </c>
      <c r="H2932" t="inlineStr">
        <is>
          <t xml:space="preserve">UNIDAD              </t>
        </is>
      </c>
      <c r="I2932" t="n">
        <v>76</v>
      </c>
      <c r="J2932" t="n">
        <v>0</v>
      </c>
      <c r="K2932" t="n">
        <v>0</v>
      </c>
      <c r="L2932" t="n">
        <v>2</v>
      </c>
      <c r="M2932" t="n">
        <v>2</v>
      </c>
      <c r="N2932" t="n">
        <v>0</v>
      </c>
      <c r="O2932" t="n">
        <v>72</v>
      </c>
      <c r="P2932" s="96">
        <f>_xlfn.XLOOKUP(Tabla5[[#This Row],[EAN CORREGIDO]],'Tabla Articulos'!B:B,'Tabla Articulos'!D:D)</f>
        <v/>
      </c>
      <c r="Q2932" s="96">
        <f>_xlfn.XLOOKUP(S2932,'Tabla Articulos'!B:B,'Tabla Articulos'!E:E)</f>
        <v/>
      </c>
      <c r="R2932" s="96">
        <f>O2932*Q2932</f>
        <v/>
      </c>
      <c r="S2932" s="97">
        <f>TRIM(E2932)</f>
        <v/>
      </c>
    </row>
    <row r="2933" hidden="1">
      <c r="A2933" s="22" t="n">
        <v>2</v>
      </c>
      <c r="B2933" t="inlineStr">
        <is>
          <t xml:space="preserve">CD CIUDADELA                  </t>
        </is>
      </c>
      <c r="C2933" t="inlineStr">
        <is>
          <t xml:space="preserve">GRUPO L.                      </t>
        </is>
      </c>
      <c r="D2933" t="inlineStr">
        <is>
          <t>GUINDAS ROJAS</t>
        </is>
      </c>
      <c r="E2933" t="inlineStr">
        <is>
          <t xml:space="preserve">7791113002014       </t>
        </is>
      </c>
      <c r="F2933" t="n">
        <v>4023215</v>
      </c>
      <c r="G2933" t="inlineStr">
        <is>
          <t xml:space="preserve">GUINDAS ROJAS X5KG EMETH           </t>
        </is>
      </c>
      <c r="H2933" t="inlineStr">
        <is>
          <t xml:space="preserve">UNIDAD              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1</v>
      </c>
      <c r="P2933" s="96">
        <f>_xlfn.XLOOKUP(Tabla5[[#This Row],[EAN CORREGIDO]],'Tabla Articulos'!B:B,'Tabla Articulos'!D:D)</f>
        <v/>
      </c>
      <c r="Q2933" s="96">
        <f>_xlfn.XLOOKUP(S2933,'Tabla Articulos'!B:B,'Tabla Articulos'!E:E)</f>
        <v/>
      </c>
      <c r="R2933" s="96">
        <f>O2933*Q2933</f>
        <v/>
      </c>
      <c r="S2933" s="97">
        <f>TRIM(E2933)</f>
        <v/>
      </c>
    </row>
    <row r="2934" hidden="1">
      <c r="A2934" s="22" t="n">
        <v>2</v>
      </c>
      <c r="B2934" t="inlineStr">
        <is>
          <t xml:space="preserve">CD CIUDADELA                  </t>
        </is>
      </c>
      <c r="C2934" t="inlineStr">
        <is>
          <t xml:space="preserve">GRUPO L.                      </t>
        </is>
      </c>
      <c r="D2934" t="inlineStr">
        <is>
          <t>CARNE ENTERA</t>
        </is>
      </c>
      <c r="E2934" t="inlineStr">
        <is>
          <t xml:space="preserve">7790212030022       </t>
        </is>
      </c>
      <c r="F2934" t="n">
        <v>4017687</v>
      </c>
      <c r="G2934" t="inlineStr">
        <is>
          <t xml:space="preserve">BOLA DE LOMO ENTERA X KG           </t>
        </is>
      </c>
      <c r="H2934" t="inlineStr">
        <is>
          <t xml:space="preserve">Kgs                 </t>
        </is>
      </c>
      <c r="I2934" t="n">
        <v>1044.07</v>
      </c>
      <c r="J2934" t="n">
        <v>492.5</v>
      </c>
      <c r="K2934" t="n">
        <v>492.5</v>
      </c>
      <c r="L2934" t="n">
        <v>181</v>
      </c>
      <c r="M2934" t="n">
        <v>181</v>
      </c>
      <c r="N2934" t="n">
        <v>0</v>
      </c>
      <c r="O2934" t="n">
        <v>682.0700000000001</v>
      </c>
      <c r="P2934" s="96">
        <f>_xlfn.XLOOKUP(Tabla5[[#This Row],[EAN CORREGIDO]],'Tabla Articulos'!B:B,'Tabla Articulos'!D:D)</f>
        <v/>
      </c>
      <c r="Q2934" s="96">
        <f>_xlfn.XLOOKUP(S2934,'Tabla Articulos'!B:B,'Tabla Articulos'!E:E)</f>
        <v/>
      </c>
      <c r="R2934" s="96">
        <f>O2934*Q2934</f>
        <v/>
      </c>
      <c r="S2934" s="97">
        <f>TRIM(E2934)</f>
        <v/>
      </c>
    </row>
    <row r="2935" hidden="1">
      <c r="A2935" s="22" t="n">
        <v>2</v>
      </c>
      <c r="B2935" t="inlineStr">
        <is>
          <t xml:space="preserve">CD CIUDADELA                  </t>
        </is>
      </c>
      <c r="C2935" t="inlineStr">
        <is>
          <t xml:space="preserve">GRUPO L.                      </t>
        </is>
      </c>
      <c r="D2935" t="inlineStr">
        <is>
          <t>PREMEZCLA PARA PIZZA S/TACC</t>
        </is>
      </c>
      <c r="E2935" t="inlineStr">
        <is>
          <t xml:space="preserve">7793323024886       </t>
        </is>
      </c>
      <c r="F2935" t="n">
        <v>4022811</v>
      </c>
      <c r="G2935" t="inlineStr">
        <is>
          <t xml:space="preserve">PREMEZ PIZZA S/TACC 450G DICOMERE  </t>
        </is>
      </c>
      <c r="H2935" t="inlineStr">
        <is>
          <t xml:space="preserve">UNIDAD              </t>
        </is>
      </c>
      <c r="I2935" t="n">
        <v>68</v>
      </c>
      <c r="J2935" t="n">
        <v>0</v>
      </c>
      <c r="K2935" t="n">
        <v>0</v>
      </c>
      <c r="L2935" t="n">
        <v>10</v>
      </c>
      <c r="M2935" t="n">
        <v>10</v>
      </c>
      <c r="N2935" t="n">
        <v>0</v>
      </c>
      <c r="O2935" t="n">
        <v>48</v>
      </c>
      <c r="P2935" s="96">
        <f>_xlfn.XLOOKUP(Tabla5[[#This Row],[EAN CORREGIDO]],'Tabla Articulos'!B:B,'Tabla Articulos'!D:D)</f>
        <v/>
      </c>
      <c r="Q2935" s="96">
        <f>_xlfn.XLOOKUP(S2935,'Tabla Articulos'!B:B,'Tabla Articulos'!E:E)</f>
        <v/>
      </c>
      <c r="R2935" s="96">
        <f>O2935*Q2935</f>
        <v/>
      </c>
      <c r="S2935" s="97">
        <f>TRIM(E2935)</f>
        <v/>
      </c>
    </row>
    <row r="2936" hidden="1">
      <c r="A2936" s="22" t="n">
        <v>2</v>
      </c>
      <c r="B2936" t="inlineStr">
        <is>
          <t xml:space="preserve">CD CIUDADELA                  </t>
        </is>
      </c>
      <c r="C2936" t="inlineStr">
        <is>
          <t xml:space="preserve">GRUPO L.                      </t>
        </is>
      </c>
      <c r="D2936" t="inlineStr">
        <is>
          <t>ALFAJOR TRIPLE NEGRO</t>
        </is>
      </c>
      <c r="E2936" t="inlineStr">
        <is>
          <t xml:space="preserve">7790040484801       </t>
        </is>
      </c>
      <c r="F2936" t="n">
        <v>4021200</v>
      </c>
      <c r="G2936" t="inlineStr">
        <is>
          <t xml:space="preserve">ALFAJOR TRIPLE NEGRO X73G TOFI	    </t>
        </is>
      </c>
      <c r="H2936" t="inlineStr">
        <is>
          <t xml:space="preserve">UNIDAD              </t>
        </is>
      </c>
      <c r="I2936" t="n">
        <v>483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483</v>
      </c>
      <c r="P2936" s="96">
        <f>_xlfn.XLOOKUP(Tabla5[[#This Row],[EAN CORREGIDO]],'Tabla Articulos'!B:B,'Tabla Articulos'!D:D)</f>
        <v/>
      </c>
      <c r="Q2936" s="96">
        <f>_xlfn.XLOOKUP(S2936,'Tabla Articulos'!B:B,'Tabla Articulos'!E:E)</f>
        <v/>
      </c>
      <c r="R2936" s="96">
        <f>O2936*Q2936</f>
        <v/>
      </c>
      <c r="S2936" s="97">
        <f>TRIM(E2936)</f>
        <v/>
      </c>
    </row>
    <row r="2937" hidden="1">
      <c r="A2937" s="22" t="n">
        <v>2</v>
      </c>
      <c r="B2937" t="inlineStr">
        <is>
          <t xml:space="preserve">CD CIUDADELA                  </t>
        </is>
      </c>
      <c r="C2937" t="inlineStr">
        <is>
          <t xml:space="preserve">GRUPO L.                      </t>
        </is>
      </c>
      <c r="D2937" t="inlineStr">
        <is>
          <t>FIDEOS LARGO</t>
        </is>
      </c>
      <c r="E2937" t="inlineStr">
        <is>
          <t xml:space="preserve">7798138555525       </t>
        </is>
      </c>
      <c r="F2937" t="n">
        <v>4020736</v>
      </c>
      <c r="G2937" t="inlineStr">
        <is>
          <t xml:space="preserve">FIDEO TALLARIN X500G STA ISABEL    </t>
        </is>
      </c>
      <c r="H2937" t="inlineStr">
        <is>
          <t xml:space="preserve">UNIDAD              </t>
        </is>
      </c>
      <c r="I2937" t="n">
        <v>2478</v>
      </c>
      <c r="J2937" t="n">
        <v>0</v>
      </c>
      <c r="K2937" t="n">
        <v>0</v>
      </c>
      <c r="L2937" t="n">
        <v>100</v>
      </c>
      <c r="M2937" t="n">
        <v>100</v>
      </c>
      <c r="N2937" t="n">
        <v>0</v>
      </c>
      <c r="O2937" t="n">
        <v>2278</v>
      </c>
      <c r="P2937" s="96">
        <f>_xlfn.XLOOKUP(Tabla5[[#This Row],[EAN CORREGIDO]],'Tabla Articulos'!B:B,'Tabla Articulos'!D:D)</f>
        <v/>
      </c>
      <c r="Q2937" s="96">
        <f>_xlfn.XLOOKUP(S2937,'Tabla Articulos'!B:B,'Tabla Articulos'!E:E)</f>
        <v/>
      </c>
      <c r="R2937" s="96">
        <f>O2937*Q2937</f>
        <v/>
      </c>
      <c r="S2937" s="97">
        <f>TRIM(E2937)</f>
        <v/>
      </c>
    </row>
    <row r="2938" hidden="1">
      <c r="A2938" s="22" t="n">
        <v>2</v>
      </c>
      <c r="B2938" t="inlineStr">
        <is>
          <t xml:space="preserve">CD CIUDADELA                  </t>
        </is>
      </c>
      <c r="C2938" t="inlineStr">
        <is>
          <t xml:space="preserve">GRUPO L.                      </t>
        </is>
      </c>
      <c r="D2938" t="inlineStr">
        <is>
          <t>PASTAS RELLENAS</t>
        </is>
      </c>
      <c r="E2938" t="inlineStr">
        <is>
          <t xml:space="preserve">7795711000045       </t>
        </is>
      </c>
      <c r="F2938" t="n">
        <v>4018712</v>
      </c>
      <c r="G2938" t="inlineStr">
        <is>
          <t xml:space="preserve">RAVIOLES RICOTA X500G DAGRI        </t>
        </is>
      </c>
      <c r="H2938" t="inlineStr">
        <is>
          <t xml:space="preserve">UNIDAD              </t>
        </is>
      </c>
      <c r="I2938" t="n">
        <v>2954</v>
      </c>
      <c r="J2938" t="n">
        <v>0</v>
      </c>
      <c r="K2938" t="n">
        <v>0</v>
      </c>
      <c r="L2938" t="n">
        <v>844</v>
      </c>
      <c r="M2938" t="n">
        <v>844</v>
      </c>
      <c r="N2938" t="n">
        <v>55</v>
      </c>
      <c r="O2938" t="n">
        <v>1211</v>
      </c>
      <c r="P2938" s="96">
        <f>_xlfn.XLOOKUP(Tabla5[[#This Row],[EAN CORREGIDO]],'Tabla Articulos'!B:B,'Tabla Articulos'!D:D)</f>
        <v/>
      </c>
      <c r="Q2938" s="96">
        <f>_xlfn.XLOOKUP(S2938,'Tabla Articulos'!B:B,'Tabla Articulos'!E:E)</f>
        <v/>
      </c>
      <c r="R2938" s="96">
        <f>O2938*Q2938</f>
        <v/>
      </c>
      <c r="S2938" s="97">
        <f>TRIM(E2938)</f>
        <v/>
      </c>
    </row>
    <row r="2939" hidden="1">
      <c r="A2939" s="22" t="n">
        <v>2</v>
      </c>
      <c r="B2939" t="inlineStr">
        <is>
          <t xml:space="preserve">CD CIUDADELA                  </t>
        </is>
      </c>
      <c r="C2939" t="inlineStr">
        <is>
          <t xml:space="preserve">GRUPO L.                      </t>
        </is>
      </c>
      <c r="D2939" t="inlineStr">
        <is>
          <t>ALFAJOR SIMPLE NEGRO</t>
        </is>
      </c>
      <c r="E2939" t="inlineStr">
        <is>
          <t xml:space="preserve">77980229            </t>
        </is>
      </c>
      <c r="F2939" t="n">
        <v>4019162</v>
      </c>
      <c r="G2939" t="inlineStr">
        <is>
          <t xml:space="preserve">ALFAJOR NEGRO X40G GUAYMALLENV     </t>
        </is>
      </c>
      <c r="H2939" t="inlineStr">
        <is>
          <t xml:space="preserve">UNIDAD              </t>
        </is>
      </c>
      <c r="I2939" t="n">
        <v>2280</v>
      </c>
      <c r="J2939" t="n">
        <v>0</v>
      </c>
      <c r="K2939" t="n">
        <v>0</v>
      </c>
      <c r="L2939" t="n">
        <v>1000</v>
      </c>
      <c r="M2939" t="n">
        <v>1000</v>
      </c>
      <c r="N2939" t="n">
        <v>0</v>
      </c>
      <c r="O2939" t="n">
        <v>280</v>
      </c>
      <c r="P2939" s="96">
        <f>_xlfn.XLOOKUP(Tabla5[[#This Row],[EAN CORREGIDO]],'Tabla Articulos'!B:B,'Tabla Articulos'!D:D)</f>
        <v/>
      </c>
      <c r="Q2939" s="96">
        <f>_xlfn.XLOOKUP(S2939,'Tabla Articulos'!B:B,'Tabla Articulos'!E:E)</f>
        <v/>
      </c>
      <c r="R2939" s="96">
        <f>O2939*Q2939</f>
        <v/>
      </c>
      <c r="S2939" s="97">
        <f>TRIM(E2939)</f>
        <v/>
      </c>
    </row>
    <row r="2940" hidden="1">
      <c r="A2940" s="22" t="n">
        <v>2</v>
      </c>
      <c r="B2940" t="inlineStr">
        <is>
          <t xml:space="preserve">CD CIUDADELA                  </t>
        </is>
      </c>
      <c r="C2940" t="inlineStr">
        <is>
          <t xml:space="preserve">GRUPO L.                      </t>
        </is>
      </c>
      <c r="D2940" t="inlineStr">
        <is>
          <t>POROTOS SECOS</t>
        </is>
      </c>
      <c r="E2940" t="inlineStr">
        <is>
          <t xml:space="preserve">7790279000049       </t>
        </is>
      </c>
      <c r="F2940" t="n">
        <v>4019753</v>
      </c>
      <c r="G2940" t="inlineStr">
        <is>
          <t xml:space="preserve">POROTOS ALUBIA X500GR RAMONEDA     </t>
        </is>
      </c>
      <c r="H2940" t="inlineStr">
        <is>
          <t xml:space="preserve">UNIDAD              </t>
        </is>
      </c>
      <c r="I2940" t="n">
        <v>22</v>
      </c>
      <c r="J2940" t="n">
        <v>0</v>
      </c>
      <c r="K2940" t="n">
        <v>0</v>
      </c>
      <c r="L2940" t="n">
        <v>10</v>
      </c>
      <c r="M2940" t="n">
        <v>10</v>
      </c>
      <c r="N2940" t="n">
        <v>0</v>
      </c>
      <c r="O2940" t="n">
        <v>2</v>
      </c>
      <c r="P2940" s="96">
        <f>_xlfn.XLOOKUP(Tabla5[[#This Row],[EAN CORREGIDO]],'Tabla Articulos'!B:B,'Tabla Articulos'!D:D)</f>
        <v/>
      </c>
      <c r="Q2940" s="96">
        <f>_xlfn.XLOOKUP(S2940,'Tabla Articulos'!B:B,'Tabla Articulos'!E:E)</f>
        <v/>
      </c>
      <c r="R2940" s="96">
        <f>O2940*Q2940</f>
        <v/>
      </c>
      <c r="S2940" s="97">
        <f>TRIM(E2940)</f>
        <v/>
      </c>
    </row>
    <row r="2941" hidden="1">
      <c r="A2941" s="22" t="n">
        <v>2</v>
      </c>
      <c r="B2941" t="inlineStr">
        <is>
          <t xml:space="preserve">CD CIUDADELA                  </t>
        </is>
      </c>
      <c r="C2941" t="inlineStr">
        <is>
          <t xml:space="preserve">GRUPO L.                      </t>
        </is>
      </c>
      <c r="D2941" t="inlineStr">
        <is>
          <t>GRANOLA</t>
        </is>
      </c>
      <c r="E2941" t="inlineStr">
        <is>
          <t xml:space="preserve">7790045826637       </t>
        </is>
      </c>
      <c r="F2941" t="n">
        <v>4077457</v>
      </c>
      <c r="G2941" t="inlineStr">
        <is>
          <t xml:space="preserve">GRANOLA CROC X350GR GRANIX         </t>
        </is>
      </c>
      <c r="H2941" t="inlineStr">
        <is>
          <t xml:space="preserve">UNIDAD              </t>
        </is>
      </c>
      <c r="I2941" t="n">
        <v>343</v>
      </c>
      <c r="J2941" t="n">
        <v>0</v>
      </c>
      <c r="K2941" t="n">
        <v>0</v>
      </c>
      <c r="L2941" t="n">
        <v>18</v>
      </c>
      <c r="M2941" t="n">
        <v>18</v>
      </c>
      <c r="N2941" t="n">
        <v>0</v>
      </c>
      <c r="O2941" t="n">
        <v>307</v>
      </c>
      <c r="P2941" s="96">
        <f>_xlfn.XLOOKUP(Tabla5[[#This Row],[EAN CORREGIDO]],'Tabla Articulos'!B:B,'Tabla Articulos'!D:D)</f>
        <v/>
      </c>
      <c r="Q2941" s="96">
        <f>_xlfn.XLOOKUP(S2941,'Tabla Articulos'!B:B,'Tabla Articulos'!E:E)</f>
        <v/>
      </c>
      <c r="R2941" s="96">
        <f>O2941*Q2941</f>
        <v/>
      </c>
      <c r="S2941" s="97">
        <f>TRIM(E2941)</f>
        <v/>
      </c>
    </row>
    <row r="2942" hidden="1">
      <c r="A2942" s="22" t="n">
        <v>2</v>
      </c>
      <c r="B2942" t="inlineStr">
        <is>
          <t xml:space="preserve">CD CIUDADELA                  </t>
        </is>
      </c>
      <c r="C2942" t="inlineStr">
        <is>
          <t xml:space="preserve">GRUPO L.                      </t>
        </is>
      </c>
      <c r="D2942" t="inlineStr">
        <is>
          <t>GALLE LIMON INDIV</t>
        </is>
      </c>
      <c r="E2942" t="inlineStr">
        <is>
          <t xml:space="preserve">7798188380214       </t>
        </is>
      </c>
      <c r="F2942" t="n">
        <v>4024052</v>
      </c>
      <c r="G2942" t="inlineStr">
        <is>
          <t xml:space="preserve">GALLE IND LIMON 25G CAUTIVA        </t>
        </is>
      </c>
      <c r="H2942" t="inlineStr">
        <is>
          <t xml:space="preserve">UNIDAD              </t>
        </is>
      </c>
      <c r="I2942" t="n">
        <v>1033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1033</v>
      </c>
      <c r="P2942" s="96">
        <f>_xlfn.XLOOKUP(Tabla5[[#This Row],[EAN CORREGIDO]],'Tabla Articulos'!B:B,'Tabla Articulos'!D:D)</f>
        <v/>
      </c>
      <c r="Q2942" s="96">
        <f>_xlfn.XLOOKUP(S2942,'Tabla Articulos'!B:B,'Tabla Articulos'!E:E)</f>
        <v/>
      </c>
      <c r="R2942" s="96">
        <f>O2942*Q2942</f>
        <v/>
      </c>
      <c r="S2942" s="97">
        <f>TRIM(E2942)</f>
        <v/>
      </c>
    </row>
    <row r="2943" hidden="1">
      <c r="A2943" s="22" t="n">
        <v>2</v>
      </c>
      <c r="B2943" t="inlineStr">
        <is>
          <t xml:space="preserve">CD CIUDADELA                  </t>
        </is>
      </c>
      <c r="C2943" t="inlineStr">
        <is>
          <t xml:space="preserve">GRUPO L.                      </t>
        </is>
      </c>
      <c r="D2943" t="inlineStr">
        <is>
          <t>CAFE MOLIDO</t>
        </is>
      </c>
      <c r="E2943" t="inlineStr">
        <is>
          <t xml:space="preserve">7792360002390       </t>
        </is>
      </c>
      <c r="F2943" t="n">
        <v>4020608</v>
      </c>
      <c r="G2943" t="inlineStr">
        <is>
          <t xml:space="preserve">CAFE X 1KG BONAFIDE                </t>
        </is>
      </c>
      <c r="H2943" t="inlineStr">
        <is>
          <t xml:space="preserve">UNIDAD              </t>
        </is>
      </c>
      <c r="I2943" t="n">
        <v>24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24</v>
      </c>
      <c r="P2943" s="96">
        <f>_xlfn.XLOOKUP(Tabla5[[#This Row],[EAN CORREGIDO]],'Tabla Articulos'!B:B,'Tabla Articulos'!D:D)</f>
        <v/>
      </c>
      <c r="Q2943" s="96">
        <f>_xlfn.XLOOKUP(S2943,'Tabla Articulos'!B:B,'Tabla Articulos'!E:E)</f>
        <v/>
      </c>
      <c r="R2943" s="96">
        <f>O2943*Q2943</f>
        <v/>
      </c>
      <c r="S2943" s="97">
        <f>TRIM(E2943)</f>
        <v/>
      </c>
    </row>
    <row r="2944" hidden="1">
      <c r="A2944" s="22" t="n">
        <v>2</v>
      </c>
      <c r="B2944" t="inlineStr">
        <is>
          <t xml:space="preserve">CD CIUDADELA                  </t>
        </is>
      </c>
      <c r="C2944" t="inlineStr">
        <is>
          <t xml:space="preserve">GRUPO L.                      </t>
        </is>
      </c>
      <c r="D2944" t="inlineStr">
        <is>
          <t>AJO MOLIDO</t>
        </is>
      </c>
      <c r="E2944" t="inlineStr">
        <is>
          <t xml:space="preserve">7793875321341       </t>
        </is>
      </c>
      <c r="F2944" t="n">
        <v>4020625</v>
      </c>
      <c r="G2944" t="inlineStr">
        <is>
          <t xml:space="preserve">AJO EN POLVO X1KG AROMAS           </t>
        </is>
      </c>
      <c r="H2944" t="inlineStr">
        <is>
          <t xml:space="preserve">UNIDAD              </t>
        </is>
      </c>
      <c r="I2944" t="n">
        <v>353</v>
      </c>
      <c r="J2944" t="n">
        <v>0</v>
      </c>
      <c r="K2944" t="n">
        <v>0</v>
      </c>
      <c r="L2944" t="n">
        <v>3</v>
      </c>
      <c r="M2944" t="n">
        <v>3</v>
      </c>
      <c r="N2944" t="n">
        <v>0</v>
      </c>
      <c r="O2944" t="n">
        <v>347</v>
      </c>
      <c r="P2944" s="96">
        <f>_xlfn.XLOOKUP(Tabla5[[#This Row],[EAN CORREGIDO]],'Tabla Articulos'!B:B,'Tabla Articulos'!D:D)</f>
        <v/>
      </c>
      <c r="Q2944" s="96">
        <f>_xlfn.XLOOKUP(S2944,'Tabla Articulos'!B:B,'Tabla Articulos'!E:E)</f>
        <v/>
      </c>
      <c r="R2944" s="96">
        <f>O2944*Q2944</f>
        <v/>
      </c>
      <c r="S2944" s="97">
        <f>TRIM(E2944)</f>
        <v/>
      </c>
    </row>
    <row r="2945" hidden="1">
      <c r="A2945" s="22" t="n">
        <v>2</v>
      </c>
      <c r="B2945" t="inlineStr">
        <is>
          <t xml:space="preserve">CD CIUDADELA                  </t>
        </is>
      </c>
      <c r="C2945" t="inlineStr">
        <is>
          <t xml:space="preserve">GRUPO L.                      </t>
        </is>
      </c>
      <c r="D2945" t="inlineStr">
        <is>
          <t>MILA CERDO CONGELADA</t>
        </is>
      </c>
      <c r="E2945" t="inlineStr">
        <is>
          <t xml:space="preserve">7790000000406       </t>
        </is>
      </c>
      <c r="F2945" t="n">
        <v>4023573</v>
      </c>
      <c r="G2945" t="inlineStr">
        <is>
          <t xml:space="preserve">MILANESA CARRE CONG X6KG PROD AL   </t>
        </is>
      </c>
      <c r="H2945" t="inlineStr">
        <is>
          <t xml:space="preserve">UNIDAD              </t>
        </is>
      </c>
      <c r="I2945" t="n">
        <v>23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23</v>
      </c>
      <c r="P2945" s="96">
        <f>_xlfn.XLOOKUP(Tabla5[[#This Row],[EAN CORREGIDO]],'Tabla Articulos'!B:B,'Tabla Articulos'!D:D)</f>
        <v/>
      </c>
      <c r="Q2945" s="96">
        <f>_xlfn.XLOOKUP(S2945,'Tabla Articulos'!B:B,'Tabla Articulos'!E:E)</f>
        <v/>
      </c>
      <c r="R2945" s="96">
        <f>O2945*Q2945</f>
        <v/>
      </c>
      <c r="S2945" s="97">
        <f>TRIM(E2945)</f>
        <v/>
      </c>
    </row>
    <row r="2946" hidden="1">
      <c r="A2946" s="22" t="n">
        <v>2</v>
      </c>
      <c r="B2946" t="inlineStr">
        <is>
          <t xml:space="preserve">CD CIUDADELA                  </t>
        </is>
      </c>
      <c r="C2946" t="inlineStr">
        <is>
          <t xml:space="preserve">GRUPO L.                      </t>
        </is>
      </c>
      <c r="D2946" t="inlineStr">
        <is>
          <t>FIGAZA</t>
        </is>
      </c>
      <c r="E2946" t="inlineStr">
        <is>
          <t xml:space="preserve">7790213012183       </t>
        </is>
      </c>
      <c r="F2946" t="n">
        <v>4018555</v>
      </c>
      <c r="G2946" t="inlineStr">
        <is>
          <t xml:space="preserve">PAN DE FIGAZITA X U                </t>
        </is>
      </c>
      <c r="H2946" t="inlineStr">
        <is>
          <t xml:space="preserve">Kgs                 </t>
        </is>
      </c>
      <c r="I2946" t="n">
        <v>2199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2199</v>
      </c>
      <c r="P2946" s="96">
        <f>_xlfn.XLOOKUP(Tabla5[[#This Row],[EAN CORREGIDO]],'Tabla Articulos'!B:B,'Tabla Articulos'!D:D)</f>
        <v/>
      </c>
      <c r="Q2946" s="96">
        <f>_xlfn.XLOOKUP(S2946,'Tabla Articulos'!B:B,'Tabla Articulos'!E:E)</f>
        <v/>
      </c>
      <c r="R2946" s="96">
        <f>O2946*Q2946</f>
        <v/>
      </c>
      <c r="S2946" s="97">
        <f>TRIM(E2946)</f>
        <v/>
      </c>
    </row>
    <row r="2947" hidden="1">
      <c r="A2947" s="22" t="n">
        <v>2</v>
      </c>
      <c r="B2947" t="inlineStr">
        <is>
          <t xml:space="preserve">CD CIUDADELA                  </t>
        </is>
      </c>
      <c r="C2947" t="inlineStr">
        <is>
          <t xml:space="preserve">GRUPO L.                      </t>
        </is>
      </c>
      <c r="D2947" t="inlineStr">
        <is>
          <t>CANELA MOLIDA</t>
        </is>
      </c>
      <c r="E2947" t="inlineStr">
        <is>
          <t xml:space="preserve">7793875312103       </t>
        </is>
      </c>
      <c r="F2947" t="n">
        <v>4020219</v>
      </c>
      <c r="G2947" t="inlineStr">
        <is>
          <t xml:space="preserve">CANELA MOLIDA X 25 G AROMAS        </t>
        </is>
      </c>
      <c r="H2947" t="inlineStr">
        <is>
          <t xml:space="preserve">UNIDAD              </t>
        </is>
      </c>
      <c r="I2947" t="n">
        <v>61</v>
      </c>
      <c r="J2947" t="n">
        <v>0</v>
      </c>
      <c r="K2947" t="n">
        <v>0</v>
      </c>
      <c r="L2947" t="n">
        <v>2</v>
      </c>
      <c r="M2947" t="n">
        <v>2</v>
      </c>
      <c r="N2947" t="n">
        <v>0</v>
      </c>
      <c r="O2947" t="n">
        <v>57</v>
      </c>
      <c r="P2947" s="96">
        <f>_xlfn.XLOOKUP(Tabla5[[#This Row],[EAN CORREGIDO]],'Tabla Articulos'!B:B,'Tabla Articulos'!D:D)</f>
        <v/>
      </c>
      <c r="Q2947" s="96">
        <f>_xlfn.XLOOKUP(S2947,'Tabla Articulos'!B:B,'Tabla Articulos'!E:E)</f>
        <v/>
      </c>
      <c r="R2947" s="96">
        <f>O2947*Q2947</f>
        <v/>
      </c>
      <c r="S2947" s="97">
        <f>TRIM(E2947)</f>
        <v/>
      </c>
    </row>
    <row r="2948" hidden="1">
      <c r="A2948" s="22" t="n">
        <v>2</v>
      </c>
      <c r="B2948" t="inlineStr">
        <is>
          <t xml:space="preserve">CD CIUDADELA                  </t>
        </is>
      </c>
      <c r="C2948" t="inlineStr">
        <is>
          <t xml:space="preserve">GRUPO L.                      </t>
        </is>
      </c>
      <c r="D2948" t="inlineStr">
        <is>
          <t>TOMILLO S/TACC</t>
        </is>
      </c>
      <c r="E2948" t="inlineStr">
        <is>
          <t xml:space="preserve">7790150600344       </t>
        </is>
      </c>
      <c r="F2948" t="n">
        <v>4076839</v>
      </c>
      <c r="G2948" t="inlineStr">
        <is>
          <t xml:space="preserve">TOMILLO X10GR ALICANTE             </t>
        </is>
      </c>
      <c r="H2948" t="inlineStr">
        <is>
          <t xml:space="preserve">UNIDAD              </t>
        </is>
      </c>
      <c r="I2948" t="n">
        <v>122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122</v>
      </c>
      <c r="P2948" s="96">
        <f>_xlfn.XLOOKUP(Tabla5[[#This Row],[EAN CORREGIDO]],'Tabla Articulos'!B:B,'Tabla Articulos'!D:D)</f>
        <v/>
      </c>
      <c r="Q2948" s="96">
        <f>_xlfn.XLOOKUP(S2948,'Tabla Articulos'!B:B,'Tabla Articulos'!E:E)</f>
        <v/>
      </c>
      <c r="R2948" s="96">
        <f>O2948*Q2948</f>
        <v/>
      </c>
      <c r="S2948" s="97">
        <f>TRIM(E2948)</f>
        <v/>
      </c>
    </row>
    <row r="2949" hidden="1">
      <c r="A2949" s="22" t="n">
        <v>2</v>
      </c>
      <c r="B2949" t="inlineStr">
        <is>
          <t xml:space="preserve">CD CIUDADELA                  </t>
        </is>
      </c>
      <c r="C2949" t="inlineStr">
        <is>
          <t xml:space="preserve">GRUPO L.                      </t>
        </is>
      </c>
      <c r="D2949" t="inlineStr">
        <is>
          <t>TOSTADA ARROZ S/S</t>
        </is>
      </c>
      <c r="E2949" t="inlineStr">
        <is>
          <t xml:space="preserve">7790412000295       </t>
        </is>
      </c>
      <c r="F2949" t="n">
        <v>4024730</v>
      </c>
      <c r="G2949" t="inlineStr">
        <is>
          <t xml:space="preserve">TOSTADA ARROZ S/SAL X150G LEIVA    </t>
        </is>
      </c>
      <c r="H2949" t="inlineStr">
        <is>
          <t xml:space="preserve">UNIDAD              </t>
        </is>
      </c>
      <c r="I2949" t="n">
        <v>1966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1966</v>
      </c>
      <c r="P2949" s="96">
        <f>_xlfn.XLOOKUP(Tabla5[[#This Row],[EAN CORREGIDO]],'Tabla Articulos'!B:B,'Tabla Articulos'!D:D)</f>
        <v/>
      </c>
      <c r="Q2949" s="96">
        <f>_xlfn.XLOOKUP(S2949,'Tabla Articulos'!B:B,'Tabla Articulos'!E:E)</f>
        <v/>
      </c>
      <c r="R2949" s="96">
        <f>O2949*Q2949</f>
        <v/>
      </c>
      <c r="S2949" s="97">
        <f>TRIM(E2949)</f>
        <v/>
      </c>
    </row>
    <row r="2950" hidden="1">
      <c r="A2950" s="22" t="n">
        <v>2</v>
      </c>
      <c r="B2950" t="inlineStr">
        <is>
          <t xml:space="preserve">CD CIUDADELA                  </t>
        </is>
      </c>
      <c r="C2950" t="inlineStr">
        <is>
          <t xml:space="preserve">GRUPO L.                      </t>
        </is>
      </c>
      <c r="D2950" t="inlineStr">
        <is>
          <t>GALLE SALVADO</t>
        </is>
      </c>
      <c r="E2950" t="inlineStr">
        <is>
          <t xml:space="preserve">7790040136250       </t>
        </is>
      </c>
      <c r="F2950" t="n">
        <v>4018800</v>
      </c>
      <c r="G2950" t="inlineStr">
        <is>
          <t xml:space="preserve">GALLETITA SALVADO X169G BAGLEY     </t>
        </is>
      </c>
      <c r="H2950" t="inlineStr">
        <is>
          <t xml:space="preserve">UNIDAD              </t>
        </is>
      </c>
      <c r="I2950" t="n">
        <v>126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126</v>
      </c>
      <c r="P2950" s="96">
        <f>_xlfn.XLOOKUP(Tabla5[[#This Row],[EAN CORREGIDO]],'Tabla Articulos'!B:B,'Tabla Articulos'!D:D)</f>
        <v/>
      </c>
      <c r="Q2950" s="96">
        <f>_xlfn.XLOOKUP(S2950,'Tabla Articulos'!B:B,'Tabla Articulos'!E:E)</f>
        <v/>
      </c>
      <c r="R2950" s="96">
        <f>O2950*Q2950</f>
        <v/>
      </c>
      <c r="S2950" s="97">
        <f>TRIM(E2950)</f>
        <v/>
      </c>
    </row>
    <row r="2951" hidden="1">
      <c r="A2951" s="22" t="n">
        <v>2</v>
      </c>
      <c r="B2951" t="inlineStr">
        <is>
          <t xml:space="preserve">CD CIUDADELA                  </t>
        </is>
      </c>
      <c r="C2951" t="inlineStr">
        <is>
          <t xml:space="preserve">GRUPO L.                      </t>
        </is>
      </c>
      <c r="D2951" t="inlineStr">
        <is>
          <t>GALLE CHOCOLATE</t>
        </is>
      </c>
      <c r="E2951" t="inlineStr">
        <is>
          <t xml:space="preserve">7790040143227       </t>
        </is>
      </c>
      <c r="F2951" t="n">
        <v>4018777</v>
      </c>
      <c r="G2951" t="inlineStr">
        <is>
          <t xml:space="preserve">GALLE CHOCOLATE X170G CHOCOLINAS   </t>
        </is>
      </c>
      <c r="H2951" t="inlineStr">
        <is>
          <t xml:space="preserve">UNIDAD              </t>
        </is>
      </c>
      <c r="I2951" t="n">
        <v>945</v>
      </c>
      <c r="J2951" t="n">
        <v>0</v>
      </c>
      <c r="K2951" t="n">
        <v>0</v>
      </c>
      <c r="L2951" t="n">
        <v>47</v>
      </c>
      <c r="M2951" t="n">
        <v>47</v>
      </c>
      <c r="N2951" t="n">
        <v>0</v>
      </c>
      <c r="O2951" t="n">
        <v>851</v>
      </c>
      <c r="P2951" s="96">
        <f>_xlfn.XLOOKUP(Tabla5[[#This Row],[EAN CORREGIDO]],'Tabla Articulos'!B:B,'Tabla Articulos'!D:D)</f>
        <v/>
      </c>
      <c r="Q2951" s="96">
        <f>_xlfn.XLOOKUP(S2951,'Tabla Articulos'!B:B,'Tabla Articulos'!E:E)</f>
        <v/>
      </c>
      <c r="R2951" s="96">
        <f>O2951*Q2951</f>
        <v/>
      </c>
      <c r="S2951" s="97">
        <f>TRIM(E2951)</f>
        <v/>
      </c>
    </row>
    <row r="2952" hidden="1">
      <c r="A2952" s="22" t="n">
        <v>2</v>
      </c>
      <c r="B2952" t="inlineStr">
        <is>
          <t xml:space="preserve">CD CIUDADELA                  </t>
        </is>
      </c>
      <c r="C2952" t="inlineStr">
        <is>
          <t xml:space="preserve">GRUPO L.                      </t>
        </is>
      </c>
      <c r="D2952" t="inlineStr">
        <is>
          <t>LECHE POLVO DESC INDIV</t>
        </is>
      </c>
      <c r="E2952" t="inlineStr">
        <is>
          <t xml:space="preserve">7798011976300       </t>
        </is>
      </c>
      <c r="F2952" t="n">
        <v>4018231</v>
      </c>
      <c r="G2952" t="inlineStr">
        <is>
          <t xml:space="preserve">LECHE POLV IND DESCX 5G X100 ABE   </t>
        </is>
      </c>
      <c r="H2952" t="inlineStr">
        <is>
          <t xml:space="preserve">UNIDAD              </t>
        </is>
      </c>
      <c r="I2952" t="n">
        <v>369</v>
      </c>
      <c r="J2952" t="n">
        <v>0</v>
      </c>
      <c r="K2952" t="n">
        <v>0</v>
      </c>
      <c r="L2952" t="n">
        <v>20</v>
      </c>
      <c r="M2952" t="n">
        <v>20</v>
      </c>
      <c r="N2952" t="n">
        <v>0</v>
      </c>
      <c r="O2952" t="n">
        <v>329</v>
      </c>
      <c r="P2952" s="96">
        <f>_xlfn.XLOOKUP(Tabla5[[#This Row],[EAN CORREGIDO]],'Tabla Articulos'!B:B,'Tabla Articulos'!D:D)</f>
        <v/>
      </c>
      <c r="Q2952" s="96">
        <f>_xlfn.XLOOKUP(S2952,'Tabla Articulos'!B:B,'Tabla Articulos'!E:E)</f>
        <v/>
      </c>
      <c r="R2952" s="96">
        <f>O2952*Q2952</f>
        <v/>
      </c>
      <c r="S2952" s="97">
        <f>TRIM(E2952)</f>
        <v/>
      </c>
    </row>
    <row r="2953" hidden="1">
      <c r="A2953" s="22" t="n">
        <v>2</v>
      </c>
      <c r="B2953" t="inlineStr">
        <is>
          <t xml:space="preserve">CD CIUDADELA                  </t>
        </is>
      </c>
      <c r="C2953" t="inlineStr">
        <is>
          <t xml:space="preserve">GRUPO L.                      </t>
        </is>
      </c>
      <c r="D2953" t="inlineStr">
        <is>
          <t>POSTRE CHOCOLATE</t>
        </is>
      </c>
      <c r="E2953" t="inlineStr">
        <is>
          <t xml:space="preserve">7790971000835       </t>
        </is>
      </c>
      <c r="F2953" t="n">
        <v>4020648</v>
      </c>
      <c r="G2953" t="inlineStr">
        <is>
          <t xml:space="preserve">POSTRE CHOCOLATE X 5 KG ORLOC      </t>
        </is>
      </c>
      <c r="H2953" t="inlineStr">
        <is>
          <t xml:space="preserve">UNIDAD              </t>
        </is>
      </c>
      <c r="I2953" t="n">
        <v>131</v>
      </c>
      <c r="J2953" t="n">
        <v>0</v>
      </c>
      <c r="K2953" t="n">
        <v>0</v>
      </c>
      <c r="L2953" t="n">
        <v>4</v>
      </c>
      <c r="M2953" t="n">
        <v>4</v>
      </c>
      <c r="N2953" t="n">
        <v>0</v>
      </c>
      <c r="O2953" t="n">
        <v>123</v>
      </c>
      <c r="P2953" s="96">
        <f>_xlfn.XLOOKUP(Tabla5[[#This Row],[EAN CORREGIDO]],'Tabla Articulos'!B:B,'Tabla Articulos'!D:D)</f>
        <v/>
      </c>
      <c r="Q2953" s="96">
        <f>_xlfn.XLOOKUP(S2953,'Tabla Articulos'!B:B,'Tabla Articulos'!E:E)</f>
        <v/>
      </c>
      <c r="R2953" s="96">
        <f>O2953*Q2953</f>
        <v/>
      </c>
      <c r="S2953" s="97">
        <f>TRIM(E2953)</f>
        <v/>
      </c>
    </row>
    <row r="2954" hidden="1">
      <c r="A2954" s="22" t="n">
        <v>2</v>
      </c>
      <c r="B2954" t="inlineStr">
        <is>
          <t xml:space="preserve">CD CIUDADELA                  </t>
        </is>
      </c>
      <c r="C2954" t="inlineStr">
        <is>
          <t xml:space="preserve">GRUPO L.                      </t>
        </is>
      </c>
      <c r="D2954" t="inlineStr">
        <is>
          <t>AGUA MIN S/GAS</t>
        </is>
      </c>
      <c r="E2954" t="inlineStr">
        <is>
          <t xml:space="preserve">7790895647772       </t>
        </is>
      </c>
      <c r="F2954" t="n">
        <v>4017443</v>
      </c>
      <c r="G2954" t="inlineStr">
        <is>
          <t xml:space="preserve">AGUA S/GAS X1.5LT BENEDICTINO      </t>
        </is>
      </c>
      <c r="H2954" t="inlineStr">
        <is>
          <t xml:space="preserve">UNIDAD              </t>
        </is>
      </c>
      <c r="I2954" t="n">
        <v>1797</v>
      </c>
      <c r="J2954" t="n">
        <v>0</v>
      </c>
      <c r="K2954" t="n">
        <v>0</v>
      </c>
      <c r="L2954" t="n">
        <v>36</v>
      </c>
      <c r="M2954" t="n">
        <v>36</v>
      </c>
      <c r="N2954" t="n">
        <v>0</v>
      </c>
      <c r="O2954" t="n">
        <v>1725</v>
      </c>
      <c r="P2954" s="96">
        <f>_xlfn.XLOOKUP(Tabla5[[#This Row],[EAN CORREGIDO]],'Tabla Articulos'!B:B,'Tabla Articulos'!D:D)</f>
        <v/>
      </c>
      <c r="Q2954" s="96">
        <f>_xlfn.XLOOKUP(S2954,'Tabla Articulos'!B:B,'Tabla Articulos'!E:E)</f>
        <v/>
      </c>
      <c r="R2954" s="96">
        <f>O2954*Q2954</f>
        <v/>
      </c>
      <c r="S2954" s="97">
        <f>TRIM(E2954)</f>
        <v/>
      </c>
    </row>
    <row r="2955" hidden="1">
      <c r="A2955" s="22" t="n">
        <v>2</v>
      </c>
      <c r="B2955" t="inlineStr">
        <is>
          <t xml:space="preserve">CD CIUDADELA                  </t>
        </is>
      </c>
      <c r="C2955" t="inlineStr">
        <is>
          <t xml:space="preserve">GRUPO L.                      </t>
        </is>
      </c>
      <c r="D2955" t="inlineStr">
        <is>
          <t>BARRAS CEREAL</t>
        </is>
      </c>
      <c r="E2955" t="inlineStr">
        <is>
          <t xml:space="preserve">7798188380160       </t>
        </is>
      </c>
      <c r="F2955" t="n">
        <v>4019022</v>
      </c>
      <c r="G2955" t="inlineStr">
        <is>
          <t xml:space="preserve">BARRA CEREAL X22G CAUTIVA          </t>
        </is>
      </c>
      <c r="H2955" t="inlineStr">
        <is>
          <t xml:space="preserve">UNIDAD              </t>
        </is>
      </c>
      <c r="I2955" t="n">
        <v>31501</v>
      </c>
      <c r="J2955" t="n">
        <v>0</v>
      </c>
      <c r="K2955" t="n">
        <v>0</v>
      </c>
      <c r="L2955" t="n">
        <v>2045</v>
      </c>
      <c r="M2955" t="n">
        <v>2045</v>
      </c>
      <c r="N2955" t="n">
        <v>0</v>
      </c>
      <c r="O2955" t="n">
        <v>27411</v>
      </c>
      <c r="P2955" s="96">
        <f>_xlfn.XLOOKUP(Tabla5[[#This Row],[EAN CORREGIDO]],'Tabla Articulos'!B:B,'Tabla Articulos'!D:D)</f>
        <v/>
      </c>
      <c r="Q2955" s="96">
        <f>_xlfn.XLOOKUP(S2955,'Tabla Articulos'!B:B,'Tabla Articulos'!E:E)</f>
        <v/>
      </c>
      <c r="R2955" s="96">
        <f>O2955*Q2955</f>
        <v/>
      </c>
      <c r="S2955" s="97">
        <f>TRIM(E2955)</f>
        <v/>
      </c>
    </row>
    <row r="2956" hidden="1">
      <c r="A2956" s="22" t="n">
        <v>2</v>
      </c>
      <c r="B2956" t="inlineStr">
        <is>
          <t xml:space="preserve">CD CIUDADELA                  </t>
        </is>
      </c>
      <c r="C2956" t="inlineStr">
        <is>
          <t xml:space="preserve">GRUPO L.                      </t>
        </is>
      </c>
      <c r="D2956" t="inlineStr">
        <is>
          <t xml:space="preserve">AGUA SAB POMELO IND LIGHT </t>
        </is>
      </c>
      <c r="E2956" t="inlineStr">
        <is>
          <t xml:space="preserve">7791813402015       </t>
        </is>
      </c>
      <c r="F2956" t="n">
        <v>4022154</v>
      </c>
      <c r="G2956" t="inlineStr">
        <is>
          <t xml:space="preserve">AGUA SAB S/G POMELADA H20H STIL    </t>
        </is>
      </c>
      <c r="H2956" t="inlineStr">
        <is>
          <t xml:space="preserve">UNIDAD              </t>
        </is>
      </c>
      <c r="I2956" t="n">
        <v>492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492</v>
      </c>
      <c r="P2956" s="96">
        <f>_xlfn.XLOOKUP(Tabla5[[#This Row],[EAN CORREGIDO]],'Tabla Articulos'!B:B,'Tabla Articulos'!D:D)</f>
        <v/>
      </c>
      <c r="Q2956" s="96">
        <f>_xlfn.XLOOKUP(S2956,'Tabla Articulos'!B:B,'Tabla Articulos'!E:E)</f>
        <v/>
      </c>
      <c r="R2956" s="96">
        <f>O2956*Q2956</f>
        <v/>
      </c>
      <c r="S2956" s="97">
        <f>TRIM(E2956)</f>
        <v/>
      </c>
    </row>
    <row r="2957" hidden="1">
      <c r="A2957" s="22" t="n">
        <v>2</v>
      </c>
      <c r="B2957" t="inlineStr">
        <is>
          <t xml:space="preserve">CD CIUDADELA                  </t>
        </is>
      </c>
      <c r="C2957" t="inlineStr">
        <is>
          <t xml:space="preserve">GRUPO L.                      </t>
        </is>
      </c>
      <c r="D2957" t="inlineStr">
        <is>
          <t>SEMOLA</t>
        </is>
      </c>
      <c r="E2957" t="inlineStr">
        <is>
          <t xml:space="preserve">7790070336965       </t>
        </is>
      </c>
      <c r="F2957" t="n">
        <v>4019529</v>
      </c>
      <c r="G2957" t="inlineStr">
        <is>
          <t xml:space="preserve">SEMOLA CLASICA X500G VITINA	       </t>
        </is>
      </c>
      <c r="H2957" t="inlineStr">
        <is>
          <t xml:space="preserve">UNIDAD              </t>
        </is>
      </c>
      <c r="I2957" t="n">
        <v>279</v>
      </c>
      <c r="J2957" t="n">
        <v>0</v>
      </c>
      <c r="K2957" t="n">
        <v>0</v>
      </c>
      <c r="L2957" t="n">
        <v>25</v>
      </c>
      <c r="M2957" t="n">
        <v>24</v>
      </c>
      <c r="N2957" t="n">
        <v>0</v>
      </c>
      <c r="O2957" t="n">
        <v>230</v>
      </c>
      <c r="P2957" s="96">
        <f>_xlfn.XLOOKUP(Tabla5[[#This Row],[EAN CORREGIDO]],'Tabla Articulos'!B:B,'Tabla Articulos'!D:D)</f>
        <v/>
      </c>
      <c r="Q2957" s="96">
        <f>_xlfn.XLOOKUP(S2957,'Tabla Articulos'!B:B,'Tabla Articulos'!E:E)</f>
        <v/>
      </c>
      <c r="R2957" s="96">
        <f>O2957*Q2957</f>
        <v/>
      </c>
      <c r="S2957" s="97">
        <f>TRIM(E2957)</f>
        <v/>
      </c>
    </row>
    <row r="2958" hidden="1">
      <c r="A2958" s="22" t="n">
        <v>2</v>
      </c>
      <c r="B2958" t="inlineStr">
        <is>
          <t xml:space="preserve">CD CIUDADELA                  </t>
        </is>
      </c>
      <c r="C2958" t="inlineStr">
        <is>
          <t xml:space="preserve">GRUPO L.                      </t>
        </is>
      </c>
      <c r="D2958" t="inlineStr">
        <is>
          <t>ALMIDON DE MAIZ CELIACO</t>
        </is>
      </c>
      <c r="E2958" t="inlineStr">
        <is>
          <t xml:space="preserve">7793323004857       </t>
        </is>
      </c>
      <c r="F2958" t="n">
        <v>4020050</v>
      </c>
      <c r="G2958" t="inlineStr">
        <is>
          <t xml:space="preserve">ALMIDON MAIZ STACC X450G DICOMER   </t>
        </is>
      </c>
      <c r="H2958" t="inlineStr">
        <is>
          <t xml:space="preserve">UNIDAD              </t>
        </is>
      </c>
      <c r="I2958" t="n">
        <v>1763</v>
      </c>
      <c r="J2958" t="n">
        <v>0</v>
      </c>
      <c r="K2958" t="n">
        <v>0</v>
      </c>
      <c r="L2958" t="n">
        <v>1</v>
      </c>
      <c r="M2958" t="n">
        <v>1</v>
      </c>
      <c r="N2958" t="n">
        <v>0</v>
      </c>
      <c r="O2958" t="n">
        <v>1761</v>
      </c>
      <c r="P2958" s="96">
        <f>_xlfn.XLOOKUP(Tabla5[[#This Row],[EAN CORREGIDO]],'Tabla Articulos'!B:B,'Tabla Articulos'!D:D)</f>
        <v/>
      </c>
      <c r="Q2958" s="96">
        <f>_xlfn.XLOOKUP(S2958,'Tabla Articulos'!B:B,'Tabla Articulos'!E:E)</f>
        <v/>
      </c>
      <c r="R2958" s="96">
        <f>O2958*Q2958</f>
        <v/>
      </c>
      <c r="S2958" s="97">
        <f>TRIM(E2958)</f>
        <v/>
      </c>
    </row>
    <row r="2959" hidden="1">
      <c r="A2959" s="22" t="n">
        <v>2</v>
      </c>
      <c r="B2959" t="inlineStr">
        <is>
          <t xml:space="preserve">CD CIUDADELA                  </t>
        </is>
      </c>
      <c r="C2959" t="inlineStr">
        <is>
          <t xml:space="preserve">GRUPO L.                      </t>
        </is>
      </c>
      <c r="D2959" t="inlineStr">
        <is>
          <t>GELATINA ANANA</t>
        </is>
      </c>
      <c r="E2959" t="inlineStr">
        <is>
          <t xml:space="preserve">7790530850031       </t>
        </is>
      </c>
      <c r="F2959" t="n">
        <v>4019874</v>
      </c>
      <c r="G2959" t="inlineStr">
        <is>
          <t xml:space="preserve">GELATINA ANANA X 5KG BEDIAL        </t>
        </is>
      </c>
      <c r="H2959" t="inlineStr">
        <is>
          <t xml:space="preserve">UNIDAD              </t>
        </is>
      </c>
      <c r="I2959" t="n">
        <v>110</v>
      </c>
      <c r="J2959" t="n">
        <v>0</v>
      </c>
      <c r="K2959" t="n">
        <v>0</v>
      </c>
      <c r="L2959" t="n">
        <v>2</v>
      </c>
      <c r="M2959" t="n">
        <v>2</v>
      </c>
      <c r="N2959" t="n">
        <v>0</v>
      </c>
      <c r="O2959" t="n">
        <v>106</v>
      </c>
      <c r="P2959" s="96">
        <f>_xlfn.XLOOKUP(Tabla5[[#This Row],[EAN CORREGIDO]],'Tabla Articulos'!B:B,'Tabla Articulos'!D:D)</f>
        <v/>
      </c>
      <c r="Q2959" s="96">
        <f>_xlfn.XLOOKUP(S2959,'Tabla Articulos'!B:B,'Tabla Articulos'!E:E)</f>
        <v/>
      </c>
      <c r="R2959" s="96">
        <f>O2959*Q2959</f>
        <v/>
      </c>
      <c r="S2959" s="97">
        <f>TRIM(E2959)</f>
        <v/>
      </c>
    </row>
    <row r="2960" hidden="1">
      <c r="A2960" s="22" t="n">
        <v>2</v>
      </c>
      <c r="B2960" t="inlineStr">
        <is>
          <t xml:space="preserve">CD CIUDADELA                  </t>
        </is>
      </c>
      <c r="C2960" t="inlineStr">
        <is>
          <t xml:space="preserve">GRUPO L.                      </t>
        </is>
      </c>
      <c r="D2960" t="inlineStr">
        <is>
          <t>BOLSA PROPILENO</t>
        </is>
      </c>
      <c r="E2960" t="inlineStr">
        <is>
          <t xml:space="preserve">7790321020996       </t>
        </is>
      </c>
      <c r="F2960" t="n">
        <v>2006676</v>
      </c>
      <c r="G2960" t="inlineStr">
        <is>
          <t xml:space="preserve">BOLSA POLIPROPILENO 25X35X100U     </t>
        </is>
      </c>
      <c r="H2960" t="inlineStr">
        <is>
          <t xml:space="preserve">BULTOS              </t>
        </is>
      </c>
      <c r="I2960" t="n">
        <v>39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39</v>
      </c>
      <c r="P2960" s="96">
        <f>_xlfn.XLOOKUP(Tabla5[[#This Row],[EAN CORREGIDO]],'Tabla Articulos'!B:B,'Tabla Articulos'!D:D)</f>
        <v/>
      </c>
      <c r="Q2960" s="96">
        <f>_xlfn.XLOOKUP(S2960,'Tabla Articulos'!B:B,'Tabla Articulos'!E:E)</f>
        <v/>
      </c>
      <c r="R2960" s="96">
        <f>O2960*Q2960</f>
        <v/>
      </c>
      <c r="S2960" s="97">
        <f>TRIM(E2960)</f>
        <v/>
      </c>
    </row>
    <row r="2961" hidden="1">
      <c r="A2961" s="22" t="n">
        <v>2</v>
      </c>
      <c r="B2961" t="inlineStr">
        <is>
          <t xml:space="preserve">CD CIUDADELA                  </t>
        </is>
      </c>
      <c r="C2961" t="inlineStr">
        <is>
          <t xml:space="preserve">GRUPO L.                      </t>
        </is>
      </c>
      <c r="D2961" t="inlineStr">
        <is>
          <t>PAN INTEGRAL x KG</t>
        </is>
      </c>
      <c r="E2961" t="inlineStr">
        <is>
          <t xml:space="preserve">7790213012220       </t>
        </is>
      </c>
      <c r="F2961" t="n">
        <v>4018502</v>
      </c>
      <c r="G2961" t="inlineStr">
        <is>
          <t xml:space="preserve">PAN  MIGNON INTEGRAL  XKG          </t>
        </is>
      </c>
      <c r="H2961" t="inlineStr">
        <is>
          <t xml:space="preserve">Kgs                 </t>
        </is>
      </c>
      <c r="I2961" t="n">
        <v>73.26000000000001</v>
      </c>
      <c r="J2961" t="n">
        <v>0</v>
      </c>
      <c r="K2961" t="n">
        <v>14.19</v>
      </c>
      <c r="L2961" t="n">
        <v>0</v>
      </c>
      <c r="M2961" t="n">
        <v>0</v>
      </c>
      <c r="N2961" t="n">
        <v>0</v>
      </c>
      <c r="O2961" t="n">
        <v>59.07</v>
      </c>
      <c r="P2961" s="96">
        <f>_xlfn.XLOOKUP(Tabla5[[#This Row],[EAN CORREGIDO]],'Tabla Articulos'!B:B,'Tabla Articulos'!D:D)</f>
        <v/>
      </c>
      <c r="Q2961" s="96">
        <f>_xlfn.XLOOKUP(S2961,'Tabla Articulos'!B:B,'Tabla Articulos'!E:E)</f>
        <v/>
      </c>
      <c r="R2961" s="96">
        <f>O2961*Q2961</f>
        <v/>
      </c>
      <c r="S2961" s="97">
        <f>TRIM(E2961)</f>
        <v/>
      </c>
    </row>
    <row r="2962" hidden="1">
      <c r="A2962" s="22" t="n">
        <v>2</v>
      </c>
      <c r="B2962" t="inlineStr">
        <is>
          <t xml:space="preserve">CD CIUDADELA                  </t>
        </is>
      </c>
      <c r="C2962" t="inlineStr">
        <is>
          <t xml:space="preserve">GRUPO L.                      </t>
        </is>
      </c>
      <c r="D2962" t="inlineStr">
        <is>
          <t>RESINITE PVC</t>
        </is>
      </c>
      <c r="E2962" t="inlineStr">
        <is>
          <t xml:space="preserve">16109000A           </t>
        </is>
      </c>
      <c r="F2962" t="n">
        <v>2006266</v>
      </c>
      <c r="G2962" t="inlineStr">
        <is>
          <t xml:space="preserve">FILM PVC 38 CM X 1000 U            </t>
        </is>
      </c>
      <c r="H2962" t="inlineStr">
        <is>
          <t xml:space="preserve">UNIDAD              </t>
        </is>
      </c>
      <c r="I2962" t="n">
        <v>83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83</v>
      </c>
      <c r="P2962" s="96">
        <f>_xlfn.XLOOKUP(Tabla5[[#This Row],[EAN CORREGIDO]],'Tabla Articulos'!B:B,'Tabla Articulos'!D:D)</f>
        <v/>
      </c>
      <c r="Q2962" s="96">
        <f>_xlfn.XLOOKUP(S2962,'Tabla Articulos'!B:B,'Tabla Articulos'!E:E)</f>
        <v/>
      </c>
      <c r="R2962" s="96">
        <f>O2962*Q2962</f>
        <v/>
      </c>
      <c r="S2962" s="97">
        <f>TRIM(E2962)</f>
        <v/>
      </c>
    </row>
    <row r="2963" hidden="1">
      <c r="A2963" s="22" t="n">
        <v>2</v>
      </c>
      <c r="B2963" t="inlineStr">
        <is>
          <t xml:space="preserve">CD CIUDADELA                  </t>
        </is>
      </c>
      <c r="C2963" t="inlineStr">
        <is>
          <t xml:space="preserve">GRUPO L.                      </t>
        </is>
      </c>
      <c r="D2963" t="inlineStr">
        <is>
          <t>POLLO T11</t>
        </is>
      </c>
      <c r="E2963" t="inlineStr">
        <is>
          <t xml:space="preserve">7790212030076       </t>
        </is>
      </c>
      <c r="F2963" t="n">
        <v>4017624</v>
      </c>
      <c r="G2963" t="inlineStr">
        <is>
          <t xml:space="preserve">POLLO T11 X U                      </t>
        </is>
      </c>
      <c r="H2963" t="inlineStr">
        <is>
          <t xml:space="preserve">UNIDAD              </t>
        </is>
      </c>
      <c r="I2963" t="n">
        <v>86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86</v>
      </c>
      <c r="P2963" s="96">
        <f>_xlfn.XLOOKUP(Tabla5[[#This Row],[EAN CORREGIDO]],'Tabla Articulos'!B:B,'Tabla Articulos'!D:D)</f>
        <v/>
      </c>
      <c r="Q2963" s="96">
        <f>_xlfn.XLOOKUP(S2963,'Tabla Articulos'!B:B,'Tabla Articulos'!E:E)</f>
        <v/>
      </c>
      <c r="R2963" s="96">
        <f>O2963*Q2963</f>
        <v/>
      </c>
      <c r="S2963" s="97">
        <f>TRIM(E2963)</f>
        <v/>
      </c>
    </row>
    <row r="2964" hidden="1">
      <c r="A2964" s="22" t="n">
        <v>2</v>
      </c>
      <c r="B2964" t="inlineStr">
        <is>
          <t xml:space="preserve">CD CIUDADELA                  </t>
        </is>
      </c>
      <c r="C2964" t="inlineStr">
        <is>
          <t xml:space="preserve">GRUPO L.                      </t>
        </is>
      </c>
      <c r="D2964" t="inlineStr">
        <is>
          <t>PAN X 40 G</t>
        </is>
      </c>
      <c r="E2964" t="inlineStr">
        <is>
          <t xml:space="preserve">7790213010012       </t>
        </is>
      </c>
      <c r="F2964" t="n">
        <v>4018620</v>
      </c>
      <c r="G2964" t="inlineStr">
        <is>
          <t xml:space="preserve">PAN X KG-PIEZAS DE 40 GRS          </t>
        </is>
      </c>
      <c r="H2964" t="inlineStr">
        <is>
          <t xml:space="preserve">Kgs                 </t>
        </is>
      </c>
      <c r="I2964" t="n">
        <v>2177.05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2177.05</v>
      </c>
      <c r="P2964" s="96">
        <f>_xlfn.XLOOKUP(Tabla5[[#This Row],[EAN CORREGIDO]],'Tabla Articulos'!B:B,'Tabla Articulos'!D:D)</f>
        <v/>
      </c>
      <c r="Q2964" s="96">
        <f>_xlfn.XLOOKUP(S2964,'Tabla Articulos'!B:B,'Tabla Articulos'!E:E)</f>
        <v/>
      </c>
      <c r="R2964" s="96">
        <f>O2964*Q2964</f>
        <v/>
      </c>
      <c r="S2964" s="97">
        <f>TRIM(E2964)</f>
        <v/>
      </c>
    </row>
    <row r="2965" hidden="1">
      <c r="A2965" s="22" t="n">
        <v>2</v>
      </c>
      <c r="B2965" t="inlineStr">
        <is>
          <t xml:space="preserve">CD CIUDADELA                  </t>
        </is>
      </c>
      <c r="C2965" t="inlineStr">
        <is>
          <t xml:space="preserve">GRUPO L.                      </t>
        </is>
      </c>
      <c r="D2965" t="inlineStr">
        <is>
          <t>PAN LACTAL DOBLE SALVADO</t>
        </is>
      </c>
      <c r="E2965" t="inlineStr">
        <is>
          <t xml:space="preserve">7793890258783       </t>
        </is>
      </c>
      <c r="F2965" t="n">
        <v>4018438</v>
      </c>
      <c r="G2965" t="inlineStr">
        <is>
          <t>PAN LACTAL DOBLE SALVADO 560G LACTA</t>
        </is>
      </c>
      <c r="H2965" t="inlineStr">
        <is>
          <t xml:space="preserve">UNIDAD              </t>
        </is>
      </c>
      <c r="I2965" t="n">
        <v>15</v>
      </c>
      <c r="J2965" t="n">
        <v>0</v>
      </c>
      <c r="K2965" t="n">
        <v>0</v>
      </c>
      <c r="L2965" t="n">
        <v>5</v>
      </c>
      <c r="M2965" t="n">
        <v>5</v>
      </c>
      <c r="N2965" t="n">
        <v>0</v>
      </c>
      <c r="O2965" t="n">
        <v>5</v>
      </c>
      <c r="P2965" s="96">
        <f>_xlfn.XLOOKUP(Tabla5[[#This Row],[EAN CORREGIDO]],'Tabla Articulos'!B:B,'Tabla Articulos'!D:D)</f>
        <v/>
      </c>
      <c r="Q2965" s="96">
        <f>_xlfn.XLOOKUP(S2965,'Tabla Articulos'!B:B,'Tabla Articulos'!E:E)</f>
        <v/>
      </c>
      <c r="R2965" s="96">
        <f>O2965*Q2965</f>
        <v/>
      </c>
      <c r="S2965" s="97">
        <f>TRIM(E2965)</f>
        <v/>
      </c>
    </row>
    <row r="2966" hidden="1">
      <c r="A2966" s="22" t="n">
        <v>2</v>
      </c>
      <c r="B2966" t="inlineStr">
        <is>
          <t xml:space="preserve">CD CIUDADELA                  </t>
        </is>
      </c>
      <c r="C2966" t="inlineStr">
        <is>
          <t xml:space="preserve">GRUPO L.                      </t>
        </is>
      </c>
      <c r="D2966" t="inlineStr">
        <is>
          <t>POROTOS S/TACC</t>
        </is>
      </c>
      <c r="E2966" t="inlineStr">
        <is>
          <t xml:space="preserve">7792350067088       </t>
        </is>
      </c>
      <c r="F2966" t="n">
        <v>4020085</v>
      </c>
      <c r="G2966" t="inlineStr">
        <is>
          <t xml:space="preserve">POROTO X 300 GR INALPA             </t>
        </is>
      </c>
      <c r="H2966" t="inlineStr">
        <is>
          <t xml:space="preserve">UNIDAD              </t>
        </is>
      </c>
      <c r="I2966" t="n">
        <v>428</v>
      </c>
      <c r="J2966" t="n">
        <v>0</v>
      </c>
      <c r="K2966" t="n">
        <v>0</v>
      </c>
      <c r="L2966" t="n">
        <v>29</v>
      </c>
      <c r="M2966" t="n">
        <v>29</v>
      </c>
      <c r="N2966" t="n">
        <v>0</v>
      </c>
      <c r="O2966" t="n">
        <v>370</v>
      </c>
      <c r="P2966" s="96">
        <f>_xlfn.XLOOKUP(Tabla5[[#This Row],[EAN CORREGIDO]],'Tabla Articulos'!B:B,'Tabla Articulos'!D:D)</f>
        <v/>
      </c>
      <c r="Q2966" s="96">
        <f>_xlfn.XLOOKUP(S2966,'Tabla Articulos'!B:B,'Tabla Articulos'!E:E)</f>
        <v/>
      </c>
      <c r="R2966" s="96">
        <f>O2966*Q2966</f>
        <v/>
      </c>
      <c r="S2966" s="97">
        <f>TRIM(E2966)</f>
        <v/>
      </c>
    </row>
    <row r="2967" hidden="1">
      <c r="A2967" s="22" t="n">
        <v>2</v>
      </c>
      <c r="B2967" t="inlineStr">
        <is>
          <t xml:space="preserve">CD CIUDADELA                  </t>
        </is>
      </c>
      <c r="C2967" t="inlineStr">
        <is>
          <t xml:space="preserve">GRUPO L.                      </t>
        </is>
      </c>
      <c r="D2967" t="inlineStr">
        <is>
          <t>MATE COCIDO SOB S/TACC</t>
        </is>
      </c>
      <c r="E2967" t="inlineStr">
        <is>
          <t xml:space="preserve">7792198006539       </t>
        </is>
      </c>
      <c r="F2967" t="n">
        <v>4019834</v>
      </c>
      <c r="G2967" t="inlineStr">
        <is>
          <t xml:space="preserve">MATE COC EN SOB X 100 SAQ NATURA   </t>
        </is>
      </c>
      <c r="H2967" t="inlineStr">
        <is>
          <t xml:space="preserve">UNIDAD              </t>
        </is>
      </c>
      <c r="I2967" t="n">
        <v>1580</v>
      </c>
      <c r="J2967" t="n">
        <v>0</v>
      </c>
      <c r="K2967" t="n">
        <v>0</v>
      </c>
      <c r="L2967" t="n">
        <v>7</v>
      </c>
      <c r="M2967" t="n">
        <v>7</v>
      </c>
      <c r="N2967" t="n">
        <v>0</v>
      </c>
      <c r="O2967" t="n">
        <v>1566</v>
      </c>
      <c r="P2967" s="96">
        <f>_xlfn.XLOOKUP(Tabla5[[#This Row],[EAN CORREGIDO]],'Tabla Articulos'!B:B,'Tabla Articulos'!D:D)</f>
        <v/>
      </c>
      <c r="Q2967" s="96">
        <f>_xlfn.XLOOKUP(S2967,'Tabla Articulos'!B:B,'Tabla Articulos'!E:E)</f>
        <v/>
      </c>
      <c r="R2967" s="96">
        <f>O2967*Q2967</f>
        <v/>
      </c>
      <c r="S2967" s="97">
        <f>TRIM(E2967)</f>
        <v/>
      </c>
    </row>
    <row r="2968" hidden="1">
      <c r="A2968" s="22" t="n">
        <v>2</v>
      </c>
      <c r="B2968" t="inlineStr">
        <is>
          <t xml:space="preserve">CD CIUDADELA                  </t>
        </is>
      </c>
      <c r="C2968" t="inlineStr">
        <is>
          <t xml:space="preserve">GRUPO L.                      </t>
        </is>
      </c>
      <c r="D2968" t="inlineStr">
        <is>
          <t>GASEOSA COLA ZERO IND</t>
        </is>
      </c>
      <c r="E2968" t="inlineStr">
        <is>
          <t xml:space="preserve">7790895650840       </t>
        </is>
      </c>
      <c r="F2968" t="n">
        <v>4023929</v>
      </c>
      <c r="G2968" t="inlineStr">
        <is>
          <t xml:space="preserve">GAS COCA COLA ZERO 600CC           </t>
        </is>
      </c>
      <c r="H2968" t="inlineStr">
        <is>
          <t xml:space="preserve">UNIDAD              </t>
        </is>
      </c>
      <c r="I2968" t="n">
        <v>4792</v>
      </c>
      <c r="J2968" t="n">
        <v>0</v>
      </c>
      <c r="K2968" t="n">
        <v>0</v>
      </c>
      <c r="L2968" t="n">
        <v>428</v>
      </c>
      <c r="M2968" t="n">
        <v>428</v>
      </c>
      <c r="N2968" t="n">
        <v>0</v>
      </c>
      <c r="O2968" t="n">
        <v>3936</v>
      </c>
      <c r="P2968" s="96">
        <f>_xlfn.XLOOKUP(Tabla5[[#This Row],[EAN CORREGIDO]],'Tabla Articulos'!B:B,'Tabla Articulos'!D:D)</f>
        <v/>
      </c>
      <c r="Q2968" s="96">
        <f>_xlfn.XLOOKUP(S2968,'Tabla Articulos'!B:B,'Tabla Articulos'!E:E)</f>
        <v/>
      </c>
      <c r="R2968" s="96">
        <f>O2968*Q2968</f>
        <v/>
      </c>
      <c r="S2968" s="97">
        <f>TRIM(E2968)</f>
        <v/>
      </c>
    </row>
    <row r="2969" hidden="1">
      <c r="A2969" s="22" t="n">
        <v>2</v>
      </c>
      <c r="B2969" t="inlineStr">
        <is>
          <t xml:space="preserve">CD CIUDADELA                  </t>
        </is>
      </c>
      <c r="C2969" t="inlineStr">
        <is>
          <t xml:space="preserve">GRUPO L.                      </t>
        </is>
      </c>
      <c r="D2969" t="inlineStr">
        <is>
          <t>PREMEZCLA BIZCOCHUELO VAINI</t>
        </is>
      </c>
      <c r="E2969" t="inlineStr">
        <is>
          <t xml:space="preserve">7790971000798       </t>
        </is>
      </c>
      <c r="F2969" t="n">
        <v>4024274</v>
      </c>
      <c r="G2969" t="inlineStr">
        <is>
          <t xml:space="preserve">BIZCOCHUELO VAINILLA ORLOC 5KG     </t>
        </is>
      </c>
      <c r="H2969" t="inlineStr">
        <is>
          <t xml:space="preserve">UNIDAD              </t>
        </is>
      </c>
      <c r="I2969" t="n">
        <v>78</v>
      </c>
      <c r="J2969" t="n">
        <v>0</v>
      </c>
      <c r="K2969" t="n">
        <v>0</v>
      </c>
      <c r="L2969" t="n">
        <v>1</v>
      </c>
      <c r="M2969" t="n">
        <v>1</v>
      </c>
      <c r="N2969" t="n">
        <v>0</v>
      </c>
      <c r="O2969" t="n">
        <v>76</v>
      </c>
      <c r="P2969" s="96">
        <f>_xlfn.XLOOKUP(Tabla5[[#This Row],[EAN CORREGIDO]],'Tabla Articulos'!B:B,'Tabla Articulos'!D:D)</f>
        <v/>
      </c>
      <c r="Q2969" s="96">
        <f>_xlfn.XLOOKUP(S2969,'Tabla Articulos'!B:B,'Tabla Articulos'!E:E)</f>
        <v/>
      </c>
      <c r="R2969" s="96">
        <f>O2969*Q2969</f>
        <v/>
      </c>
      <c r="S2969" s="97">
        <f>TRIM(E2969)</f>
        <v/>
      </c>
    </row>
    <row r="2970" hidden="1">
      <c r="A2970" s="22" t="n">
        <v>2</v>
      </c>
      <c r="B2970" t="inlineStr">
        <is>
          <t xml:space="preserve">CD CIUDADELA                  </t>
        </is>
      </c>
      <c r="C2970" t="inlineStr">
        <is>
          <t xml:space="preserve">GRUPO L.                      </t>
        </is>
      </c>
      <c r="D2970" t="inlineStr">
        <is>
          <t>MAYONESA INDIVIDUAL</t>
        </is>
      </c>
      <c r="E2970" t="inlineStr">
        <is>
          <t xml:space="preserve">7798011976591       </t>
        </is>
      </c>
      <c r="F2970" t="n">
        <v>4020499</v>
      </c>
      <c r="G2970" t="inlineStr">
        <is>
          <t xml:space="preserve">MAYONESA IND 8CC X198U ABEDUL      </t>
        </is>
      </c>
      <c r="H2970" t="inlineStr">
        <is>
          <t xml:space="preserve">UNIDAD              </t>
        </is>
      </c>
      <c r="I2970" t="n">
        <v>118</v>
      </c>
      <c r="J2970" t="n">
        <v>0</v>
      </c>
      <c r="K2970" t="n">
        <v>0</v>
      </c>
      <c r="L2970" t="n">
        <v>18</v>
      </c>
      <c r="M2970" t="n">
        <v>18</v>
      </c>
      <c r="N2970" t="n">
        <v>0</v>
      </c>
      <c r="O2970" t="n">
        <v>82</v>
      </c>
      <c r="P2970" s="96">
        <f>_xlfn.XLOOKUP(Tabla5[[#This Row],[EAN CORREGIDO]],'Tabla Articulos'!B:B,'Tabla Articulos'!D:D)</f>
        <v/>
      </c>
      <c r="Q2970" s="96">
        <f>_xlfn.XLOOKUP(S2970,'Tabla Articulos'!B:B,'Tabla Articulos'!E:E)</f>
        <v/>
      </c>
      <c r="R2970" s="96">
        <f>O2970*Q2970</f>
        <v/>
      </c>
      <c r="S2970" s="97">
        <f>TRIM(E2970)</f>
        <v/>
      </c>
    </row>
    <row r="2971" hidden="1">
      <c r="A2971" s="22" t="n">
        <v>2</v>
      </c>
      <c r="B2971" t="inlineStr">
        <is>
          <t xml:space="preserve">CD CIUDADELA                  </t>
        </is>
      </c>
      <c r="C2971" t="inlineStr">
        <is>
          <t xml:space="preserve">GRUPO L.                      </t>
        </is>
      </c>
      <c r="D2971" t="inlineStr">
        <is>
          <t>BATATA CONGELADA</t>
        </is>
      </c>
      <c r="E2971" t="inlineStr">
        <is>
          <t xml:space="preserve">7798184271356       </t>
        </is>
      </c>
      <c r="F2971" t="n">
        <v>4024018</v>
      </c>
      <c r="G2971" t="inlineStr">
        <is>
          <t xml:space="preserve">BATATA CUBOS IQF X1KG BIOMAC       </t>
        </is>
      </c>
      <c r="H2971" t="inlineStr">
        <is>
          <t xml:space="preserve">UNIDAD              </t>
        </is>
      </c>
      <c r="I2971" t="n">
        <v>10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10</v>
      </c>
      <c r="P2971" s="96">
        <f>_xlfn.XLOOKUP(Tabla5[[#This Row],[EAN CORREGIDO]],'Tabla Articulos'!B:B,'Tabla Articulos'!D:D)</f>
        <v/>
      </c>
      <c r="Q2971" s="96">
        <f>_xlfn.XLOOKUP(S2971,'Tabla Articulos'!B:B,'Tabla Articulos'!E:E)</f>
        <v/>
      </c>
      <c r="R2971" s="96">
        <f>O2971*Q2971</f>
        <v/>
      </c>
      <c r="S2971" s="97">
        <f>TRIM(E2971)</f>
        <v/>
      </c>
    </row>
    <row r="2972" hidden="1">
      <c r="A2972" s="22" t="n">
        <v>2</v>
      </c>
      <c r="B2972" t="inlineStr">
        <is>
          <t xml:space="preserve">CD CIUDADELA                  </t>
        </is>
      </c>
      <c r="C2972" t="inlineStr">
        <is>
          <t xml:space="preserve">GRUPO L.                      </t>
        </is>
      </c>
      <c r="D2972" t="inlineStr">
        <is>
          <t>TAPA ENSALADERA</t>
        </is>
      </c>
      <c r="E2972" t="inlineStr">
        <is>
          <t xml:space="preserve">7790321000063       </t>
        </is>
      </c>
      <c r="F2972" t="n">
        <v>2006451</v>
      </c>
      <c r="G2972" t="inlineStr">
        <is>
          <t xml:space="preserve">ENS. CRISTAL TAPA X100U BANDEX     </t>
        </is>
      </c>
      <c r="H2972" t="inlineStr">
        <is>
          <t xml:space="preserve">UNIDAD              </t>
        </is>
      </c>
      <c r="I2972" t="n">
        <v>74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74</v>
      </c>
      <c r="P2972" s="96">
        <f>_xlfn.XLOOKUP(Tabla5[[#This Row],[EAN CORREGIDO]],'Tabla Articulos'!B:B,'Tabla Articulos'!D:D)</f>
        <v/>
      </c>
      <c r="Q2972" s="96">
        <f>_xlfn.XLOOKUP(S2972,'Tabla Articulos'!B:B,'Tabla Articulos'!E:E)</f>
        <v/>
      </c>
      <c r="R2972" s="96">
        <f>O2972*Q2972</f>
        <v/>
      </c>
      <c r="S2972" s="97">
        <f>TRIM(E2972)</f>
        <v/>
      </c>
    </row>
    <row r="2973" hidden="1">
      <c r="A2973" s="22" t="n">
        <v>2</v>
      </c>
      <c r="B2973" t="inlineStr">
        <is>
          <t xml:space="preserve">CD CIUDADELA                  </t>
        </is>
      </c>
      <c r="C2973" t="inlineStr">
        <is>
          <t xml:space="preserve">GRUPO L.                      </t>
        </is>
      </c>
      <c r="D2973" t="inlineStr">
        <is>
          <t>CARAMELO LIQUIDO</t>
        </is>
      </c>
      <c r="E2973" t="inlineStr">
        <is>
          <t xml:space="preserve">7791113002588       </t>
        </is>
      </c>
      <c r="F2973" t="n">
        <v>4020154</v>
      </c>
      <c r="G2973" t="inlineStr">
        <is>
          <t xml:space="preserve">CARAMELO LIQ X1.25LTS DULFIX	      </t>
        </is>
      </c>
      <c r="H2973" t="inlineStr">
        <is>
          <t xml:space="preserve">UNIDAD              </t>
        </is>
      </c>
      <c r="I2973" t="n">
        <v>190</v>
      </c>
      <c r="J2973" t="n">
        <v>0</v>
      </c>
      <c r="K2973" t="n">
        <v>0</v>
      </c>
      <c r="L2973" t="n">
        <v>19</v>
      </c>
      <c r="M2973" t="n">
        <v>19</v>
      </c>
      <c r="N2973" t="n">
        <v>0</v>
      </c>
      <c r="O2973" t="n">
        <v>152</v>
      </c>
      <c r="P2973" s="96">
        <f>_xlfn.XLOOKUP(Tabla5[[#This Row],[EAN CORREGIDO]],'Tabla Articulos'!B:B,'Tabla Articulos'!D:D)</f>
        <v/>
      </c>
      <c r="Q2973" s="96">
        <f>_xlfn.XLOOKUP(S2973,'Tabla Articulos'!B:B,'Tabla Articulos'!E:E)</f>
        <v/>
      </c>
      <c r="R2973" s="96">
        <f>O2973*Q2973</f>
        <v/>
      </c>
      <c r="S2973" s="97">
        <f>TRIM(E2973)</f>
        <v/>
      </c>
    </row>
    <row r="2974" hidden="1">
      <c r="A2974" s="22" t="n">
        <v>2</v>
      </c>
      <c r="B2974" t="inlineStr">
        <is>
          <t xml:space="preserve">CD CIUDADELA                  </t>
        </is>
      </c>
      <c r="C2974" t="inlineStr">
        <is>
          <t xml:space="preserve">GRUPO L.                      </t>
        </is>
      </c>
      <c r="D2974" t="inlineStr">
        <is>
          <t>MOSTAZA</t>
        </is>
      </c>
      <c r="E2974" t="inlineStr">
        <is>
          <t xml:space="preserve">7798011976928       </t>
        </is>
      </c>
      <c r="F2974" t="n">
        <v>4024614</v>
      </c>
      <c r="G2974" t="inlineStr">
        <is>
          <t xml:space="preserve">MOSTAZA X3KG ABEDUL                </t>
        </is>
      </c>
      <c r="H2974" t="inlineStr">
        <is>
          <t xml:space="preserve">UNIDAD              </t>
        </is>
      </c>
      <c r="I2974" t="n">
        <v>316</v>
      </c>
      <c r="J2974" t="n">
        <v>0</v>
      </c>
      <c r="K2974" t="n">
        <v>0</v>
      </c>
      <c r="L2974" t="n">
        <v>5</v>
      </c>
      <c r="M2974" t="n">
        <v>5</v>
      </c>
      <c r="N2974" t="n">
        <v>0</v>
      </c>
      <c r="O2974" t="n">
        <v>306</v>
      </c>
      <c r="P2974" s="96">
        <f>_xlfn.XLOOKUP(Tabla5[[#This Row],[EAN CORREGIDO]],'Tabla Articulos'!B:B,'Tabla Articulos'!D:D)</f>
        <v/>
      </c>
      <c r="Q2974" s="96">
        <f>_xlfn.XLOOKUP(S2974,'Tabla Articulos'!B:B,'Tabla Articulos'!E:E)</f>
        <v/>
      </c>
      <c r="R2974" s="96">
        <f>O2974*Q2974</f>
        <v/>
      </c>
      <c r="S2974" s="97">
        <f>TRIM(E2974)</f>
        <v/>
      </c>
    </row>
    <row r="2975" hidden="1">
      <c r="A2975" s="22" t="n">
        <v>2</v>
      </c>
      <c r="B2975" t="inlineStr">
        <is>
          <t xml:space="preserve">CD CIUDADELA                  </t>
        </is>
      </c>
      <c r="C2975" t="inlineStr">
        <is>
          <t xml:space="preserve">GRUPO L.                      </t>
        </is>
      </c>
      <c r="D2975" t="inlineStr">
        <is>
          <t>AZUCAR INDIV 9 DE DICIEMBRE</t>
        </is>
      </c>
      <c r="E2975" t="inlineStr">
        <is>
          <t xml:space="preserve">7798011977444       </t>
        </is>
      </c>
      <c r="F2975" t="n">
        <v>4021616</v>
      </c>
      <c r="G2975" t="inlineStr">
        <is>
          <t xml:space="preserve">AZUCAR IND 9 DE DICIEMBRE X800U    </t>
        </is>
      </c>
      <c r="H2975" t="inlineStr">
        <is>
          <t xml:space="preserve">PALLET              </t>
        </is>
      </c>
      <c r="I2975" t="n">
        <v>65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65</v>
      </c>
      <c r="P2975" s="96">
        <f>_xlfn.XLOOKUP(Tabla5[[#This Row],[EAN CORREGIDO]],'Tabla Articulos'!B:B,'Tabla Articulos'!D:D)</f>
        <v/>
      </c>
      <c r="Q2975" s="96">
        <f>_xlfn.XLOOKUP(S2975,'Tabla Articulos'!B:B,'Tabla Articulos'!E:E)</f>
        <v/>
      </c>
      <c r="R2975" s="96">
        <f>O2975*Q2975</f>
        <v/>
      </c>
      <c r="S2975" s="97">
        <f>TRIM(E2975)</f>
        <v/>
      </c>
    </row>
    <row r="2976" hidden="1">
      <c r="A2976" s="22" t="n">
        <v>2</v>
      </c>
      <c r="B2976" t="inlineStr">
        <is>
          <t xml:space="preserve">CD CIUDADELA                  </t>
        </is>
      </c>
      <c r="C2976" t="inlineStr">
        <is>
          <t xml:space="preserve">GRUPO L.                      </t>
        </is>
      </c>
      <c r="D2976" t="inlineStr">
        <is>
          <t>GELATINA MANZANA</t>
        </is>
      </c>
      <c r="E2976" t="inlineStr">
        <is>
          <t xml:space="preserve">790757899490        </t>
        </is>
      </c>
      <c r="F2976" t="n">
        <v>4022495</v>
      </c>
      <c r="G2976" t="inlineStr">
        <is>
          <t xml:space="preserve">GELATINA MANZANA 1KG POREC         </t>
        </is>
      </c>
      <c r="H2976" t="inlineStr">
        <is>
          <t xml:space="preserve">UNIDAD              </t>
        </is>
      </c>
      <c r="I2976" t="n">
        <v>11</v>
      </c>
      <c r="J2976" t="n">
        <v>0</v>
      </c>
      <c r="K2976" t="n">
        <v>0</v>
      </c>
      <c r="L2976" t="n">
        <v>3</v>
      </c>
      <c r="M2976" t="n">
        <v>3</v>
      </c>
      <c r="N2976" t="n">
        <v>0</v>
      </c>
      <c r="O2976" t="n">
        <v>5</v>
      </c>
      <c r="P2976" s="96">
        <f>_xlfn.XLOOKUP(Tabla5[[#This Row],[EAN CORREGIDO]],'Tabla Articulos'!B:B,'Tabla Articulos'!D:D)</f>
        <v/>
      </c>
      <c r="Q2976" s="96">
        <f>_xlfn.XLOOKUP(S2976,'Tabla Articulos'!B:B,'Tabla Articulos'!E:E)</f>
        <v/>
      </c>
      <c r="R2976" s="96">
        <f>O2976*Q2976</f>
        <v/>
      </c>
      <c r="S2976" s="97">
        <f>TRIM(E2976)</f>
        <v/>
      </c>
    </row>
    <row r="2977" hidden="1">
      <c r="A2977" s="22" t="n">
        <v>2</v>
      </c>
      <c r="B2977" t="inlineStr">
        <is>
          <t xml:space="preserve">CD CIUDADELA                  </t>
        </is>
      </c>
      <c r="C2977" t="inlineStr">
        <is>
          <t xml:space="preserve">GRUPO L.                      </t>
        </is>
      </c>
      <c r="D2977" t="inlineStr">
        <is>
          <t>SAL FINA INDIVIDUAL</t>
        </is>
      </c>
      <c r="E2977" t="inlineStr">
        <is>
          <t xml:space="preserve">7798011970384       </t>
        </is>
      </c>
      <c r="F2977" t="n">
        <v>4020346</v>
      </c>
      <c r="G2977" t="inlineStr">
        <is>
          <t xml:space="preserve">SAL FINA X 0.5 X 1000 U ABEDUL     </t>
        </is>
      </c>
      <c r="H2977" t="inlineStr">
        <is>
          <t xml:space="preserve">UNIDAD              </t>
        </is>
      </c>
      <c r="I2977" t="n">
        <v>1110</v>
      </c>
      <c r="J2977" t="n">
        <v>0</v>
      </c>
      <c r="K2977" t="n">
        <v>0</v>
      </c>
      <c r="L2977" t="n">
        <v>13</v>
      </c>
      <c r="M2977" t="n">
        <v>13</v>
      </c>
      <c r="N2977" t="n">
        <v>0</v>
      </c>
      <c r="O2977" t="n">
        <v>1084</v>
      </c>
      <c r="P2977" s="96">
        <f>_xlfn.XLOOKUP(Tabla5[[#This Row],[EAN CORREGIDO]],'Tabla Articulos'!B:B,'Tabla Articulos'!D:D)</f>
        <v/>
      </c>
      <c r="Q2977" s="96">
        <f>_xlfn.XLOOKUP(S2977,'Tabla Articulos'!B:B,'Tabla Articulos'!E:E)</f>
        <v/>
      </c>
      <c r="R2977" s="96">
        <f>O2977*Q2977</f>
        <v/>
      </c>
      <c r="S2977" s="97">
        <f>TRIM(E2977)</f>
        <v/>
      </c>
    </row>
    <row r="2978" hidden="1">
      <c r="A2978" s="22" t="n">
        <v>2</v>
      </c>
      <c r="B2978" t="inlineStr">
        <is>
          <t xml:space="preserve">CD CIUDADELA                  </t>
        </is>
      </c>
      <c r="C2978" t="inlineStr">
        <is>
          <t xml:space="preserve">GRUPO L.                      </t>
        </is>
      </c>
      <c r="D2978" t="inlineStr">
        <is>
          <t>MENTA</t>
        </is>
      </c>
      <c r="E2978" t="inlineStr">
        <is>
          <t xml:space="preserve">7790216012622       </t>
        </is>
      </c>
      <c r="F2978" t="n">
        <v>4018031</v>
      </c>
      <c r="G2978" t="inlineStr">
        <is>
          <t xml:space="preserve">MENTA X PAQUETE                    </t>
        </is>
      </c>
      <c r="H2978" t="inlineStr">
        <is>
          <t xml:space="preserve">UNIDAD              </t>
        </is>
      </c>
      <c r="I2978" t="n">
        <v>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1</v>
      </c>
      <c r="P2978" s="96">
        <f>_xlfn.XLOOKUP(Tabla5[[#This Row],[EAN CORREGIDO]],'Tabla Articulos'!B:B,'Tabla Articulos'!D:D)</f>
        <v/>
      </c>
      <c r="Q2978" s="96">
        <f>_xlfn.XLOOKUP(S2978,'Tabla Articulos'!B:B,'Tabla Articulos'!E:E)</f>
        <v/>
      </c>
      <c r="R2978" s="96">
        <f>O2978*Q2978</f>
        <v/>
      </c>
      <c r="S2978" s="97">
        <f>TRIM(E2978)</f>
        <v/>
      </c>
    </row>
    <row r="2979" hidden="1">
      <c r="A2979" s="22" t="n">
        <v>2</v>
      </c>
      <c r="B2979" t="inlineStr">
        <is>
          <t xml:space="preserve">CD CIUDADELA                  </t>
        </is>
      </c>
      <c r="C2979" t="inlineStr">
        <is>
          <t xml:space="preserve">GRUPO L.                      </t>
        </is>
      </c>
      <c r="D2979" t="inlineStr">
        <is>
          <t>AJO MOLIDO</t>
        </is>
      </c>
      <c r="E2979" t="inlineStr">
        <is>
          <t xml:space="preserve">7793875321327       </t>
        </is>
      </c>
      <c r="F2979" t="n">
        <v>4024265</v>
      </c>
      <c r="G2979" t="inlineStr">
        <is>
          <t xml:space="preserve">AJO POLVO X250G AROMAS Y SABORES   </t>
        </is>
      </c>
      <c r="H2979" t="inlineStr">
        <is>
          <t xml:space="preserve">UNIDAD              </t>
        </is>
      </c>
      <c r="I2979" t="n">
        <v>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9</v>
      </c>
      <c r="P2979" s="96">
        <f>_xlfn.XLOOKUP(Tabla5[[#This Row],[EAN CORREGIDO]],'Tabla Articulos'!B:B,'Tabla Articulos'!D:D)</f>
        <v/>
      </c>
      <c r="Q2979" s="96">
        <f>_xlfn.XLOOKUP(S2979,'Tabla Articulos'!B:B,'Tabla Articulos'!E:E)</f>
        <v/>
      </c>
      <c r="R2979" s="96">
        <f>O2979*Q2979</f>
        <v/>
      </c>
      <c r="S2979" s="97">
        <f>TRIM(E2979)</f>
        <v/>
      </c>
    </row>
    <row r="2980" hidden="1">
      <c r="A2980" s="22" t="n">
        <v>2</v>
      </c>
      <c r="B2980" t="inlineStr">
        <is>
          <t xml:space="preserve">CD CIUDADELA                  </t>
        </is>
      </c>
      <c r="C2980" t="inlineStr">
        <is>
          <t xml:space="preserve">GRUPO L.                      </t>
        </is>
      </c>
      <c r="D2980" t="inlineStr">
        <is>
          <t>MERMELADA IND CIRUELA</t>
        </is>
      </c>
      <c r="E2980" t="inlineStr">
        <is>
          <t xml:space="preserve">7798011976690       </t>
        </is>
      </c>
      <c r="F2980" t="n">
        <v>4020380</v>
      </c>
      <c r="G2980" t="inlineStr">
        <is>
          <t xml:space="preserve">MERM CIRUELA X20GX108U ABEDUL      </t>
        </is>
      </c>
      <c r="H2980" t="inlineStr">
        <is>
          <t xml:space="preserve">UNIDAD              </t>
        </is>
      </c>
      <c r="I2980" t="n">
        <v>19</v>
      </c>
      <c r="J2980" t="n">
        <v>0</v>
      </c>
      <c r="K2980" t="n">
        <v>0</v>
      </c>
      <c r="L2980" t="n">
        <v>2</v>
      </c>
      <c r="M2980" t="n">
        <v>2</v>
      </c>
      <c r="N2980" t="n">
        <v>0</v>
      </c>
      <c r="O2980" t="n">
        <v>15</v>
      </c>
      <c r="P2980" s="96">
        <f>_xlfn.XLOOKUP(Tabla5[[#This Row],[EAN CORREGIDO]],'Tabla Articulos'!B:B,'Tabla Articulos'!D:D)</f>
        <v/>
      </c>
      <c r="Q2980" s="96">
        <f>_xlfn.XLOOKUP(S2980,'Tabla Articulos'!B:B,'Tabla Articulos'!E:E)</f>
        <v/>
      </c>
      <c r="R2980" s="96">
        <f>O2980*Q2980</f>
        <v/>
      </c>
      <c r="S2980" s="97">
        <f>TRIM(E2980)</f>
        <v/>
      </c>
    </row>
    <row r="2981" hidden="1">
      <c r="A2981" s="22" t="n">
        <v>2</v>
      </c>
      <c r="B2981" t="inlineStr">
        <is>
          <t xml:space="preserve">CD CIUDADELA                  </t>
        </is>
      </c>
      <c r="C2981" t="inlineStr">
        <is>
          <t xml:space="preserve">GRUPO L.                      </t>
        </is>
      </c>
      <c r="D2981" t="inlineStr">
        <is>
          <t>LAUREL SECO</t>
        </is>
      </c>
      <c r="E2981" t="inlineStr">
        <is>
          <t xml:space="preserve">7793875314732       </t>
        </is>
      </c>
      <c r="F2981" t="n">
        <v>4020220</v>
      </c>
      <c r="G2981" t="inlineStr">
        <is>
          <t xml:space="preserve">LAUREL HOJAS X250G AYS             </t>
        </is>
      </c>
      <c r="H2981" t="inlineStr">
        <is>
          <t xml:space="preserve">UNIDAD              </t>
        </is>
      </c>
      <c r="I2981" t="n">
        <v>211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211</v>
      </c>
      <c r="P2981" s="96">
        <f>_xlfn.XLOOKUP(Tabla5[[#This Row],[EAN CORREGIDO]],'Tabla Articulos'!B:B,'Tabla Articulos'!D:D)</f>
        <v/>
      </c>
      <c r="Q2981" s="96">
        <f>_xlfn.XLOOKUP(S2981,'Tabla Articulos'!B:B,'Tabla Articulos'!E:E)</f>
        <v/>
      </c>
      <c r="R2981" s="96">
        <f>O2981*Q2981</f>
        <v/>
      </c>
      <c r="S2981" s="97">
        <f>TRIM(E2981)</f>
        <v/>
      </c>
    </row>
    <row r="2982" hidden="1">
      <c r="A2982" s="22" t="n">
        <v>2</v>
      </c>
      <c r="B2982" t="inlineStr">
        <is>
          <t xml:space="preserve">CD CIUDADELA                  </t>
        </is>
      </c>
      <c r="C2982" t="inlineStr">
        <is>
          <t xml:space="preserve">GRUPO L.                      </t>
        </is>
      </c>
      <c r="D2982" t="inlineStr">
        <is>
          <t>GASEOSA NARANJA</t>
        </is>
      </c>
      <c r="E2982" t="inlineStr">
        <is>
          <t xml:space="preserve">7790895007255       </t>
        </is>
      </c>
      <c r="F2982" t="n">
        <v>4017313</v>
      </c>
      <c r="G2982" t="inlineStr">
        <is>
          <t xml:space="preserve">GAS NARANJA X1.75L FANTA           </t>
        </is>
      </c>
      <c r="H2982" t="inlineStr">
        <is>
          <t xml:space="preserve">UNIDAD              </t>
        </is>
      </c>
      <c r="I2982" t="n">
        <v>20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20</v>
      </c>
      <c r="P2982" s="96">
        <f>_xlfn.XLOOKUP(Tabla5[[#This Row],[EAN CORREGIDO]],'Tabla Articulos'!B:B,'Tabla Articulos'!D:D)</f>
        <v/>
      </c>
      <c r="Q2982" s="96">
        <f>_xlfn.XLOOKUP(S2982,'Tabla Articulos'!B:B,'Tabla Articulos'!E:E)</f>
        <v/>
      </c>
      <c r="R2982" s="96">
        <f>O2982*Q2982</f>
        <v/>
      </c>
      <c r="S2982" s="97">
        <f>TRIM(E2982)</f>
        <v/>
      </c>
    </row>
    <row r="2983" hidden="1">
      <c r="A2983" s="22" t="n">
        <v>2</v>
      </c>
      <c r="B2983" t="inlineStr">
        <is>
          <t xml:space="preserve">CD CIUDADELA                  </t>
        </is>
      </c>
      <c r="C2983" t="inlineStr">
        <is>
          <t xml:space="preserve">GRUPO L.                      </t>
        </is>
      </c>
      <c r="D2983" t="inlineStr">
        <is>
          <t>GUANTE LATEX</t>
        </is>
      </c>
      <c r="E2983" t="inlineStr">
        <is>
          <t xml:space="preserve">7798452810027       </t>
        </is>
      </c>
      <c r="F2983" t="n">
        <v>2011468</v>
      </c>
      <c r="G2983" t="inlineStr">
        <is>
          <t xml:space="preserve">GUANTES LATEX M X100U ALUMAX       </t>
        </is>
      </c>
      <c r="H2983" t="inlineStr">
        <is>
          <t xml:space="preserve">UNIDAD              </t>
        </is>
      </c>
      <c r="I2983" t="n">
        <v>177</v>
      </c>
      <c r="J2983" t="n">
        <v>0</v>
      </c>
      <c r="K2983" t="n">
        <v>0</v>
      </c>
      <c r="L2983" t="n">
        <v>66</v>
      </c>
      <c r="M2983" t="n">
        <v>66</v>
      </c>
      <c r="N2983" t="n">
        <v>0</v>
      </c>
      <c r="O2983" t="n">
        <v>45</v>
      </c>
      <c r="P2983" s="96">
        <f>_xlfn.XLOOKUP(Tabla5[[#This Row],[EAN CORREGIDO]],'Tabla Articulos'!B:B,'Tabla Articulos'!D:D)</f>
        <v/>
      </c>
      <c r="Q2983" s="96">
        <f>_xlfn.XLOOKUP(S2983,'Tabla Articulos'!B:B,'Tabla Articulos'!E:E)</f>
        <v/>
      </c>
      <c r="R2983" s="96">
        <f>O2983*Q2983</f>
        <v/>
      </c>
      <c r="S2983" s="97">
        <f>TRIM(E2983)</f>
        <v/>
      </c>
    </row>
    <row r="2984" hidden="1">
      <c r="A2984" s="22" t="n">
        <v>2</v>
      </c>
      <c r="B2984" t="inlineStr">
        <is>
          <t xml:space="preserve">CD CIUDADELA                  </t>
        </is>
      </c>
      <c r="C2984" t="inlineStr">
        <is>
          <t xml:space="preserve">GRUPO L.                      </t>
        </is>
      </c>
      <c r="D2984" t="inlineStr">
        <is>
          <t>EDULCORANTE SOBRE</t>
        </is>
      </c>
      <c r="E2984" t="inlineStr">
        <is>
          <t xml:space="preserve">7798011976010       </t>
        </is>
      </c>
      <c r="F2984" t="n">
        <v>4020782</v>
      </c>
      <c r="G2984" t="inlineStr">
        <is>
          <t xml:space="preserve">EDULCORANTE IND 0.8GX400U ABEDUL   </t>
        </is>
      </c>
      <c r="H2984" t="inlineStr">
        <is>
          <t xml:space="preserve">UNIDAD              </t>
        </is>
      </c>
      <c r="I2984" t="n">
        <v>497</v>
      </c>
      <c r="J2984" t="n">
        <v>0</v>
      </c>
      <c r="K2984" t="n">
        <v>0</v>
      </c>
      <c r="L2984" t="n">
        <v>20</v>
      </c>
      <c r="M2984" t="n">
        <v>20</v>
      </c>
      <c r="N2984" t="n">
        <v>0</v>
      </c>
      <c r="O2984" t="n">
        <v>457</v>
      </c>
      <c r="P2984" s="96">
        <f>_xlfn.XLOOKUP(Tabla5[[#This Row],[EAN CORREGIDO]],'Tabla Articulos'!B:B,'Tabla Articulos'!D:D)</f>
        <v/>
      </c>
      <c r="Q2984" s="96">
        <f>_xlfn.XLOOKUP(S2984,'Tabla Articulos'!B:B,'Tabla Articulos'!E:E)</f>
        <v/>
      </c>
      <c r="R2984" s="96">
        <f>O2984*Q2984</f>
        <v/>
      </c>
      <c r="S2984" s="97">
        <f>TRIM(E2984)</f>
        <v/>
      </c>
    </row>
    <row r="2985" hidden="1">
      <c r="A2985" s="22" t="n">
        <v>2</v>
      </c>
      <c r="B2985" t="inlineStr">
        <is>
          <t xml:space="preserve">CD CIUDADELA                  </t>
        </is>
      </c>
      <c r="C2985" t="inlineStr">
        <is>
          <t xml:space="preserve">GRUPO L.                      </t>
        </is>
      </c>
      <c r="D2985" t="inlineStr">
        <is>
          <t>YERBA MATE</t>
        </is>
      </c>
      <c r="E2985" t="inlineStr">
        <is>
          <t xml:space="preserve">7790802000010       </t>
        </is>
      </c>
      <c r="F2985" t="n">
        <v>4019748</v>
      </c>
      <c r="G2985" t="inlineStr">
        <is>
          <t xml:space="preserve">YERBA MATE X500G ROMANCE	          </t>
        </is>
      </c>
      <c r="H2985" t="inlineStr">
        <is>
          <t xml:space="preserve">UNIDAD              </t>
        </is>
      </c>
      <c r="I2985" t="n">
        <v>238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238</v>
      </c>
      <c r="P2985" s="96">
        <f>_xlfn.XLOOKUP(Tabla5[[#This Row],[EAN CORREGIDO]],'Tabla Articulos'!B:B,'Tabla Articulos'!D:D)</f>
        <v/>
      </c>
      <c r="Q2985" s="96">
        <f>_xlfn.XLOOKUP(S2985,'Tabla Articulos'!B:B,'Tabla Articulos'!E:E)</f>
        <v/>
      </c>
      <c r="R2985" s="96">
        <f>O2985*Q2985</f>
        <v/>
      </c>
      <c r="S2985" s="97">
        <f>TRIM(E2985)</f>
        <v/>
      </c>
    </row>
    <row r="2986" hidden="1">
      <c r="A2986" s="22" t="n">
        <v>2</v>
      </c>
      <c r="B2986" t="inlineStr">
        <is>
          <t xml:space="preserve">CD CIUDADELA                  </t>
        </is>
      </c>
      <c r="C2986" t="inlineStr">
        <is>
          <t xml:space="preserve">GRUPO L.                      </t>
        </is>
      </c>
      <c r="D2986" t="inlineStr">
        <is>
          <t>TURRON MANI INDIV</t>
        </is>
      </c>
      <c r="E2986" t="inlineStr">
        <is>
          <t xml:space="preserve">77940131            </t>
        </is>
      </c>
      <c r="F2986" t="n">
        <v>4019068</v>
      </c>
      <c r="G2986" t="inlineStr">
        <is>
          <t xml:space="preserve">TURRON OBLEA X 25 GR ARCOR         </t>
        </is>
      </c>
      <c r="H2986" t="inlineStr">
        <is>
          <t xml:space="preserve">UNIDAD              </t>
        </is>
      </c>
      <c r="I2986" t="n">
        <v>13197</v>
      </c>
      <c r="J2986" t="n">
        <v>0</v>
      </c>
      <c r="K2986" t="n">
        <v>0</v>
      </c>
      <c r="L2986" t="n">
        <v>650</v>
      </c>
      <c r="M2986" t="n">
        <v>650</v>
      </c>
      <c r="N2986" t="n">
        <v>0</v>
      </c>
      <c r="O2986" t="n">
        <v>11897</v>
      </c>
      <c r="P2986" s="96">
        <f>_xlfn.XLOOKUP(Tabla5[[#This Row],[EAN CORREGIDO]],'Tabla Articulos'!B:B,'Tabla Articulos'!D:D)</f>
        <v/>
      </c>
      <c r="Q2986" s="96">
        <f>_xlfn.XLOOKUP(S2986,'Tabla Articulos'!B:B,'Tabla Articulos'!E:E)</f>
        <v/>
      </c>
      <c r="R2986" s="96">
        <f>O2986*Q2986</f>
        <v/>
      </c>
      <c r="S2986" s="97">
        <f>TRIM(E2986)</f>
        <v/>
      </c>
    </row>
    <row r="2987" hidden="1">
      <c r="A2987" s="22" t="n">
        <v>2</v>
      </c>
      <c r="B2987" t="inlineStr">
        <is>
          <t xml:space="preserve">CD CIUDADELA                  </t>
        </is>
      </c>
      <c r="C2987" t="inlineStr">
        <is>
          <t xml:space="preserve">GRUPO L.                      </t>
        </is>
      </c>
      <c r="D2987" t="inlineStr">
        <is>
          <t>EMPANADA CONG CARNE</t>
        </is>
      </c>
      <c r="E2987" t="inlineStr">
        <is>
          <t xml:space="preserve">7799132966522       </t>
        </is>
      </c>
      <c r="F2987" t="n">
        <v>4018650</v>
      </c>
      <c r="G2987" t="inlineStr">
        <is>
          <t xml:space="preserve">EMP CARNE X90G X48U SELYGEL        </t>
        </is>
      </c>
      <c r="H2987" t="inlineStr">
        <is>
          <t xml:space="preserve">CAJAS               </t>
        </is>
      </c>
      <c r="I2987" t="n">
        <v>2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2</v>
      </c>
      <c r="P2987" s="96">
        <f>_xlfn.XLOOKUP(Tabla5[[#This Row],[EAN CORREGIDO]],'Tabla Articulos'!B:B,'Tabla Articulos'!D:D)</f>
        <v/>
      </c>
      <c r="Q2987" s="96">
        <f>_xlfn.XLOOKUP(S2987,'Tabla Articulos'!B:B,'Tabla Articulos'!E:E)</f>
        <v/>
      </c>
      <c r="R2987" s="96">
        <f>O2987*Q2987</f>
        <v/>
      </c>
      <c r="S2987" s="97">
        <f>TRIM(E2987)</f>
        <v/>
      </c>
    </row>
    <row r="2988" hidden="1">
      <c r="A2988" s="22" t="n">
        <v>2</v>
      </c>
      <c r="B2988" t="inlineStr">
        <is>
          <t xml:space="preserve">CD CIUDADELA                  </t>
        </is>
      </c>
      <c r="C2988" t="inlineStr">
        <is>
          <t xml:space="preserve">GRUPO L.                      </t>
        </is>
      </c>
      <c r="D2988" t="inlineStr">
        <is>
          <t>GALLE RELLENA</t>
        </is>
      </c>
      <c r="E2988" t="inlineStr">
        <is>
          <t xml:space="preserve">7790040139657       </t>
        </is>
      </c>
      <c r="F2988" t="n">
        <v>4018765</v>
      </c>
      <c r="G2988" t="inlineStr">
        <is>
          <t xml:space="preserve">GALLE MERENGADA 88G X36U           </t>
        </is>
      </c>
      <c r="H2988" t="inlineStr">
        <is>
          <t xml:space="preserve">UNIDAD              </t>
        </is>
      </c>
      <c r="I2988" t="n">
        <v>38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38</v>
      </c>
      <c r="P2988" s="96">
        <f>_xlfn.XLOOKUP(Tabla5[[#This Row],[EAN CORREGIDO]],'Tabla Articulos'!B:B,'Tabla Articulos'!D:D)</f>
        <v/>
      </c>
      <c r="Q2988" s="96">
        <f>_xlfn.XLOOKUP(S2988,'Tabla Articulos'!B:B,'Tabla Articulos'!E:E)</f>
        <v/>
      </c>
      <c r="R2988" s="96">
        <f>O2988*Q2988</f>
        <v/>
      </c>
      <c r="S2988" s="97">
        <f>TRIM(E2988)</f>
        <v/>
      </c>
    </row>
    <row r="2989" hidden="1">
      <c r="A2989" s="22" t="n">
        <v>2</v>
      </c>
      <c r="B2989" t="inlineStr">
        <is>
          <t xml:space="preserve">CD CIUDADELA                  </t>
        </is>
      </c>
      <c r="C2989" t="inlineStr">
        <is>
          <t xml:space="preserve">GRUPO L.                      </t>
        </is>
      </c>
      <c r="D2989" t="inlineStr">
        <is>
          <t>TAPA 101</t>
        </is>
      </c>
      <c r="E2989" t="inlineStr">
        <is>
          <t xml:space="preserve">7798011210022       </t>
        </is>
      </c>
      <c r="F2989" t="n">
        <v>2011501</v>
      </c>
      <c r="G2989" t="inlineStr">
        <is>
          <t>TAPA BANDEJA 121 MICRO COTNYL X100U</t>
        </is>
      </c>
      <c r="H2989" t="inlineStr">
        <is>
          <t xml:space="preserve">UNIDAD              </t>
        </is>
      </c>
      <c r="I2989" t="n">
        <v>392</v>
      </c>
      <c r="J2989" t="n">
        <v>0</v>
      </c>
      <c r="K2989" t="n">
        <v>0</v>
      </c>
      <c r="L2989" t="n">
        <v>5</v>
      </c>
      <c r="M2989" t="n">
        <v>5</v>
      </c>
      <c r="N2989" t="n">
        <v>0</v>
      </c>
      <c r="O2989" t="n">
        <v>382</v>
      </c>
      <c r="P2989" s="96">
        <f>_xlfn.XLOOKUP(Tabla5[[#This Row],[EAN CORREGIDO]],'Tabla Articulos'!B:B,'Tabla Articulos'!D:D)</f>
        <v/>
      </c>
      <c r="Q2989" s="96">
        <f>_xlfn.XLOOKUP(S2989,'Tabla Articulos'!B:B,'Tabla Articulos'!E:E)</f>
        <v/>
      </c>
      <c r="R2989" s="96">
        <f>O2989*Q2989</f>
        <v/>
      </c>
      <c r="S2989" s="97">
        <f>TRIM(E2989)</f>
        <v/>
      </c>
    </row>
    <row r="2990" hidden="1">
      <c r="A2990" s="22" t="n">
        <v>2</v>
      </c>
      <c r="B2990" t="inlineStr">
        <is>
          <t xml:space="preserve">CD CIUDADELA                  </t>
        </is>
      </c>
      <c r="C2990" t="inlineStr">
        <is>
          <t xml:space="preserve">GRUPO L.                      </t>
        </is>
      </c>
      <c r="D2990" t="inlineStr">
        <is>
          <t>HARINA 0000</t>
        </is>
      </c>
      <c r="E2990" t="inlineStr">
        <is>
          <t xml:space="preserve">7791599000221       </t>
        </is>
      </c>
      <c r="F2990" t="n">
        <v>4048940</v>
      </c>
      <c r="G2990" t="inlineStr">
        <is>
          <t xml:space="preserve">HARINA 0000 X1KG BRUNNG            </t>
        </is>
      </c>
      <c r="H2990" t="inlineStr">
        <is>
          <t xml:space="preserve">UNIDAD              </t>
        </is>
      </c>
      <c r="I2990" t="n">
        <v>617</v>
      </c>
      <c r="J2990" t="n">
        <v>0</v>
      </c>
      <c r="K2990" t="n">
        <v>0</v>
      </c>
      <c r="L2990" t="n">
        <v>70</v>
      </c>
      <c r="M2990" t="n">
        <v>70</v>
      </c>
      <c r="N2990" t="n">
        <v>0</v>
      </c>
      <c r="O2990" t="n">
        <v>477</v>
      </c>
      <c r="P2990" s="96">
        <f>_xlfn.XLOOKUP(Tabla5[[#This Row],[EAN CORREGIDO]],'Tabla Articulos'!B:B,'Tabla Articulos'!D:D)</f>
        <v/>
      </c>
      <c r="Q2990" s="96">
        <f>_xlfn.XLOOKUP(S2990,'Tabla Articulos'!B:B,'Tabla Articulos'!E:E)</f>
        <v/>
      </c>
      <c r="R2990" s="96">
        <f>O2990*Q2990</f>
        <v/>
      </c>
      <c r="S2990" s="97">
        <f>TRIM(E2990)</f>
        <v/>
      </c>
    </row>
    <row r="2991" hidden="1">
      <c r="A2991" s="22" t="n">
        <v>2</v>
      </c>
      <c r="B2991" t="inlineStr">
        <is>
          <t xml:space="preserve">CD CIUDADELA                  </t>
        </is>
      </c>
      <c r="C2991" t="inlineStr">
        <is>
          <t xml:space="preserve">GRUPO L.                      </t>
        </is>
      </c>
      <c r="D2991" t="inlineStr">
        <is>
          <t>VINO BLANCO</t>
        </is>
      </c>
      <c r="E2991" t="inlineStr">
        <is>
          <t xml:space="preserve">7790984000037       </t>
        </is>
      </c>
      <c r="F2991" t="n">
        <v>4017328</v>
      </c>
      <c r="G2991" t="inlineStr">
        <is>
          <t xml:space="preserve">VINO BLANCO X 1L PICO DE ORO       </t>
        </is>
      </c>
      <c r="H2991" t="inlineStr">
        <is>
          <t xml:space="preserve">UNIDAD              </t>
        </is>
      </c>
      <c r="I2991" t="n">
        <v>120</v>
      </c>
      <c r="J2991" t="n">
        <v>0</v>
      </c>
      <c r="K2991" t="n">
        <v>0</v>
      </c>
      <c r="L2991" t="n">
        <v>4</v>
      </c>
      <c r="M2991" t="n">
        <v>4</v>
      </c>
      <c r="N2991" t="n">
        <v>0</v>
      </c>
      <c r="O2991" t="n">
        <v>112</v>
      </c>
      <c r="P2991" s="96">
        <f>_xlfn.XLOOKUP(Tabla5[[#This Row],[EAN CORREGIDO]],'Tabla Articulos'!B:B,'Tabla Articulos'!D:D)</f>
        <v/>
      </c>
      <c r="Q2991" s="96">
        <f>_xlfn.XLOOKUP(S2991,'Tabla Articulos'!B:B,'Tabla Articulos'!E:E)</f>
        <v/>
      </c>
      <c r="R2991" s="96">
        <f>O2991*Q2991</f>
        <v/>
      </c>
      <c r="S2991" s="97">
        <f>TRIM(E2991)</f>
        <v/>
      </c>
    </row>
    <row r="2992" hidden="1">
      <c r="A2992" s="22" t="n">
        <v>2</v>
      </c>
      <c r="B2992" t="inlineStr">
        <is>
          <t xml:space="preserve">CD CIUDADELA                  </t>
        </is>
      </c>
      <c r="C2992" t="inlineStr">
        <is>
          <t xml:space="preserve">GRUPO L.                      </t>
        </is>
      </c>
      <c r="D2992" t="inlineStr">
        <is>
          <t>QUESO UNTABLE INDIV S/SAL</t>
        </is>
      </c>
      <c r="E2992" t="inlineStr">
        <is>
          <t xml:space="preserve">7798011976263       </t>
        </is>
      </c>
      <c r="F2992" t="n">
        <v>4018365</v>
      </c>
      <c r="G2992" t="inlineStr">
        <is>
          <t xml:space="preserve">QUESO UNT IND 20GX120U ABEDUL      </t>
        </is>
      </c>
      <c r="H2992" t="inlineStr">
        <is>
          <t xml:space="preserve">UNIDAD              </t>
        </is>
      </c>
      <c r="I2992" t="n">
        <v>143</v>
      </c>
      <c r="J2992" t="n">
        <v>0</v>
      </c>
      <c r="K2992" t="n">
        <v>0</v>
      </c>
      <c r="L2992" t="n">
        <v>3</v>
      </c>
      <c r="M2992" t="n">
        <v>3</v>
      </c>
      <c r="N2992" t="n">
        <v>0</v>
      </c>
      <c r="O2992" t="n">
        <v>137</v>
      </c>
      <c r="P2992" s="96">
        <f>_xlfn.XLOOKUP(Tabla5[[#This Row],[EAN CORREGIDO]],'Tabla Articulos'!B:B,'Tabla Articulos'!D:D)</f>
        <v/>
      </c>
      <c r="Q2992" s="96">
        <f>_xlfn.XLOOKUP(S2992,'Tabla Articulos'!B:B,'Tabla Articulos'!E:E)</f>
        <v/>
      </c>
      <c r="R2992" s="96">
        <f>O2992*Q2992</f>
        <v/>
      </c>
      <c r="S2992" s="97">
        <f>TRIM(E2992)</f>
        <v/>
      </c>
    </row>
    <row r="2993" hidden="1">
      <c r="A2993" s="22" t="n">
        <v>2</v>
      </c>
      <c r="B2993" t="inlineStr">
        <is>
          <t xml:space="preserve">CD CIUDADELA                  </t>
        </is>
      </c>
      <c r="C2993" t="inlineStr">
        <is>
          <t xml:space="preserve">GRUPO L.                      </t>
        </is>
      </c>
      <c r="D2993" t="inlineStr">
        <is>
          <t>GELATINA MANZANA</t>
        </is>
      </c>
      <c r="E2993" t="inlineStr">
        <is>
          <t xml:space="preserve">7790971002341       </t>
        </is>
      </c>
      <c r="F2993" t="n">
        <v>4022308</v>
      </c>
      <c r="G2993" t="inlineStr">
        <is>
          <t xml:space="preserve">GELATINA MANZANA X40G RAVANA       </t>
        </is>
      </c>
      <c r="H2993" t="inlineStr">
        <is>
          <t xml:space="preserve">UNIDAD              </t>
        </is>
      </c>
      <c r="I2993" t="n">
        <v>58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58</v>
      </c>
      <c r="P2993" s="96">
        <f>_xlfn.XLOOKUP(Tabla5[[#This Row],[EAN CORREGIDO]],'Tabla Articulos'!B:B,'Tabla Articulos'!D:D)</f>
        <v/>
      </c>
      <c r="Q2993" s="96">
        <f>_xlfn.XLOOKUP(S2993,'Tabla Articulos'!B:B,'Tabla Articulos'!E:E)</f>
        <v/>
      </c>
      <c r="R2993" s="96">
        <f>O2993*Q2993</f>
        <v/>
      </c>
      <c r="S2993" s="97">
        <f>TRIM(E2993)</f>
        <v/>
      </c>
    </row>
    <row r="2994" hidden="1">
      <c r="A2994" s="22" t="n">
        <v>2</v>
      </c>
      <c r="B2994" t="inlineStr">
        <is>
          <t xml:space="preserve">CD CIUDADELA                  </t>
        </is>
      </c>
      <c r="C2994" t="inlineStr">
        <is>
          <t xml:space="preserve">GRUPO L.                      </t>
        </is>
      </c>
      <c r="D2994" t="inlineStr">
        <is>
          <t>EDULCORANTE SOBRE CHEF GOURMET</t>
        </is>
      </c>
      <c r="E2994" t="inlineStr">
        <is>
          <t xml:space="preserve">7798011977406       </t>
        </is>
      </c>
      <c r="F2994" t="n">
        <v>4022178</v>
      </c>
      <c r="G2994" t="inlineStr">
        <is>
          <t xml:space="preserve">EDULC SOB 0.8G CHEF GOURMET 400U   </t>
        </is>
      </c>
      <c r="H2994" t="inlineStr">
        <is>
          <t xml:space="preserve">UNIDAD              </t>
        </is>
      </c>
      <c r="I2994" t="n">
        <v>167</v>
      </c>
      <c r="J2994" t="n">
        <v>0</v>
      </c>
      <c r="K2994" t="n">
        <v>0</v>
      </c>
      <c r="L2994" t="n">
        <v>2</v>
      </c>
      <c r="M2994" t="n">
        <v>2</v>
      </c>
      <c r="N2994" t="n">
        <v>0</v>
      </c>
      <c r="O2994" t="n">
        <v>163</v>
      </c>
      <c r="P2994" s="96">
        <f>_xlfn.XLOOKUP(Tabla5[[#This Row],[EAN CORREGIDO]],'Tabla Articulos'!B:B,'Tabla Articulos'!D:D)</f>
        <v/>
      </c>
      <c r="Q2994" s="96">
        <f>_xlfn.XLOOKUP(S2994,'Tabla Articulos'!B:B,'Tabla Articulos'!E:E)</f>
        <v/>
      </c>
      <c r="R2994" s="96">
        <f>O2994*Q2994</f>
        <v/>
      </c>
      <c r="S2994" s="97">
        <f>TRIM(E2994)</f>
        <v/>
      </c>
    </row>
    <row r="2995" hidden="1">
      <c r="A2995" s="22" t="n">
        <v>2</v>
      </c>
      <c r="B2995" t="inlineStr">
        <is>
          <t xml:space="preserve">CD CIUDADELA                  </t>
        </is>
      </c>
      <c r="C2995" t="inlineStr">
        <is>
          <t xml:space="preserve">GRUPO L.                      </t>
        </is>
      </c>
      <c r="D2995" t="inlineStr">
        <is>
          <t>GALLE AGUA LIGHT S/SAL</t>
        </is>
      </c>
      <c r="E2995" t="inlineStr">
        <is>
          <t xml:space="preserve">7790045004912       </t>
        </is>
      </c>
      <c r="F2995" t="n">
        <v>4077275</v>
      </c>
      <c r="G2995" t="inlineStr">
        <is>
          <t>GALLETITAS LIGHT S/SAL 360GR GRANIX</t>
        </is>
      </c>
      <c r="H2995" t="inlineStr">
        <is>
          <t xml:space="preserve">UNIDAD              </t>
        </is>
      </c>
      <c r="I2995" t="n">
        <v>136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136</v>
      </c>
      <c r="P2995" s="96">
        <f>_xlfn.XLOOKUP(Tabla5[[#This Row],[EAN CORREGIDO]],'Tabla Articulos'!B:B,'Tabla Articulos'!D:D)</f>
        <v/>
      </c>
      <c r="Q2995" s="96">
        <f>_xlfn.XLOOKUP(S2995,'Tabla Articulos'!B:B,'Tabla Articulos'!E:E)</f>
        <v/>
      </c>
      <c r="R2995" s="96">
        <f>O2995*Q2995</f>
        <v/>
      </c>
      <c r="S2995" s="97">
        <f>TRIM(E2995)</f>
        <v/>
      </c>
    </row>
    <row r="2996" hidden="1">
      <c r="A2996" s="22" t="n">
        <v>2</v>
      </c>
      <c r="B2996" t="inlineStr">
        <is>
          <t xml:space="preserve">CD CIUDADELA                  </t>
        </is>
      </c>
      <c r="C2996" t="inlineStr">
        <is>
          <t xml:space="preserve">GRUPO L.                      </t>
        </is>
      </c>
      <c r="D2996" t="inlineStr">
        <is>
          <t xml:space="preserve">AGUA SAB PERA IND </t>
        </is>
      </c>
      <c r="E2996" t="inlineStr">
        <is>
          <t xml:space="preserve">7790895009204       </t>
        </is>
      </c>
      <c r="F2996" t="n">
        <v>4017314</v>
      </c>
      <c r="G2996" t="inlineStr">
        <is>
          <t xml:space="preserve">AGUA SAB PERA X 600CC AQUARIUS     </t>
        </is>
      </c>
      <c r="H2996" t="inlineStr">
        <is>
          <t xml:space="preserve">UNIDAD              </t>
        </is>
      </c>
      <c r="I2996" t="n">
        <v>2216</v>
      </c>
      <c r="J2996" t="n">
        <v>0</v>
      </c>
      <c r="K2996" t="n">
        <v>0</v>
      </c>
      <c r="L2996" t="n">
        <v>18</v>
      </c>
      <c r="M2996" t="n">
        <v>18</v>
      </c>
      <c r="N2996" t="n">
        <v>0</v>
      </c>
      <c r="O2996" t="n">
        <v>2180</v>
      </c>
      <c r="P2996" s="96">
        <f>_xlfn.XLOOKUP(Tabla5[[#This Row],[EAN CORREGIDO]],'Tabla Articulos'!B:B,'Tabla Articulos'!D:D)</f>
        <v/>
      </c>
      <c r="Q2996" s="96">
        <f>_xlfn.XLOOKUP(S2996,'Tabla Articulos'!B:B,'Tabla Articulos'!E:E)</f>
        <v/>
      </c>
      <c r="R2996" s="96">
        <f>O2996*Q2996</f>
        <v/>
      </c>
      <c r="S2996" s="97">
        <f>TRIM(E2996)</f>
        <v/>
      </c>
    </row>
    <row r="2997" hidden="1">
      <c r="A2997" s="22" t="n">
        <v>2</v>
      </c>
      <c r="B2997" t="inlineStr">
        <is>
          <t xml:space="preserve">CD CIUDADELA                  </t>
        </is>
      </c>
      <c r="C2997" t="inlineStr">
        <is>
          <t xml:space="preserve">GRUPO L.                      </t>
        </is>
      </c>
      <c r="D2997" t="inlineStr">
        <is>
          <t>AZUCAR MASCABO</t>
        </is>
      </c>
      <c r="E2997" t="inlineStr">
        <is>
          <t xml:space="preserve">7798186161679       </t>
        </is>
      </c>
      <c r="F2997" t="n">
        <v>4024245</v>
      </c>
      <c r="G2997" t="inlineStr">
        <is>
          <t xml:space="preserve">AZUCAR MASCABO X1KG V.D.NORTE      </t>
        </is>
      </c>
      <c r="H2997" t="inlineStr">
        <is>
          <t xml:space="preserve">UNIDAD              </t>
        </is>
      </c>
      <c r="I2997" t="n">
        <v>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6</v>
      </c>
      <c r="P2997" s="96">
        <f>_xlfn.XLOOKUP(Tabla5[[#This Row],[EAN CORREGIDO]],'Tabla Articulos'!B:B,'Tabla Articulos'!D:D)</f>
        <v/>
      </c>
      <c r="Q2997" s="96">
        <f>_xlfn.XLOOKUP(S2997,'Tabla Articulos'!B:B,'Tabla Articulos'!E:E)</f>
        <v/>
      </c>
      <c r="R2997" s="96">
        <f>O2997*Q2997</f>
        <v/>
      </c>
      <c r="S2997" s="97">
        <f>TRIM(E2997)</f>
        <v/>
      </c>
    </row>
    <row r="2998" hidden="1">
      <c r="A2998" s="22" t="n">
        <v>2</v>
      </c>
      <c r="B2998" t="inlineStr">
        <is>
          <t xml:space="preserve">CD CIUDADELA                  </t>
        </is>
      </c>
      <c r="C2998" t="inlineStr">
        <is>
          <t xml:space="preserve">GRUPO L.                      </t>
        </is>
      </c>
      <c r="D2998" t="inlineStr">
        <is>
          <t>LECHE POLVO DESLACTOSADA</t>
        </is>
      </c>
      <c r="E2998" t="inlineStr">
        <is>
          <t xml:space="preserve">7790742436504       </t>
        </is>
      </c>
      <c r="F2998" t="n">
        <v>4018177</v>
      </c>
      <c r="G2998" t="inlineStr">
        <is>
          <t xml:space="preserve">LECHE POLVO S/ LACTOSA X400G SERE  </t>
        </is>
      </c>
      <c r="H2998" t="inlineStr">
        <is>
          <t xml:space="preserve">UNIDAD              </t>
        </is>
      </c>
      <c r="I2998" t="n">
        <v>2245</v>
      </c>
      <c r="J2998" t="n">
        <v>0</v>
      </c>
      <c r="K2998" t="n">
        <v>0</v>
      </c>
      <c r="L2998" t="n">
        <v>2</v>
      </c>
      <c r="M2998" t="n">
        <v>2</v>
      </c>
      <c r="N2998" t="n">
        <v>0</v>
      </c>
      <c r="O2998" t="n">
        <v>2241</v>
      </c>
      <c r="P2998" s="96">
        <f>_xlfn.XLOOKUP(Tabla5[[#This Row],[EAN CORREGIDO]],'Tabla Articulos'!B:B,'Tabla Articulos'!D:D)</f>
        <v/>
      </c>
      <c r="Q2998" s="96">
        <f>_xlfn.XLOOKUP(S2998,'Tabla Articulos'!B:B,'Tabla Articulos'!E:E)</f>
        <v/>
      </c>
      <c r="R2998" s="96">
        <f>O2998*Q2998</f>
        <v/>
      </c>
      <c r="S2998" s="97">
        <f>TRIM(E2998)</f>
        <v/>
      </c>
    </row>
    <row r="2999" hidden="1">
      <c r="A2999" s="22" t="n">
        <v>2</v>
      </c>
      <c r="B2999" t="inlineStr">
        <is>
          <t xml:space="preserve">CD CIUDADELA                  </t>
        </is>
      </c>
      <c r="C2999" t="inlineStr">
        <is>
          <t xml:space="preserve">GRUPO L.                      </t>
        </is>
      </c>
      <c r="D2999" t="inlineStr">
        <is>
          <t>OREGANO</t>
        </is>
      </c>
      <c r="E2999" t="inlineStr">
        <is>
          <t xml:space="preserve">7793875360074       </t>
        </is>
      </c>
      <c r="F2999" t="n">
        <v>4020627</v>
      </c>
      <c r="G2999" t="inlineStr">
        <is>
          <t xml:space="preserve">OREGANO X 25 G AROMAS Y SAB        </t>
        </is>
      </c>
      <c r="H2999" t="inlineStr">
        <is>
          <t xml:space="preserve">UNIDAD              </t>
        </is>
      </c>
      <c r="I2999" t="n">
        <v>10538</v>
      </c>
      <c r="J2999" t="n">
        <v>0</v>
      </c>
      <c r="K2999" t="n">
        <v>0</v>
      </c>
      <c r="L2999" t="n">
        <v>12</v>
      </c>
      <c r="M2999" t="n">
        <v>12</v>
      </c>
      <c r="N2999" t="n">
        <v>0</v>
      </c>
      <c r="O2999" t="n">
        <v>10514</v>
      </c>
      <c r="P2999" s="96">
        <f>_xlfn.XLOOKUP(Tabla5[[#This Row],[EAN CORREGIDO]],'Tabla Articulos'!B:B,'Tabla Articulos'!D:D)</f>
        <v/>
      </c>
      <c r="Q2999" s="96">
        <f>_xlfn.XLOOKUP(S2999,'Tabla Articulos'!B:B,'Tabla Articulos'!E:E)</f>
        <v/>
      </c>
      <c r="R2999" s="96">
        <f>O2999*Q2999</f>
        <v/>
      </c>
      <c r="S2999" s="97">
        <f>TRIM(E2999)</f>
        <v/>
      </c>
    </row>
    <row r="3000" hidden="1">
      <c r="A3000" s="22" t="n">
        <v>2</v>
      </c>
      <c r="B3000" t="inlineStr">
        <is>
          <t xml:space="preserve">CD CIUDADELA                  </t>
        </is>
      </c>
      <c r="C3000" t="inlineStr">
        <is>
          <t xml:space="preserve">GRUPO L.                      </t>
        </is>
      </c>
      <c r="D3000" t="inlineStr">
        <is>
          <t>TORTILLA INTEGRAL</t>
        </is>
      </c>
      <c r="E3000" t="inlineStr">
        <is>
          <t xml:space="preserve">7793890262360       </t>
        </is>
      </c>
      <c r="F3000" t="n">
        <v>4077645</v>
      </c>
      <c r="G3000" t="inlineStr">
        <is>
          <t xml:space="preserve">TORTILLAS TRIGO XXL X6UN BIMBO     </t>
        </is>
      </c>
      <c r="H3000" t="inlineStr">
        <is>
          <t xml:space="preserve">UNIDAD              </t>
        </is>
      </c>
      <c r="I3000" t="n">
        <v>0</v>
      </c>
      <c r="J3000" t="n">
        <v>400</v>
      </c>
      <c r="K3000" t="n">
        <v>0</v>
      </c>
      <c r="L3000" t="n">
        <v>10</v>
      </c>
      <c r="M3000" t="n">
        <v>10</v>
      </c>
      <c r="N3000" t="n">
        <v>0</v>
      </c>
      <c r="O3000" t="n">
        <v>380</v>
      </c>
      <c r="P3000" s="96">
        <f>_xlfn.XLOOKUP(Tabla5[[#This Row],[EAN CORREGIDO]],'Tabla Articulos'!B:B,'Tabla Articulos'!D:D)</f>
        <v/>
      </c>
      <c r="Q3000" s="96">
        <f>_xlfn.XLOOKUP(S3000,'Tabla Articulos'!B:B,'Tabla Articulos'!E:E)</f>
        <v/>
      </c>
      <c r="R3000" s="96">
        <f>O3000*Q3000</f>
        <v/>
      </c>
      <c r="S3000" s="97">
        <f>TRIM(E3000)</f>
        <v/>
      </c>
    </row>
    <row r="3001" hidden="1">
      <c r="A3001" s="22" t="n">
        <v>2</v>
      </c>
      <c r="B3001" t="inlineStr">
        <is>
          <t xml:space="preserve">CD CIUDADELA                  </t>
        </is>
      </c>
      <c r="C3001" t="inlineStr">
        <is>
          <t xml:space="preserve">GRUPO L.                      </t>
        </is>
      </c>
      <c r="D3001" t="n">
        <v/>
      </c>
      <c r="E3001" t="inlineStr">
        <is>
          <t xml:space="preserve">7790580346515       </t>
        </is>
      </c>
      <c r="F3001" t="n">
        <v>4024807</v>
      </c>
      <c r="G3001" t="inlineStr">
        <is>
          <t xml:space="preserve">CHOCO.OBLEA C/LECHE 30G BONOBON    </t>
        </is>
      </c>
      <c r="H3001" t="inlineStr">
        <is>
          <t xml:space="preserve">UNIDAD              </t>
        </is>
      </c>
      <c r="I3001" t="n">
        <v>160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160</v>
      </c>
      <c r="P3001" s="96">
        <f>_xlfn.XLOOKUP(Tabla5[[#This Row],[EAN CORREGIDO]],'Tabla Articulos'!B:B,'Tabla Articulos'!D:D)</f>
        <v/>
      </c>
      <c r="Q3001" s="96">
        <f>_xlfn.XLOOKUP(S3001,'Tabla Articulos'!B:B,'Tabla Articulos'!E:E)</f>
        <v/>
      </c>
      <c r="R3001" s="96">
        <f>O3001*Q3001</f>
        <v/>
      </c>
      <c r="S3001" s="97">
        <f>TRIM(E3001)</f>
        <v/>
      </c>
    </row>
    <row r="3002" hidden="1">
      <c r="A3002" s="22" t="n">
        <v>2</v>
      </c>
      <c r="B3002" t="inlineStr">
        <is>
          <t xml:space="preserve">CD CIUDADELA                  </t>
        </is>
      </c>
      <c r="C3002" t="inlineStr">
        <is>
          <t xml:space="preserve">GRUPO L.                      </t>
        </is>
      </c>
      <c r="D3002" t="inlineStr">
        <is>
          <t>BONIATO</t>
        </is>
      </c>
      <c r="E3002" t="inlineStr">
        <is>
          <t xml:space="preserve">7790216010023       </t>
        </is>
      </c>
      <c r="F3002" t="n">
        <v>4024054</v>
      </c>
      <c r="G3002" t="inlineStr">
        <is>
          <t xml:space="preserve">BATATA BONIATO XKG                 </t>
        </is>
      </c>
      <c r="H3002" t="inlineStr">
        <is>
          <t xml:space="preserve">Kgs                 </t>
        </is>
      </c>
      <c r="I3002" t="n">
        <v>95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95</v>
      </c>
      <c r="P3002" s="96">
        <f>_xlfn.XLOOKUP(Tabla5[[#This Row],[EAN CORREGIDO]],'Tabla Articulos'!B:B,'Tabla Articulos'!D:D)</f>
        <v/>
      </c>
      <c r="Q3002" s="96">
        <f>_xlfn.XLOOKUP(S3002,'Tabla Articulos'!B:B,'Tabla Articulos'!E:E)</f>
        <v/>
      </c>
      <c r="R3002" s="96">
        <f>O3002*Q3002</f>
        <v/>
      </c>
      <c r="S3002" s="97">
        <f>TRIM(E3002)</f>
        <v/>
      </c>
    </row>
    <row r="3003" hidden="1">
      <c r="A3003" s="22" t="n">
        <v>2</v>
      </c>
      <c r="B3003" t="inlineStr">
        <is>
          <t xml:space="preserve">CD CIUDADELA                  </t>
        </is>
      </c>
      <c r="C3003" t="inlineStr">
        <is>
          <t xml:space="preserve">GRUPO L.                      </t>
        </is>
      </c>
      <c r="D3003" t="inlineStr">
        <is>
          <t>HAMBURGUESAS</t>
        </is>
      </c>
      <c r="E3003" t="inlineStr">
        <is>
          <t xml:space="preserve">7798346030098       </t>
        </is>
      </c>
      <c r="F3003" t="n">
        <v>4017598</v>
      </c>
      <c r="G3003" t="inlineStr">
        <is>
          <t xml:space="preserve">HAMBURGUESAS X2U BRAVA             </t>
        </is>
      </c>
      <c r="H3003" t="inlineStr">
        <is>
          <t xml:space="preserve">UNIDAD              </t>
        </is>
      </c>
      <c r="I3003" t="n">
        <v>1485</v>
      </c>
      <c r="J3003" t="n">
        <v>0</v>
      </c>
      <c r="K3003" t="n">
        <v>0</v>
      </c>
      <c r="L3003" t="n">
        <v>4</v>
      </c>
      <c r="M3003" t="n">
        <v>4</v>
      </c>
      <c r="N3003" t="n">
        <v>0</v>
      </c>
      <c r="O3003" t="n">
        <v>1477</v>
      </c>
      <c r="P3003" s="96">
        <f>_xlfn.XLOOKUP(Tabla5[[#This Row],[EAN CORREGIDO]],'Tabla Articulos'!B:B,'Tabla Articulos'!D:D)</f>
        <v/>
      </c>
      <c r="Q3003" s="96">
        <f>_xlfn.XLOOKUP(S3003,'Tabla Articulos'!B:B,'Tabla Articulos'!E:E)</f>
        <v/>
      </c>
      <c r="R3003" s="96">
        <f>O3003*Q3003</f>
        <v/>
      </c>
      <c r="S3003" s="97">
        <f>TRIM(E3003)</f>
        <v/>
      </c>
    </row>
    <row r="3004" hidden="1">
      <c r="A3004" s="22" t="n">
        <v>2</v>
      </c>
      <c r="B3004" t="inlineStr">
        <is>
          <t xml:space="preserve">CD CIUDADELA                  </t>
        </is>
      </c>
      <c r="C3004" t="inlineStr">
        <is>
          <t xml:space="preserve">GRUPO L.                      </t>
        </is>
      </c>
      <c r="D3004" t="inlineStr">
        <is>
          <t>POLVO HORNEAR</t>
        </is>
      </c>
      <c r="E3004" t="inlineStr">
        <is>
          <t xml:space="preserve">7790530900750       </t>
        </is>
      </c>
      <c r="F3004" t="n">
        <v>4022368</v>
      </c>
      <c r="G3004" t="inlineStr">
        <is>
          <t xml:space="preserve">POLVO DE HORNEAR BEDIAL X1KG       </t>
        </is>
      </c>
      <c r="H3004" t="inlineStr">
        <is>
          <t xml:space="preserve">UNIDAD              </t>
        </is>
      </c>
      <c r="I3004" t="n">
        <v>38</v>
      </c>
      <c r="J3004" t="n">
        <v>0</v>
      </c>
      <c r="K3004" t="n">
        <v>0</v>
      </c>
      <c r="L3004" t="n">
        <v>1</v>
      </c>
      <c r="M3004" t="n">
        <v>1</v>
      </c>
      <c r="N3004" t="n">
        <v>0</v>
      </c>
      <c r="O3004" t="n">
        <v>36</v>
      </c>
      <c r="P3004" s="96">
        <f>_xlfn.XLOOKUP(Tabla5[[#This Row],[EAN CORREGIDO]],'Tabla Articulos'!B:B,'Tabla Articulos'!D:D)</f>
        <v/>
      </c>
      <c r="Q3004" s="96">
        <f>_xlfn.XLOOKUP(S3004,'Tabla Articulos'!B:B,'Tabla Articulos'!E:E)</f>
        <v/>
      </c>
      <c r="R3004" s="96">
        <f>O3004*Q3004</f>
        <v/>
      </c>
      <c r="S3004" s="97">
        <f>TRIM(E3004)</f>
        <v/>
      </c>
    </row>
    <row r="3005" hidden="1">
      <c r="A3005" s="22" t="n">
        <v>2</v>
      </c>
      <c r="B3005" t="inlineStr">
        <is>
          <t xml:space="preserve">CD CIUDADELA                  </t>
        </is>
      </c>
      <c r="C3005" t="inlineStr">
        <is>
          <t xml:space="preserve">GRUPO L.                      </t>
        </is>
      </c>
      <c r="D3005" t="inlineStr">
        <is>
          <t>BOLSAS ARRANQUE</t>
        </is>
      </c>
      <c r="E3005" t="inlineStr">
        <is>
          <t xml:space="preserve">7794459003066       </t>
        </is>
      </c>
      <c r="F3005" t="n">
        <v>2016605</v>
      </c>
      <c r="G3005" t="inlineStr">
        <is>
          <t xml:space="preserve">ROLLO ARRANQUE 50X70 X6U 1500GR    </t>
        </is>
      </c>
      <c r="H3005" t="inlineStr">
        <is>
          <t xml:space="preserve">UNIDAD              </t>
        </is>
      </c>
      <c r="I3005" t="n">
        <v>59</v>
      </c>
      <c r="J3005" t="n">
        <v>0</v>
      </c>
      <c r="K3005" t="n">
        <v>0</v>
      </c>
      <c r="L3005" t="n">
        <v>1</v>
      </c>
      <c r="M3005" t="n">
        <v>1</v>
      </c>
      <c r="N3005" t="n">
        <v>0</v>
      </c>
      <c r="O3005" t="n">
        <v>57</v>
      </c>
      <c r="P3005" s="96">
        <f>_xlfn.XLOOKUP(Tabla5[[#This Row],[EAN CORREGIDO]],'Tabla Articulos'!B:B,'Tabla Articulos'!D:D)</f>
        <v/>
      </c>
      <c r="Q3005" s="96">
        <f>_xlfn.XLOOKUP(S3005,'Tabla Articulos'!B:B,'Tabla Articulos'!E:E)</f>
        <v/>
      </c>
      <c r="R3005" s="96">
        <f>O3005*Q3005</f>
        <v/>
      </c>
      <c r="S3005" s="97">
        <f>TRIM(E3005)</f>
        <v/>
      </c>
    </row>
    <row r="3006" hidden="1">
      <c r="A3006" s="22" t="n">
        <v>2</v>
      </c>
      <c r="B3006" t="inlineStr">
        <is>
          <t xml:space="preserve">CD CIUDADELA                  </t>
        </is>
      </c>
      <c r="C3006" t="inlineStr">
        <is>
          <t xml:space="preserve">GRUPO L.                      </t>
        </is>
      </c>
      <c r="D3006" t="inlineStr">
        <is>
          <t>SERVILLETA DESC C/LOGO</t>
        </is>
      </c>
      <c r="E3006" t="inlineStr">
        <is>
          <t xml:space="preserve">7790321020532       </t>
        </is>
      </c>
      <c r="F3006" t="n">
        <v>2006218</v>
      </c>
      <c r="G3006" t="inlineStr">
        <is>
          <t>SERVILLETA BEIGE 18X18X1000U NUTRIR</t>
        </is>
      </c>
      <c r="H3006" t="inlineStr">
        <is>
          <t xml:space="preserve">UNIDAD              </t>
        </is>
      </c>
      <c r="I3006" t="n">
        <v>39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39</v>
      </c>
      <c r="P3006" s="96">
        <f>_xlfn.XLOOKUP(Tabla5[[#This Row],[EAN CORREGIDO]],'Tabla Articulos'!B:B,'Tabla Articulos'!D:D)</f>
        <v/>
      </c>
      <c r="Q3006" s="96">
        <f>_xlfn.XLOOKUP(S3006,'Tabla Articulos'!B:B,'Tabla Articulos'!E:E)</f>
        <v/>
      </c>
      <c r="R3006" s="96">
        <f>O3006*Q3006</f>
        <v/>
      </c>
      <c r="S3006" s="97">
        <f>TRIM(E3006)</f>
        <v/>
      </c>
    </row>
    <row r="3007" hidden="1">
      <c r="A3007" s="27" t="n">
        <v>2</v>
      </c>
      <c r="B3007" s="28" t="inlineStr">
        <is>
          <t xml:space="preserve">CD CIUDADELA                  </t>
        </is>
      </c>
      <c r="C3007" s="28" t="inlineStr">
        <is>
          <t xml:space="preserve">GRUPO L.                      </t>
        </is>
      </c>
      <c r="D3007" s="28" t="inlineStr">
        <is>
          <t>ATUN A/A DESMEN</t>
        </is>
      </c>
      <c r="E3007" s="28" t="inlineStr">
        <is>
          <t xml:space="preserve">7790645001809       </t>
        </is>
      </c>
      <c r="F3007" s="28" t="n">
        <v>4019852</v>
      </c>
      <c r="G3007" s="28" t="inlineStr">
        <is>
          <t xml:space="preserve">ATUN DESM E/A x 170 GR CARACAS     </t>
        </is>
      </c>
      <c r="H3007" s="28" t="inlineStr">
        <is>
          <t xml:space="preserve">UNIDAD              </t>
        </is>
      </c>
      <c r="I3007" s="28" t="n">
        <v>19</v>
      </c>
      <c r="J3007" s="28" t="n">
        <v>0</v>
      </c>
      <c r="K3007" s="28" t="n">
        <v>0</v>
      </c>
      <c r="L3007" s="28" t="n">
        <v>0</v>
      </c>
      <c r="M3007" s="28" t="n">
        <v>0</v>
      </c>
      <c r="N3007" s="28" t="n">
        <v>0</v>
      </c>
      <c r="O3007" s="28" t="n">
        <v>19</v>
      </c>
      <c r="P3007" s="96">
        <f>_xlfn.XLOOKUP(Tabla5[[#This Row],[EAN CORREGIDO]],'Tabla Articulos'!B:B,'Tabla Articulos'!D:D)</f>
        <v/>
      </c>
      <c r="Q3007" s="96">
        <f>_xlfn.XLOOKUP(S3007,'Tabla Articulos'!B:B,'Tabla Articulos'!E:E)</f>
        <v/>
      </c>
      <c r="R3007" s="96">
        <f>O3007*Q3007</f>
        <v/>
      </c>
      <c r="S3007" s="97">
        <f>TRIM(E3007)</f>
        <v/>
      </c>
    </row>
    <row r="3008" hidden="1">
      <c r="A3008" s="22" t="n">
        <v>2</v>
      </c>
      <c r="B3008" t="inlineStr">
        <is>
          <t xml:space="preserve">CD CIUDADELA                  </t>
        </is>
      </c>
      <c r="C3008" t="inlineStr">
        <is>
          <t xml:space="preserve">GRUPO L.                      </t>
        </is>
      </c>
      <c r="D3008" t="inlineStr">
        <is>
          <t>QUESOS ESPECIALES</t>
        </is>
      </c>
      <c r="E3008" t="inlineStr">
        <is>
          <t xml:space="preserve">7790212060904       </t>
        </is>
      </c>
      <c r="F3008" t="n">
        <v>4018312</v>
      </c>
      <c r="G3008" t="inlineStr">
        <is>
          <t xml:space="preserve">QUESO ROQUEFORT XKG EMPERADOR      </t>
        </is>
      </c>
      <c r="H3008" t="inlineStr">
        <is>
          <t xml:space="preserve">Kgs                 </t>
        </is>
      </c>
      <c r="I3008" t="n">
        <v>91.17</v>
      </c>
      <c r="J3008" t="n">
        <v>0</v>
      </c>
      <c r="K3008" t="n">
        <v>0</v>
      </c>
      <c r="L3008" t="n">
        <v>16.4</v>
      </c>
      <c r="M3008" t="n">
        <v>16.4</v>
      </c>
      <c r="N3008" t="n">
        <v>0</v>
      </c>
      <c r="O3008" t="n">
        <v>58.37</v>
      </c>
      <c r="P3008" s="96">
        <f>_xlfn.XLOOKUP(Tabla5[[#This Row],[EAN CORREGIDO]],'Tabla Articulos'!B:B,'Tabla Articulos'!D:D)</f>
        <v/>
      </c>
      <c r="Q3008" s="96">
        <f>_xlfn.XLOOKUP(S3008,'Tabla Articulos'!B:B,'Tabla Articulos'!E:E)</f>
        <v/>
      </c>
      <c r="R3008" s="96">
        <f>O3008*Q3008</f>
        <v/>
      </c>
      <c r="S3008" s="97">
        <f>TRIM(E3008)</f>
        <v/>
      </c>
    </row>
    <row r="3009" hidden="1">
      <c r="A3009" s="22" t="n">
        <v>2</v>
      </c>
      <c r="B3009" t="inlineStr">
        <is>
          <t xml:space="preserve">CD CIUDADELA                  </t>
        </is>
      </c>
      <c r="C3009" t="inlineStr">
        <is>
          <t xml:space="preserve">GRUPO L.                      </t>
        </is>
      </c>
      <c r="D3009" t="inlineStr">
        <is>
          <t>DEGUSTADORES</t>
        </is>
      </c>
      <c r="E3009" t="inlineStr">
        <is>
          <t xml:space="preserve">BAZ000525           </t>
        </is>
      </c>
      <c r="F3009" t="n">
        <v>5003012</v>
      </c>
      <c r="G3009" t="inlineStr">
        <is>
          <t xml:space="preserve">DEGUSTADOR X 2000 U                </t>
        </is>
      </c>
      <c r="H3009" t="inlineStr">
        <is>
          <t xml:space="preserve">UNIDAD              </t>
        </is>
      </c>
      <c r="I3009" t="n">
        <v>9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9</v>
      </c>
      <c r="P3009" s="96">
        <f>_xlfn.XLOOKUP(Tabla5[[#This Row],[EAN CORREGIDO]],'Tabla Articulos'!B:B,'Tabla Articulos'!D:D)</f>
        <v/>
      </c>
      <c r="Q3009" s="96">
        <f>_xlfn.XLOOKUP(S3009,'Tabla Articulos'!B:B,'Tabla Articulos'!E:E)</f>
        <v/>
      </c>
      <c r="R3009" s="96">
        <f>O3009*Q3009</f>
        <v/>
      </c>
      <c r="S3009" s="97">
        <f>TRIM(E3009)</f>
        <v/>
      </c>
    </row>
    <row r="3010" hidden="1">
      <c r="A3010" s="22" t="n">
        <v>2</v>
      </c>
      <c r="B3010" t="inlineStr">
        <is>
          <t xml:space="preserve">CD CIUDADELA                  </t>
        </is>
      </c>
      <c r="C3010" t="inlineStr">
        <is>
          <t xml:space="preserve">GRUPO L.                      </t>
        </is>
      </c>
      <c r="D3010" t="inlineStr">
        <is>
          <t>TE VERDE</t>
        </is>
      </c>
      <c r="E3010" t="inlineStr">
        <is>
          <t xml:space="preserve">7798003740285       </t>
        </is>
      </c>
      <c r="F3010" t="n">
        <v>4077418</v>
      </c>
      <c r="G3010" t="inlineStr">
        <is>
          <t xml:space="preserve"> TE VERDE ENSOBRADO HEREDIA X20UN  </t>
        </is>
      </c>
      <c r="H3010" t="inlineStr">
        <is>
          <t xml:space="preserve">UNIDAD              </t>
        </is>
      </c>
      <c r="I3010" t="n">
        <v>100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100</v>
      </c>
      <c r="P3010" s="96">
        <f>_xlfn.XLOOKUP(Tabla5[[#This Row],[EAN CORREGIDO]],'Tabla Articulos'!B:B,'Tabla Articulos'!D:D)</f>
        <v/>
      </c>
      <c r="Q3010" s="96">
        <f>_xlfn.XLOOKUP(S3010,'Tabla Articulos'!B:B,'Tabla Articulos'!E:E)</f>
        <v/>
      </c>
      <c r="R3010" s="96">
        <f>O3010*Q3010</f>
        <v/>
      </c>
      <c r="S3010" s="97">
        <f>TRIM(E3010)</f>
        <v/>
      </c>
    </row>
    <row r="3011" hidden="1">
      <c r="A3011" s="22" t="n">
        <v>2</v>
      </c>
      <c r="B3011" t="inlineStr">
        <is>
          <t xml:space="preserve">CD CIUDADELA                  </t>
        </is>
      </c>
      <c r="C3011" t="inlineStr">
        <is>
          <t xml:space="preserve">GRUPO L.                      </t>
        </is>
      </c>
      <c r="D3011" t="inlineStr">
        <is>
          <t>PANADERIA CONGELADA</t>
        </is>
      </c>
      <c r="E3011" t="inlineStr">
        <is>
          <t xml:space="preserve">7798088625421       </t>
        </is>
      </c>
      <c r="F3011" t="n">
        <v>4018466</v>
      </c>
      <c r="G3011" t="inlineStr">
        <is>
          <t>BUDIN ENTERO BANANA/NEUZ XU SELYGEL</t>
        </is>
      </c>
      <c r="H3011" t="inlineStr">
        <is>
          <t xml:space="preserve">UNIDAD              </t>
        </is>
      </c>
      <c r="I3011" t="n">
        <v>3</v>
      </c>
      <c r="J3011" t="n">
        <v>0</v>
      </c>
      <c r="K3011" t="n">
        <v>0</v>
      </c>
      <c r="L3011" t="n">
        <v>0</v>
      </c>
      <c r="M3011" t="n">
        <v>0</v>
      </c>
      <c r="N3011" t="n">
        <v>3</v>
      </c>
      <c r="O3011" t="n">
        <v>0</v>
      </c>
      <c r="P3011" s="96">
        <f>_xlfn.XLOOKUP(Tabla5[[#This Row],[EAN CORREGIDO]],'Tabla Articulos'!B:B,'Tabla Articulos'!D:D)</f>
        <v/>
      </c>
      <c r="Q3011" s="96">
        <f>_xlfn.XLOOKUP(S3011,'Tabla Articulos'!B:B,'Tabla Articulos'!E:E)</f>
        <v/>
      </c>
      <c r="R3011" s="96">
        <f>O3011*Q3011</f>
        <v/>
      </c>
      <c r="S3011" s="97">
        <f>TRIM(E3011)</f>
        <v/>
      </c>
    </row>
    <row r="3012" hidden="1">
      <c r="A3012" s="22" t="n">
        <v>2</v>
      </c>
      <c r="B3012" t="inlineStr">
        <is>
          <t xml:space="preserve">CD CIUDADELA                  </t>
        </is>
      </c>
      <c r="C3012" t="inlineStr">
        <is>
          <t xml:space="preserve">GRUPO L.                      </t>
        </is>
      </c>
      <c r="D3012" t="inlineStr">
        <is>
          <t>ALFAJOR SIMPLE BLANCO</t>
        </is>
      </c>
      <c r="E3012" t="inlineStr">
        <is>
          <t xml:space="preserve">7791672002074       </t>
        </is>
      </c>
      <c r="F3012" t="n">
        <v>4019104</v>
      </c>
      <c r="G3012" t="inlineStr">
        <is>
          <t xml:space="preserve">ALFAJOR BCO X 50 G FANTOCHE        </t>
        </is>
      </c>
      <c r="H3012" t="inlineStr">
        <is>
          <t xml:space="preserve">UNIDAD              </t>
        </is>
      </c>
      <c r="I3012" t="n">
        <v>24</v>
      </c>
      <c r="J3012" t="n">
        <v>0</v>
      </c>
      <c r="K3012" t="n">
        <v>24</v>
      </c>
      <c r="L3012" t="n">
        <v>0</v>
      </c>
      <c r="M3012" t="n">
        <v>0</v>
      </c>
      <c r="N3012" t="n">
        <v>0</v>
      </c>
      <c r="O3012" t="n">
        <v>0</v>
      </c>
      <c r="P3012" s="96">
        <f>_xlfn.XLOOKUP(Tabla5[[#This Row],[EAN CORREGIDO]],'Tabla Articulos'!B:B,'Tabla Articulos'!D:D)</f>
        <v/>
      </c>
      <c r="Q3012" s="96">
        <f>_xlfn.XLOOKUP(S3012,'Tabla Articulos'!B:B,'Tabla Articulos'!E:E)</f>
        <v/>
      </c>
      <c r="R3012" s="96">
        <f>O3012*Q3012</f>
        <v/>
      </c>
      <c r="S3012" s="97">
        <f>TRIM(E3012)</f>
        <v/>
      </c>
    </row>
    <row r="3013" hidden="1">
      <c r="A3013" s="22" t="n">
        <v>2</v>
      </c>
      <c r="B3013" t="inlineStr">
        <is>
          <t xml:space="preserve">CD CIUDADELA                  </t>
        </is>
      </c>
      <c r="C3013" t="inlineStr">
        <is>
          <t xml:space="preserve">GRUPO L.                      </t>
        </is>
      </c>
      <c r="D3013" t="inlineStr">
        <is>
          <t>ARVEJA</t>
        </is>
      </c>
      <c r="E3013" t="inlineStr">
        <is>
          <t xml:space="preserve">7790499000225       </t>
        </is>
      </c>
      <c r="F3013" t="n">
        <v>4024643</v>
      </c>
      <c r="G3013" t="inlineStr">
        <is>
          <t xml:space="preserve">ARVEJA X 850 LA BANDA              </t>
        </is>
      </c>
      <c r="H3013" t="inlineStr">
        <is>
          <t xml:space="preserve">UNIDAD              </t>
        </is>
      </c>
      <c r="I3013" t="n">
        <v>708</v>
      </c>
      <c r="J3013" t="n">
        <v>0</v>
      </c>
      <c r="K3013" t="n">
        <v>0</v>
      </c>
      <c r="L3013" t="n">
        <v>45</v>
      </c>
      <c r="M3013" t="n">
        <v>45</v>
      </c>
      <c r="N3013" t="n">
        <v>0</v>
      </c>
      <c r="O3013" t="n">
        <v>618</v>
      </c>
      <c r="P3013" s="96">
        <f>_xlfn.XLOOKUP(Tabla5[[#This Row],[EAN CORREGIDO]],'Tabla Articulos'!B:B,'Tabla Articulos'!D:D)</f>
        <v/>
      </c>
      <c r="Q3013" s="96">
        <f>_xlfn.XLOOKUP(S3013,'Tabla Articulos'!B:B,'Tabla Articulos'!E:E)</f>
        <v/>
      </c>
      <c r="R3013" s="96">
        <f>O3013*Q3013</f>
        <v/>
      </c>
      <c r="S3013" s="97">
        <f>TRIM(E3013)</f>
        <v/>
      </c>
    </row>
    <row r="3014" hidden="1">
      <c r="A3014" s="22" t="n">
        <v>2</v>
      </c>
      <c r="B3014" t="inlineStr">
        <is>
          <t xml:space="preserve">CD CIUDADELA                  </t>
        </is>
      </c>
      <c r="C3014" t="inlineStr">
        <is>
          <t xml:space="preserve">GRUPO L.                      </t>
        </is>
      </c>
      <c r="D3014" t="inlineStr">
        <is>
          <t>MOUSSE CHOCOLATE</t>
        </is>
      </c>
      <c r="E3014" t="inlineStr">
        <is>
          <t xml:space="preserve">7790971002501       </t>
        </is>
      </c>
      <c r="F3014" t="n">
        <v>4019673</v>
      </c>
      <c r="G3014" t="inlineStr">
        <is>
          <t xml:space="preserve">MOUSSE CHOCOLATE X5KG ORLOC        </t>
        </is>
      </c>
      <c r="H3014" t="inlineStr">
        <is>
          <t xml:space="preserve">UNIDAD              </t>
        </is>
      </c>
      <c r="I3014" t="n">
        <v>93</v>
      </c>
      <c r="J3014" t="n">
        <v>0</v>
      </c>
      <c r="K3014" t="n">
        <v>0</v>
      </c>
      <c r="L3014" t="n">
        <v>1</v>
      </c>
      <c r="M3014" t="n">
        <v>1</v>
      </c>
      <c r="N3014" t="n">
        <v>0</v>
      </c>
      <c r="O3014" t="n">
        <v>91</v>
      </c>
      <c r="P3014" s="96">
        <f>_xlfn.XLOOKUP(Tabla5[[#This Row],[EAN CORREGIDO]],'Tabla Articulos'!B:B,'Tabla Articulos'!D:D)</f>
        <v/>
      </c>
      <c r="Q3014" s="96">
        <f>_xlfn.XLOOKUP(S3014,'Tabla Articulos'!B:B,'Tabla Articulos'!E:E)</f>
        <v/>
      </c>
      <c r="R3014" s="96">
        <f>O3014*Q3014</f>
        <v/>
      </c>
      <c r="S3014" s="97">
        <f>TRIM(E3014)</f>
        <v/>
      </c>
    </row>
    <row r="3015" hidden="1">
      <c r="A3015" s="22" t="n">
        <v>2</v>
      </c>
      <c r="B3015" t="inlineStr">
        <is>
          <t xml:space="preserve">CD CIUDADELA                  </t>
        </is>
      </c>
      <c r="C3015" t="inlineStr">
        <is>
          <t xml:space="preserve">GRUPO L.                      </t>
        </is>
      </c>
      <c r="D3015" t="inlineStr">
        <is>
          <t>MEDIALUNA MANT CONGELADA</t>
        </is>
      </c>
      <c r="E3015" t="inlineStr">
        <is>
          <t xml:space="preserve">7792590005864       </t>
        </is>
      </c>
      <c r="F3015" t="n">
        <v>4076702</v>
      </c>
      <c r="G3015" t="inlineStr">
        <is>
          <t xml:space="preserve">	 MEDIALU MANT CONGE X150UN CREMACH</t>
        </is>
      </c>
      <c r="H3015" t="inlineStr">
        <is>
          <t xml:space="preserve">UNIDAD              </t>
        </is>
      </c>
      <c r="I3015" t="n">
        <v>99</v>
      </c>
      <c r="J3015" t="n">
        <v>0</v>
      </c>
      <c r="K3015" t="n">
        <v>0</v>
      </c>
      <c r="L3015" t="n">
        <v>6</v>
      </c>
      <c r="M3015" t="n">
        <v>6</v>
      </c>
      <c r="N3015" t="n">
        <v>0</v>
      </c>
      <c r="O3015" t="n">
        <v>87</v>
      </c>
      <c r="P3015" s="96">
        <f>_xlfn.XLOOKUP(Tabla5[[#This Row],[EAN CORREGIDO]],'Tabla Articulos'!B:B,'Tabla Articulos'!D:D)</f>
        <v/>
      </c>
      <c r="Q3015" s="96">
        <f>_xlfn.XLOOKUP(S3015,'Tabla Articulos'!B:B,'Tabla Articulos'!E:E)</f>
        <v/>
      </c>
      <c r="R3015" s="96">
        <f>O3015*Q3015</f>
        <v/>
      </c>
      <c r="S3015" s="97">
        <f>TRIM(E3015)</f>
        <v/>
      </c>
    </row>
    <row r="3016" hidden="1">
      <c r="A3016" s="22" t="n">
        <v>2</v>
      </c>
      <c r="B3016" t="inlineStr">
        <is>
          <t xml:space="preserve">CD CIUDADELA                  </t>
        </is>
      </c>
      <c r="C3016" t="inlineStr">
        <is>
          <t xml:space="preserve">GRUPO L.                      </t>
        </is>
      </c>
      <c r="D3016" t="inlineStr">
        <is>
          <t>FIDEOS SOPEROS</t>
        </is>
      </c>
      <c r="E3016" t="inlineStr">
        <is>
          <t xml:space="preserve">7790070318398       </t>
        </is>
      </c>
      <c r="F3016" t="n">
        <v>4019527</v>
      </c>
      <c r="G3016" t="inlineStr">
        <is>
          <t xml:space="preserve">FIDEO SOP DEDALITOS X 500 G LU     </t>
        </is>
      </c>
      <c r="H3016" t="inlineStr">
        <is>
          <t xml:space="preserve">UNIDAD              </t>
        </is>
      </c>
      <c r="I3016" t="n">
        <v>30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30</v>
      </c>
      <c r="P3016" s="96">
        <f>_xlfn.XLOOKUP(Tabla5[[#This Row],[EAN CORREGIDO]],'Tabla Articulos'!B:B,'Tabla Articulos'!D:D)</f>
        <v/>
      </c>
      <c r="Q3016" s="96">
        <f>_xlfn.XLOOKUP(S3016,'Tabla Articulos'!B:B,'Tabla Articulos'!E:E)</f>
        <v/>
      </c>
      <c r="R3016" s="96">
        <f>O3016*Q3016</f>
        <v/>
      </c>
      <c r="S3016" s="97">
        <f>TRIM(E3016)</f>
        <v/>
      </c>
    </row>
    <row r="3017" hidden="1">
      <c r="A3017" s="22" t="n">
        <v>2</v>
      </c>
      <c r="B3017" t="inlineStr">
        <is>
          <t xml:space="preserve">CD CIUDADELA                  </t>
        </is>
      </c>
      <c r="C3017" t="inlineStr">
        <is>
          <t xml:space="preserve">GRUPO L.                      </t>
        </is>
      </c>
      <c r="D3017" t="inlineStr">
        <is>
          <t>LENTEJAS S/TACC</t>
        </is>
      </c>
      <c r="E3017" t="inlineStr">
        <is>
          <t xml:space="preserve">7798156760659       </t>
        </is>
      </c>
      <c r="F3017" t="n">
        <v>4020438</v>
      </c>
      <c r="G3017" t="inlineStr">
        <is>
          <t xml:space="preserve">LENTEJA S/TACC X340G SAB DEL VALLE </t>
        </is>
      </c>
      <c r="H3017" t="inlineStr">
        <is>
          <t xml:space="preserve">UNIDAD              </t>
        </is>
      </c>
      <c r="I3017" t="n">
        <v>2296</v>
      </c>
      <c r="J3017" t="n">
        <v>0</v>
      </c>
      <c r="K3017" t="n">
        <v>0</v>
      </c>
      <c r="L3017" t="n">
        <v>11</v>
      </c>
      <c r="M3017" t="n">
        <v>11</v>
      </c>
      <c r="N3017" t="n">
        <v>0</v>
      </c>
      <c r="O3017" t="n">
        <v>2274</v>
      </c>
      <c r="P3017" s="96">
        <f>_xlfn.XLOOKUP(Tabla5[[#This Row],[EAN CORREGIDO]],'Tabla Articulos'!B:B,'Tabla Articulos'!D:D)</f>
        <v/>
      </c>
      <c r="Q3017" s="96">
        <f>_xlfn.XLOOKUP(S3017,'Tabla Articulos'!B:B,'Tabla Articulos'!E:E)</f>
        <v/>
      </c>
      <c r="R3017" s="96">
        <f>O3017*Q3017</f>
        <v/>
      </c>
      <c r="S3017" s="97">
        <f>TRIM(E3017)</f>
        <v/>
      </c>
    </row>
    <row r="3018" hidden="1">
      <c r="A3018" s="22" t="n">
        <v>2</v>
      </c>
      <c r="B3018" t="inlineStr">
        <is>
          <t xml:space="preserve">CD CIUDADELA                  </t>
        </is>
      </c>
      <c r="C3018" t="inlineStr">
        <is>
          <t xml:space="preserve">GRUPO L.                      </t>
        </is>
      </c>
      <c r="D3018" t="inlineStr">
        <is>
          <t>MERMELADA FRUTILLA VIDRIO</t>
        </is>
      </c>
      <c r="E3018" t="inlineStr">
        <is>
          <t xml:space="preserve">7791113000911       </t>
        </is>
      </c>
      <c r="F3018" t="n">
        <v>4019794</v>
      </c>
      <c r="G3018" t="inlineStr">
        <is>
          <t xml:space="preserve">MERM FRUTILLA X454GR EMETH VIDRIO  </t>
        </is>
      </c>
      <c r="H3018" t="inlineStr">
        <is>
          <t xml:space="preserve">UNIDAD              </t>
        </is>
      </c>
      <c r="I3018" t="n">
        <v>80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80</v>
      </c>
      <c r="P3018" s="96">
        <f>_xlfn.XLOOKUP(Tabla5[[#This Row],[EAN CORREGIDO]],'Tabla Articulos'!B:B,'Tabla Articulos'!D:D)</f>
        <v/>
      </c>
      <c r="Q3018" s="96">
        <f>_xlfn.XLOOKUP(S3018,'Tabla Articulos'!B:B,'Tabla Articulos'!E:E)</f>
        <v/>
      </c>
      <c r="R3018" s="96">
        <f>O3018*Q3018</f>
        <v/>
      </c>
      <c r="S3018" s="97">
        <f>TRIM(E3018)</f>
        <v/>
      </c>
    </row>
    <row r="3019" hidden="1">
      <c r="A3019" s="22" t="n">
        <v>2</v>
      </c>
      <c r="B3019" t="inlineStr">
        <is>
          <t xml:space="preserve">CD CIUDADELA                  </t>
        </is>
      </c>
      <c r="C3019" t="inlineStr">
        <is>
          <t xml:space="preserve">GRUPO L.                      </t>
        </is>
      </c>
      <c r="D3019" t="inlineStr">
        <is>
          <t>VINAGRE ALCOHOL</t>
        </is>
      </c>
      <c r="E3019" t="inlineStr">
        <is>
          <t xml:space="preserve">7792378000814       </t>
        </is>
      </c>
      <c r="F3019" t="n">
        <v>4021281</v>
      </c>
      <c r="G3019" t="inlineStr">
        <is>
          <t xml:space="preserve">VINAGRE ALCOHOL X1L COMENSAL       </t>
        </is>
      </c>
      <c r="H3019" t="inlineStr">
        <is>
          <t xml:space="preserve">UNIDAD              </t>
        </is>
      </c>
      <c r="I3019" t="n">
        <v>543</v>
      </c>
      <c r="J3019" t="n">
        <v>0</v>
      </c>
      <c r="K3019" t="n">
        <v>0</v>
      </c>
      <c r="L3019" t="n">
        <v>19</v>
      </c>
      <c r="M3019" t="n">
        <v>19</v>
      </c>
      <c r="N3019" t="n">
        <v>0</v>
      </c>
      <c r="O3019" t="n">
        <v>505</v>
      </c>
      <c r="P3019" s="96">
        <f>_xlfn.XLOOKUP(Tabla5[[#This Row],[EAN CORREGIDO]],'Tabla Articulos'!B:B,'Tabla Articulos'!D:D)</f>
        <v/>
      </c>
      <c r="Q3019" s="96">
        <f>_xlfn.XLOOKUP(S3019,'Tabla Articulos'!B:B,'Tabla Articulos'!E:E)</f>
        <v/>
      </c>
      <c r="R3019" s="96">
        <f>O3019*Q3019</f>
        <v/>
      </c>
      <c r="S3019" s="97">
        <f>TRIM(E3019)</f>
        <v/>
      </c>
    </row>
    <row r="3020" hidden="1">
      <c r="A3020" s="22" t="n">
        <v>2</v>
      </c>
      <c r="B3020" t="inlineStr">
        <is>
          <t xml:space="preserve">CD CIUDADELA                  </t>
        </is>
      </c>
      <c r="C3020" t="inlineStr">
        <is>
          <t xml:space="preserve">GRUPO L.                      </t>
        </is>
      </c>
      <c r="D3020" t="inlineStr">
        <is>
          <t>CARNE ENTERA</t>
        </is>
      </c>
      <c r="E3020" t="inlineStr">
        <is>
          <t xml:space="preserve">7790212031239       </t>
        </is>
      </c>
      <c r="F3020" t="n">
        <v>4076618</v>
      </c>
      <c r="G3020" t="inlineStr">
        <is>
          <t xml:space="preserve">BIFE DE COSTILLA x KG              </t>
        </is>
      </c>
      <c r="H3020" t="inlineStr">
        <is>
          <t xml:space="preserve">Kgs                 </t>
        </is>
      </c>
      <c r="I3020" t="n">
        <v>65</v>
      </c>
      <c r="J3020" t="n">
        <v>0</v>
      </c>
      <c r="K3020" t="n">
        <v>0</v>
      </c>
      <c r="L3020" t="n">
        <v>0</v>
      </c>
      <c r="M3020" t="n">
        <v>-23.4</v>
      </c>
      <c r="N3020" t="n">
        <v>0</v>
      </c>
      <c r="O3020" t="n">
        <v>88.40000000000001</v>
      </c>
      <c r="P3020" s="96">
        <f>_xlfn.XLOOKUP(Tabla5[[#This Row],[EAN CORREGIDO]],'Tabla Articulos'!B:B,'Tabla Articulos'!D:D)</f>
        <v/>
      </c>
      <c r="Q3020" s="96">
        <f>_xlfn.XLOOKUP(S3020,'Tabla Articulos'!B:B,'Tabla Articulos'!E:E)</f>
        <v/>
      </c>
      <c r="R3020" s="96">
        <f>O3020*Q3020</f>
        <v/>
      </c>
      <c r="S3020" s="97">
        <f>TRIM(E3020)</f>
        <v/>
      </c>
    </row>
    <row r="3021" hidden="1">
      <c r="A3021" s="22" t="n">
        <v>2</v>
      </c>
      <c r="B3021" t="inlineStr">
        <is>
          <t xml:space="preserve">CD CIUDADELA                  </t>
        </is>
      </c>
      <c r="C3021" t="inlineStr">
        <is>
          <t xml:space="preserve">GRUPO L.                      </t>
        </is>
      </c>
      <c r="D3021" t="inlineStr">
        <is>
          <t>CARNE ENTERA</t>
        </is>
      </c>
      <c r="E3021" t="inlineStr">
        <is>
          <t xml:space="preserve">7790212030143       </t>
        </is>
      </c>
      <c r="F3021" t="n">
        <v>4017767</v>
      </c>
      <c r="G3021" t="inlineStr">
        <is>
          <t xml:space="preserve">VACIO REF X KG                     </t>
        </is>
      </c>
      <c r="H3021" t="inlineStr">
        <is>
          <t xml:space="preserve">Kgs                 </t>
        </is>
      </c>
      <c r="I3021" t="n">
        <v>3.45</v>
      </c>
      <c r="J3021" t="n">
        <v>530.72</v>
      </c>
      <c r="K3021" t="n">
        <v>530.72</v>
      </c>
      <c r="L3021" t="n">
        <v>0</v>
      </c>
      <c r="M3021" t="n">
        <v>0</v>
      </c>
      <c r="N3021" t="n">
        <v>0</v>
      </c>
      <c r="O3021" t="n">
        <v>3.45</v>
      </c>
      <c r="P3021" s="96">
        <f>_xlfn.XLOOKUP(Tabla5[[#This Row],[EAN CORREGIDO]],'Tabla Articulos'!B:B,'Tabla Articulos'!D:D)</f>
        <v/>
      </c>
      <c r="Q3021" s="96">
        <f>_xlfn.XLOOKUP(S3021,'Tabla Articulos'!B:B,'Tabla Articulos'!E:E)</f>
        <v/>
      </c>
      <c r="R3021" s="96">
        <f>O3021*Q3021</f>
        <v/>
      </c>
      <c r="S3021" s="97">
        <f>TRIM(E3021)</f>
        <v/>
      </c>
    </row>
    <row r="3022" hidden="1">
      <c r="A3022" s="22" t="n">
        <v>2</v>
      </c>
      <c r="B3022" t="inlineStr">
        <is>
          <t xml:space="preserve">CD CIUDADELA                  </t>
        </is>
      </c>
      <c r="C3022" t="inlineStr">
        <is>
          <t xml:space="preserve">GRUPO L.                      </t>
        </is>
      </c>
      <c r="D3022" t="inlineStr">
        <is>
          <t>CUCHARAS</t>
        </is>
      </c>
      <c r="E3022" t="inlineStr">
        <is>
          <t xml:space="preserve">7790321020186       </t>
        </is>
      </c>
      <c r="F3022" t="n">
        <v>2006449</v>
      </c>
      <c r="G3022" t="inlineStr">
        <is>
          <t xml:space="preserve">CUCHARA SOP DESC X  1000 U         </t>
        </is>
      </c>
      <c r="H3022" t="inlineStr">
        <is>
          <t xml:space="preserve">UNIDAD              </t>
        </is>
      </c>
      <c r="I3022" t="n">
        <v>39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39</v>
      </c>
      <c r="P3022" s="96">
        <f>_xlfn.XLOOKUP(Tabla5[[#This Row],[EAN CORREGIDO]],'Tabla Articulos'!B:B,'Tabla Articulos'!D:D)</f>
        <v/>
      </c>
      <c r="Q3022" s="96">
        <f>_xlfn.XLOOKUP(S3022,'Tabla Articulos'!B:B,'Tabla Articulos'!E:E)</f>
        <v/>
      </c>
      <c r="R3022" s="96">
        <f>O3022*Q3022</f>
        <v/>
      </c>
      <c r="S3022" s="97">
        <f>TRIM(E3022)</f>
        <v/>
      </c>
    </row>
    <row r="3023" hidden="1">
      <c r="A3023" s="22" t="n">
        <v>2</v>
      </c>
      <c r="B3023" t="inlineStr">
        <is>
          <t xml:space="preserve">CD CIUDADELA                  </t>
        </is>
      </c>
      <c r="C3023" t="inlineStr">
        <is>
          <t xml:space="preserve">GRUPO L.                      </t>
        </is>
      </c>
      <c r="D3023" t="inlineStr">
        <is>
          <t>CABALLA A/N</t>
        </is>
      </c>
      <c r="E3023" t="inlineStr">
        <is>
          <t xml:space="preserve">7792750001590       </t>
        </is>
      </c>
      <c r="F3023" t="n">
        <v>4020401</v>
      </c>
      <c r="G3023" t="inlineStr">
        <is>
          <t xml:space="preserve">CABALLA AL NATURAL X380G MARBELLA  </t>
        </is>
      </c>
      <c r="H3023" t="inlineStr">
        <is>
          <t xml:space="preserve">UNIDAD              </t>
        </is>
      </c>
      <c r="I3023" t="n">
        <v>51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51</v>
      </c>
      <c r="P3023" s="96">
        <f>_xlfn.XLOOKUP(Tabla5[[#This Row],[EAN CORREGIDO]],'Tabla Articulos'!B:B,'Tabla Articulos'!D:D)</f>
        <v/>
      </c>
      <c r="Q3023" s="96">
        <f>_xlfn.XLOOKUP(S3023,'Tabla Articulos'!B:B,'Tabla Articulos'!E:E)</f>
        <v/>
      </c>
      <c r="R3023" s="96">
        <f>O3023*Q3023</f>
        <v/>
      </c>
      <c r="S3023" s="97">
        <f>TRIM(E3023)</f>
        <v/>
      </c>
    </row>
    <row r="3024" hidden="1">
      <c r="A3024" s="22" t="n">
        <v>2</v>
      </c>
      <c r="B3024" t="inlineStr">
        <is>
          <t xml:space="preserve">CD CIUDADELA                  </t>
        </is>
      </c>
      <c r="C3024" t="inlineStr">
        <is>
          <t xml:space="preserve">GRUPO L.                      </t>
        </is>
      </c>
      <c r="D3024" t="inlineStr">
        <is>
          <t>COLIFLOR</t>
        </is>
      </c>
      <c r="E3024" t="inlineStr">
        <is>
          <t xml:space="preserve">7790216012607       </t>
        </is>
      </c>
      <c r="F3024" t="n">
        <v>4018012</v>
      </c>
      <c r="G3024" t="inlineStr">
        <is>
          <t xml:space="preserve">COLIFLOR x KG                      </t>
        </is>
      </c>
      <c r="H3024" t="inlineStr">
        <is>
          <t xml:space="preserve">Kgs                 </t>
        </is>
      </c>
      <c r="I3024" t="n">
        <v>18</v>
      </c>
      <c r="J3024" t="n">
        <v>0</v>
      </c>
      <c r="K3024" t="n">
        <v>0</v>
      </c>
      <c r="L3024" t="n">
        <v>0</v>
      </c>
      <c r="M3024" t="n">
        <v>8</v>
      </c>
      <c r="N3024" t="n">
        <v>0</v>
      </c>
      <c r="O3024" t="n">
        <v>10</v>
      </c>
      <c r="P3024" s="96">
        <f>_xlfn.XLOOKUP(Tabla5[[#This Row],[EAN CORREGIDO]],'Tabla Articulos'!B:B,'Tabla Articulos'!D:D)</f>
        <v/>
      </c>
      <c r="Q3024" s="96">
        <f>_xlfn.XLOOKUP(S3024,'Tabla Articulos'!B:B,'Tabla Articulos'!E:E)</f>
        <v/>
      </c>
      <c r="R3024" s="96">
        <f>O3024*Q3024</f>
        <v/>
      </c>
      <c r="S3024" s="97">
        <f>TRIM(E3024)</f>
        <v/>
      </c>
    </row>
    <row r="3025" hidden="1">
      <c r="A3025" s="22" t="n">
        <v>2</v>
      </c>
      <c r="B3025" t="inlineStr">
        <is>
          <t xml:space="preserve">CD CIUDADELA                  </t>
        </is>
      </c>
      <c r="C3025" t="inlineStr">
        <is>
          <t xml:space="preserve">GRUPO L.                      </t>
        </is>
      </c>
      <c r="D3025" t="inlineStr">
        <is>
          <t>TE ENSOB S/TACC</t>
        </is>
      </c>
      <c r="E3025" t="inlineStr">
        <is>
          <t xml:space="preserve">7790150231258       </t>
        </is>
      </c>
      <c r="F3025" t="n">
        <v>4019376</v>
      </c>
      <c r="G3025" t="inlineStr">
        <is>
          <t>TE VIRGIN ISLANDS ENSOB X50U LA VIR</t>
        </is>
      </c>
      <c r="H3025" t="inlineStr">
        <is>
          <t xml:space="preserve">BULTOS              </t>
        </is>
      </c>
      <c r="I3025" t="n">
        <v>159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159</v>
      </c>
      <c r="P3025" s="96">
        <f>_xlfn.XLOOKUP(Tabla5[[#This Row],[EAN CORREGIDO]],'Tabla Articulos'!B:B,'Tabla Articulos'!D:D)</f>
        <v/>
      </c>
      <c r="Q3025" s="96">
        <f>_xlfn.XLOOKUP(S3025,'Tabla Articulos'!B:B,'Tabla Articulos'!E:E)</f>
        <v/>
      </c>
      <c r="R3025" s="96">
        <f>O3025*Q3025</f>
        <v/>
      </c>
      <c r="S3025" s="97">
        <f>TRIM(E3025)</f>
        <v/>
      </c>
    </row>
    <row r="3026" hidden="1">
      <c r="A3026" s="22" t="n">
        <v>2</v>
      </c>
      <c r="B3026" t="inlineStr">
        <is>
          <t xml:space="preserve">CD CIUDADELA                  </t>
        </is>
      </c>
      <c r="C3026" t="inlineStr">
        <is>
          <t xml:space="preserve">GRUPO L.                      </t>
        </is>
      </c>
      <c r="D3026" t="inlineStr">
        <is>
          <t>CHOCLO GRANO S/TACC</t>
        </is>
      </c>
      <c r="E3026" t="inlineStr">
        <is>
          <t xml:space="preserve">7790499017629       </t>
        </is>
      </c>
      <c r="F3026" t="n">
        <v>4019870</v>
      </c>
      <c r="G3026" t="inlineStr">
        <is>
          <t>CHOCLO GRANO TETRA X 340 G LA BANDA</t>
        </is>
      </c>
      <c r="H3026" t="inlineStr">
        <is>
          <t xml:space="preserve">UNIDAD              </t>
        </is>
      </c>
      <c r="I3026" t="n">
        <v>717</v>
      </c>
      <c r="J3026" t="n">
        <v>0</v>
      </c>
      <c r="K3026" t="n">
        <v>0</v>
      </c>
      <c r="L3026" t="n">
        <v>66</v>
      </c>
      <c r="M3026" t="n">
        <v>66</v>
      </c>
      <c r="N3026" t="n">
        <v>0</v>
      </c>
      <c r="O3026" t="n">
        <v>585</v>
      </c>
      <c r="P3026" s="96">
        <f>_xlfn.XLOOKUP(Tabla5[[#This Row],[EAN CORREGIDO]],'Tabla Articulos'!B:B,'Tabla Articulos'!D:D)</f>
        <v/>
      </c>
      <c r="Q3026" s="96">
        <f>_xlfn.XLOOKUP(S3026,'Tabla Articulos'!B:B,'Tabla Articulos'!E:E)</f>
        <v/>
      </c>
      <c r="R3026" s="96">
        <f>O3026*Q3026</f>
        <v/>
      </c>
      <c r="S3026" s="97">
        <f>TRIM(E3026)</f>
        <v/>
      </c>
    </row>
    <row r="3027" hidden="1">
      <c r="A3027" s="22" t="n">
        <v>2</v>
      </c>
      <c r="B3027" t="inlineStr">
        <is>
          <t xml:space="preserve">CD CIUDADELA                  </t>
        </is>
      </c>
      <c r="C3027" t="inlineStr">
        <is>
          <t xml:space="preserve">GRUPO L.                      </t>
        </is>
      </c>
      <c r="D3027" t="inlineStr">
        <is>
          <t>EDULCO SOB NUTRIRE</t>
        </is>
      </c>
      <c r="E3027" t="inlineStr">
        <is>
          <t xml:space="preserve">7798011977680       </t>
        </is>
      </c>
      <c r="F3027" t="n">
        <v>4076544</v>
      </c>
      <c r="G3027" t="inlineStr">
        <is>
          <t>EDULCORANTE IND SOBRE X400U NUTRIRE</t>
        </is>
      </c>
      <c r="H3027" t="inlineStr">
        <is>
          <t xml:space="preserve">BULTOS              </t>
        </is>
      </c>
      <c r="I3027" t="n">
        <v>100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100</v>
      </c>
      <c r="P3027" s="96">
        <f>_xlfn.XLOOKUP(Tabla5[[#This Row],[EAN CORREGIDO]],'Tabla Articulos'!B:B,'Tabla Articulos'!D:D)</f>
        <v/>
      </c>
      <c r="Q3027" s="96">
        <f>_xlfn.XLOOKUP(S3027,'Tabla Articulos'!B:B,'Tabla Articulos'!E:E)</f>
        <v/>
      </c>
      <c r="R3027" s="96">
        <f>O3027*Q3027</f>
        <v/>
      </c>
      <c r="S3027" s="97">
        <f>TRIM(E3027)</f>
        <v/>
      </c>
    </row>
    <row r="3028" hidden="1">
      <c r="A3028" s="22" t="n">
        <v>2</v>
      </c>
      <c r="B3028" t="inlineStr">
        <is>
          <t xml:space="preserve">CD CIUDADELA                  </t>
        </is>
      </c>
      <c r="C3028" t="inlineStr">
        <is>
          <t xml:space="preserve">GRUPO L.                      </t>
        </is>
      </c>
      <c r="D3028" t="inlineStr">
        <is>
          <t>AGUA TONICA INDIVIDUAL</t>
        </is>
      </c>
      <c r="E3028" t="inlineStr">
        <is>
          <t xml:space="preserve">7790895003202       </t>
        </is>
      </c>
      <c r="F3028" t="n">
        <v>4017235</v>
      </c>
      <c r="G3028" t="inlineStr">
        <is>
          <t xml:space="preserve">AGUA TONICA LATA X310CC SCHWEPPES  </t>
        </is>
      </c>
      <c r="H3028" t="inlineStr">
        <is>
          <t xml:space="preserve">UNIDAD              </t>
        </is>
      </c>
      <c r="I3028" t="n">
        <v>42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42</v>
      </c>
      <c r="P3028" s="96">
        <f>_xlfn.XLOOKUP(Tabla5[[#This Row],[EAN CORREGIDO]],'Tabla Articulos'!B:B,'Tabla Articulos'!D:D)</f>
        <v/>
      </c>
      <c r="Q3028" s="96">
        <f>_xlfn.XLOOKUP(S3028,'Tabla Articulos'!B:B,'Tabla Articulos'!E:E)</f>
        <v/>
      </c>
      <c r="R3028" s="96">
        <f>O3028*Q3028</f>
        <v/>
      </c>
      <c r="S3028" s="97">
        <f>TRIM(E3028)</f>
        <v/>
      </c>
    </row>
    <row r="3029" hidden="1">
      <c r="A3029" s="22" t="n">
        <v>2</v>
      </c>
      <c r="B3029" t="inlineStr">
        <is>
          <t xml:space="preserve">CD CIUDADELA                  </t>
        </is>
      </c>
      <c r="C3029" t="inlineStr">
        <is>
          <t xml:space="preserve">GRUPO L.                      </t>
        </is>
      </c>
      <c r="D3029" t="inlineStr">
        <is>
          <t>TAPA 103</t>
        </is>
      </c>
      <c r="E3029" t="inlineStr">
        <is>
          <t xml:space="preserve">7790321020276       </t>
        </is>
      </c>
      <c r="F3029" t="n">
        <v>2006391</v>
      </c>
      <c r="G3029" t="inlineStr">
        <is>
          <t xml:space="preserve">TAPA 103 X 50 U                    </t>
        </is>
      </c>
      <c r="H3029" t="inlineStr">
        <is>
          <t xml:space="preserve">UNIDAD              </t>
        </is>
      </c>
      <c r="I3029" t="n">
        <v>127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127</v>
      </c>
      <c r="P3029" s="96">
        <f>_xlfn.XLOOKUP(Tabla5[[#This Row],[EAN CORREGIDO]],'Tabla Articulos'!B:B,'Tabla Articulos'!D:D)</f>
        <v/>
      </c>
      <c r="Q3029" s="96">
        <f>_xlfn.XLOOKUP(S3029,'Tabla Articulos'!B:B,'Tabla Articulos'!E:E)</f>
        <v/>
      </c>
      <c r="R3029" s="96">
        <f>O3029*Q3029</f>
        <v/>
      </c>
      <c r="S3029" s="97">
        <f>TRIM(E3029)</f>
        <v/>
      </c>
    </row>
    <row r="3030" hidden="1">
      <c r="A3030" s="22" t="n">
        <v>2</v>
      </c>
      <c r="B3030" t="inlineStr">
        <is>
          <t xml:space="preserve">CD CIUDADELA                  </t>
        </is>
      </c>
      <c r="C3030" t="inlineStr">
        <is>
          <t xml:space="preserve">GRUPO L.                      </t>
        </is>
      </c>
      <c r="D3030" t="inlineStr">
        <is>
          <t>BARRAS CEREAL LIGHT</t>
        </is>
      </c>
      <c r="E3030" t="inlineStr">
        <is>
          <t xml:space="preserve">77965370            </t>
        </is>
      </c>
      <c r="F3030" t="n">
        <v>4019224</v>
      </c>
      <c r="G3030" t="inlineStr">
        <is>
          <t xml:space="preserve">BARRA CEREAL YOGUR X26G CEREALMI   </t>
        </is>
      </c>
      <c r="H3030" t="inlineStr">
        <is>
          <t xml:space="preserve">UNIDAD              </t>
        </is>
      </c>
      <c r="I3030" t="n">
        <v>2155</v>
      </c>
      <c r="J3030" t="n">
        <v>0</v>
      </c>
      <c r="K3030" t="n">
        <v>0</v>
      </c>
      <c r="L3030" t="n">
        <v>70</v>
      </c>
      <c r="M3030" t="n">
        <v>70</v>
      </c>
      <c r="N3030" t="n">
        <v>0</v>
      </c>
      <c r="O3030" t="n">
        <v>2015</v>
      </c>
      <c r="P3030" s="96">
        <f>_xlfn.XLOOKUP(Tabla5[[#This Row],[EAN CORREGIDO]],'Tabla Articulos'!B:B,'Tabla Articulos'!D:D)</f>
        <v/>
      </c>
      <c r="Q3030" s="96">
        <f>_xlfn.XLOOKUP(S3030,'Tabla Articulos'!B:B,'Tabla Articulos'!E:E)</f>
        <v/>
      </c>
      <c r="R3030" s="96">
        <f>O3030*Q3030</f>
        <v/>
      </c>
      <c r="S3030" s="97">
        <f>TRIM(E3030)</f>
        <v/>
      </c>
    </row>
    <row r="3031" hidden="1">
      <c r="A3031" s="22" t="n">
        <v>2</v>
      </c>
      <c r="B3031" t="inlineStr">
        <is>
          <t xml:space="preserve">CD CIUDADELA                  </t>
        </is>
      </c>
      <c r="C3031" t="inlineStr">
        <is>
          <t xml:space="preserve">GRUPO L.                      </t>
        </is>
      </c>
      <c r="D3031" t="inlineStr">
        <is>
          <t>GALLE CHOCO RELLENA</t>
        </is>
      </c>
      <c r="E3031" t="inlineStr">
        <is>
          <t xml:space="preserve">7790040133242       </t>
        </is>
      </c>
      <c r="F3031" t="n">
        <v>4018985</v>
      </c>
      <c r="G3031" t="inlineStr">
        <is>
          <t xml:space="preserve">GALL CHOCO RELLENA X152G MANA      </t>
        </is>
      </c>
      <c r="H3031" t="inlineStr">
        <is>
          <t xml:space="preserve">UNIDAD              </t>
        </is>
      </c>
      <c r="I3031" t="n">
        <v>188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188</v>
      </c>
      <c r="P3031" s="96">
        <f>_xlfn.XLOOKUP(Tabla5[[#This Row],[EAN CORREGIDO]],'Tabla Articulos'!B:B,'Tabla Articulos'!D:D)</f>
        <v/>
      </c>
      <c r="Q3031" s="96">
        <f>_xlfn.XLOOKUP(S3031,'Tabla Articulos'!B:B,'Tabla Articulos'!E:E)</f>
        <v/>
      </c>
      <c r="R3031" s="96">
        <f>O3031*Q3031</f>
        <v/>
      </c>
      <c r="S3031" s="97">
        <f>TRIM(E3031)</f>
        <v/>
      </c>
    </row>
    <row r="3032" hidden="1">
      <c r="A3032" s="22" t="n">
        <v>2</v>
      </c>
      <c r="B3032" t="inlineStr">
        <is>
          <t xml:space="preserve">CD CIUDADELA                  </t>
        </is>
      </c>
      <c r="C3032" t="inlineStr">
        <is>
          <t xml:space="preserve">GRUPO L.                      </t>
        </is>
      </c>
      <c r="D3032" t="inlineStr">
        <is>
          <t>VINAGRE VINO</t>
        </is>
      </c>
      <c r="E3032" t="inlineStr">
        <is>
          <t xml:space="preserve">7792378000838       </t>
        </is>
      </c>
      <c r="F3032" t="n">
        <v>4049031</v>
      </c>
      <c r="G3032" t="inlineStr">
        <is>
          <t xml:space="preserve">VINAGRE VINO 1LT COMENSAL          </t>
        </is>
      </c>
      <c r="H3032" t="inlineStr">
        <is>
          <t xml:space="preserve">UNIDAD              </t>
        </is>
      </c>
      <c r="I3032" t="n">
        <v>41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41</v>
      </c>
      <c r="P3032" s="96">
        <f>_xlfn.XLOOKUP(Tabla5[[#This Row],[EAN CORREGIDO]],'Tabla Articulos'!B:B,'Tabla Articulos'!D:D)</f>
        <v/>
      </c>
      <c r="Q3032" s="96">
        <f>_xlfn.XLOOKUP(S3032,'Tabla Articulos'!B:B,'Tabla Articulos'!E:E)</f>
        <v/>
      </c>
      <c r="R3032" s="96">
        <f>O3032*Q3032</f>
        <v/>
      </c>
      <c r="S3032" s="97">
        <f>TRIM(E3032)</f>
        <v/>
      </c>
    </row>
    <row r="3033" hidden="1">
      <c r="A3033" s="22" t="n">
        <v>2</v>
      </c>
      <c r="B3033" t="inlineStr">
        <is>
          <t xml:space="preserve">CD CIUDADELA                  </t>
        </is>
      </c>
      <c r="C3033" t="inlineStr">
        <is>
          <t xml:space="preserve">GRUPO L.                      </t>
        </is>
      </c>
      <c r="D3033" t="inlineStr">
        <is>
          <t>EMPANADA CONG HUMITA</t>
        </is>
      </c>
      <c r="E3033" t="inlineStr">
        <is>
          <t xml:space="preserve">77902113030047      </t>
        </is>
      </c>
      <c r="F3033" t="n">
        <v>4018641</v>
      </c>
      <c r="G3033" t="inlineStr">
        <is>
          <t xml:space="preserve">EMPANADA CONGELADA HUMITA X50U     </t>
        </is>
      </c>
      <c r="H3033" t="inlineStr">
        <is>
          <t xml:space="preserve">UNIDAD              </t>
        </is>
      </c>
      <c r="I3033" t="n">
        <v>19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19</v>
      </c>
      <c r="P3033" s="96">
        <f>_xlfn.XLOOKUP(Tabla5[[#This Row],[EAN CORREGIDO]],'Tabla Articulos'!B:B,'Tabla Articulos'!D:D)</f>
        <v/>
      </c>
      <c r="Q3033" s="96">
        <f>_xlfn.XLOOKUP(S3033,'Tabla Articulos'!B:B,'Tabla Articulos'!E:E)</f>
        <v/>
      </c>
      <c r="R3033" s="96">
        <f>O3033*Q3033</f>
        <v/>
      </c>
      <c r="S3033" s="97">
        <f>TRIM(E3033)</f>
        <v/>
      </c>
    </row>
    <row r="3034" hidden="1">
      <c r="A3034" s="22" t="n">
        <v>2</v>
      </c>
      <c r="B3034" t="inlineStr">
        <is>
          <t xml:space="preserve">CD CIUDADELA                  </t>
        </is>
      </c>
      <c r="C3034" t="inlineStr">
        <is>
          <t xml:space="preserve">GRUPO L.                      </t>
        </is>
      </c>
      <c r="D3034" t="inlineStr">
        <is>
          <t>PASTA RELLENA CONGELADA</t>
        </is>
      </c>
      <c r="E3034" t="inlineStr">
        <is>
          <t xml:space="preserve">724751055309        </t>
        </is>
      </c>
      <c r="F3034" t="n">
        <v>4023577</v>
      </c>
      <c r="G3034" t="inlineStr">
        <is>
          <t xml:space="preserve">RAVIOL RICOTA MASA ESPINACA 500G   </t>
        </is>
      </c>
      <c r="H3034" t="inlineStr">
        <is>
          <t xml:space="preserve">UNIDAD              </t>
        </is>
      </c>
      <c r="I3034" t="n">
        <v>24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24</v>
      </c>
      <c r="P3034" s="96">
        <f>_xlfn.XLOOKUP(Tabla5[[#This Row],[EAN CORREGIDO]],'Tabla Articulos'!B:B,'Tabla Articulos'!D:D)</f>
        <v/>
      </c>
      <c r="Q3034" s="96">
        <f>_xlfn.XLOOKUP(S3034,'Tabla Articulos'!B:B,'Tabla Articulos'!E:E)</f>
        <v/>
      </c>
      <c r="R3034" s="96">
        <f>O3034*Q3034</f>
        <v/>
      </c>
      <c r="S3034" s="97">
        <f>TRIM(E3034)</f>
        <v/>
      </c>
    </row>
    <row r="3035" hidden="1">
      <c r="A3035" s="22" t="n">
        <v>2</v>
      </c>
      <c r="B3035" t="inlineStr">
        <is>
          <t xml:space="preserve">CD CIUDADELA                  </t>
        </is>
      </c>
      <c r="C3035" t="inlineStr">
        <is>
          <t xml:space="preserve">GRUPO L.                      </t>
        </is>
      </c>
      <c r="D3035" t="inlineStr">
        <is>
          <t>ROLLO DE PAPEL PARA DISPENSER</t>
        </is>
      </c>
      <c r="E3035" t="inlineStr">
        <is>
          <t xml:space="preserve">76625238104         </t>
        </is>
      </c>
      <c r="F3035" t="n">
        <v>2011477</v>
      </c>
      <c r="G3035" t="inlineStr">
        <is>
          <t xml:space="preserve">BOBINA INDUST HS  400M X2UN        </t>
        </is>
      </c>
      <c r="H3035" t="inlineStr">
        <is>
          <t xml:space="preserve">UNIDAD              </t>
        </is>
      </c>
      <c r="I3035" t="n">
        <v>353</v>
      </c>
      <c r="J3035" t="n">
        <v>0</v>
      </c>
      <c r="K3035" t="n">
        <v>0</v>
      </c>
      <c r="L3035" t="n">
        <v>42</v>
      </c>
      <c r="M3035" t="n">
        <v>42</v>
      </c>
      <c r="N3035" t="n">
        <v>6</v>
      </c>
      <c r="O3035" t="n">
        <v>263</v>
      </c>
      <c r="P3035" s="96">
        <f>_xlfn.XLOOKUP(Tabla5[[#This Row],[EAN CORREGIDO]],'Tabla Articulos'!B:B,'Tabla Articulos'!D:D)</f>
        <v/>
      </c>
      <c r="Q3035" s="96">
        <f>_xlfn.XLOOKUP(S3035,'Tabla Articulos'!B:B,'Tabla Articulos'!E:E)</f>
        <v/>
      </c>
      <c r="R3035" s="96">
        <f>O3035*Q3035</f>
        <v/>
      </c>
      <c r="S3035" s="97">
        <f>TRIM(E3035)</f>
        <v/>
      </c>
    </row>
    <row r="3036" hidden="1">
      <c r="A3036" s="22" t="n">
        <v>2</v>
      </c>
      <c r="B3036" t="inlineStr">
        <is>
          <t xml:space="preserve">CD CIUDADELA                  </t>
        </is>
      </c>
      <c r="C3036" t="inlineStr">
        <is>
          <t xml:space="preserve">GRUPO L.                      </t>
        </is>
      </c>
      <c r="D3036" t="inlineStr">
        <is>
          <t>ALBAHACA SECA</t>
        </is>
      </c>
      <c r="E3036" t="inlineStr">
        <is>
          <t xml:space="preserve">7793875321549       </t>
        </is>
      </c>
      <c r="F3036" t="n">
        <v>4020244</v>
      </c>
      <c r="G3036" t="inlineStr">
        <is>
          <t xml:space="preserve">ALBAHACA X 500G AROMAS Y SABORES   </t>
        </is>
      </c>
      <c r="H3036" t="inlineStr">
        <is>
          <t xml:space="preserve">UNIDAD              </t>
        </is>
      </c>
      <c r="I3036" t="n">
        <v>70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70</v>
      </c>
      <c r="P3036" s="96">
        <f>_xlfn.XLOOKUP(Tabla5[[#This Row],[EAN CORREGIDO]],'Tabla Articulos'!B:B,'Tabla Articulos'!D:D)</f>
        <v/>
      </c>
      <c r="Q3036" s="96">
        <f>_xlfn.XLOOKUP(S3036,'Tabla Articulos'!B:B,'Tabla Articulos'!E:E)</f>
        <v/>
      </c>
      <c r="R3036" s="96">
        <f>O3036*Q3036</f>
        <v/>
      </c>
      <c r="S3036" s="97">
        <f>TRIM(E3036)</f>
        <v/>
      </c>
    </row>
    <row r="3037" hidden="1">
      <c r="A3037" s="22" t="n">
        <v>2</v>
      </c>
      <c r="B3037" t="inlineStr">
        <is>
          <t xml:space="preserve">CD CIUDADELA                  </t>
        </is>
      </c>
      <c r="C3037" t="inlineStr">
        <is>
          <t xml:space="preserve">GRUPO L.                      </t>
        </is>
      </c>
      <c r="D3037" t="inlineStr">
        <is>
          <t>TE SAQUITO LIMON</t>
        </is>
      </c>
      <c r="E3037" t="inlineStr">
        <is>
          <t xml:space="preserve">7790480089673       </t>
        </is>
      </c>
      <c r="F3037" t="n">
        <v>4023305</v>
      </c>
      <c r="G3037" t="inlineStr">
        <is>
          <t xml:space="preserve">TE LIMON  X 20U GREEN HILLS        </t>
        </is>
      </c>
      <c r="H3037" t="inlineStr">
        <is>
          <t xml:space="preserve">UNIDAD              </t>
        </is>
      </c>
      <c r="I3037" t="n">
        <v>4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4</v>
      </c>
      <c r="P3037" s="96">
        <f>_xlfn.XLOOKUP(Tabla5[[#This Row],[EAN CORREGIDO]],'Tabla Articulos'!B:B,'Tabla Articulos'!D:D)</f>
        <v/>
      </c>
      <c r="Q3037" s="96">
        <f>_xlfn.XLOOKUP(S3037,'Tabla Articulos'!B:B,'Tabla Articulos'!E:E)</f>
        <v/>
      </c>
      <c r="R3037" s="96">
        <f>O3037*Q3037</f>
        <v/>
      </c>
      <c r="S3037" s="97">
        <f>TRIM(E3037)</f>
        <v/>
      </c>
    </row>
    <row r="3038" hidden="1">
      <c r="A3038" s="22" t="n">
        <v>2</v>
      </c>
      <c r="B3038" t="inlineStr">
        <is>
          <t xml:space="preserve">CD CIUDADELA                  </t>
        </is>
      </c>
      <c r="C3038" t="inlineStr">
        <is>
          <t xml:space="preserve">GRUPO L.                      </t>
        </is>
      </c>
      <c r="D3038" t="inlineStr">
        <is>
          <t>SUPREMA REFRIGERADA</t>
        </is>
      </c>
      <c r="E3038" t="inlineStr">
        <is>
          <t xml:space="preserve">7798172641284       </t>
        </is>
      </c>
      <c r="F3038" t="n">
        <v>4017458</v>
      </c>
      <c r="G3038" t="inlineStr">
        <is>
          <t xml:space="preserve">SUPREMA REFRI X5KG SOYCH           </t>
        </is>
      </c>
      <c r="H3038" t="inlineStr">
        <is>
          <t xml:space="preserve">UNIDAD              </t>
        </is>
      </c>
      <c r="I3038" t="n">
        <v>1015</v>
      </c>
      <c r="J3038" t="n">
        <v>0</v>
      </c>
      <c r="K3038" t="n">
        <v>0</v>
      </c>
      <c r="L3038" t="n">
        <v>301</v>
      </c>
      <c r="M3038" t="n">
        <v>301</v>
      </c>
      <c r="N3038" t="n">
        <v>0</v>
      </c>
      <c r="O3038" t="n">
        <v>413</v>
      </c>
      <c r="P3038" s="96">
        <f>_xlfn.XLOOKUP(Tabla5[[#This Row],[EAN CORREGIDO]],'Tabla Articulos'!B:B,'Tabla Articulos'!D:D)</f>
        <v/>
      </c>
      <c r="Q3038" s="96">
        <f>_xlfn.XLOOKUP(S3038,'Tabla Articulos'!B:B,'Tabla Articulos'!E:E)</f>
        <v/>
      </c>
      <c r="R3038" s="96">
        <f>O3038*Q3038</f>
        <v/>
      </c>
      <c r="S3038" s="97">
        <f>TRIM(E3038)</f>
        <v/>
      </c>
    </row>
    <row r="3039" hidden="1">
      <c r="A3039" s="22" t="n">
        <v>2</v>
      </c>
      <c r="B3039" t="inlineStr">
        <is>
          <t xml:space="preserve">CD CIUDADELA                  </t>
        </is>
      </c>
      <c r="C3039" t="inlineStr">
        <is>
          <t xml:space="preserve">GRUPO L.                      </t>
        </is>
      </c>
      <c r="D3039" t="inlineStr">
        <is>
          <t>AGUA MIN S/GAS INDIV</t>
        </is>
      </c>
      <c r="E3039" t="inlineStr">
        <is>
          <t xml:space="preserve">7790895645778       </t>
        </is>
      </c>
      <c r="F3039" t="n">
        <v>4017202</v>
      </c>
      <c r="G3039" t="inlineStr">
        <is>
          <t xml:space="preserve">AGUA MIN S/GAS X591CC SMARTWAT     </t>
        </is>
      </c>
      <c r="H3039" t="inlineStr">
        <is>
          <t xml:space="preserve">UNIDAD              </t>
        </is>
      </c>
      <c r="I3039" t="n">
        <v>2134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2134</v>
      </c>
      <c r="P3039" s="96">
        <f>_xlfn.XLOOKUP(Tabla5[[#This Row],[EAN CORREGIDO]],'Tabla Articulos'!B:B,'Tabla Articulos'!D:D)</f>
        <v/>
      </c>
      <c r="Q3039" s="96">
        <f>_xlfn.XLOOKUP(S3039,'Tabla Articulos'!B:B,'Tabla Articulos'!E:E)</f>
        <v/>
      </c>
      <c r="R3039" s="96">
        <f>O3039*Q3039</f>
        <v/>
      </c>
      <c r="S3039" s="97">
        <f>TRIM(E3039)</f>
        <v/>
      </c>
    </row>
    <row r="3040" hidden="1">
      <c r="A3040" s="22" t="n">
        <v>2</v>
      </c>
      <c r="B3040" t="inlineStr">
        <is>
          <t xml:space="preserve">CD CIUDADELA                  </t>
        </is>
      </c>
      <c r="C3040" t="inlineStr">
        <is>
          <t xml:space="preserve">GRUPO L.                      </t>
        </is>
      </c>
      <c r="D3040" t="inlineStr">
        <is>
          <t>SERVILLETA NUTRIRE</t>
        </is>
      </c>
      <c r="E3040" t="inlineStr">
        <is>
          <t xml:space="preserve">7790000000709       </t>
        </is>
      </c>
      <c r="F3040" t="n">
        <v>2016500</v>
      </c>
      <c r="G3040" t="inlineStr">
        <is>
          <t xml:space="preserve">SERVILLETA 33X21.5 NUTRIRE X1000UN </t>
        </is>
      </c>
      <c r="H3040" t="inlineStr">
        <is>
          <t xml:space="preserve">UNIDAD              </t>
        </is>
      </c>
      <c r="I3040" t="n">
        <v>44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44</v>
      </c>
      <c r="P3040" s="96">
        <f>_xlfn.XLOOKUP(Tabla5[[#This Row],[EAN CORREGIDO]],'Tabla Articulos'!B:B,'Tabla Articulos'!D:D)</f>
        <v/>
      </c>
      <c r="Q3040" s="96">
        <f>_xlfn.XLOOKUP(S3040,'Tabla Articulos'!B:B,'Tabla Articulos'!E:E)</f>
        <v/>
      </c>
      <c r="R3040" s="96">
        <f>O3040*Q3040</f>
        <v/>
      </c>
      <c r="S3040" s="97">
        <f>TRIM(E3040)</f>
        <v/>
      </c>
    </row>
    <row r="3041" hidden="1">
      <c r="A3041" s="22" t="n">
        <v>2</v>
      </c>
      <c r="B3041" t="inlineStr">
        <is>
          <t xml:space="preserve">CD CIUDADELA                  </t>
        </is>
      </c>
      <c r="C3041" t="inlineStr">
        <is>
          <t xml:space="preserve">GRUPO L.                      </t>
        </is>
      </c>
      <c r="D3041" t="inlineStr">
        <is>
          <t>DULCE DE LECHE REPOST</t>
        </is>
      </c>
      <c r="E3041" t="inlineStr">
        <is>
          <t xml:space="preserve">7790398000326       </t>
        </is>
      </c>
      <c r="F3041" t="n">
        <v>4019727</v>
      </c>
      <c r="G3041" t="inlineStr">
        <is>
          <t>DULCE LECHE REPOSTERO X 1 KG PAULIN</t>
        </is>
      </c>
      <c r="H3041" t="inlineStr">
        <is>
          <t xml:space="preserve">UNIDAD              </t>
        </is>
      </c>
      <c r="I3041" t="n">
        <v>620</v>
      </c>
      <c r="J3041" t="n">
        <v>0</v>
      </c>
      <c r="K3041" t="n">
        <v>0</v>
      </c>
      <c r="L3041" t="n">
        <v>28</v>
      </c>
      <c r="M3041" t="n">
        <v>28</v>
      </c>
      <c r="N3041" t="n">
        <v>0</v>
      </c>
      <c r="O3041" t="n">
        <v>564</v>
      </c>
      <c r="P3041" s="96">
        <f>_xlfn.XLOOKUP(Tabla5[[#This Row],[EAN CORREGIDO]],'Tabla Articulos'!B:B,'Tabla Articulos'!D:D)</f>
        <v/>
      </c>
      <c r="Q3041" s="96">
        <f>_xlfn.XLOOKUP(S3041,'Tabla Articulos'!B:B,'Tabla Articulos'!E:E)</f>
        <v/>
      </c>
      <c r="R3041" s="96">
        <f>O3041*Q3041</f>
        <v/>
      </c>
      <c r="S3041" s="97">
        <f>TRIM(E3041)</f>
        <v/>
      </c>
    </row>
    <row r="3042" hidden="1">
      <c r="A3042" s="22" t="n">
        <v>2</v>
      </c>
      <c r="B3042" t="inlineStr">
        <is>
          <t xml:space="preserve">CD CIUDADELA                  </t>
        </is>
      </c>
      <c r="C3042" t="inlineStr">
        <is>
          <t xml:space="preserve">GRUPO L.                      </t>
        </is>
      </c>
      <c r="D3042" t="inlineStr">
        <is>
          <t>AZUCAR INDIV CHEF GOURMET</t>
        </is>
      </c>
      <c r="E3042" t="inlineStr">
        <is>
          <t xml:space="preserve">7798011977376       </t>
        </is>
      </c>
      <c r="F3042" t="n">
        <v>4022175</v>
      </c>
      <c r="G3042" t="inlineStr">
        <is>
          <t>AZUCAR SOB  6.25G CHEF GOURMET 800U</t>
        </is>
      </c>
      <c r="H3042" t="inlineStr">
        <is>
          <t xml:space="preserve">UNIDAD              </t>
        </is>
      </c>
      <c r="I3042" t="n">
        <v>195</v>
      </c>
      <c r="J3042" t="n">
        <v>0</v>
      </c>
      <c r="K3042" t="n">
        <v>0</v>
      </c>
      <c r="L3042" t="n">
        <v>12</v>
      </c>
      <c r="M3042" t="n">
        <v>12</v>
      </c>
      <c r="N3042" t="n">
        <v>0</v>
      </c>
      <c r="O3042" t="n">
        <v>171</v>
      </c>
      <c r="P3042" s="96">
        <f>_xlfn.XLOOKUP(Tabla5[[#This Row],[EAN CORREGIDO]],'Tabla Articulos'!B:B,'Tabla Articulos'!D:D)</f>
        <v/>
      </c>
      <c r="Q3042" s="96">
        <f>_xlfn.XLOOKUP(S3042,'Tabla Articulos'!B:B,'Tabla Articulos'!E:E)</f>
        <v/>
      </c>
      <c r="R3042" s="96">
        <f>O3042*Q3042</f>
        <v/>
      </c>
      <c r="S3042" s="97">
        <f>TRIM(E3042)</f>
        <v/>
      </c>
    </row>
    <row r="3043" hidden="1">
      <c r="A3043" s="22" t="n">
        <v>2</v>
      </c>
      <c r="B3043" t="inlineStr">
        <is>
          <t xml:space="preserve">CD CIUDADELA                  </t>
        </is>
      </c>
      <c r="C3043" t="inlineStr">
        <is>
          <t xml:space="preserve">GRUPO L.                      </t>
        </is>
      </c>
      <c r="D3043" t="inlineStr">
        <is>
          <t>SAL FINA IND BLUE CATERING</t>
        </is>
      </c>
      <c r="E3043" t="inlineStr">
        <is>
          <t xml:space="preserve">7798011977741       </t>
        </is>
      </c>
      <c r="F3043" t="n">
        <v>4076541</v>
      </c>
      <c r="G3043" t="inlineStr">
        <is>
          <t xml:space="preserve">SAL IND SOBRE X1000U BLUE CATERING </t>
        </is>
      </c>
      <c r="H3043" t="inlineStr">
        <is>
          <t xml:space="preserve">UNIDAD              </t>
        </is>
      </c>
      <c r="I3043" t="n">
        <v>100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100</v>
      </c>
      <c r="P3043" s="96">
        <f>_xlfn.XLOOKUP(Tabla5[[#This Row],[EAN CORREGIDO]],'Tabla Articulos'!B:B,'Tabla Articulos'!D:D)</f>
        <v/>
      </c>
      <c r="Q3043" s="96">
        <f>_xlfn.XLOOKUP(S3043,'Tabla Articulos'!B:B,'Tabla Articulos'!E:E)</f>
        <v/>
      </c>
      <c r="R3043" s="96">
        <f>O3043*Q3043</f>
        <v/>
      </c>
      <c r="S3043" s="97">
        <f>TRIM(E3043)</f>
        <v/>
      </c>
    </row>
    <row r="3044" hidden="1">
      <c r="A3044" s="22" t="n">
        <v>2</v>
      </c>
      <c r="B3044" t="inlineStr">
        <is>
          <t xml:space="preserve">CD CIUDADELA                  </t>
        </is>
      </c>
      <c r="C3044" t="inlineStr">
        <is>
          <t xml:space="preserve">GRUPO L.                      </t>
        </is>
      </c>
      <c r="D3044" t="inlineStr">
        <is>
          <t>ACETO</t>
        </is>
      </c>
      <c r="E3044" t="inlineStr">
        <is>
          <t xml:space="preserve">7790566000271       </t>
        </is>
      </c>
      <c r="F3044" t="n">
        <v>4019770</v>
      </c>
      <c r="G3044" t="inlineStr">
        <is>
          <t xml:space="preserve">ACETO BALSAMICO X5LT HEIMEN        </t>
        </is>
      </c>
      <c r="H3044" t="inlineStr">
        <is>
          <t xml:space="preserve">UNIDAD              </t>
        </is>
      </c>
      <c r="I3044" t="n">
        <v>268</v>
      </c>
      <c r="J3044" t="n">
        <v>0</v>
      </c>
      <c r="K3044" t="n">
        <v>0</v>
      </c>
      <c r="L3044" t="n">
        <v>1</v>
      </c>
      <c r="M3044" t="n">
        <v>1</v>
      </c>
      <c r="N3044" t="n">
        <v>0</v>
      </c>
      <c r="O3044" t="n">
        <v>266</v>
      </c>
      <c r="P3044" s="96">
        <f>_xlfn.XLOOKUP(Tabla5[[#This Row],[EAN CORREGIDO]],'Tabla Articulos'!B:B,'Tabla Articulos'!D:D)</f>
        <v/>
      </c>
      <c r="Q3044" s="96">
        <f>_xlfn.XLOOKUP(S3044,'Tabla Articulos'!B:B,'Tabla Articulos'!E:E)</f>
        <v/>
      </c>
      <c r="R3044" s="96">
        <f>O3044*Q3044</f>
        <v/>
      </c>
      <c r="S3044" s="97">
        <f>TRIM(E3044)</f>
        <v/>
      </c>
    </row>
    <row r="3045" hidden="1">
      <c r="A3045" s="22" t="n">
        <v>2</v>
      </c>
      <c r="B3045" t="inlineStr">
        <is>
          <t xml:space="preserve">CD CIUDADELA                  </t>
        </is>
      </c>
      <c r="C3045" t="inlineStr">
        <is>
          <t xml:space="preserve">GRUPO L.                      </t>
        </is>
      </c>
      <c r="D3045" t="inlineStr">
        <is>
          <t>JUGO LIMON</t>
        </is>
      </c>
      <c r="E3045" t="inlineStr">
        <is>
          <t xml:space="preserve">7792378002238       </t>
        </is>
      </c>
      <c r="F3045" t="n">
        <v>4023824</v>
      </c>
      <c r="G3045" t="inlineStr">
        <is>
          <t xml:space="preserve">JUGO LIMON PET X1LT COMENSAL       </t>
        </is>
      </c>
      <c r="H3045" t="inlineStr">
        <is>
          <t xml:space="preserve">UNIDAD              </t>
        </is>
      </c>
      <c r="I3045" t="n">
        <v>930</v>
      </c>
      <c r="J3045" t="n">
        <v>0</v>
      </c>
      <c r="K3045" t="n">
        <v>0</v>
      </c>
      <c r="L3045" t="n">
        <v>302</v>
      </c>
      <c r="M3045" t="n">
        <v>302</v>
      </c>
      <c r="N3045" t="n">
        <v>0</v>
      </c>
      <c r="O3045" t="n">
        <v>326</v>
      </c>
      <c r="P3045" s="96">
        <f>_xlfn.XLOOKUP(Tabla5[[#This Row],[EAN CORREGIDO]],'Tabla Articulos'!B:B,'Tabla Articulos'!D:D)</f>
        <v/>
      </c>
      <c r="Q3045" s="96">
        <f>_xlfn.XLOOKUP(S3045,'Tabla Articulos'!B:B,'Tabla Articulos'!E:E)</f>
        <v/>
      </c>
      <c r="R3045" s="96">
        <f>O3045*Q3045</f>
        <v/>
      </c>
      <c r="S3045" s="97">
        <f>TRIM(E3045)</f>
        <v/>
      </c>
    </row>
    <row r="3046" hidden="1">
      <c r="A3046" s="22" t="n">
        <v>2</v>
      </c>
      <c r="B3046" t="inlineStr">
        <is>
          <t xml:space="preserve">CD CIUDADELA                  </t>
        </is>
      </c>
      <c r="C3046" t="inlineStr">
        <is>
          <t xml:space="preserve">GRUPO L.                      </t>
        </is>
      </c>
      <c r="D3046" t="inlineStr">
        <is>
          <t>SAL GRUESA</t>
        </is>
      </c>
      <c r="E3046" t="inlineStr">
        <is>
          <t xml:space="preserve">7790641000028       </t>
        </is>
      </c>
      <c r="F3046" t="n">
        <v>4019650</v>
      </c>
      <c r="G3046" t="inlineStr">
        <is>
          <t xml:space="preserve">SAL GRUESA X 1 KG COLOSAL          </t>
        </is>
      </c>
      <c r="H3046" t="inlineStr">
        <is>
          <t xml:space="preserve">UNIDAD              </t>
        </is>
      </c>
      <c r="I3046" t="n">
        <v>250</v>
      </c>
      <c r="J3046" t="n">
        <v>0</v>
      </c>
      <c r="K3046" t="n">
        <v>0</v>
      </c>
      <c r="L3046" t="n">
        <v>13</v>
      </c>
      <c r="M3046" t="n">
        <v>13</v>
      </c>
      <c r="N3046" t="n">
        <v>0</v>
      </c>
      <c r="O3046" t="n">
        <v>224</v>
      </c>
      <c r="P3046" s="96">
        <f>_xlfn.XLOOKUP(Tabla5[[#This Row],[EAN CORREGIDO]],'Tabla Articulos'!B:B,'Tabla Articulos'!D:D)</f>
        <v/>
      </c>
      <c r="Q3046" s="96">
        <f>_xlfn.XLOOKUP(S3046,'Tabla Articulos'!B:B,'Tabla Articulos'!E:E)</f>
        <v/>
      </c>
      <c r="R3046" s="96">
        <f>O3046*Q3046</f>
        <v/>
      </c>
      <c r="S3046" s="97">
        <f>TRIM(E3046)</f>
        <v/>
      </c>
    </row>
    <row r="3047" hidden="1">
      <c r="A3047" s="22" t="n">
        <v>2</v>
      </c>
      <c r="B3047" t="inlineStr">
        <is>
          <t xml:space="preserve">CD CIUDADELA                  </t>
        </is>
      </c>
      <c r="C3047" t="inlineStr">
        <is>
          <t xml:space="preserve">GRUPO L.                      </t>
        </is>
      </c>
      <c r="D3047" t="inlineStr">
        <is>
          <t>BOLSA RESIDUOS CRISTAL</t>
        </is>
      </c>
      <c r="E3047" t="inlineStr">
        <is>
          <t xml:space="preserve">7905512648255       </t>
        </is>
      </c>
      <c r="F3047" t="n">
        <v>2006142</v>
      </c>
      <c r="G3047" t="inlineStr">
        <is>
          <t xml:space="preserve">BOLSA CRISTAL PERFORADA 100X60XU   </t>
        </is>
      </c>
      <c r="H3047" t="inlineStr">
        <is>
          <t xml:space="preserve">UNIDAD              </t>
        </is>
      </c>
      <c r="I3047" t="n">
        <v>18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18</v>
      </c>
      <c r="P3047" s="96">
        <f>_xlfn.XLOOKUP(Tabla5[[#This Row],[EAN CORREGIDO]],'Tabla Articulos'!B:B,'Tabla Articulos'!D:D)</f>
        <v/>
      </c>
      <c r="Q3047" s="96">
        <f>_xlfn.XLOOKUP(S3047,'Tabla Articulos'!B:B,'Tabla Articulos'!E:E)</f>
        <v/>
      </c>
      <c r="R3047" s="96">
        <f>O3047*Q3047</f>
        <v/>
      </c>
      <c r="S3047" s="97">
        <f>TRIM(E3047)</f>
        <v/>
      </c>
    </row>
    <row r="3048" hidden="1">
      <c r="A3048" s="22" t="n">
        <v>2</v>
      </c>
      <c r="B3048" t="inlineStr">
        <is>
          <t xml:space="preserve">CD CIUDADELA                  </t>
        </is>
      </c>
      <c r="C3048" t="inlineStr">
        <is>
          <t xml:space="preserve">GRUPO L.                      </t>
        </is>
      </c>
      <c r="D3048" t="inlineStr">
        <is>
          <t>ANTORCHITA</t>
        </is>
      </c>
      <c r="E3048" t="inlineStr">
        <is>
          <t xml:space="preserve">7797390190505       </t>
        </is>
      </c>
      <c r="F3048" t="n">
        <v>2006441</v>
      </c>
      <c r="G3048" t="inlineStr">
        <is>
          <t xml:space="preserve">ANTORCHITAS X24U                   </t>
        </is>
      </c>
      <c r="H3048" t="inlineStr">
        <is>
          <t xml:space="preserve">UNIDAD              </t>
        </is>
      </c>
      <c r="I3048" t="n">
        <v>59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59</v>
      </c>
      <c r="P3048" s="96">
        <f>_xlfn.XLOOKUP(Tabla5[[#This Row],[EAN CORREGIDO]],'Tabla Articulos'!B:B,'Tabla Articulos'!D:D)</f>
        <v/>
      </c>
      <c r="Q3048" s="96">
        <f>_xlfn.XLOOKUP(S3048,'Tabla Articulos'!B:B,'Tabla Articulos'!E:E)</f>
        <v/>
      </c>
      <c r="R3048" s="96">
        <f>O3048*Q3048</f>
        <v/>
      </c>
      <c r="S3048" s="97">
        <f>TRIM(E3048)</f>
        <v/>
      </c>
    </row>
    <row r="3049" hidden="1">
      <c r="A3049" s="22" t="n">
        <v>2</v>
      </c>
      <c r="B3049" t="inlineStr">
        <is>
          <t xml:space="preserve">CD CIUDADELA                  </t>
        </is>
      </c>
      <c r="C3049" t="inlineStr">
        <is>
          <t xml:space="preserve">GRUPO L.                      </t>
        </is>
      </c>
      <c r="D3049" t="inlineStr">
        <is>
          <t>FIAMBRE PATA DE CERDO</t>
        </is>
      </c>
      <c r="E3049" t="inlineStr">
        <is>
          <t xml:space="preserve">7790000000895       </t>
        </is>
      </c>
      <c r="F3049" t="n">
        <v>4077478</v>
      </c>
      <c r="G3049" t="inlineStr">
        <is>
          <t xml:space="preserve">FIAMBRE PATA DE CERDO XKG 214      </t>
        </is>
      </c>
      <c r="H3049" t="inlineStr">
        <is>
          <t xml:space="preserve">Kgs                 </t>
        </is>
      </c>
      <c r="I3049" t="n">
        <v>28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28</v>
      </c>
      <c r="P3049" s="96">
        <f>_xlfn.XLOOKUP(Tabla5[[#This Row],[EAN CORREGIDO]],'Tabla Articulos'!B:B,'Tabla Articulos'!D:D)</f>
        <v/>
      </c>
      <c r="Q3049" s="96">
        <f>_xlfn.XLOOKUP(S3049,'Tabla Articulos'!B:B,'Tabla Articulos'!E:E)</f>
        <v/>
      </c>
      <c r="R3049" s="96">
        <f>O3049*Q3049</f>
        <v/>
      </c>
      <c r="S3049" s="97">
        <f>TRIM(E3049)</f>
        <v/>
      </c>
    </row>
    <row r="3050" hidden="1">
      <c r="A3050" s="22" t="n">
        <v>2</v>
      </c>
      <c r="B3050" t="inlineStr">
        <is>
          <t xml:space="preserve">CD CIUDADELA                  </t>
        </is>
      </c>
      <c r="C3050" t="inlineStr">
        <is>
          <t xml:space="preserve">GRUPO L.                      </t>
        </is>
      </c>
      <c r="D3050" t="inlineStr">
        <is>
          <t>QUESO RALLADO IND</t>
        </is>
      </c>
      <c r="E3050" t="inlineStr">
        <is>
          <t xml:space="preserve">7790787251872       </t>
        </is>
      </c>
      <c r="F3050" t="n">
        <v>4018109</v>
      </c>
      <c r="G3050" t="inlineStr">
        <is>
          <t xml:space="preserve">QUESO RALLADO IND X100U ILOLAY     </t>
        </is>
      </c>
      <c r="H3050" t="inlineStr">
        <is>
          <t xml:space="preserve">UNIDAD              </t>
        </is>
      </c>
      <c r="I3050" t="n">
        <v>345</v>
      </c>
      <c r="J3050" t="n">
        <v>0</v>
      </c>
      <c r="K3050" t="n">
        <v>0</v>
      </c>
      <c r="L3050" t="n">
        <v>6</v>
      </c>
      <c r="M3050" t="n">
        <v>6</v>
      </c>
      <c r="N3050" t="n">
        <v>0</v>
      </c>
      <c r="O3050" t="n">
        <v>333</v>
      </c>
      <c r="P3050" s="96">
        <f>_xlfn.XLOOKUP(Tabla5[[#This Row],[EAN CORREGIDO]],'Tabla Articulos'!B:B,'Tabla Articulos'!D:D)</f>
        <v/>
      </c>
      <c r="Q3050" s="96">
        <f>_xlfn.XLOOKUP(S3050,'Tabla Articulos'!B:B,'Tabla Articulos'!E:E)</f>
        <v/>
      </c>
      <c r="R3050" s="96">
        <f>O3050*Q3050</f>
        <v/>
      </c>
      <c r="S3050" s="97">
        <f>TRIM(E3050)</f>
        <v/>
      </c>
    </row>
    <row r="3051" hidden="1">
      <c r="A3051" s="22" t="n">
        <v>2</v>
      </c>
      <c r="B3051" t="inlineStr">
        <is>
          <t xml:space="preserve">CD CIUDADELA                  </t>
        </is>
      </c>
      <c r="C3051" t="inlineStr">
        <is>
          <t xml:space="preserve">GRUPO L.                      </t>
        </is>
      </c>
      <c r="D3051" t="inlineStr">
        <is>
          <t>BROCOLI CONGELADO</t>
        </is>
      </c>
      <c r="E3051" t="inlineStr">
        <is>
          <t xml:space="preserve">7798184272681       </t>
        </is>
      </c>
      <c r="F3051" t="n">
        <v>4076548</v>
      </c>
      <c r="G3051" t="inlineStr">
        <is>
          <t xml:space="preserve">BROCOLI CONG BIOMAC 500G X UN      </t>
        </is>
      </c>
      <c r="H3051" t="inlineStr">
        <is>
          <t xml:space="preserve">UNIDAD              </t>
        </is>
      </c>
      <c r="I3051" t="n">
        <v>80</v>
      </c>
      <c r="J3051" t="n">
        <v>0</v>
      </c>
      <c r="K3051" t="n">
        <v>0</v>
      </c>
      <c r="L3051" t="n">
        <v>24</v>
      </c>
      <c r="M3051" t="n">
        <v>24</v>
      </c>
      <c r="N3051" t="n">
        <v>0</v>
      </c>
      <c r="O3051" t="n">
        <v>32</v>
      </c>
      <c r="P3051" s="96">
        <f>_xlfn.XLOOKUP(Tabla5[[#This Row],[EAN CORREGIDO]],'Tabla Articulos'!B:B,'Tabla Articulos'!D:D)</f>
        <v/>
      </c>
      <c r="Q3051" s="96">
        <f>_xlfn.XLOOKUP(S3051,'Tabla Articulos'!B:B,'Tabla Articulos'!E:E)</f>
        <v/>
      </c>
      <c r="R3051" s="96">
        <f>O3051*Q3051</f>
        <v/>
      </c>
      <c r="S3051" s="97">
        <f>TRIM(E3051)</f>
        <v/>
      </c>
    </row>
    <row r="3052" hidden="1">
      <c r="A3052" s="22" t="n">
        <v>2</v>
      </c>
      <c r="B3052" t="inlineStr">
        <is>
          <t xml:space="preserve">CD CIUDADELA                  </t>
        </is>
      </c>
      <c r="C3052" t="inlineStr">
        <is>
          <t xml:space="preserve">GRUPO L.                      </t>
        </is>
      </c>
      <c r="D3052" t="inlineStr">
        <is>
          <t>HARINA LEUDANTE</t>
        </is>
      </c>
      <c r="E3052" t="inlineStr">
        <is>
          <t xml:space="preserve">7792590001064       </t>
        </is>
      </c>
      <c r="F3052" t="n">
        <v>4020088</v>
      </c>
      <c r="G3052" t="inlineStr">
        <is>
          <t xml:space="preserve">HARINA LEUDANTE X 1 KG CASERITA    </t>
        </is>
      </c>
      <c r="H3052" t="inlineStr">
        <is>
          <t xml:space="preserve">UNIDAD              </t>
        </is>
      </c>
      <c r="I3052" t="n">
        <v>2198</v>
      </c>
      <c r="J3052" t="n">
        <v>0</v>
      </c>
      <c r="K3052" t="n">
        <v>0</v>
      </c>
      <c r="L3052" t="n">
        <v>105</v>
      </c>
      <c r="M3052" t="n">
        <v>105</v>
      </c>
      <c r="N3052" t="n">
        <v>0</v>
      </c>
      <c r="O3052" t="n">
        <v>1988</v>
      </c>
      <c r="P3052" s="96">
        <f>_xlfn.XLOOKUP(Tabla5[[#This Row],[EAN CORREGIDO]],'Tabla Articulos'!B:B,'Tabla Articulos'!D:D)</f>
        <v/>
      </c>
      <c r="Q3052" s="96">
        <f>_xlfn.XLOOKUP(S3052,'Tabla Articulos'!B:B,'Tabla Articulos'!E:E)</f>
        <v/>
      </c>
      <c r="R3052" s="96">
        <f>O3052*Q3052</f>
        <v/>
      </c>
      <c r="S3052" s="97">
        <f>TRIM(E3052)</f>
        <v/>
      </c>
    </row>
    <row r="3053" hidden="1">
      <c r="A3053" s="22" t="n">
        <v>2</v>
      </c>
      <c r="B3053" t="inlineStr">
        <is>
          <t xml:space="preserve">CD CIUDADELA                  </t>
        </is>
      </c>
      <c r="C3053" t="inlineStr">
        <is>
          <t xml:space="preserve">GRUPO L.                      </t>
        </is>
      </c>
      <c r="D3053" t="inlineStr">
        <is>
          <t>ACEITUNA NEGRA S/C</t>
        </is>
      </c>
      <c r="E3053" t="inlineStr">
        <is>
          <t xml:space="preserve">7793275000341       </t>
        </is>
      </c>
      <c r="F3053" t="n">
        <v>4022445</v>
      </c>
      <c r="G3053" t="inlineStr">
        <is>
          <t xml:space="preserve">ACEITUNAS NEGR DESCA 3KG REYGAL    </t>
        </is>
      </c>
      <c r="H3053" t="inlineStr">
        <is>
          <t xml:space="preserve">UNIDAD              </t>
        </is>
      </c>
      <c r="I3053" t="n">
        <v>129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129</v>
      </c>
      <c r="P3053" s="96">
        <f>_xlfn.XLOOKUP(Tabla5[[#This Row],[EAN CORREGIDO]],'Tabla Articulos'!B:B,'Tabla Articulos'!D:D)</f>
        <v/>
      </c>
      <c r="Q3053" s="96">
        <f>_xlfn.XLOOKUP(S3053,'Tabla Articulos'!B:B,'Tabla Articulos'!E:E)</f>
        <v/>
      </c>
      <c r="R3053" s="96">
        <f>O3053*Q3053</f>
        <v/>
      </c>
      <c r="S3053" s="97">
        <f>TRIM(E3053)</f>
        <v/>
      </c>
    </row>
    <row r="3054" hidden="1">
      <c r="A3054" s="22" t="n">
        <v>2</v>
      </c>
      <c r="B3054" t="inlineStr">
        <is>
          <t xml:space="preserve">CD CIUDADELA                  </t>
        </is>
      </c>
      <c r="C3054" t="inlineStr">
        <is>
          <t xml:space="preserve">GRUPO L.                      </t>
        </is>
      </c>
      <c r="D3054" t="inlineStr">
        <is>
          <t>PREMEZCLA P/BROWNIE</t>
        </is>
      </c>
      <c r="E3054" t="inlineStr">
        <is>
          <t xml:space="preserve">7794000003910       </t>
        </is>
      </c>
      <c r="F3054" t="n">
        <v>4022433</v>
      </c>
      <c r="G3054" t="inlineStr">
        <is>
          <t xml:space="preserve">POLVO P/BROWNIE CARTEDOR 1KG       </t>
        </is>
      </c>
      <c r="H3054" t="inlineStr">
        <is>
          <t xml:space="preserve">UNIDAD              </t>
        </is>
      </c>
      <c r="I3054" t="n">
        <v>95</v>
      </c>
      <c r="J3054" t="n">
        <v>0</v>
      </c>
      <c r="K3054" t="n">
        <v>0</v>
      </c>
      <c r="L3054" t="n">
        <v>3</v>
      </c>
      <c r="M3054" t="n">
        <v>3</v>
      </c>
      <c r="N3054" t="n">
        <v>0</v>
      </c>
      <c r="O3054" t="n">
        <v>89</v>
      </c>
      <c r="P3054" s="96">
        <f>_xlfn.XLOOKUP(Tabla5[[#This Row],[EAN CORREGIDO]],'Tabla Articulos'!B:B,'Tabla Articulos'!D:D)</f>
        <v/>
      </c>
      <c r="Q3054" s="96">
        <f>_xlfn.XLOOKUP(S3054,'Tabla Articulos'!B:B,'Tabla Articulos'!E:E)</f>
        <v/>
      </c>
      <c r="R3054" s="96">
        <f>O3054*Q3054</f>
        <v/>
      </c>
      <c r="S3054" s="97">
        <f>TRIM(E3054)</f>
        <v/>
      </c>
    </row>
    <row r="3055" hidden="1">
      <c r="A3055" s="22" t="n">
        <v>2</v>
      </c>
      <c r="B3055" t="inlineStr">
        <is>
          <t xml:space="preserve">CD CIUDADELA                  </t>
        </is>
      </c>
      <c r="C3055" t="inlineStr">
        <is>
          <t xml:space="preserve">GRUPO L.                      </t>
        </is>
      </c>
      <c r="D3055" t="inlineStr">
        <is>
          <t>GRISIN</t>
        </is>
      </c>
      <c r="E3055" t="inlineStr">
        <is>
          <t xml:space="preserve">7790071011113       </t>
        </is>
      </c>
      <c r="F3055" t="n">
        <v>4019370</v>
      </c>
      <c r="G3055" t="inlineStr">
        <is>
          <t xml:space="preserve">GRISIN C/SAL X15GRS RIERA          </t>
        </is>
      </c>
      <c r="H3055" t="inlineStr">
        <is>
          <t xml:space="preserve">BULTOS              </t>
        </is>
      </c>
      <c r="I3055" t="n">
        <v>886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886</v>
      </c>
      <c r="P3055" s="96">
        <f>_xlfn.XLOOKUP(Tabla5[[#This Row],[EAN CORREGIDO]],'Tabla Articulos'!B:B,'Tabla Articulos'!D:D)</f>
        <v/>
      </c>
      <c r="Q3055" s="96">
        <f>_xlfn.XLOOKUP(S3055,'Tabla Articulos'!B:B,'Tabla Articulos'!E:E)</f>
        <v/>
      </c>
      <c r="R3055" s="96">
        <f>O3055*Q3055</f>
        <v/>
      </c>
      <c r="S3055" s="97">
        <f>TRIM(E3055)</f>
        <v/>
      </c>
    </row>
    <row r="3056" hidden="1">
      <c r="A3056" s="22" t="n">
        <v>2</v>
      </c>
      <c r="B3056" t="inlineStr">
        <is>
          <t xml:space="preserve">CD CIUDADELA                  </t>
        </is>
      </c>
      <c r="C3056" t="inlineStr">
        <is>
          <t xml:space="preserve">GRUPO L.                      </t>
        </is>
      </c>
      <c r="D3056" t="inlineStr">
        <is>
          <t>ALMIDON DE MAIZ</t>
        </is>
      </c>
      <c r="E3056" t="inlineStr">
        <is>
          <t xml:space="preserve">7791476019001       </t>
        </is>
      </c>
      <c r="F3056" t="n">
        <v>4023714</v>
      </c>
      <c r="G3056" t="inlineStr">
        <is>
          <t xml:space="preserve">FECULA DE MAIZ STACC X500GR EGRA   </t>
        </is>
      </c>
      <c r="H3056" t="inlineStr">
        <is>
          <t xml:space="preserve">UNIDAD              </t>
        </is>
      </c>
      <c r="I3056" t="n">
        <v>935</v>
      </c>
      <c r="J3056" t="n">
        <v>0</v>
      </c>
      <c r="K3056" t="n">
        <v>0</v>
      </c>
      <c r="L3056" t="n">
        <v>26</v>
      </c>
      <c r="M3056" t="n">
        <v>26</v>
      </c>
      <c r="N3056" t="n">
        <v>0</v>
      </c>
      <c r="O3056" t="n">
        <v>883</v>
      </c>
      <c r="P3056" s="96">
        <f>_xlfn.XLOOKUP(Tabla5[[#This Row],[EAN CORREGIDO]],'Tabla Articulos'!B:B,'Tabla Articulos'!D:D)</f>
        <v/>
      </c>
      <c r="Q3056" s="96">
        <f>_xlfn.XLOOKUP(S3056,'Tabla Articulos'!B:B,'Tabla Articulos'!E:E)</f>
        <v/>
      </c>
      <c r="R3056" s="96">
        <f>O3056*Q3056</f>
        <v/>
      </c>
      <c r="S3056" s="97">
        <f>TRIM(E3056)</f>
        <v/>
      </c>
    </row>
    <row r="3057" hidden="1">
      <c r="A3057" s="22" t="n">
        <v>2</v>
      </c>
      <c r="B3057" t="inlineStr">
        <is>
          <t xml:space="preserve">CD CIUDADELA                  </t>
        </is>
      </c>
      <c r="C3057" t="inlineStr">
        <is>
          <t xml:space="preserve">GRUPO L.                      </t>
        </is>
      </c>
      <c r="D3057" t="inlineStr">
        <is>
          <t>PASTILLAS PAQUET INDIV</t>
        </is>
      </c>
      <c r="E3057" t="inlineStr">
        <is>
          <t xml:space="preserve">7790580101299       </t>
        </is>
      </c>
      <c r="F3057" t="n">
        <v>4018944</v>
      </c>
      <c r="G3057" t="inlineStr">
        <is>
          <t xml:space="preserve">PASTILLAS CHERRY X12U MENTHOPL     </t>
        </is>
      </c>
      <c r="H3057" t="inlineStr">
        <is>
          <t xml:space="preserve">UNIDAD              </t>
        </is>
      </c>
      <c r="I3057" t="n">
        <v>79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79</v>
      </c>
      <c r="P3057" s="96">
        <f>_xlfn.XLOOKUP(Tabla5[[#This Row],[EAN CORREGIDO]],'Tabla Articulos'!B:B,'Tabla Articulos'!D:D)</f>
        <v/>
      </c>
      <c r="Q3057" s="96">
        <f>_xlfn.XLOOKUP(S3057,'Tabla Articulos'!B:B,'Tabla Articulos'!E:E)</f>
        <v/>
      </c>
      <c r="R3057" s="96">
        <f>O3057*Q3057</f>
        <v/>
      </c>
      <c r="S3057" s="97">
        <f>TRIM(E3057)</f>
        <v/>
      </c>
    </row>
    <row r="3058" hidden="1">
      <c r="A3058" s="22" t="n">
        <v>2</v>
      </c>
      <c r="B3058" t="inlineStr">
        <is>
          <t xml:space="preserve">CD CIUDADELA                  </t>
        </is>
      </c>
      <c r="C3058" t="inlineStr">
        <is>
          <t xml:space="preserve">GRUPO L.                      </t>
        </is>
      </c>
      <c r="D3058" t="inlineStr">
        <is>
          <t>CAPELLETIS</t>
        </is>
      </c>
      <c r="E3058" t="inlineStr">
        <is>
          <t xml:space="preserve">7795711000076       </t>
        </is>
      </c>
      <c r="F3058" t="n">
        <v>4018697</v>
      </c>
      <c r="G3058" t="inlineStr">
        <is>
          <t>CAPELETIS POLLO/ESP X 500G VILLA DA</t>
        </is>
      </c>
      <c r="H3058" t="inlineStr">
        <is>
          <t xml:space="preserve">UNIDAD              </t>
        </is>
      </c>
      <c r="I3058" t="n">
        <v>158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158</v>
      </c>
      <c r="P3058" s="96">
        <f>_xlfn.XLOOKUP(Tabla5[[#This Row],[EAN CORREGIDO]],'Tabla Articulos'!B:B,'Tabla Articulos'!D:D)</f>
        <v/>
      </c>
      <c r="Q3058" s="96">
        <f>_xlfn.XLOOKUP(S3058,'Tabla Articulos'!B:B,'Tabla Articulos'!E:E)</f>
        <v/>
      </c>
      <c r="R3058" s="96">
        <f>O3058*Q3058</f>
        <v/>
      </c>
      <c r="S3058" s="97">
        <f>TRIM(E3058)</f>
        <v/>
      </c>
    </row>
    <row r="3059" hidden="1">
      <c r="A3059" s="22" t="n">
        <v>2</v>
      </c>
      <c r="B3059" t="inlineStr">
        <is>
          <t xml:space="preserve">CD CIUDADELA                  </t>
        </is>
      </c>
      <c r="C3059" t="inlineStr">
        <is>
          <t xml:space="preserve">GRUPO L.                      </t>
        </is>
      </c>
      <c r="D3059" t="inlineStr">
        <is>
          <t>CARNE FETEADA</t>
        </is>
      </c>
      <c r="E3059" t="inlineStr">
        <is>
          <t xml:space="preserve">7790212030032       </t>
        </is>
      </c>
      <c r="F3059" t="n">
        <v>4017776</v>
      </c>
      <c r="G3059" t="inlineStr">
        <is>
          <t xml:space="preserve">BOLA DE LOMO FETEADA X KG.         </t>
        </is>
      </c>
      <c r="H3059" t="inlineStr">
        <is>
          <t xml:space="preserve">Kgs                 </t>
        </is>
      </c>
      <c r="I3059" t="n">
        <v>839.2</v>
      </c>
      <c r="J3059" t="n">
        <v>0</v>
      </c>
      <c r="K3059" t="n">
        <v>0</v>
      </c>
      <c r="L3059" t="n">
        <v>20.85</v>
      </c>
      <c r="M3059" t="n">
        <v>20.85</v>
      </c>
      <c r="N3059" t="n">
        <v>0</v>
      </c>
      <c r="O3059" t="n">
        <v>797.5</v>
      </c>
      <c r="P3059" s="96">
        <f>_xlfn.XLOOKUP(Tabla5[[#This Row],[EAN CORREGIDO]],'Tabla Articulos'!B:B,'Tabla Articulos'!D:D)</f>
        <v/>
      </c>
      <c r="Q3059" s="96">
        <f>_xlfn.XLOOKUP(S3059,'Tabla Articulos'!B:B,'Tabla Articulos'!E:E)</f>
        <v/>
      </c>
      <c r="R3059" s="96">
        <f>O3059*Q3059</f>
        <v/>
      </c>
      <c r="S3059" s="97">
        <f>TRIM(E3059)</f>
        <v/>
      </c>
    </row>
    <row r="3060" hidden="1">
      <c r="A3060" s="22" t="n">
        <v>2</v>
      </c>
      <c r="B3060" t="inlineStr">
        <is>
          <t xml:space="preserve">CD CIUDADELA                  </t>
        </is>
      </c>
      <c r="C3060" t="inlineStr">
        <is>
          <t xml:space="preserve">GRUPO L.                      </t>
        </is>
      </c>
      <c r="D3060" t="inlineStr">
        <is>
          <t>CHAMPIGNON TROZOS</t>
        </is>
      </c>
      <c r="E3060" t="inlineStr">
        <is>
          <t xml:space="preserve">7790499000850       </t>
        </is>
      </c>
      <c r="F3060" t="n">
        <v>4024242</v>
      </c>
      <c r="G3060" t="inlineStr">
        <is>
          <t xml:space="preserve">CHAMPIGNON TROZO X2.840 KG LA BAND </t>
        </is>
      </c>
      <c r="H3060" t="inlineStr">
        <is>
          <t xml:space="preserve">UNIDAD              </t>
        </is>
      </c>
      <c r="I3060" t="n">
        <v>142</v>
      </c>
      <c r="J3060" t="n">
        <v>0</v>
      </c>
      <c r="K3060" t="n">
        <v>0</v>
      </c>
      <c r="L3060" t="n">
        <v>2</v>
      </c>
      <c r="M3060" t="n">
        <v>2</v>
      </c>
      <c r="N3060" t="n">
        <v>0</v>
      </c>
      <c r="O3060" t="n">
        <v>138</v>
      </c>
      <c r="P3060" s="96">
        <f>_xlfn.XLOOKUP(Tabla5[[#This Row],[EAN CORREGIDO]],'Tabla Articulos'!B:B,'Tabla Articulos'!D:D)</f>
        <v/>
      </c>
      <c r="Q3060" s="96">
        <f>_xlfn.XLOOKUP(S3060,'Tabla Articulos'!B:B,'Tabla Articulos'!E:E)</f>
        <v/>
      </c>
      <c r="R3060" s="96">
        <f>O3060*Q3060</f>
        <v/>
      </c>
      <c r="S3060" s="97">
        <f>TRIM(E3060)</f>
        <v/>
      </c>
    </row>
    <row r="3061" hidden="1">
      <c r="A3061" s="22" t="n">
        <v>2</v>
      </c>
      <c r="B3061" t="inlineStr">
        <is>
          <t xml:space="preserve">CD CIUDADELA                  </t>
        </is>
      </c>
      <c r="C3061" t="inlineStr">
        <is>
          <t xml:space="preserve">GRUPO L.                      </t>
        </is>
      </c>
      <c r="D3061" t="inlineStr">
        <is>
          <t>LECHUGA</t>
        </is>
      </c>
      <c r="E3061" t="inlineStr">
        <is>
          <t xml:space="preserve">7790216010092       </t>
        </is>
      </c>
      <c r="F3061" t="n">
        <v>4018028</v>
      </c>
      <c r="G3061" t="inlineStr">
        <is>
          <t xml:space="preserve">LECHUGA X KG                       </t>
        </is>
      </c>
      <c r="H3061" t="inlineStr">
        <is>
          <t xml:space="preserve">Kgs                 </t>
        </is>
      </c>
      <c r="I3061" t="n">
        <v>242.84</v>
      </c>
      <c r="J3061" t="n">
        <v>0</v>
      </c>
      <c r="K3061" t="n">
        <v>0</v>
      </c>
      <c r="L3061" t="n">
        <v>5.82</v>
      </c>
      <c r="M3061" t="n">
        <v>27.29</v>
      </c>
      <c r="N3061" t="n">
        <v>0</v>
      </c>
      <c r="O3061" t="n">
        <v>209.73</v>
      </c>
      <c r="P3061" s="96">
        <f>_xlfn.XLOOKUP(Tabla5[[#This Row],[EAN CORREGIDO]],'Tabla Articulos'!B:B,'Tabla Articulos'!D:D)</f>
        <v/>
      </c>
      <c r="Q3061" s="96">
        <f>_xlfn.XLOOKUP(S3061,'Tabla Articulos'!B:B,'Tabla Articulos'!E:E)</f>
        <v/>
      </c>
      <c r="R3061" s="96">
        <f>O3061*Q3061</f>
        <v/>
      </c>
      <c r="S3061" s="97">
        <f>TRIM(E3061)</f>
        <v/>
      </c>
    </row>
    <row r="3062" hidden="1">
      <c r="A3062" s="22" t="n">
        <v>2</v>
      </c>
      <c r="B3062" t="inlineStr">
        <is>
          <t xml:space="preserve">CD CIUDADELA                  </t>
        </is>
      </c>
      <c r="C3062" t="inlineStr">
        <is>
          <t xml:space="preserve">GRUPO L.                      </t>
        </is>
      </c>
      <c r="D3062" t="inlineStr">
        <is>
          <t>GALLE CON CONFITES</t>
        </is>
      </c>
      <c r="E3062" t="inlineStr">
        <is>
          <t xml:space="preserve">7790040110748       </t>
        </is>
      </c>
      <c r="F3062" t="n">
        <v>4018979</v>
      </c>
      <c r="G3062" t="inlineStr">
        <is>
          <t xml:space="preserve">GALL VAINI CONF X118G ROCKLETS     </t>
        </is>
      </c>
      <c r="H3062" t="inlineStr">
        <is>
          <t xml:space="preserve">UNIDAD              </t>
        </is>
      </c>
      <c r="I3062" t="n">
        <v>277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277</v>
      </c>
      <c r="P3062" s="96">
        <f>_xlfn.XLOOKUP(Tabla5[[#This Row],[EAN CORREGIDO]],'Tabla Articulos'!B:B,'Tabla Articulos'!D:D)</f>
        <v/>
      </c>
      <c r="Q3062" s="96">
        <f>_xlfn.XLOOKUP(S3062,'Tabla Articulos'!B:B,'Tabla Articulos'!E:E)</f>
        <v/>
      </c>
      <c r="R3062" s="96">
        <f>O3062*Q3062</f>
        <v/>
      </c>
      <c r="S3062" s="97">
        <f>TRIM(E3062)</f>
        <v/>
      </c>
    </row>
    <row r="3063" hidden="1">
      <c r="A3063" s="22" t="n">
        <v>2</v>
      </c>
      <c r="B3063" t="inlineStr">
        <is>
          <t xml:space="preserve">CD CIUDADELA                  </t>
        </is>
      </c>
      <c r="C3063" t="inlineStr">
        <is>
          <t xml:space="preserve">GRUPO L.                      </t>
        </is>
      </c>
      <c r="D3063" t="inlineStr">
        <is>
          <t>DURAZNO MITAD LATA</t>
        </is>
      </c>
      <c r="E3063" t="inlineStr">
        <is>
          <t xml:space="preserve">7790500006673       </t>
        </is>
      </c>
      <c r="F3063" t="n">
        <v>4076481</v>
      </c>
      <c r="G3063" t="inlineStr">
        <is>
          <t xml:space="preserve">DURAZNO MITAD X400G GOLDEN PEACH   </t>
        </is>
      </c>
      <c r="H3063" t="inlineStr">
        <is>
          <t xml:space="preserve">UNIDAD              </t>
        </is>
      </c>
      <c r="I3063" t="n">
        <v>4204</v>
      </c>
      <c r="J3063" t="n">
        <v>0</v>
      </c>
      <c r="K3063" t="n">
        <v>0</v>
      </c>
      <c r="L3063" t="n">
        <v>78</v>
      </c>
      <c r="M3063" t="n">
        <v>78</v>
      </c>
      <c r="N3063" t="n">
        <v>0</v>
      </c>
      <c r="O3063" t="n">
        <v>4048</v>
      </c>
      <c r="P3063" s="96">
        <f>_xlfn.XLOOKUP(Tabla5[[#This Row],[EAN CORREGIDO]],'Tabla Articulos'!B:B,'Tabla Articulos'!D:D)</f>
        <v/>
      </c>
      <c r="Q3063" s="96">
        <f>_xlfn.XLOOKUP(S3063,'Tabla Articulos'!B:B,'Tabla Articulos'!E:E)</f>
        <v/>
      </c>
      <c r="R3063" s="96">
        <f>O3063*Q3063</f>
        <v/>
      </c>
      <c r="S3063" s="97">
        <f>TRIM(E3063)</f>
        <v/>
      </c>
    </row>
    <row r="3064" hidden="1">
      <c r="A3064" s="22" t="n">
        <v>2</v>
      </c>
      <c r="B3064" t="inlineStr">
        <is>
          <t xml:space="preserve">CD CIUDADELA                  </t>
        </is>
      </c>
      <c r="C3064" t="inlineStr">
        <is>
          <t xml:space="preserve">GRUPO L.                      </t>
        </is>
      </c>
      <c r="D3064" t="inlineStr">
        <is>
          <t>POSTRE DDL</t>
        </is>
      </c>
      <c r="E3064" t="inlineStr">
        <is>
          <t xml:space="preserve">7790971002396       </t>
        </is>
      </c>
      <c r="F3064" t="n">
        <v>4022252</v>
      </c>
      <c r="G3064" t="inlineStr">
        <is>
          <t xml:space="preserve">POSTRE DULCE LECHE X 90GR RAVA     </t>
        </is>
      </c>
      <c r="H3064" t="inlineStr">
        <is>
          <t xml:space="preserve">UNIDAD              </t>
        </is>
      </c>
      <c r="I3064" t="n">
        <v>60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60</v>
      </c>
      <c r="P3064" s="96">
        <f>_xlfn.XLOOKUP(Tabla5[[#This Row],[EAN CORREGIDO]],'Tabla Articulos'!B:B,'Tabla Articulos'!D:D)</f>
        <v/>
      </c>
      <c r="Q3064" s="96">
        <f>_xlfn.XLOOKUP(S3064,'Tabla Articulos'!B:B,'Tabla Articulos'!E:E)</f>
        <v/>
      </c>
      <c r="R3064" s="96">
        <f>O3064*Q3064</f>
        <v/>
      </c>
      <c r="S3064" s="97">
        <f>TRIM(E3064)</f>
        <v/>
      </c>
    </row>
    <row r="3065" hidden="1">
      <c r="A3065" s="22" t="n">
        <v>2</v>
      </c>
      <c r="B3065" t="inlineStr">
        <is>
          <t xml:space="preserve">CD CIUDADELA                  </t>
        </is>
      </c>
      <c r="C3065" t="inlineStr">
        <is>
          <t xml:space="preserve">GRUPO L.                      </t>
        </is>
      </c>
      <c r="D3065" t="inlineStr">
        <is>
          <t>COPOS CELIACOS</t>
        </is>
      </c>
      <c r="E3065" t="inlineStr">
        <is>
          <t xml:space="preserve">7798375280341       </t>
        </is>
      </c>
      <c r="F3065" t="n">
        <v>4049313</v>
      </c>
      <c r="G3065" t="inlineStr">
        <is>
          <t xml:space="preserve">COPOS MAIZ S/AZ STACC X150G REDZY  </t>
        </is>
      </c>
      <c r="H3065" t="inlineStr">
        <is>
          <t xml:space="preserve">UNIDAD              </t>
        </is>
      </c>
      <c r="I3065" t="n">
        <v>808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808</v>
      </c>
      <c r="P3065" s="96">
        <f>_xlfn.XLOOKUP(Tabla5[[#This Row],[EAN CORREGIDO]],'Tabla Articulos'!B:B,'Tabla Articulos'!D:D)</f>
        <v/>
      </c>
      <c r="Q3065" s="96">
        <f>_xlfn.XLOOKUP(S3065,'Tabla Articulos'!B:B,'Tabla Articulos'!E:E)</f>
        <v/>
      </c>
      <c r="R3065" s="96">
        <f>O3065*Q3065</f>
        <v/>
      </c>
      <c r="S3065" s="97">
        <f>TRIM(E3065)</f>
        <v/>
      </c>
    </row>
    <row r="3066" hidden="1">
      <c r="A3066" s="22" t="n">
        <v>2</v>
      </c>
      <c r="B3066" t="inlineStr">
        <is>
          <t xml:space="preserve">CD CIUDADELA                  </t>
        </is>
      </c>
      <c r="C3066" t="inlineStr">
        <is>
          <t xml:space="preserve">GRUPO L.                      </t>
        </is>
      </c>
      <c r="D3066" t="inlineStr">
        <is>
          <t>ARROZ INTEGRAL</t>
        </is>
      </c>
      <c r="E3066" t="inlineStr">
        <is>
          <t xml:space="preserve">7790503199105       </t>
        </is>
      </c>
      <c r="F3066" t="n">
        <v>4022715</v>
      </c>
      <c r="G3066" t="inlineStr">
        <is>
          <t xml:space="preserve">ARROZ INTEGRAL X1KG DOS HERMA	     </t>
        </is>
      </c>
      <c r="H3066" t="inlineStr">
        <is>
          <t xml:space="preserve">UNIDAD              </t>
        </is>
      </c>
      <c r="I3066" t="n">
        <v>77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77</v>
      </c>
      <c r="P3066" s="96">
        <f>_xlfn.XLOOKUP(Tabla5[[#This Row],[EAN CORREGIDO]],'Tabla Articulos'!B:B,'Tabla Articulos'!D:D)</f>
        <v/>
      </c>
      <c r="Q3066" s="96">
        <f>_xlfn.XLOOKUP(S3066,'Tabla Articulos'!B:B,'Tabla Articulos'!E:E)</f>
        <v/>
      </c>
      <c r="R3066" s="96">
        <f>O3066*Q3066</f>
        <v/>
      </c>
      <c r="S3066" s="97">
        <f>TRIM(E3066)</f>
        <v/>
      </c>
    </row>
    <row r="3067" hidden="1">
      <c r="A3067" s="22" t="n">
        <v>2</v>
      </c>
      <c r="B3067" t="inlineStr">
        <is>
          <t xml:space="preserve">CD CIUDADELA                  </t>
        </is>
      </c>
      <c r="C3067" t="inlineStr">
        <is>
          <t xml:space="preserve">GRUPO L.                      </t>
        </is>
      </c>
      <c r="D3067" t="inlineStr">
        <is>
          <t>QUESO PATEGRAS</t>
        </is>
      </c>
      <c r="E3067" t="inlineStr">
        <is>
          <t xml:space="preserve">7790212060882       </t>
        </is>
      </c>
      <c r="F3067" t="n">
        <v>4018151</v>
      </c>
      <c r="G3067" t="inlineStr">
        <is>
          <t xml:space="preserve">QUESO PATEGRAS X KG                </t>
        </is>
      </c>
      <c r="H3067" t="inlineStr">
        <is>
          <t xml:space="preserve">Kgs                 </t>
        </is>
      </c>
      <c r="I3067" t="n">
        <v>209.08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209.08</v>
      </c>
      <c r="P3067" s="96">
        <f>_xlfn.XLOOKUP(Tabla5[[#This Row],[EAN CORREGIDO]],'Tabla Articulos'!B:B,'Tabla Articulos'!D:D)</f>
        <v/>
      </c>
      <c r="Q3067" s="96">
        <f>_xlfn.XLOOKUP(S3067,'Tabla Articulos'!B:B,'Tabla Articulos'!E:E)</f>
        <v/>
      </c>
      <c r="R3067" s="96">
        <f>O3067*Q3067</f>
        <v/>
      </c>
      <c r="S3067" s="97">
        <f>TRIM(E3067)</f>
        <v/>
      </c>
    </row>
    <row r="3068" hidden="1">
      <c r="A3068" s="22" t="n">
        <v>2</v>
      </c>
      <c r="B3068" t="inlineStr">
        <is>
          <t xml:space="preserve">CD CIUDADELA                  </t>
        </is>
      </c>
      <c r="C3068" t="inlineStr">
        <is>
          <t xml:space="preserve">GRUPO L.                      </t>
        </is>
      </c>
      <c r="D3068" t="inlineStr">
        <is>
          <t>KETCHUP INDIV</t>
        </is>
      </c>
      <c r="E3068" t="inlineStr">
        <is>
          <t xml:space="preserve">7798011976614       </t>
        </is>
      </c>
      <c r="F3068" t="n">
        <v>4020279</v>
      </c>
      <c r="G3068" t="inlineStr">
        <is>
          <t xml:space="preserve">KETCHUP IND 8CC X198U ABEDUL       </t>
        </is>
      </c>
      <c r="H3068" t="inlineStr">
        <is>
          <t xml:space="preserve">UNIDAD              </t>
        </is>
      </c>
      <c r="I3068" t="n">
        <v>274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274</v>
      </c>
      <c r="P3068" s="96">
        <f>_xlfn.XLOOKUP(Tabla5[[#This Row],[EAN CORREGIDO]],'Tabla Articulos'!B:B,'Tabla Articulos'!D:D)</f>
        <v/>
      </c>
      <c r="Q3068" s="96">
        <f>_xlfn.XLOOKUP(S3068,'Tabla Articulos'!B:B,'Tabla Articulos'!E:E)</f>
        <v/>
      </c>
      <c r="R3068" s="96">
        <f>O3068*Q3068</f>
        <v/>
      </c>
      <c r="S3068" s="97">
        <f>TRIM(E3068)</f>
        <v/>
      </c>
    </row>
    <row r="3069" hidden="1">
      <c r="A3069" s="22" t="n">
        <v>2</v>
      </c>
      <c r="B3069" t="inlineStr">
        <is>
          <t xml:space="preserve">CD CIUDADELA                  </t>
        </is>
      </c>
      <c r="C3069" t="inlineStr">
        <is>
          <t xml:space="preserve">GRUPO L.                      </t>
        </is>
      </c>
      <c r="D3069" t="inlineStr">
        <is>
          <t>SAL FINA IND BLUE CAFE</t>
        </is>
      </c>
      <c r="E3069" t="inlineStr">
        <is>
          <t xml:space="preserve">7798011977734       </t>
        </is>
      </c>
      <c r="F3069" t="n">
        <v>4076540</v>
      </c>
      <c r="G3069" t="inlineStr">
        <is>
          <t xml:space="preserve">SAL IND SOBRE X1000U BLUE CAFÉ     </t>
        </is>
      </c>
      <c r="H3069" t="inlineStr">
        <is>
          <t xml:space="preserve">UNIDAD              </t>
        </is>
      </c>
      <c r="I3069" t="n">
        <v>94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94</v>
      </c>
      <c r="P3069" s="96">
        <f>_xlfn.XLOOKUP(Tabla5[[#This Row],[EAN CORREGIDO]],'Tabla Articulos'!B:B,'Tabla Articulos'!D:D)</f>
        <v/>
      </c>
      <c r="Q3069" s="96">
        <f>_xlfn.XLOOKUP(S3069,'Tabla Articulos'!B:B,'Tabla Articulos'!E:E)</f>
        <v/>
      </c>
      <c r="R3069" s="96">
        <f>O3069*Q3069</f>
        <v/>
      </c>
      <c r="S3069" s="97">
        <f>TRIM(E3069)</f>
        <v/>
      </c>
    </row>
    <row r="3070" hidden="1">
      <c r="A3070" s="22" t="n">
        <v>2</v>
      </c>
      <c r="B3070" t="inlineStr">
        <is>
          <t xml:space="preserve">CD CIUDADELA                  </t>
        </is>
      </c>
      <c r="C3070" t="inlineStr">
        <is>
          <t xml:space="preserve">GRUPO L.                      </t>
        </is>
      </c>
      <c r="D3070" t="inlineStr">
        <is>
          <t>AZUCAR S/TACC</t>
        </is>
      </c>
      <c r="E3070" t="inlineStr">
        <is>
          <t xml:space="preserve">7792540260138       </t>
        </is>
      </c>
      <c r="F3070" t="n">
        <v>4020123</v>
      </c>
      <c r="G3070" t="inlineStr">
        <is>
          <t xml:space="preserve">AZUCAR X1KG S/TACC LEDESMA         </t>
        </is>
      </c>
      <c r="H3070" t="inlineStr">
        <is>
          <t xml:space="preserve">UNIDAD              </t>
        </is>
      </c>
      <c r="I3070" t="n">
        <v>1697</v>
      </c>
      <c r="J3070" t="n">
        <v>0</v>
      </c>
      <c r="K3070" t="n">
        <v>0</v>
      </c>
      <c r="L3070" t="n">
        <v>20</v>
      </c>
      <c r="M3070" t="n">
        <v>20</v>
      </c>
      <c r="N3070" t="n">
        <v>0</v>
      </c>
      <c r="O3070" t="n">
        <v>1657</v>
      </c>
      <c r="P3070" s="96">
        <f>_xlfn.XLOOKUP(Tabla5[[#This Row],[EAN CORREGIDO]],'Tabla Articulos'!B:B,'Tabla Articulos'!D:D)</f>
        <v/>
      </c>
      <c r="Q3070" s="96">
        <f>_xlfn.XLOOKUP(S3070,'Tabla Articulos'!B:B,'Tabla Articulos'!E:E)</f>
        <v/>
      </c>
      <c r="R3070" s="96">
        <f>O3070*Q3070</f>
        <v/>
      </c>
      <c r="S3070" s="97">
        <f>TRIM(E3070)</f>
        <v/>
      </c>
    </row>
    <row r="3071" hidden="1">
      <c r="A3071" s="22" t="n">
        <v>2</v>
      </c>
      <c r="B3071" t="inlineStr">
        <is>
          <t xml:space="preserve">CD CIUDADELA                  </t>
        </is>
      </c>
      <c r="C3071" t="inlineStr">
        <is>
          <t xml:space="preserve">GRUPO L.                      </t>
        </is>
      </c>
      <c r="D3071" t="inlineStr">
        <is>
          <t>SERVILLETA DESC SIMIL TELA</t>
        </is>
      </c>
      <c r="E3071" t="inlineStr">
        <is>
          <t xml:space="preserve">7790000000690       </t>
        </is>
      </c>
      <c r="F3071" t="n">
        <v>2011499</v>
      </c>
      <c r="G3071" t="inlineStr">
        <is>
          <t xml:space="preserve">SERVILLETA SIMIL TELA X1600U 40X40 </t>
        </is>
      </c>
      <c r="H3071" t="inlineStr">
        <is>
          <t xml:space="preserve">UNIDAD              </t>
        </is>
      </c>
      <c r="I3071" t="n">
        <v>15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15</v>
      </c>
      <c r="P3071" s="96">
        <f>_xlfn.XLOOKUP(Tabla5[[#This Row],[EAN CORREGIDO]],'Tabla Articulos'!B:B,'Tabla Articulos'!D:D)</f>
        <v/>
      </c>
      <c r="Q3071" s="96">
        <f>_xlfn.XLOOKUP(S3071,'Tabla Articulos'!B:B,'Tabla Articulos'!E:E)</f>
        <v/>
      </c>
      <c r="R3071" s="96">
        <f>O3071*Q3071</f>
        <v/>
      </c>
      <c r="S3071" s="97">
        <f>TRIM(E3071)</f>
        <v/>
      </c>
    </row>
    <row r="3072" hidden="1">
      <c r="A3072" s="22" t="n">
        <v>2</v>
      </c>
      <c r="B3072" t="inlineStr">
        <is>
          <t xml:space="preserve">CD CIUDADELA                  </t>
        </is>
      </c>
      <c r="C3072" t="inlineStr">
        <is>
          <t xml:space="preserve">GRUPO L.                      </t>
        </is>
      </c>
      <c r="D3072" t="inlineStr">
        <is>
          <t>ESENCIA FRUTILLA</t>
        </is>
      </c>
      <c r="E3072" t="inlineStr">
        <is>
          <t xml:space="preserve">7791113003707       </t>
        </is>
      </c>
      <c r="F3072" t="n">
        <v>4023118</v>
      </c>
      <c r="G3072" t="inlineStr">
        <is>
          <t xml:space="preserve">ESENCIA FRUTILLA X 1 LT            </t>
        </is>
      </c>
      <c r="H3072" t="inlineStr">
        <is>
          <t xml:space="preserve">UNIDAD              </t>
        </is>
      </c>
      <c r="I3072" t="n">
        <v>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4</v>
      </c>
      <c r="P3072" s="96">
        <f>_xlfn.XLOOKUP(Tabla5[[#This Row],[EAN CORREGIDO]],'Tabla Articulos'!B:B,'Tabla Articulos'!D:D)</f>
        <v/>
      </c>
      <c r="Q3072" s="96">
        <f>_xlfn.XLOOKUP(S3072,'Tabla Articulos'!B:B,'Tabla Articulos'!E:E)</f>
        <v/>
      </c>
      <c r="R3072" s="96">
        <f>O3072*Q3072</f>
        <v/>
      </c>
      <c r="S3072" s="97">
        <f>TRIM(E3072)</f>
        <v/>
      </c>
    </row>
    <row r="3073" hidden="1">
      <c r="A3073" s="22" t="n">
        <v>2</v>
      </c>
      <c r="B3073" t="inlineStr">
        <is>
          <t xml:space="preserve">CD CIUDADELA                  </t>
        </is>
      </c>
      <c r="C3073" t="inlineStr">
        <is>
          <t xml:space="preserve">GRUPO L.                      </t>
        </is>
      </c>
      <c r="D3073" t="inlineStr">
        <is>
          <t>FIDEOS LARGO</t>
        </is>
      </c>
      <c r="E3073" t="inlineStr">
        <is>
          <t xml:space="preserve">7797470199343       </t>
        </is>
      </c>
      <c r="F3073" t="n">
        <v>4020342</v>
      </c>
      <c r="G3073" t="inlineStr">
        <is>
          <t xml:space="preserve">FIDEO TALLARIN X500G MAROLIO       </t>
        </is>
      </c>
      <c r="H3073" t="inlineStr">
        <is>
          <t xml:space="preserve">UNIDAD              </t>
        </is>
      </c>
      <c r="I3073" t="n">
        <v>376</v>
      </c>
      <c r="J3073" t="n">
        <v>0</v>
      </c>
      <c r="K3073" t="n">
        <v>0</v>
      </c>
      <c r="L3073" t="n">
        <v>84</v>
      </c>
      <c r="M3073" t="n">
        <v>84</v>
      </c>
      <c r="N3073" t="n">
        <v>0</v>
      </c>
      <c r="O3073" t="n">
        <v>208</v>
      </c>
      <c r="P3073" s="96">
        <f>_xlfn.XLOOKUP(Tabla5[[#This Row],[EAN CORREGIDO]],'Tabla Articulos'!B:B,'Tabla Articulos'!D:D)</f>
        <v/>
      </c>
      <c r="Q3073" s="96">
        <f>_xlfn.XLOOKUP(S3073,'Tabla Articulos'!B:B,'Tabla Articulos'!E:E)</f>
        <v/>
      </c>
      <c r="R3073" s="96">
        <f>O3073*Q3073</f>
        <v/>
      </c>
      <c r="S3073" s="97">
        <f>TRIM(E3073)</f>
        <v/>
      </c>
    </row>
    <row r="3074" hidden="1">
      <c r="A3074" s="22" t="n">
        <v>2</v>
      </c>
      <c r="B3074" t="inlineStr">
        <is>
          <t xml:space="preserve">CD CIUDADELA                  </t>
        </is>
      </c>
      <c r="C3074" t="inlineStr">
        <is>
          <t xml:space="preserve">GRUPO L.                      </t>
        </is>
      </c>
      <c r="D3074" t="inlineStr">
        <is>
          <t>CABALLA A/N</t>
        </is>
      </c>
      <c r="E3074" t="inlineStr">
        <is>
          <t xml:space="preserve">7791885005459       </t>
        </is>
      </c>
      <c r="F3074" t="n">
        <v>4019906</v>
      </c>
      <c r="G3074" t="inlineStr">
        <is>
          <t xml:space="preserve">CABALLA NATURAL 380GR CUMANA       </t>
        </is>
      </c>
      <c r="H3074" t="inlineStr">
        <is>
          <t xml:space="preserve">UNIDAD              </t>
        </is>
      </c>
      <c r="I3074" t="n">
        <v>10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10</v>
      </c>
      <c r="P3074" s="96">
        <f>_xlfn.XLOOKUP(Tabla5[[#This Row],[EAN CORREGIDO]],'Tabla Articulos'!B:B,'Tabla Articulos'!D:D)</f>
        <v/>
      </c>
      <c r="Q3074" s="96">
        <f>_xlfn.XLOOKUP(S3074,'Tabla Articulos'!B:B,'Tabla Articulos'!E:E)</f>
        <v/>
      </c>
      <c r="R3074" s="96">
        <f>O3074*Q3074</f>
        <v/>
      </c>
      <c r="S3074" s="97">
        <f>TRIM(E3074)</f>
        <v/>
      </c>
    </row>
    <row r="3075" hidden="1">
      <c r="A3075" s="22" t="n">
        <v>2</v>
      </c>
      <c r="B3075" t="inlineStr">
        <is>
          <t xml:space="preserve">CD CIUDADELA                  </t>
        </is>
      </c>
      <c r="C3075" t="inlineStr">
        <is>
          <t xml:space="preserve">GRUPO L.                      </t>
        </is>
      </c>
      <c r="D3075" t="inlineStr">
        <is>
          <t>CARAMELOS DUROS</t>
        </is>
      </c>
      <c r="E3075" t="inlineStr">
        <is>
          <t xml:space="preserve">78600010            </t>
        </is>
      </c>
      <c r="F3075" t="n">
        <v>4021338</v>
      </c>
      <c r="G3075" t="inlineStr">
        <is>
          <t xml:space="preserve">PASTILLAS MENTA XU TIC TAC         </t>
        </is>
      </c>
      <c r="H3075" t="inlineStr">
        <is>
          <t xml:space="preserve">UNIDAD              </t>
        </is>
      </c>
      <c r="I3075" t="n">
        <v>32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32</v>
      </c>
      <c r="P3075" s="96">
        <f>_xlfn.XLOOKUP(Tabla5[[#This Row],[EAN CORREGIDO]],'Tabla Articulos'!B:B,'Tabla Articulos'!D:D)</f>
        <v/>
      </c>
      <c r="Q3075" s="96">
        <f>_xlfn.XLOOKUP(S3075,'Tabla Articulos'!B:B,'Tabla Articulos'!E:E)</f>
        <v/>
      </c>
      <c r="R3075" s="96">
        <f>O3075*Q3075</f>
        <v/>
      </c>
      <c r="S3075" s="97">
        <f>TRIM(E3075)</f>
        <v/>
      </c>
    </row>
    <row r="3076" hidden="1">
      <c r="A3076" s="22" t="n">
        <v>2</v>
      </c>
      <c r="B3076" t="inlineStr">
        <is>
          <t xml:space="preserve">CD CIUDADELA                  </t>
        </is>
      </c>
      <c r="C3076" t="inlineStr">
        <is>
          <t xml:space="preserve">GRUPO L.                      </t>
        </is>
      </c>
      <c r="D3076" t="inlineStr">
        <is>
          <t>MOSTAZA</t>
        </is>
      </c>
      <c r="E3076" t="inlineStr">
        <is>
          <t xml:space="preserve">7794000006454       </t>
        </is>
      </c>
      <c r="F3076" t="n">
        <v>4020139</v>
      </c>
      <c r="G3076" t="inlineStr">
        <is>
          <t xml:space="preserve">MOSTAZA X 3KG SAVORA	              </t>
        </is>
      </c>
      <c r="H3076" t="inlineStr">
        <is>
          <t xml:space="preserve">UNIDAD              </t>
        </is>
      </c>
      <c r="I3076" t="n">
        <v>37</v>
      </c>
      <c r="J3076" t="n">
        <v>0</v>
      </c>
      <c r="K3076" t="n">
        <v>0</v>
      </c>
      <c r="L3076" t="n">
        <v>9</v>
      </c>
      <c r="M3076" t="n">
        <v>9</v>
      </c>
      <c r="N3076" t="n">
        <v>0</v>
      </c>
      <c r="O3076" t="n">
        <v>19</v>
      </c>
      <c r="P3076" s="96">
        <f>_xlfn.XLOOKUP(Tabla5[[#This Row],[EAN CORREGIDO]],'Tabla Articulos'!B:B,'Tabla Articulos'!D:D)</f>
        <v/>
      </c>
      <c r="Q3076" s="96">
        <f>_xlfn.XLOOKUP(S3076,'Tabla Articulos'!B:B,'Tabla Articulos'!E:E)</f>
        <v/>
      </c>
      <c r="R3076" s="96">
        <f>O3076*Q3076</f>
        <v/>
      </c>
      <c r="S3076" s="97">
        <f>TRIM(E3076)</f>
        <v/>
      </c>
    </row>
    <row r="3077" hidden="1">
      <c r="A3077" s="22" t="n">
        <v>2</v>
      </c>
      <c r="B3077" t="inlineStr">
        <is>
          <t xml:space="preserve">CD CIUDADELA                  </t>
        </is>
      </c>
      <c r="C3077" t="inlineStr">
        <is>
          <t xml:space="preserve">GRUPO L.                      </t>
        </is>
      </c>
      <c r="D3077" t="inlineStr">
        <is>
          <t>FLAN LIGHT VAINILLA</t>
        </is>
      </c>
      <c r="E3077" t="inlineStr">
        <is>
          <t xml:space="preserve">790757899667        </t>
        </is>
      </c>
      <c r="F3077" t="n">
        <v>4022534</v>
      </c>
      <c r="G3077" t="inlineStr">
        <is>
          <t xml:space="preserve">FLAN LIGHT VAIN 1KG POREC          </t>
        </is>
      </c>
      <c r="H3077" t="inlineStr">
        <is>
          <t xml:space="preserve">UNIDAD              </t>
        </is>
      </c>
      <c r="I3077" t="n">
        <v>30</v>
      </c>
      <c r="J3077" t="n">
        <v>0</v>
      </c>
      <c r="K3077" t="n">
        <v>0</v>
      </c>
      <c r="L3077" t="n">
        <v>2</v>
      </c>
      <c r="M3077" t="n">
        <v>2</v>
      </c>
      <c r="N3077" t="n">
        <v>0</v>
      </c>
      <c r="O3077" t="n">
        <v>26</v>
      </c>
      <c r="P3077" s="96">
        <f>_xlfn.XLOOKUP(Tabla5[[#This Row],[EAN CORREGIDO]],'Tabla Articulos'!B:B,'Tabla Articulos'!D:D)</f>
        <v/>
      </c>
      <c r="Q3077" s="96">
        <f>_xlfn.XLOOKUP(S3077,'Tabla Articulos'!B:B,'Tabla Articulos'!E:E)</f>
        <v/>
      </c>
      <c r="R3077" s="96">
        <f>O3077*Q3077</f>
        <v/>
      </c>
      <c r="S3077" s="97">
        <f>TRIM(E3077)</f>
        <v/>
      </c>
    </row>
    <row r="3078" hidden="1">
      <c r="A3078" s="22" t="n">
        <v>2</v>
      </c>
      <c r="B3078" t="inlineStr">
        <is>
          <t xml:space="preserve">CD CIUDADELA                  </t>
        </is>
      </c>
      <c r="C3078" t="inlineStr">
        <is>
          <t xml:space="preserve">GRUPO L.                      </t>
        </is>
      </c>
      <c r="D3078" t="inlineStr">
        <is>
          <t>JUGO MULTIFRUTA</t>
        </is>
      </c>
      <c r="E3078" t="inlineStr">
        <is>
          <t xml:space="preserve">7798290580120       </t>
        </is>
      </c>
      <c r="F3078" t="n">
        <v>4017388</v>
      </c>
      <c r="G3078" t="inlineStr">
        <is>
          <t xml:space="preserve">JUGO MULTIFRUTA X 1L TUTTI         </t>
        </is>
      </c>
      <c r="H3078" t="inlineStr">
        <is>
          <t xml:space="preserve">UNIDAD              </t>
        </is>
      </c>
      <c r="I3078" t="n">
        <v>236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236</v>
      </c>
      <c r="P3078" s="96">
        <f>_xlfn.XLOOKUP(Tabla5[[#This Row],[EAN CORREGIDO]],'Tabla Articulos'!B:B,'Tabla Articulos'!D:D)</f>
        <v/>
      </c>
      <c r="Q3078" s="96">
        <f>_xlfn.XLOOKUP(S3078,'Tabla Articulos'!B:B,'Tabla Articulos'!E:E)</f>
        <v/>
      </c>
      <c r="R3078" s="96">
        <f>O3078*Q3078</f>
        <v/>
      </c>
      <c r="S3078" s="97">
        <f>TRIM(E3078)</f>
        <v/>
      </c>
    </row>
    <row r="3079" hidden="1">
      <c r="A3079" s="22" t="n">
        <v>2</v>
      </c>
      <c r="B3079" t="inlineStr">
        <is>
          <t xml:space="preserve">CD CIUDADELA                  </t>
        </is>
      </c>
      <c r="C3079" t="inlineStr">
        <is>
          <t xml:space="preserve">GRUPO L.                      </t>
        </is>
      </c>
      <c r="D3079" t="inlineStr">
        <is>
          <t>QUESO UNTABLE INDIV LIGHT</t>
        </is>
      </c>
      <c r="E3079" t="inlineStr">
        <is>
          <t xml:space="preserve">7798060852907       </t>
        </is>
      </c>
      <c r="F3079" t="n">
        <v>4022455</v>
      </c>
      <c r="G3079" t="inlineStr">
        <is>
          <t xml:space="preserve">QUESO UNT.LIG.PATAG.20GX90 TONAD   </t>
        </is>
      </c>
      <c r="H3079" t="inlineStr">
        <is>
          <t xml:space="preserve">UNIDAD              </t>
        </is>
      </c>
      <c r="I3079" t="n">
        <v>40</v>
      </c>
      <c r="J3079" t="n">
        <v>0</v>
      </c>
      <c r="K3079" t="n">
        <v>0</v>
      </c>
      <c r="L3079" t="n">
        <v>13</v>
      </c>
      <c r="M3079" t="n">
        <v>13</v>
      </c>
      <c r="N3079" t="n">
        <v>0</v>
      </c>
      <c r="O3079" t="n">
        <v>14</v>
      </c>
      <c r="P3079" s="96">
        <f>_xlfn.XLOOKUP(Tabla5[[#This Row],[EAN CORREGIDO]],'Tabla Articulos'!B:B,'Tabla Articulos'!D:D)</f>
        <v/>
      </c>
      <c r="Q3079" s="96">
        <f>_xlfn.XLOOKUP(S3079,'Tabla Articulos'!B:B,'Tabla Articulos'!E:E)</f>
        <v/>
      </c>
      <c r="R3079" s="96">
        <f>O3079*Q3079</f>
        <v/>
      </c>
      <c r="S3079" s="97">
        <f>TRIM(E3079)</f>
        <v/>
      </c>
    </row>
    <row r="3080" hidden="1">
      <c r="A3080" s="22" t="n">
        <v>2</v>
      </c>
      <c r="B3080" t="inlineStr">
        <is>
          <t xml:space="preserve">CD CIUDADELA                  </t>
        </is>
      </c>
      <c r="C3080" t="inlineStr">
        <is>
          <t xml:space="preserve">GRUPO L.                      </t>
        </is>
      </c>
      <c r="D3080" t="inlineStr">
        <is>
          <t>CONDIM P/ARROZ</t>
        </is>
      </c>
      <c r="E3080" t="inlineStr">
        <is>
          <t xml:space="preserve">7790530110357       </t>
        </is>
      </c>
      <c r="F3080" t="n">
        <v>4024188</v>
      </c>
      <c r="G3080" t="inlineStr">
        <is>
          <t xml:space="preserve">CONDIMENTO P/ARROZ X 25 G BEDIAL   </t>
        </is>
      </c>
      <c r="H3080" t="inlineStr">
        <is>
          <t xml:space="preserve">UNIDAD              </t>
        </is>
      </c>
      <c r="I3080" t="n">
        <v>972</v>
      </c>
      <c r="J3080" t="n">
        <v>0</v>
      </c>
      <c r="K3080" t="n">
        <v>0</v>
      </c>
      <c r="L3080" t="n">
        <v>12</v>
      </c>
      <c r="M3080" t="n">
        <v>12</v>
      </c>
      <c r="N3080" t="n">
        <v>0</v>
      </c>
      <c r="O3080" t="n">
        <v>948</v>
      </c>
      <c r="P3080" s="96">
        <f>_xlfn.XLOOKUP(Tabla5[[#This Row],[EAN CORREGIDO]],'Tabla Articulos'!B:B,'Tabla Articulos'!D:D)</f>
        <v/>
      </c>
      <c r="Q3080" s="96">
        <f>_xlfn.XLOOKUP(S3080,'Tabla Articulos'!B:B,'Tabla Articulos'!E:E)</f>
        <v/>
      </c>
      <c r="R3080" s="96">
        <f>O3080*Q3080</f>
        <v/>
      </c>
      <c r="S3080" s="97">
        <f>TRIM(E3080)</f>
        <v/>
      </c>
    </row>
    <row r="3081" hidden="1">
      <c r="A3081" s="22" t="n">
        <v>2</v>
      </c>
      <c r="B3081" t="inlineStr">
        <is>
          <t xml:space="preserve">CD CIUDADELA                  </t>
        </is>
      </c>
      <c r="C3081" t="inlineStr">
        <is>
          <t xml:space="preserve">GRUPO L.                      </t>
        </is>
      </c>
      <c r="D3081" t="inlineStr">
        <is>
          <t>EMPANADA CONG JYQ</t>
        </is>
      </c>
      <c r="E3081" t="inlineStr">
        <is>
          <t xml:space="preserve">7790211303004       </t>
        </is>
      </c>
      <c r="F3081" t="n">
        <v>4018645</v>
      </c>
      <c r="G3081" t="inlineStr">
        <is>
          <t xml:space="preserve">EMPANADA CONGELADA JYQ X50U	       </t>
        </is>
      </c>
      <c r="H3081" t="inlineStr">
        <is>
          <t xml:space="preserve">UNIDAD              </t>
        </is>
      </c>
      <c r="I3081" t="n">
        <v>13</v>
      </c>
      <c r="J3081" t="n">
        <v>0</v>
      </c>
      <c r="K3081" t="n">
        <v>0</v>
      </c>
      <c r="L3081" t="n">
        <v>5</v>
      </c>
      <c r="M3081" t="n">
        <v>5</v>
      </c>
      <c r="N3081" t="n">
        <v>0</v>
      </c>
      <c r="O3081" t="n">
        <v>3</v>
      </c>
      <c r="P3081" s="96">
        <f>_xlfn.XLOOKUP(Tabla5[[#This Row],[EAN CORREGIDO]],'Tabla Articulos'!B:B,'Tabla Articulos'!D:D)</f>
        <v/>
      </c>
      <c r="Q3081" s="96">
        <f>_xlfn.XLOOKUP(S3081,'Tabla Articulos'!B:B,'Tabla Articulos'!E:E)</f>
        <v/>
      </c>
      <c r="R3081" s="96">
        <f>O3081*Q3081</f>
        <v/>
      </c>
      <c r="S3081" s="97">
        <f>TRIM(E3081)</f>
        <v/>
      </c>
    </row>
    <row r="3082" hidden="1">
      <c r="A3082" s="22" t="n">
        <v>2</v>
      </c>
      <c r="B3082" t="inlineStr">
        <is>
          <t xml:space="preserve">CD CIUDADELA                  </t>
        </is>
      </c>
      <c r="C3082" t="inlineStr">
        <is>
          <t xml:space="preserve">GRUPO L.                      </t>
        </is>
      </c>
      <c r="D3082" t="inlineStr">
        <is>
          <t>GALLE MIEL</t>
        </is>
      </c>
      <c r="E3082" t="inlineStr">
        <is>
          <t xml:space="preserve">7790040139770       </t>
        </is>
      </c>
      <c r="F3082" t="n">
        <v>4018988</v>
      </c>
      <c r="G3082" t="inlineStr">
        <is>
          <t xml:space="preserve">GALLETITA MIEL X 159G MELITAS      </t>
        </is>
      </c>
      <c r="H3082" t="inlineStr">
        <is>
          <t xml:space="preserve">UNIDAD              </t>
        </is>
      </c>
      <c r="I3082" t="n">
        <v>51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51</v>
      </c>
      <c r="P3082" s="96">
        <f>_xlfn.XLOOKUP(Tabla5[[#This Row],[EAN CORREGIDO]],'Tabla Articulos'!B:B,'Tabla Articulos'!D:D)</f>
        <v/>
      </c>
      <c r="Q3082" s="96">
        <f>_xlfn.XLOOKUP(S3082,'Tabla Articulos'!B:B,'Tabla Articulos'!E:E)</f>
        <v/>
      </c>
      <c r="R3082" s="96">
        <f>O3082*Q3082</f>
        <v/>
      </c>
      <c r="S3082" s="97">
        <f>TRIM(E3082)</f>
        <v/>
      </c>
    </row>
    <row r="3083" hidden="1">
      <c r="A3083" s="22" t="n">
        <v>2</v>
      </c>
      <c r="B3083" t="inlineStr">
        <is>
          <t xml:space="preserve">CD CIUDADELA                  </t>
        </is>
      </c>
      <c r="C3083" t="inlineStr">
        <is>
          <t xml:space="preserve">GRUPO L.                      </t>
        </is>
      </c>
      <c r="D3083" t="inlineStr">
        <is>
          <t>PECETO</t>
        </is>
      </c>
      <c r="E3083" t="inlineStr">
        <is>
          <t xml:space="preserve">7790212031245       </t>
        </is>
      </c>
      <c r="F3083" t="n">
        <v>4017685</v>
      </c>
      <c r="G3083" t="inlineStr">
        <is>
          <t xml:space="preserve">PECETO X KG                        </t>
        </is>
      </c>
      <c r="H3083" t="inlineStr">
        <is>
          <t xml:space="preserve">Kgs                 </t>
        </is>
      </c>
      <c r="I3083" t="n">
        <v>240.95</v>
      </c>
      <c r="J3083" t="n">
        <v>0</v>
      </c>
      <c r="K3083" t="n">
        <v>0</v>
      </c>
      <c r="L3083" t="n">
        <v>65.59999999999999</v>
      </c>
      <c r="M3083" t="n">
        <v>65.59999999999999</v>
      </c>
      <c r="N3083" t="n">
        <v>0</v>
      </c>
      <c r="O3083" t="n">
        <v>109.75</v>
      </c>
      <c r="P3083" s="96">
        <f>_xlfn.XLOOKUP(Tabla5[[#This Row],[EAN CORREGIDO]],'Tabla Articulos'!B:B,'Tabla Articulos'!D:D)</f>
        <v/>
      </c>
      <c r="Q3083" s="96">
        <f>_xlfn.XLOOKUP(S3083,'Tabla Articulos'!B:B,'Tabla Articulos'!E:E)</f>
        <v/>
      </c>
      <c r="R3083" s="96">
        <f>O3083*Q3083</f>
        <v/>
      </c>
      <c r="S3083" s="97">
        <f>TRIM(E3083)</f>
        <v/>
      </c>
    </row>
    <row r="3084" hidden="1">
      <c r="A3084" s="22" t="n">
        <v>2</v>
      </c>
      <c r="B3084" t="inlineStr">
        <is>
          <t xml:space="preserve">CD CIUDADELA                  </t>
        </is>
      </c>
      <c r="C3084" t="inlineStr">
        <is>
          <t xml:space="preserve">GRUPO L.                      </t>
        </is>
      </c>
      <c r="D3084" t="inlineStr">
        <is>
          <t>PIMIENTA BLANCA</t>
        </is>
      </c>
      <c r="E3084" t="inlineStr">
        <is>
          <t xml:space="preserve">7793875360012       </t>
        </is>
      </c>
      <c r="F3084" t="n">
        <v>4020190</v>
      </c>
      <c r="G3084" t="inlineStr">
        <is>
          <t xml:space="preserve">PIMIENTA BLANCA X 25 G AROMAS      </t>
        </is>
      </c>
      <c r="H3084" t="inlineStr">
        <is>
          <t xml:space="preserve">UNIDAD              </t>
        </is>
      </c>
      <c r="I3084" t="n">
        <v>146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146</v>
      </c>
      <c r="P3084" s="96">
        <f>_xlfn.XLOOKUP(Tabla5[[#This Row],[EAN CORREGIDO]],'Tabla Articulos'!B:B,'Tabla Articulos'!D:D)</f>
        <v/>
      </c>
      <c r="Q3084" s="96">
        <f>_xlfn.XLOOKUP(S3084,'Tabla Articulos'!B:B,'Tabla Articulos'!E:E)</f>
        <v/>
      </c>
      <c r="R3084" s="96">
        <f>O3084*Q3084</f>
        <v/>
      </c>
      <c r="S3084" s="97">
        <f>TRIM(E3084)</f>
        <v/>
      </c>
    </row>
    <row r="3085" hidden="1">
      <c r="A3085" s="22" t="n">
        <v>2</v>
      </c>
      <c r="B3085" t="inlineStr">
        <is>
          <t xml:space="preserve">CD CIUDADELA                  </t>
        </is>
      </c>
      <c r="C3085" t="inlineStr">
        <is>
          <t xml:space="preserve">GRUPO L.                      </t>
        </is>
      </c>
      <c r="D3085" t="inlineStr">
        <is>
          <t>YERBA MATE</t>
        </is>
      </c>
      <c r="E3085" t="inlineStr">
        <is>
          <t xml:space="preserve">7798028020508       </t>
        </is>
      </c>
      <c r="F3085" t="n">
        <v>4020385</v>
      </c>
      <c r="G3085" t="inlineStr">
        <is>
          <t xml:space="preserve">YERBA MATE X1KG LA POSADEÑA        </t>
        </is>
      </c>
      <c r="H3085" t="inlineStr">
        <is>
          <t xml:space="preserve">UNIDAD              </t>
        </is>
      </c>
      <c r="I3085" t="n">
        <v>2015</v>
      </c>
      <c r="J3085" t="n">
        <v>0</v>
      </c>
      <c r="K3085" t="n">
        <v>0</v>
      </c>
      <c r="L3085" t="n">
        <v>7</v>
      </c>
      <c r="M3085" t="n">
        <v>7</v>
      </c>
      <c r="N3085" t="n">
        <v>0</v>
      </c>
      <c r="O3085" t="n">
        <v>2001</v>
      </c>
      <c r="P3085" s="96">
        <f>_xlfn.XLOOKUP(Tabla5[[#This Row],[EAN CORREGIDO]],'Tabla Articulos'!B:B,'Tabla Articulos'!D:D)</f>
        <v/>
      </c>
      <c r="Q3085" s="96">
        <f>_xlfn.XLOOKUP(S3085,'Tabla Articulos'!B:B,'Tabla Articulos'!E:E)</f>
        <v/>
      </c>
      <c r="R3085" s="96">
        <f>O3085*Q3085</f>
        <v/>
      </c>
      <c r="S3085" s="97">
        <f>TRIM(E3085)</f>
        <v/>
      </c>
    </row>
    <row r="3086" hidden="1">
      <c r="A3086" s="22" t="n">
        <v>2</v>
      </c>
      <c r="B3086" t="inlineStr">
        <is>
          <t xml:space="preserve">CD CIUDADELA                  </t>
        </is>
      </c>
      <c r="C3086" t="inlineStr">
        <is>
          <t xml:space="preserve">GRUPO L.                      </t>
        </is>
      </c>
      <c r="D3086" t="inlineStr">
        <is>
          <t>VINAGRE MANZANA</t>
        </is>
      </c>
      <c r="E3086" t="inlineStr">
        <is>
          <t xml:space="preserve">7792378001439       </t>
        </is>
      </c>
      <c r="F3086" t="n">
        <v>4049032</v>
      </c>
      <c r="G3086" t="inlineStr">
        <is>
          <t xml:space="preserve">VINAGRE MANZANA 5LT COMENSAL       </t>
        </is>
      </c>
      <c r="H3086" t="inlineStr">
        <is>
          <t xml:space="preserve">UNIDAD              </t>
        </is>
      </c>
      <c r="I3086" t="n">
        <v>23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23</v>
      </c>
      <c r="P3086" s="96">
        <f>_xlfn.XLOOKUP(Tabla5[[#This Row],[EAN CORREGIDO]],'Tabla Articulos'!B:B,'Tabla Articulos'!D:D)</f>
        <v/>
      </c>
      <c r="Q3086" s="96">
        <f>_xlfn.XLOOKUP(S3086,'Tabla Articulos'!B:B,'Tabla Articulos'!E:E)</f>
        <v/>
      </c>
      <c r="R3086" s="96">
        <f>O3086*Q3086</f>
        <v/>
      </c>
      <c r="S3086" s="97">
        <f>TRIM(E3086)</f>
        <v/>
      </c>
    </row>
    <row r="3087" hidden="1">
      <c r="A3087" s="22" t="n">
        <v>2</v>
      </c>
      <c r="B3087" t="inlineStr">
        <is>
          <t xml:space="preserve">CD CIUDADELA                  </t>
        </is>
      </c>
      <c r="C3087" t="inlineStr">
        <is>
          <t xml:space="preserve">GRUPO L.                      </t>
        </is>
      </c>
      <c r="D3087" t="inlineStr">
        <is>
          <t>MANDARINA SAE</t>
        </is>
      </c>
      <c r="E3087" t="inlineStr">
        <is>
          <t xml:space="preserve">7790216020114       </t>
        </is>
      </c>
      <c r="F3087" t="n">
        <v>4018065</v>
      </c>
      <c r="G3087" t="inlineStr">
        <is>
          <t xml:space="preserve">MANDARINA SAE X KG                 </t>
        </is>
      </c>
      <c r="H3087" t="inlineStr">
        <is>
          <t xml:space="preserve">Kgs                 </t>
        </is>
      </c>
      <c r="I3087" t="n">
        <v>29.575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29.575</v>
      </c>
      <c r="P3087" s="96">
        <f>_xlfn.XLOOKUP(Tabla5[[#This Row],[EAN CORREGIDO]],'Tabla Articulos'!B:B,'Tabla Articulos'!D:D)</f>
        <v/>
      </c>
      <c r="Q3087" s="96">
        <f>_xlfn.XLOOKUP(S3087,'Tabla Articulos'!B:B,'Tabla Articulos'!E:E)</f>
        <v/>
      </c>
      <c r="R3087" s="96">
        <f>O3087*Q3087</f>
        <v/>
      </c>
      <c r="S3087" s="97">
        <f>TRIM(E3087)</f>
        <v/>
      </c>
    </row>
    <row r="3088" hidden="1">
      <c r="A3088" s="22" t="n">
        <v>2</v>
      </c>
      <c r="B3088" t="inlineStr">
        <is>
          <t xml:space="preserve">CD CIUDADELA                  </t>
        </is>
      </c>
      <c r="C3088" t="inlineStr">
        <is>
          <t xml:space="preserve">GRUPO L.                      </t>
        </is>
      </c>
      <c r="D3088" t="inlineStr">
        <is>
          <t>PANADERIA CONGELADA</t>
        </is>
      </c>
      <c r="E3088" t="inlineStr">
        <is>
          <t xml:space="preserve">17792180006117      </t>
        </is>
      </c>
      <c r="F3088" t="n">
        <v>4024758</v>
      </c>
      <c r="G3088" t="inlineStr">
        <is>
          <t xml:space="preserve">FACT.PANAL BATATA X72 CAÑUELAS     </t>
        </is>
      </c>
      <c r="H3088" t="inlineStr">
        <is>
          <t xml:space="preserve">UNIDAD              </t>
        </is>
      </c>
      <c r="I3088" t="n">
        <v>8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8</v>
      </c>
      <c r="P3088" s="96">
        <f>_xlfn.XLOOKUP(Tabla5[[#This Row],[EAN CORREGIDO]],'Tabla Articulos'!B:B,'Tabla Articulos'!D:D)</f>
        <v/>
      </c>
      <c r="Q3088" s="96">
        <f>_xlfn.XLOOKUP(S3088,'Tabla Articulos'!B:B,'Tabla Articulos'!E:E)</f>
        <v/>
      </c>
      <c r="R3088" s="96">
        <f>O3088*Q3088</f>
        <v/>
      </c>
      <c r="S3088" s="97">
        <f>TRIM(E3088)</f>
        <v/>
      </c>
    </row>
    <row r="3089" hidden="1">
      <c r="A3089" s="22" t="n">
        <v>2</v>
      </c>
      <c r="B3089" t="inlineStr">
        <is>
          <t xml:space="preserve">CD CIUDADELA                  </t>
        </is>
      </c>
      <c r="C3089" t="inlineStr">
        <is>
          <t xml:space="preserve">GRUPO L.                      </t>
        </is>
      </c>
      <c r="D3089" t="inlineStr">
        <is>
          <t>BAND 101</t>
        </is>
      </c>
      <c r="E3089" t="inlineStr">
        <is>
          <t xml:space="preserve">7790321020283       </t>
        </is>
      </c>
      <c r="F3089" t="n">
        <v>2006646</v>
      </c>
      <c r="G3089" t="inlineStr">
        <is>
          <t xml:space="preserve">BANDEJA PLAS 101 X100U RECT COTNYL </t>
        </is>
      </c>
      <c r="H3089" t="inlineStr">
        <is>
          <t xml:space="preserve">UNIDAD              </t>
        </is>
      </c>
      <c r="I3089" t="n">
        <v>779</v>
      </c>
      <c r="J3089" t="n">
        <v>0</v>
      </c>
      <c r="K3089" t="n">
        <v>0</v>
      </c>
      <c r="L3089" t="n">
        <v>7</v>
      </c>
      <c r="M3089" t="n">
        <v>7</v>
      </c>
      <c r="N3089" t="n">
        <v>12</v>
      </c>
      <c r="O3089" t="n">
        <v>753</v>
      </c>
      <c r="P3089" s="96">
        <f>_xlfn.XLOOKUP(Tabla5[[#This Row],[EAN CORREGIDO]],'Tabla Articulos'!B:B,'Tabla Articulos'!D:D)</f>
        <v/>
      </c>
      <c r="Q3089" s="96">
        <f>_xlfn.XLOOKUP(S3089,'Tabla Articulos'!B:B,'Tabla Articulos'!E:E)</f>
        <v/>
      </c>
      <c r="R3089" s="96">
        <f>O3089*Q3089</f>
        <v/>
      </c>
      <c r="S3089" s="97">
        <f>TRIM(E3089)</f>
        <v/>
      </c>
    </row>
    <row r="3090" hidden="1">
      <c r="A3090" s="22" t="n">
        <v>2</v>
      </c>
      <c r="B3090" t="inlineStr">
        <is>
          <t xml:space="preserve">CD CIUDADELA                  </t>
        </is>
      </c>
      <c r="C3090" t="inlineStr">
        <is>
          <t xml:space="preserve">GRUPO L.                      </t>
        </is>
      </c>
      <c r="D3090" t="inlineStr">
        <is>
          <t>CHOCOLATE REPOST</t>
        </is>
      </c>
      <c r="E3090" t="inlineStr">
        <is>
          <t xml:space="preserve">7790580131487       </t>
        </is>
      </c>
      <c r="F3090" t="n">
        <v>4019585</v>
      </c>
      <c r="G3090" t="inlineStr">
        <is>
          <t xml:space="preserve">BAÑO REPOSTERIA SEMI X150G AGUILA  </t>
        </is>
      </c>
      <c r="H3090" t="inlineStr">
        <is>
          <t xml:space="preserve">UNIDAD              </t>
        </is>
      </c>
      <c r="I3090" t="n">
        <v>2006</v>
      </c>
      <c r="J3090" t="n">
        <v>0</v>
      </c>
      <c r="K3090" t="n">
        <v>0</v>
      </c>
      <c r="L3090" t="n">
        <v>5</v>
      </c>
      <c r="M3090" t="n">
        <v>5</v>
      </c>
      <c r="N3090" t="n">
        <v>0</v>
      </c>
      <c r="O3090" t="n">
        <v>1996</v>
      </c>
      <c r="P3090" s="96">
        <f>_xlfn.XLOOKUP(Tabla5[[#This Row],[EAN CORREGIDO]],'Tabla Articulos'!B:B,'Tabla Articulos'!D:D)</f>
        <v/>
      </c>
      <c r="Q3090" s="96">
        <f>_xlfn.XLOOKUP(S3090,'Tabla Articulos'!B:B,'Tabla Articulos'!E:E)</f>
        <v/>
      </c>
      <c r="R3090" s="96">
        <f>O3090*Q3090</f>
        <v/>
      </c>
      <c r="S3090" s="97">
        <f>TRIM(E3090)</f>
        <v/>
      </c>
    </row>
    <row r="3091" hidden="1">
      <c r="A3091" s="22" t="n">
        <v>2</v>
      </c>
      <c r="B3091" t="inlineStr">
        <is>
          <t xml:space="preserve">CD CIUDADELA                  </t>
        </is>
      </c>
      <c r="C3091" t="inlineStr">
        <is>
          <t xml:space="preserve">GRUPO L.                      </t>
        </is>
      </c>
      <c r="D3091" t="inlineStr">
        <is>
          <t>LECHE LV ENTERA</t>
        </is>
      </c>
      <c r="E3091" t="inlineStr">
        <is>
          <t xml:space="preserve">7798338290479       </t>
        </is>
      </c>
      <c r="F3091" t="n">
        <v>4077099</v>
      </c>
      <c r="G3091" t="inlineStr">
        <is>
          <t xml:space="preserve">LECHE ENT LV 1LT APOSTOLES         </t>
        </is>
      </c>
      <c r="H3091" t="inlineStr">
        <is>
          <t xml:space="preserve">UNIDAD              </t>
        </is>
      </c>
      <c r="I3091" t="n">
        <v>9411</v>
      </c>
      <c r="J3091" t="n">
        <v>0</v>
      </c>
      <c r="K3091" t="n">
        <v>864</v>
      </c>
      <c r="L3091" t="n">
        <v>462</v>
      </c>
      <c r="M3091" t="n">
        <v>462</v>
      </c>
      <c r="N3091" t="n">
        <v>0</v>
      </c>
      <c r="O3091" t="n">
        <v>7623</v>
      </c>
      <c r="P3091" s="96">
        <f>_xlfn.XLOOKUP(Tabla5[[#This Row],[EAN CORREGIDO]],'Tabla Articulos'!B:B,'Tabla Articulos'!D:D)</f>
        <v/>
      </c>
      <c r="Q3091" s="96">
        <f>_xlfn.XLOOKUP(S3091,'Tabla Articulos'!B:B,'Tabla Articulos'!E:E)</f>
        <v/>
      </c>
      <c r="R3091" s="96">
        <f>O3091*Q3091</f>
        <v/>
      </c>
      <c r="S3091" s="97">
        <f>TRIM(E3091)</f>
        <v/>
      </c>
    </row>
    <row r="3092" hidden="1">
      <c r="A3092" s="22" t="n">
        <v>2</v>
      </c>
      <c r="B3092" t="inlineStr">
        <is>
          <t xml:space="preserve">CD CIUDADELA                  </t>
        </is>
      </c>
      <c r="C3092" t="inlineStr">
        <is>
          <t xml:space="preserve">GRUPO L.                      </t>
        </is>
      </c>
      <c r="D3092" t="inlineStr">
        <is>
          <t>BARRAS CEREAL</t>
        </is>
      </c>
      <c r="E3092" t="inlineStr">
        <is>
          <t xml:space="preserve">77944870            </t>
        </is>
      </c>
      <c r="F3092" t="n">
        <v>4021697</v>
      </c>
      <c r="G3092" t="inlineStr">
        <is>
          <t xml:space="preserve">MIX SNACK FRUT.SEC/SOJA ZAFRAN 2   </t>
        </is>
      </c>
      <c r="H3092" t="inlineStr">
        <is>
          <t xml:space="preserve">UNIDAD              </t>
        </is>
      </c>
      <c r="I3092" t="n">
        <v>960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960</v>
      </c>
      <c r="P3092" s="96">
        <f>_xlfn.XLOOKUP(Tabla5[[#This Row],[EAN CORREGIDO]],'Tabla Articulos'!B:B,'Tabla Articulos'!D:D)</f>
        <v/>
      </c>
      <c r="Q3092" s="96">
        <f>_xlfn.XLOOKUP(S3092,'Tabla Articulos'!B:B,'Tabla Articulos'!E:E)</f>
        <v/>
      </c>
      <c r="R3092" s="96">
        <f>O3092*Q3092</f>
        <v/>
      </c>
      <c r="S3092" s="97">
        <f>TRIM(E3092)</f>
        <v/>
      </c>
    </row>
    <row r="3093" hidden="1">
      <c r="A3093" s="22" t="n">
        <v>2</v>
      </c>
      <c r="B3093" t="inlineStr">
        <is>
          <t xml:space="preserve">CD CIUDADELA                  </t>
        </is>
      </c>
      <c r="C3093" t="inlineStr">
        <is>
          <t xml:space="preserve">GRUPO L.                      </t>
        </is>
      </c>
      <c r="D3093" t="inlineStr">
        <is>
          <t>CARNE ENTERA</t>
        </is>
      </c>
      <c r="E3093" t="inlineStr">
        <is>
          <t xml:space="preserve">7790212030122       </t>
        </is>
      </c>
      <c r="F3093" t="n">
        <v>4017731</v>
      </c>
      <c r="G3093" t="inlineStr">
        <is>
          <t xml:space="preserve">TAPA DE NALGA X KG                 </t>
        </is>
      </c>
      <c r="H3093" t="inlineStr">
        <is>
          <t xml:space="preserve">Kgs                 </t>
        </is>
      </c>
      <c r="I3093" t="n">
        <v>699.49</v>
      </c>
      <c r="J3093" t="n">
        <v>999.72</v>
      </c>
      <c r="K3093" t="n">
        <v>999.72</v>
      </c>
      <c r="L3093" t="n">
        <v>0</v>
      </c>
      <c r="M3093" t="n">
        <v>-54.2</v>
      </c>
      <c r="N3093" t="n">
        <v>0</v>
      </c>
      <c r="O3093" t="n">
        <v>753.6900000000001</v>
      </c>
      <c r="P3093" s="96">
        <f>_xlfn.XLOOKUP(Tabla5[[#This Row],[EAN CORREGIDO]],'Tabla Articulos'!B:B,'Tabla Articulos'!D:D)</f>
        <v/>
      </c>
      <c r="Q3093" s="96">
        <f>_xlfn.XLOOKUP(S3093,'Tabla Articulos'!B:B,'Tabla Articulos'!E:E)</f>
        <v/>
      </c>
      <c r="R3093" s="96">
        <f>O3093*Q3093</f>
        <v/>
      </c>
      <c r="S3093" s="97">
        <f>TRIM(E3093)</f>
        <v/>
      </c>
    </row>
    <row r="3094" hidden="1">
      <c r="A3094" s="22" t="n">
        <v>2</v>
      </c>
      <c r="B3094" t="inlineStr">
        <is>
          <t xml:space="preserve">CD CIUDADELA                  </t>
        </is>
      </c>
      <c r="C3094" t="inlineStr">
        <is>
          <t xml:space="preserve">GRUPO L.                      </t>
        </is>
      </c>
      <c r="D3094" t="inlineStr">
        <is>
          <t>ACEITE OLIVA</t>
        </is>
      </c>
      <c r="E3094" t="inlineStr">
        <is>
          <t xml:space="preserve">7798261761404       </t>
        </is>
      </c>
      <c r="F3094" t="n">
        <v>4022384</v>
      </c>
      <c r="G3094" t="inlineStr">
        <is>
          <t xml:space="preserve">ACEITE MEZCLA OLIVA X5L REINO      </t>
        </is>
      </c>
      <c r="H3094" t="inlineStr">
        <is>
          <t xml:space="preserve">UNIDAD              </t>
        </is>
      </c>
      <c r="I3094" t="n">
        <v>130</v>
      </c>
      <c r="J3094" t="n">
        <v>0</v>
      </c>
      <c r="K3094" t="n">
        <v>0</v>
      </c>
      <c r="L3094" t="n">
        <v>3</v>
      </c>
      <c r="M3094" t="n">
        <v>3</v>
      </c>
      <c r="N3094" t="n">
        <v>0</v>
      </c>
      <c r="O3094" t="n">
        <v>124</v>
      </c>
      <c r="P3094" s="96">
        <f>_xlfn.XLOOKUP(Tabla5[[#This Row],[EAN CORREGIDO]],'Tabla Articulos'!B:B,'Tabla Articulos'!D:D)</f>
        <v/>
      </c>
      <c r="Q3094" s="96">
        <f>_xlfn.XLOOKUP(S3094,'Tabla Articulos'!B:B,'Tabla Articulos'!E:E)</f>
        <v/>
      </c>
      <c r="R3094" s="96">
        <f>O3094*Q3094</f>
        <v/>
      </c>
      <c r="S3094" s="97">
        <f>TRIM(E3094)</f>
        <v/>
      </c>
    </row>
    <row r="3095" hidden="1">
      <c r="A3095" s="22" t="n">
        <v>2</v>
      </c>
      <c r="B3095" t="inlineStr">
        <is>
          <t xml:space="preserve">CD CIUDADELA                  </t>
        </is>
      </c>
      <c r="C3095" t="inlineStr">
        <is>
          <t xml:space="preserve">GRUPO L.                      </t>
        </is>
      </c>
      <c r="D3095" t="inlineStr">
        <is>
          <t>SEMILLA CHIA</t>
        </is>
      </c>
      <c r="E3095" t="inlineStr">
        <is>
          <t xml:space="preserve">7793323024442       </t>
        </is>
      </c>
      <c r="F3095" t="n">
        <v>4020051</v>
      </c>
      <c r="G3095" t="inlineStr">
        <is>
          <t xml:space="preserve">SEMILLA DE CHIA X1KG DICOMERE      </t>
        </is>
      </c>
      <c r="H3095" t="inlineStr">
        <is>
          <t xml:space="preserve">UNIDAD              </t>
        </is>
      </c>
      <c r="I3095" t="n">
        <v>144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144</v>
      </c>
      <c r="P3095" s="96">
        <f>_xlfn.XLOOKUP(Tabla5[[#This Row],[EAN CORREGIDO]],'Tabla Articulos'!B:B,'Tabla Articulos'!D:D)</f>
        <v/>
      </c>
      <c r="Q3095" s="96">
        <f>_xlfn.XLOOKUP(S3095,'Tabla Articulos'!B:B,'Tabla Articulos'!E:E)</f>
        <v/>
      </c>
      <c r="R3095" s="96">
        <f>O3095*Q3095</f>
        <v/>
      </c>
      <c r="S3095" s="97">
        <f>TRIM(E3095)</f>
        <v/>
      </c>
    </row>
    <row r="3096" hidden="1">
      <c r="A3096" s="22" t="n">
        <v>2</v>
      </c>
      <c r="B3096" t="inlineStr">
        <is>
          <t xml:space="preserve">CD CIUDADELA                  </t>
        </is>
      </c>
      <c r="C3096" t="inlineStr">
        <is>
          <t xml:space="preserve">GRUPO L.                      </t>
        </is>
      </c>
      <c r="D3096" t="inlineStr">
        <is>
          <t>MORRON VERDE</t>
        </is>
      </c>
      <c r="E3096" t="inlineStr">
        <is>
          <t xml:space="preserve">7790216012603       </t>
        </is>
      </c>
      <c r="F3096" t="n">
        <v>4017988</v>
      </c>
      <c r="G3096" t="inlineStr">
        <is>
          <t xml:space="preserve">MORRON VERDE X KG                  </t>
        </is>
      </c>
      <c r="H3096" t="inlineStr">
        <is>
          <t xml:space="preserve">Kgs                 </t>
        </is>
      </c>
      <c r="I3096" t="n">
        <v>285.082</v>
      </c>
      <c r="J3096" t="n">
        <v>0</v>
      </c>
      <c r="K3096" t="n">
        <v>0</v>
      </c>
      <c r="L3096" t="n">
        <v>103.483</v>
      </c>
      <c r="M3096" t="n">
        <v>103.483</v>
      </c>
      <c r="N3096" t="n">
        <v>0</v>
      </c>
      <c r="O3096" t="n">
        <v>78.116</v>
      </c>
      <c r="P3096" s="96">
        <f>_xlfn.XLOOKUP(Tabla5[[#This Row],[EAN CORREGIDO]],'Tabla Articulos'!B:B,'Tabla Articulos'!D:D)</f>
        <v/>
      </c>
      <c r="Q3096" s="96">
        <f>_xlfn.XLOOKUP(S3096,'Tabla Articulos'!B:B,'Tabla Articulos'!E:E)</f>
        <v/>
      </c>
      <c r="R3096" s="96">
        <f>O3096*Q3096</f>
        <v/>
      </c>
      <c r="S3096" s="97">
        <f>TRIM(E3096)</f>
        <v/>
      </c>
    </row>
    <row r="3097" hidden="1">
      <c r="A3097" s="22" t="n">
        <v>2</v>
      </c>
      <c r="B3097" t="inlineStr">
        <is>
          <t xml:space="preserve">CD CIUDADELA                  </t>
        </is>
      </c>
      <c r="C3097" t="inlineStr">
        <is>
          <t xml:space="preserve">GRUPO L.                      </t>
        </is>
      </c>
      <c r="D3097" t="inlineStr">
        <is>
          <t>GASEOSA POMELO</t>
        </is>
      </c>
      <c r="E3097" t="inlineStr">
        <is>
          <t xml:space="preserve">7790895010088       </t>
        </is>
      </c>
      <c r="F3097" t="n">
        <v>4017348</v>
      </c>
      <c r="G3097" t="inlineStr">
        <is>
          <t xml:space="preserve">SCHWEPPES POMELO ZERO X1.5L        </t>
        </is>
      </c>
      <c r="H3097" t="inlineStr">
        <is>
          <t xml:space="preserve">UNIDAD              </t>
        </is>
      </c>
      <c r="I3097" t="n">
        <v>18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18</v>
      </c>
      <c r="P3097" s="96">
        <f>_xlfn.XLOOKUP(Tabla5[[#This Row],[EAN CORREGIDO]],'Tabla Articulos'!B:B,'Tabla Articulos'!D:D)</f>
        <v/>
      </c>
      <c r="Q3097" s="96">
        <f>_xlfn.XLOOKUP(S3097,'Tabla Articulos'!B:B,'Tabla Articulos'!E:E)</f>
        <v/>
      </c>
      <c r="R3097" s="96">
        <f>O3097*Q3097</f>
        <v/>
      </c>
      <c r="S3097" s="97">
        <f>TRIM(E3097)</f>
        <v/>
      </c>
    </row>
    <row r="3098" hidden="1">
      <c r="A3098" s="22" t="n">
        <v>2</v>
      </c>
      <c r="B3098" t="inlineStr">
        <is>
          <t xml:space="preserve">CD CIUDADELA                  </t>
        </is>
      </c>
      <c r="C3098" t="inlineStr">
        <is>
          <t xml:space="preserve">GRUPO L.                      </t>
        </is>
      </c>
      <c r="D3098" t="inlineStr">
        <is>
          <t>BARBACOA</t>
        </is>
      </c>
      <c r="E3098" t="inlineStr">
        <is>
          <t xml:space="preserve">7798011976836       </t>
        </is>
      </c>
      <c r="F3098" t="n">
        <v>4024263</v>
      </c>
      <c r="G3098" t="inlineStr">
        <is>
          <t xml:space="preserve">SALSA BARBACOA X3KG ABEDUL         </t>
        </is>
      </c>
      <c r="H3098" t="inlineStr">
        <is>
          <t xml:space="preserve">UNIDAD              </t>
        </is>
      </c>
      <c r="I3098" t="n">
        <v>38</v>
      </c>
      <c r="J3098" t="n">
        <v>0</v>
      </c>
      <c r="K3098" t="n">
        <v>0</v>
      </c>
      <c r="L3098" t="n">
        <v>5</v>
      </c>
      <c r="M3098" t="n">
        <v>5</v>
      </c>
      <c r="N3098" t="n">
        <v>0</v>
      </c>
      <c r="O3098" t="n">
        <v>28</v>
      </c>
      <c r="P3098" s="96">
        <f>_xlfn.XLOOKUP(Tabla5[[#This Row],[EAN CORREGIDO]],'Tabla Articulos'!B:B,'Tabla Articulos'!D:D)</f>
        <v/>
      </c>
      <c r="Q3098" s="96">
        <f>_xlfn.XLOOKUP(S3098,'Tabla Articulos'!B:B,'Tabla Articulos'!E:E)</f>
        <v/>
      </c>
      <c r="R3098" s="96">
        <f>O3098*Q3098</f>
        <v/>
      </c>
      <c r="S3098" s="97">
        <f>TRIM(E3098)</f>
        <v/>
      </c>
    </row>
    <row r="3099" hidden="1">
      <c r="A3099" s="22" t="n">
        <v>2</v>
      </c>
      <c r="B3099" t="inlineStr">
        <is>
          <t xml:space="preserve">CD CIUDADELA                  </t>
        </is>
      </c>
      <c r="C3099" t="inlineStr">
        <is>
          <t xml:space="preserve">GRUPO L.                      </t>
        </is>
      </c>
      <c r="D3099" t="inlineStr">
        <is>
          <t>FIDEOS GLUTEN S/TACC</t>
        </is>
      </c>
      <c r="E3099" t="inlineStr">
        <is>
          <t xml:space="preserve">7790070335982       </t>
        </is>
      </c>
      <c r="F3099" t="n">
        <v>4019453</v>
      </c>
      <c r="G3099" t="inlineStr">
        <is>
          <t xml:space="preserve">FIDEO TIRAB S/TACC X500G MATARA    </t>
        </is>
      </c>
      <c r="H3099" t="inlineStr">
        <is>
          <t xml:space="preserve">UNIDAD              </t>
        </is>
      </c>
      <c r="I3099" t="n">
        <v>257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257</v>
      </c>
      <c r="P3099" s="96">
        <f>_xlfn.XLOOKUP(Tabla5[[#This Row],[EAN CORREGIDO]],'Tabla Articulos'!B:B,'Tabla Articulos'!D:D)</f>
        <v/>
      </c>
      <c r="Q3099" s="96">
        <f>_xlfn.XLOOKUP(S3099,'Tabla Articulos'!B:B,'Tabla Articulos'!E:E)</f>
        <v/>
      </c>
      <c r="R3099" s="96">
        <f>O3099*Q3099</f>
        <v/>
      </c>
      <c r="S3099" s="97">
        <f>TRIM(E3099)</f>
        <v/>
      </c>
    </row>
    <row r="3100" hidden="1">
      <c r="A3100" s="22" t="n">
        <v>2</v>
      </c>
      <c r="B3100" t="inlineStr">
        <is>
          <t xml:space="preserve">CD CIUDADELA                  </t>
        </is>
      </c>
      <c r="C3100" t="inlineStr">
        <is>
          <t xml:space="preserve">GRUPO L.                      </t>
        </is>
      </c>
      <c r="D3100" t="inlineStr">
        <is>
          <t xml:space="preserve">ESPINACA  </t>
        </is>
      </c>
      <c r="E3100" t="inlineStr">
        <is>
          <t xml:space="preserve">7790216012651       </t>
        </is>
      </c>
      <c r="F3100" t="n">
        <v>4018045</v>
      </c>
      <c r="G3100" t="inlineStr">
        <is>
          <t xml:space="preserve">ESPINACA X KG                      </t>
        </is>
      </c>
      <c r="H3100" t="inlineStr">
        <is>
          <t xml:space="preserve">Kgs                 </t>
        </is>
      </c>
      <c r="I3100" t="n">
        <v>49.2</v>
      </c>
      <c r="J3100" t="n">
        <v>0</v>
      </c>
      <c r="K3100" t="n">
        <v>0</v>
      </c>
      <c r="L3100" t="n">
        <v>19.8</v>
      </c>
      <c r="M3100" t="n">
        <v>21.5</v>
      </c>
      <c r="N3100" t="n">
        <v>0</v>
      </c>
      <c r="O3100" t="n">
        <v>7.9</v>
      </c>
      <c r="P3100" s="96">
        <f>_xlfn.XLOOKUP(Tabla5[[#This Row],[EAN CORREGIDO]],'Tabla Articulos'!B:B,'Tabla Articulos'!D:D)</f>
        <v/>
      </c>
      <c r="Q3100" s="96">
        <f>_xlfn.XLOOKUP(S3100,'Tabla Articulos'!B:B,'Tabla Articulos'!E:E)</f>
        <v/>
      </c>
      <c r="R3100" s="96">
        <f>O3100*Q3100</f>
        <v/>
      </c>
      <c r="S3100" s="97">
        <f>TRIM(E3100)</f>
        <v/>
      </c>
    </row>
    <row r="3101" hidden="1">
      <c r="A3101" s="22" t="n">
        <v>2</v>
      </c>
      <c r="B3101" t="inlineStr">
        <is>
          <t xml:space="preserve">CD CIUDADELA                  </t>
        </is>
      </c>
      <c r="C3101" t="inlineStr">
        <is>
          <t xml:space="preserve">GRUPO L.                      </t>
        </is>
      </c>
      <c r="D3101" t="inlineStr">
        <is>
          <t>RESINITE PVC</t>
        </is>
      </c>
      <c r="E3101" t="inlineStr">
        <is>
          <t xml:space="preserve">7790000000228       </t>
        </is>
      </c>
      <c r="F3101" t="n">
        <v>2007184</v>
      </c>
      <c r="G3101" t="inlineStr">
        <is>
          <t xml:space="preserve">FILM PVC 38 CM 3.390KG X1UN        </t>
        </is>
      </c>
      <c r="H3101" t="inlineStr">
        <is>
          <t xml:space="preserve">UNIDAD              </t>
        </is>
      </c>
      <c r="I3101" t="n">
        <v>94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94</v>
      </c>
      <c r="P3101" s="96">
        <f>_xlfn.XLOOKUP(Tabla5[[#This Row],[EAN CORREGIDO]],'Tabla Articulos'!B:B,'Tabla Articulos'!D:D)</f>
        <v/>
      </c>
      <c r="Q3101" s="96">
        <f>_xlfn.XLOOKUP(S3101,'Tabla Articulos'!B:B,'Tabla Articulos'!E:E)</f>
        <v/>
      </c>
      <c r="R3101" s="96">
        <f>O3101*Q3101</f>
        <v/>
      </c>
      <c r="S3101" s="97">
        <f>TRIM(E3101)</f>
        <v/>
      </c>
    </row>
    <row r="3102" hidden="1">
      <c r="A3102" s="22" t="n">
        <v>2</v>
      </c>
      <c r="B3102" t="inlineStr">
        <is>
          <t xml:space="preserve">CD CIUDADELA                  </t>
        </is>
      </c>
      <c r="C3102" t="inlineStr">
        <is>
          <t xml:space="preserve">GRUPO L.                      </t>
        </is>
      </c>
      <c r="D3102" t="inlineStr">
        <is>
          <t>POROTOS SECOS</t>
        </is>
      </c>
      <c r="E3102" t="inlineStr">
        <is>
          <t xml:space="preserve">7791476057058       </t>
        </is>
      </c>
      <c r="F3102" t="n">
        <v>4024851</v>
      </c>
      <c r="G3102" t="inlineStr">
        <is>
          <t xml:space="preserve">POROTOS ALUBIA X5KG EGRAN          </t>
        </is>
      </c>
      <c r="H3102" t="inlineStr">
        <is>
          <t xml:space="preserve">UNIDAD              </t>
        </is>
      </c>
      <c r="I3102" t="n">
        <v>156</v>
      </c>
      <c r="J3102" t="n">
        <v>0</v>
      </c>
      <c r="K3102" t="n">
        <v>0</v>
      </c>
      <c r="L3102" t="n">
        <v>6</v>
      </c>
      <c r="M3102" t="n">
        <v>6</v>
      </c>
      <c r="N3102" t="n">
        <v>0</v>
      </c>
      <c r="O3102" t="n">
        <v>144</v>
      </c>
      <c r="P3102" s="96">
        <f>_xlfn.XLOOKUP(Tabla5[[#This Row],[EAN CORREGIDO]],'Tabla Articulos'!B:B,'Tabla Articulos'!D:D)</f>
        <v/>
      </c>
      <c r="Q3102" s="96">
        <f>_xlfn.XLOOKUP(S3102,'Tabla Articulos'!B:B,'Tabla Articulos'!E:E)</f>
        <v/>
      </c>
      <c r="R3102" s="96">
        <f>O3102*Q3102</f>
        <v/>
      </c>
      <c r="S3102" s="97">
        <f>TRIM(E3102)</f>
        <v/>
      </c>
    </row>
    <row r="3103" hidden="1">
      <c r="A3103" s="22" t="n">
        <v>2</v>
      </c>
      <c r="B3103" t="inlineStr">
        <is>
          <t xml:space="preserve">CD CIUDADELA                  </t>
        </is>
      </c>
      <c r="C3103" t="inlineStr">
        <is>
          <t xml:space="preserve">GRUPO L.                      </t>
        </is>
      </c>
      <c r="D3103" t="inlineStr">
        <is>
          <t>PANADERIA CONGELADA</t>
        </is>
      </c>
      <c r="E3103" t="inlineStr">
        <is>
          <t xml:space="preserve">7798088625422       </t>
        </is>
      </c>
      <c r="F3103" t="n">
        <v>4018599</v>
      </c>
      <c r="G3103" t="inlineStr">
        <is>
          <t>BUDIN ENTERO LIMON/ARAND XU SELYGEL</t>
        </is>
      </c>
      <c r="H3103" t="inlineStr">
        <is>
          <t xml:space="preserve">UNIDAD              </t>
        </is>
      </c>
      <c r="I3103" t="n">
        <v>3</v>
      </c>
      <c r="J3103" t="n">
        <v>0</v>
      </c>
      <c r="K3103" t="n">
        <v>0</v>
      </c>
      <c r="L3103" t="n">
        <v>0</v>
      </c>
      <c r="M3103" t="n">
        <v>0</v>
      </c>
      <c r="N3103" t="n">
        <v>3</v>
      </c>
      <c r="O3103" t="n">
        <v>0</v>
      </c>
      <c r="P3103" s="96">
        <f>_xlfn.XLOOKUP(Tabla5[[#This Row],[EAN CORREGIDO]],'Tabla Articulos'!B:B,'Tabla Articulos'!D:D)</f>
        <v/>
      </c>
      <c r="Q3103" s="96">
        <f>_xlfn.XLOOKUP(S3103,'Tabla Articulos'!B:B,'Tabla Articulos'!E:E)</f>
        <v/>
      </c>
      <c r="R3103" s="96">
        <f>O3103*Q3103</f>
        <v/>
      </c>
      <c r="S3103" s="97">
        <f>TRIM(E3103)</f>
        <v/>
      </c>
    </row>
    <row r="3104" hidden="1">
      <c r="A3104" s="22" t="n">
        <v>2</v>
      </c>
      <c r="B3104" t="inlineStr">
        <is>
          <t xml:space="preserve">CD CIUDADELA                  </t>
        </is>
      </c>
      <c r="C3104" t="inlineStr">
        <is>
          <t xml:space="preserve">GRUPO L.                      </t>
        </is>
      </c>
      <c r="D3104" t="inlineStr">
        <is>
          <t>TOMATE CHERRY</t>
        </is>
      </c>
      <c r="E3104" t="inlineStr">
        <is>
          <t xml:space="preserve">7790216012626       </t>
        </is>
      </c>
      <c r="F3104" t="n">
        <v>4018053</v>
      </c>
      <c r="G3104" t="inlineStr">
        <is>
          <t xml:space="preserve">TOMATE CHERRY X KG                 </t>
        </is>
      </c>
      <c r="H3104" t="inlineStr">
        <is>
          <t xml:space="preserve">Kgs                 </t>
        </is>
      </c>
      <c r="I3104" t="n">
        <v>77.09999999999999</v>
      </c>
      <c r="J3104" t="n">
        <v>0</v>
      </c>
      <c r="K3104" t="n">
        <v>0</v>
      </c>
      <c r="L3104" t="n">
        <v>34.5</v>
      </c>
      <c r="M3104" t="n">
        <v>34.5</v>
      </c>
      <c r="N3104" t="n">
        <v>0</v>
      </c>
      <c r="O3104" t="n">
        <v>8.1</v>
      </c>
      <c r="P3104" s="96">
        <f>_xlfn.XLOOKUP(Tabla5[[#This Row],[EAN CORREGIDO]],'Tabla Articulos'!B:B,'Tabla Articulos'!D:D)</f>
        <v/>
      </c>
      <c r="Q3104" s="96">
        <f>_xlfn.XLOOKUP(S3104,'Tabla Articulos'!B:B,'Tabla Articulos'!E:E)</f>
        <v/>
      </c>
      <c r="R3104" s="96">
        <f>O3104*Q3104</f>
        <v/>
      </c>
      <c r="S3104" s="97">
        <f>TRIM(E3104)</f>
        <v/>
      </c>
    </row>
    <row r="3105" hidden="1">
      <c r="A3105" s="22" t="n">
        <v>2</v>
      </c>
      <c r="B3105" t="inlineStr">
        <is>
          <t xml:space="preserve">CD CIUDADELA                  </t>
        </is>
      </c>
      <c r="C3105" t="inlineStr">
        <is>
          <t xml:space="preserve">GRUPO L.                      </t>
        </is>
      </c>
      <c r="D3105" t="inlineStr">
        <is>
          <t>MANTECA GRANEL</t>
        </is>
      </c>
      <c r="E3105" t="inlineStr">
        <is>
          <t xml:space="preserve">7791435000248       </t>
        </is>
      </c>
      <c r="F3105" t="n">
        <v>4018117</v>
      </c>
      <c r="G3105" t="inlineStr">
        <is>
          <t xml:space="preserve">MANTECA X5K INTY                   </t>
        </is>
      </c>
      <c r="H3105" t="inlineStr">
        <is>
          <t xml:space="preserve">UNIDAD              </t>
        </is>
      </c>
      <c r="I3105" t="n">
        <v>455</v>
      </c>
      <c r="J3105" t="n">
        <v>0</v>
      </c>
      <c r="K3105" t="n">
        <v>0</v>
      </c>
      <c r="L3105" t="n">
        <v>6</v>
      </c>
      <c r="M3105" t="n">
        <v>6</v>
      </c>
      <c r="N3105" t="n">
        <v>0</v>
      </c>
      <c r="O3105" t="n">
        <v>443</v>
      </c>
      <c r="P3105" s="96">
        <f>_xlfn.XLOOKUP(Tabla5[[#This Row],[EAN CORREGIDO]],'Tabla Articulos'!B:B,'Tabla Articulos'!D:D)</f>
        <v/>
      </c>
      <c r="Q3105" s="96">
        <f>_xlfn.XLOOKUP(S3105,'Tabla Articulos'!B:B,'Tabla Articulos'!E:E)</f>
        <v/>
      </c>
      <c r="R3105" s="96">
        <f>O3105*Q3105</f>
        <v/>
      </c>
      <c r="S3105" s="97">
        <f>TRIM(E3105)</f>
        <v/>
      </c>
    </row>
    <row r="3106" hidden="1">
      <c r="A3106" s="22" t="n">
        <v>2</v>
      </c>
      <c r="B3106" t="inlineStr">
        <is>
          <t xml:space="preserve">CD CIUDADELA                  </t>
        </is>
      </c>
      <c r="C3106" t="inlineStr">
        <is>
          <t xml:space="preserve">GRUPO L.                      </t>
        </is>
      </c>
      <c r="D3106" t="inlineStr">
        <is>
          <t>CAFE MOLIDO</t>
        </is>
      </c>
      <c r="E3106" t="inlineStr">
        <is>
          <t xml:space="preserve">7798092900102       </t>
        </is>
      </c>
      <c r="F3106" t="n">
        <v>4021153</v>
      </c>
      <c r="G3106" t="inlineStr">
        <is>
          <t xml:space="preserve">CAFE TORRADO MOLIDO X1KG NOBLEZA   </t>
        </is>
      </c>
      <c r="H3106" t="inlineStr">
        <is>
          <t xml:space="preserve">UNIDAD              </t>
        </is>
      </c>
      <c r="I3106" t="n">
        <v>1982</v>
      </c>
      <c r="J3106" t="n">
        <v>0</v>
      </c>
      <c r="K3106" t="n">
        <v>572</v>
      </c>
      <c r="L3106" t="n">
        <v>19</v>
      </c>
      <c r="M3106" t="n">
        <v>19</v>
      </c>
      <c r="N3106" t="n">
        <v>0</v>
      </c>
      <c r="O3106" t="n">
        <v>1372</v>
      </c>
      <c r="P3106" s="96">
        <f>_xlfn.XLOOKUP(Tabla5[[#This Row],[EAN CORREGIDO]],'Tabla Articulos'!B:B,'Tabla Articulos'!D:D)</f>
        <v/>
      </c>
      <c r="Q3106" s="96">
        <f>_xlfn.XLOOKUP(S3106,'Tabla Articulos'!B:B,'Tabla Articulos'!E:E)</f>
        <v/>
      </c>
      <c r="R3106" s="96">
        <f>O3106*Q3106</f>
        <v/>
      </c>
      <c r="S3106" s="97">
        <f>TRIM(E3106)</f>
        <v/>
      </c>
    </row>
    <row r="3107" hidden="1">
      <c r="A3107" s="22" t="n">
        <v>2</v>
      </c>
      <c r="B3107" t="inlineStr">
        <is>
          <t xml:space="preserve">CD CIUDADELA                  </t>
        </is>
      </c>
      <c r="C3107" t="inlineStr">
        <is>
          <t xml:space="preserve">GRUPO L.                      </t>
        </is>
      </c>
      <c r="D3107" t="inlineStr">
        <is>
          <t>ALMIDON DE MAIZ CELIACO</t>
        </is>
      </c>
      <c r="E3107" t="inlineStr">
        <is>
          <t xml:space="preserve">7794000599468       </t>
        </is>
      </c>
      <c r="F3107" t="n">
        <v>4020230</v>
      </c>
      <c r="G3107" t="inlineStr">
        <is>
          <t xml:space="preserve">ALMIDON DE MAIZ X 1.1 KG MAIZE     </t>
        </is>
      </c>
      <c r="H3107" t="inlineStr">
        <is>
          <t xml:space="preserve">UNIDAD              </t>
        </is>
      </c>
      <c r="I3107" t="n">
        <v>172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172</v>
      </c>
      <c r="P3107" s="96">
        <f>_xlfn.XLOOKUP(Tabla5[[#This Row],[EAN CORREGIDO]],'Tabla Articulos'!B:B,'Tabla Articulos'!D:D)</f>
        <v/>
      </c>
      <c r="Q3107" s="96">
        <f>_xlfn.XLOOKUP(S3107,'Tabla Articulos'!B:B,'Tabla Articulos'!E:E)</f>
        <v/>
      </c>
      <c r="R3107" s="96">
        <f>O3107*Q3107</f>
        <v/>
      </c>
      <c r="S3107" s="97">
        <f>TRIM(E3107)</f>
        <v/>
      </c>
    </row>
    <row r="3108" hidden="1">
      <c r="A3108" s="22" t="n">
        <v>2</v>
      </c>
      <c r="B3108" t="inlineStr">
        <is>
          <t xml:space="preserve">CD CIUDADELA                  </t>
        </is>
      </c>
      <c r="C3108" t="inlineStr">
        <is>
          <t xml:space="preserve">GRUPO L.                      </t>
        </is>
      </c>
      <c r="D3108" t="inlineStr">
        <is>
          <t>DURAZNO DH</t>
        </is>
      </c>
      <c r="E3108" t="inlineStr">
        <is>
          <t xml:space="preserve">7791351138087       </t>
        </is>
      </c>
      <c r="F3108" t="n">
        <v>4077505</v>
      </c>
      <c r="G3108" t="inlineStr">
        <is>
          <t xml:space="preserve">DURAZNO DESH X5KG EL PEONCITO      </t>
        </is>
      </c>
      <c r="H3108" t="inlineStr">
        <is>
          <t xml:space="preserve">UNIDAD              </t>
        </is>
      </c>
      <c r="I3108" t="n">
        <v>11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11</v>
      </c>
      <c r="P3108" s="96">
        <f>_xlfn.XLOOKUP(Tabla5[[#This Row],[EAN CORREGIDO]],'Tabla Articulos'!B:B,'Tabla Articulos'!D:D)</f>
        <v/>
      </c>
      <c r="Q3108" s="96">
        <f>_xlfn.XLOOKUP(S3108,'Tabla Articulos'!B:B,'Tabla Articulos'!E:E)</f>
        <v/>
      </c>
      <c r="R3108" s="96">
        <f>O3108*Q3108</f>
        <v/>
      </c>
      <c r="S3108" s="97">
        <f>TRIM(E3108)</f>
        <v/>
      </c>
    </row>
    <row r="3109" hidden="1">
      <c r="A3109" s="22" t="n">
        <v>2</v>
      </c>
      <c r="B3109" t="inlineStr">
        <is>
          <t xml:space="preserve">CD CIUDADELA                  </t>
        </is>
      </c>
      <c r="C3109" t="inlineStr">
        <is>
          <t xml:space="preserve">GRUPO L.                      </t>
        </is>
      </c>
      <c r="D3109" t="inlineStr">
        <is>
          <t>MAYONESA</t>
        </is>
      </c>
      <c r="E3109" t="inlineStr">
        <is>
          <t xml:space="preserve">7798011976966       </t>
        </is>
      </c>
      <c r="F3109" t="n">
        <v>4024613</v>
      </c>
      <c r="G3109" t="inlineStr">
        <is>
          <t xml:space="preserve">MAYONESA X3KG ABEDUL               </t>
        </is>
      </c>
      <c r="H3109" t="inlineStr">
        <is>
          <t xml:space="preserve">UNIDAD              </t>
        </is>
      </c>
      <c r="I3109" t="n">
        <v>1994</v>
      </c>
      <c r="J3109" t="n">
        <v>0</v>
      </c>
      <c r="K3109" t="n">
        <v>0</v>
      </c>
      <c r="L3109" t="n">
        <v>9</v>
      </c>
      <c r="M3109" t="n">
        <v>9</v>
      </c>
      <c r="N3109" t="n">
        <v>0</v>
      </c>
      <c r="O3109" t="n">
        <v>1976</v>
      </c>
      <c r="P3109" s="96">
        <f>_xlfn.XLOOKUP(Tabla5[[#This Row],[EAN CORREGIDO]],'Tabla Articulos'!B:B,'Tabla Articulos'!D:D)</f>
        <v/>
      </c>
      <c r="Q3109" s="96">
        <f>_xlfn.XLOOKUP(S3109,'Tabla Articulos'!B:B,'Tabla Articulos'!E:E)</f>
        <v/>
      </c>
      <c r="R3109" s="96">
        <f>O3109*Q3109</f>
        <v/>
      </c>
      <c r="S3109" s="97">
        <f>TRIM(E3109)</f>
        <v/>
      </c>
    </row>
    <row r="3110" hidden="1">
      <c r="A3110" s="22" t="n">
        <v>2</v>
      </c>
      <c r="B3110" t="inlineStr">
        <is>
          <t xml:space="preserve">CD CIUDADELA                  </t>
        </is>
      </c>
      <c r="C3110" t="inlineStr">
        <is>
          <t xml:space="preserve">GRUPO L.                      </t>
        </is>
      </c>
      <c r="D3110" t="inlineStr">
        <is>
          <t>ARROZ 0000</t>
        </is>
      </c>
      <c r="E3110" t="inlineStr">
        <is>
          <t xml:space="preserve">7793650000041       </t>
        </is>
      </c>
      <c r="F3110" t="n">
        <v>4049075</v>
      </c>
      <c r="G3110" t="inlineStr">
        <is>
          <t xml:space="preserve">ARROZ 0000 X500GRS CAROGRAN        </t>
        </is>
      </c>
      <c r="H3110" t="inlineStr">
        <is>
          <t xml:space="preserve">UNIDAD              </t>
        </is>
      </c>
      <c r="I3110" t="n">
        <v>58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58</v>
      </c>
      <c r="P3110" s="96">
        <f>_xlfn.XLOOKUP(Tabla5[[#This Row],[EAN CORREGIDO]],'Tabla Articulos'!B:B,'Tabla Articulos'!D:D)</f>
        <v/>
      </c>
      <c r="Q3110" s="96">
        <f>_xlfn.XLOOKUP(S3110,'Tabla Articulos'!B:B,'Tabla Articulos'!E:E)</f>
        <v/>
      </c>
      <c r="R3110" s="96">
        <f>O3110*Q3110</f>
        <v/>
      </c>
      <c r="S3110" s="97">
        <f>TRIM(E3110)</f>
        <v/>
      </c>
    </row>
    <row r="3111" hidden="1">
      <c r="A3111" s="22" t="n">
        <v>2</v>
      </c>
      <c r="B3111" t="inlineStr">
        <is>
          <t xml:space="preserve">CD CIUDADELA                  </t>
        </is>
      </c>
      <c r="C3111" t="inlineStr">
        <is>
          <t xml:space="preserve">GRUPO L.                      </t>
        </is>
      </c>
      <c r="D3111" t="inlineStr">
        <is>
          <t>ARROZ CARNAROLI</t>
        </is>
      </c>
      <c r="E3111" t="inlineStr">
        <is>
          <t xml:space="preserve">7791880001647       </t>
        </is>
      </c>
      <c r="F3111" t="n">
        <v>4020168</v>
      </c>
      <c r="G3111" t="inlineStr">
        <is>
          <t xml:space="preserve">ARROZ CARNAROLI X5KG GALLO         </t>
        </is>
      </c>
      <c r="H3111" t="inlineStr">
        <is>
          <t xml:space="preserve">UNIDAD              </t>
        </is>
      </c>
      <c r="I3111" t="n">
        <v>19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19</v>
      </c>
      <c r="P3111" s="96">
        <f>_xlfn.XLOOKUP(Tabla5[[#This Row],[EAN CORREGIDO]],'Tabla Articulos'!B:B,'Tabla Articulos'!D:D)</f>
        <v/>
      </c>
      <c r="Q3111" s="96">
        <f>_xlfn.XLOOKUP(S3111,'Tabla Articulos'!B:B,'Tabla Articulos'!E:E)</f>
        <v/>
      </c>
      <c r="R3111" s="96">
        <f>O3111*Q3111</f>
        <v/>
      </c>
      <c r="S3111" s="97">
        <f>TRIM(E3111)</f>
        <v/>
      </c>
    </row>
    <row r="3112" hidden="1">
      <c r="A3112" s="22" t="n">
        <v>2</v>
      </c>
      <c r="B3112" t="inlineStr">
        <is>
          <t xml:space="preserve">CD CIUDADELA                  </t>
        </is>
      </c>
      <c r="C3112" t="inlineStr">
        <is>
          <t xml:space="preserve">GRUPO L.                      </t>
        </is>
      </c>
      <c r="D3112" t="inlineStr">
        <is>
          <t>ZAPALLO CABUTIA</t>
        </is>
      </c>
      <c r="E3112" t="inlineStr">
        <is>
          <t xml:space="preserve">7790000000363       </t>
        </is>
      </c>
      <c r="F3112" t="n">
        <v>4022832</v>
      </c>
      <c r="G3112" t="inlineStr">
        <is>
          <t xml:space="preserve">ZAPALLO CABUTIA XKG MARCA PROPIA   </t>
        </is>
      </c>
      <c r="H3112" t="inlineStr">
        <is>
          <t xml:space="preserve">Kgs                 </t>
        </is>
      </c>
      <c r="I3112" t="n">
        <v>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8</v>
      </c>
      <c r="P3112" s="96">
        <f>_xlfn.XLOOKUP(Tabla5[[#This Row],[EAN CORREGIDO]],'Tabla Articulos'!B:B,'Tabla Articulos'!D:D)</f>
        <v/>
      </c>
      <c r="Q3112" s="96">
        <f>_xlfn.XLOOKUP(S3112,'Tabla Articulos'!B:B,'Tabla Articulos'!E:E)</f>
        <v/>
      </c>
      <c r="R3112" s="96">
        <f>O3112*Q3112</f>
        <v/>
      </c>
      <c r="S3112" s="97">
        <f>TRIM(E3112)</f>
        <v/>
      </c>
    </row>
    <row r="3113" hidden="1">
      <c r="A3113" s="22" t="n">
        <v>2</v>
      </c>
      <c r="B3113" t="inlineStr">
        <is>
          <t xml:space="preserve">CD CIUDADELA                  </t>
        </is>
      </c>
      <c r="C3113" t="inlineStr">
        <is>
          <t xml:space="preserve">GRUPO L.                      </t>
        </is>
      </c>
      <c r="D3113" t="inlineStr">
        <is>
          <t>PANADERIA CONGELADA</t>
        </is>
      </c>
      <c r="E3113" t="inlineStr">
        <is>
          <t xml:space="preserve">7799132966568       </t>
        </is>
      </c>
      <c r="F3113" t="n">
        <v>4018526</v>
      </c>
      <c r="G3113" t="inlineStr">
        <is>
          <t xml:space="preserve">CHEESECAKE C/FRUTOS X9U SELYGEL    </t>
        </is>
      </c>
      <c r="H3113" t="inlineStr">
        <is>
          <t xml:space="preserve">UNIDAD              </t>
        </is>
      </c>
      <c r="I3113" t="n">
        <v>6</v>
      </c>
      <c r="J3113" t="n">
        <v>0</v>
      </c>
      <c r="K3113" t="n">
        <v>0</v>
      </c>
      <c r="L3113" t="n">
        <v>0</v>
      </c>
      <c r="M3113" t="n">
        <v>0</v>
      </c>
      <c r="N3113" t="n">
        <v>6</v>
      </c>
      <c r="O3113" t="n">
        <v>0</v>
      </c>
      <c r="P3113" s="96">
        <f>_xlfn.XLOOKUP(Tabla5[[#This Row],[EAN CORREGIDO]],'Tabla Articulos'!B:B,'Tabla Articulos'!D:D)</f>
        <v/>
      </c>
      <c r="Q3113" s="96">
        <f>_xlfn.XLOOKUP(S3113,'Tabla Articulos'!B:B,'Tabla Articulos'!E:E)</f>
        <v/>
      </c>
      <c r="R3113" s="96">
        <f>O3113*Q3113</f>
        <v/>
      </c>
      <c r="S3113" s="97">
        <f>TRIM(E3113)</f>
        <v/>
      </c>
    </row>
    <row r="3114" hidden="1">
      <c r="A3114" s="22" t="n">
        <v>2</v>
      </c>
      <c r="B3114" t="inlineStr">
        <is>
          <t xml:space="preserve">CD CIUDADELA                  </t>
        </is>
      </c>
      <c r="C3114" t="inlineStr">
        <is>
          <t xml:space="preserve">GRUPO L.                      </t>
        </is>
      </c>
      <c r="D3114" t="inlineStr">
        <is>
          <t>FIDEOS SOPEROS</t>
        </is>
      </c>
      <c r="E3114" t="inlineStr">
        <is>
          <t xml:space="preserve">7790070320155       </t>
        </is>
      </c>
      <c r="F3114" t="n">
        <v>4019452</v>
      </c>
      <c r="G3114" t="inlineStr">
        <is>
          <t xml:space="preserve">FIDEO SOP CAB ANG X 500 G LUCH     </t>
        </is>
      </c>
      <c r="H3114" t="inlineStr">
        <is>
          <t xml:space="preserve">UNIDAD              </t>
        </is>
      </c>
      <c r="I3114" t="n">
        <v>362</v>
      </c>
      <c r="J3114" t="n">
        <v>0</v>
      </c>
      <c r="K3114" t="n">
        <v>0</v>
      </c>
      <c r="L3114" t="n">
        <v>7</v>
      </c>
      <c r="M3114" t="n">
        <v>7</v>
      </c>
      <c r="N3114" t="n">
        <v>0</v>
      </c>
      <c r="O3114" t="n">
        <v>348</v>
      </c>
      <c r="P3114" s="96">
        <f>_xlfn.XLOOKUP(Tabla5[[#This Row],[EAN CORREGIDO]],'Tabla Articulos'!B:B,'Tabla Articulos'!D:D)</f>
        <v/>
      </c>
      <c r="Q3114" s="96">
        <f>_xlfn.XLOOKUP(S3114,'Tabla Articulos'!B:B,'Tabla Articulos'!E:E)</f>
        <v/>
      </c>
      <c r="R3114" s="96">
        <f>O3114*Q3114</f>
        <v/>
      </c>
      <c r="S3114" s="97">
        <f>TRIM(E3114)</f>
        <v/>
      </c>
    </row>
    <row r="3115" hidden="1">
      <c r="A3115" s="22" t="n">
        <v>2</v>
      </c>
      <c r="B3115" t="inlineStr">
        <is>
          <t xml:space="preserve">CD CIUDADELA                  </t>
        </is>
      </c>
      <c r="C3115" t="inlineStr">
        <is>
          <t xml:space="preserve">GRUPO L.                      </t>
        </is>
      </c>
      <c r="D3115" t="inlineStr">
        <is>
          <t>TARTA IND CALABAZA</t>
        </is>
      </c>
      <c r="E3115" t="inlineStr">
        <is>
          <t xml:space="preserve">7798131130453       </t>
        </is>
      </c>
      <c r="F3115" t="n">
        <v>4076558</v>
      </c>
      <c r="G3115" t="inlineStr">
        <is>
          <t xml:space="preserve">TARTA CALABAZA CONG. LA DELFINA    </t>
        </is>
      </c>
      <c r="H3115" t="inlineStr">
        <is>
          <t xml:space="preserve">UNIDAD              </t>
        </is>
      </c>
      <c r="I3115" t="n">
        <v>27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27</v>
      </c>
      <c r="P3115" s="96">
        <f>_xlfn.XLOOKUP(Tabla5[[#This Row],[EAN CORREGIDO]],'Tabla Articulos'!B:B,'Tabla Articulos'!D:D)</f>
        <v/>
      </c>
      <c r="Q3115" s="96">
        <f>_xlfn.XLOOKUP(S3115,'Tabla Articulos'!B:B,'Tabla Articulos'!E:E)</f>
        <v/>
      </c>
      <c r="R3115" s="96">
        <f>O3115*Q3115</f>
        <v/>
      </c>
      <c r="S3115" s="97">
        <f>TRIM(E3115)</f>
        <v/>
      </c>
    </row>
    <row r="3116" hidden="1">
      <c r="A3116" s="22" t="n">
        <v>2</v>
      </c>
      <c r="B3116" t="inlineStr">
        <is>
          <t xml:space="preserve">CD CIUDADELA                  </t>
        </is>
      </c>
      <c r="C3116" t="inlineStr">
        <is>
          <t xml:space="preserve">GRUPO L.                      </t>
        </is>
      </c>
      <c r="D3116" t="inlineStr">
        <is>
          <t>SALAMIN</t>
        </is>
      </c>
      <c r="E3116" t="inlineStr">
        <is>
          <t xml:space="preserve">7796804002021       </t>
        </is>
      </c>
      <c r="F3116" t="n">
        <v>4017677</v>
      </c>
      <c r="G3116" t="inlineStr">
        <is>
          <t xml:space="preserve">SALAMIN PICADO GRUESO XKG          </t>
        </is>
      </c>
      <c r="H3116" t="inlineStr">
        <is>
          <t xml:space="preserve">Kgs                 </t>
        </is>
      </c>
      <c r="I3116" t="n">
        <v>103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103</v>
      </c>
      <c r="P3116" s="96">
        <f>_xlfn.XLOOKUP(Tabla5[[#This Row],[EAN CORREGIDO]],'Tabla Articulos'!B:B,'Tabla Articulos'!D:D)</f>
        <v/>
      </c>
      <c r="Q3116" s="96">
        <f>_xlfn.XLOOKUP(S3116,'Tabla Articulos'!B:B,'Tabla Articulos'!E:E)</f>
        <v/>
      </c>
      <c r="R3116" s="96">
        <f>O3116*Q3116</f>
        <v/>
      </c>
      <c r="S3116" s="97">
        <f>TRIM(E3116)</f>
        <v/>
      </c>
    </row>
    <row r="3117" hidden="1">
      <c r="A3117" s="22" t="n">
        <v>2</v>
      </c>
      <c r="B3117" t="inlineStr">
        <is>
          <t xml:space="preserve">CD CIUDADELA                  </t>
        </is>
      </c>
      <c r="C3117" t="inlineStr">
        <is>
          <t xml:space="preserve">GRUPO L.                      </t>
        </is>
      </c>
      <c r="D3117" t="inlineStr">
        <is>
          <t>GELATINA FRUTILLA</t>
        </is>
      </c>
      <c r="E3117" t="inlineStr">
        <is>
          <t xml:space="preserve">790757899506        </t>
        </is>
      </c>
      <c r="F3117" t="n">
        <v>4022492</v>
      </c>
      <c r="G3117" t="inlineStr">
        <is>
          <t xml:space="preserve">GELATINA FRUTILLA 1KG POREC        </t>
        </is>
      </c>
      <c r="H3117" t="inlineStr">
        <is>
          <t xml:space="preserve">UNIDAD              </t>
        </is>
      </c>
      <c r="I3117" t="n">
        <v>224</v>
      </c>
      <c r="J3117" t="n">
        <v>0</v>
      </c>
      <c r="K3117" t="n">
        <v>0</v>
      </c>
      <c r="L3117" t="n">
        <v>4</v>
      </c>
      <c r="M3117" t="n">
        <v>4</v>
      </c>
      <c r="N3117" t="n">
        <v>0</v>
      </c>
      <c r="O3117" t="n">
        <v>216</v>
      </c>
      <c r="P3117" s="96">
        <f>_xlfn.XLOOKUP(Tabla5[[#This Row],[EAN CORREGIDO]],'Tabla Articulos'!B:B,'Tabla Articulos'!D:D)</f>
        <v/>
      </c>
      <c r="Q3117" s="96">
        <f>_xlfn.XLOOKUP(S3117,'Tabla Articulos'!B:B,'Tabla Articulos'!E:E)</f>
        <v/>
      </c>
      <c r="R3117" s="96">
        <f>O3117*Q3117</f>
        <v/>
      </c>
      <c r="S3117" s="97">
        <f>TRIM(E3117)</f>
        <v/>
      </c>
    </row>
    <row r="3118" hidden="1">
      <c r="A3118" s="22" t="n">
        <v>2</v>
      </c>
      <c r="B3118" t="inlineStr">
        <is>
          <t xml:space="preserve">CD CIUDADELA                  </t>
        </is>
      </c>
      <c r="C3118" t="inlineStr">
        <is>
          <t xml:space="preserve">GRUPO L.                      </t>
        </is>
      </c>
      <c r="D3118" t="inlineStr">
        <is>
          <t>GELATINA FRUTILLA LIGHT</t>
        </is>
      </c>
      <c r="E3118" t="inlineStr">
        <is>
          <t xml:space="preserve">7791113002151       </t>
        </is>
      </c>
      <c r="F3118" t="n">
        <v>4019998</v>
      </c>
      <c r="G3118" t="inlineStr">
        <is>
          <t xml:space="preserve">GELATINA FRUTI LIGHT X25G EMET     </t>
        </is>
      </c>
      <c r="H3118" t="inlineStr">
        <is>
          <t xml:space="preserve">UNIDAD              </t>
        </is>
      </c>
      <c r="I3118" t="n">
        <v>1929</v>
      </c>
      <c r="J3118" t="n">
        <v>0</v>
      </c>
      <c r="K3118" t="n">
        <v>0</v>
      </c>
      <c r="L3118" t="n">
        <v>160</v>
      </c>
      <c r="M3118" t="n">
        <v>160</v>
      </c>
      <c r="N3118" t="n">
        <v>0</v>
      </c>
      <c r="O3118" t="n">
        <v>1609</v>
      </c>
      <c r="P3118" s="96">
        <f>_xlfn.XLOOKUP(Tabla5[[#This Row],[EAN CORREGIDO]],'Tabla Articulos'!B:B,'Tabla Articulos'!D:D)</f>
        <v/>
      </c>
      <c r="Q3118" s="96">
        <f>_xlfn.XLOOKUP(S3118,'Tabla Articulos'!B:B,'Tabla Articulos'!E:E)</f>
        <v/>
      </c>
      <c r="R3118" s="96">
        <f>O3118*Q3118</f>
        <v/>
      </c>
      <c r="S3118" s="97">
        <f>TRIM(E3118)</f>
        <v/>
      </c>
    </row>
    <row r="3119" hidden="1">
      <c r="A3119" s="22" t="n">
        <v>2</v>
      </c>
      <c r="B3119" t="inlineStr">
        <is>
          <t xml:space="preserve">CD CIUDADELA                  </t>
        </is>
      </c>
      <c r="C3119" t="inlineStr">
        <is>
          <t xml:space="preserve">GRUPO L.                      </t>
        </is>
      </c>
      <c r="D3119" t="inlineStr">
        <is>
          <t>LENTEJAS SECAS</t>
        </is>
      </c>
      <c r="E3119" t="inlineStr">
        <is>
          <t xml:space="preserve">7791476034011       </t>
        </is>
      </c>
      <c r="F3119" t="n">
        <v>4022849</v>
      </c>
      <c r="G3119" t="inlineStr">
        <is>
          <t xml:space="preserve">LENTEJAS SECAS 400GR EGRAN         </t>
        </is>
      </c>
      <c r="H3119" t="inlineStr">
        <is>
          <t xml:space="preserve">UNIDAD              </t>
        </is>
      </c>
      <c r="I3119" t="n">
        <v>454</v>
      </c>
      <c r="J3119" t="n">
        <v>0</v>
      </c>
      <c r="K3119" t="n">
        <v>0</v>
      </c>
      <c r="L3119" t="n">
        <v>18</v>
      </c>
      <c r="M3119" t="n">
        <v>18</v>
      </c>
      <c r="N3119" t="n">
        <v>0</v>
      </c>
      <c r="O3119" t="n">
        <v>418</v>
      </c>
      <c r="P3119" s="96">
        <f>_xlfn.XLOOKUP(Tabla5[[#This Row],[EAN CORREGIDO]],'Tabla Articulos'!B:B,'Tabla Articulos'!D:D)</f>
        <v/>
      </c>
      <c r="Q3119" s="96">
        <f>_xlfn.XLOOKUP(S3119,'Tabla Articulos'!B:B,'Tabla Articulos'!E:E)</f>
        <v/>
      </c>
      <c r="R3119" s="96">
        <f>O3119*Q3119</f>
        <v/>
      </c>
      <c r="S3119" s="97">
        <f>TRIM(E3119)</f>
        <v/>
      </c>
    </row>
    <row r="3120" hidden="1">
      <c r="A3120" s="22" t="n">
        <v>2</v>
      </c>
      <c r="B3120" t="inlineStr">
        <is>
          <t xml:space="preserve">CD CIUDADELA                  </t>
        </is>
      </c>
      <c r="C3120" t="inlineStr">
        <is>
          <t xml:space="preserve">GRUPO L.                      </t>
        </is>
      </c>
      <c r="D3120" t="inlineStr">
        <is>
          <t>CHOCLO GRANO AMARILLO</t>
        </is>
      </c>
      <c r="E3120" t="inlineStr">
        <is>
          <t xml:space="preserve">7790499001055       </t>
        </is>
      </c>
      <c r="F3120" t="n">
        <v>4024289</v>
      </c>
      <c r="G3120" t="inlineStr">
        <is>
          <t xml:space="preserve">CHOCLO GRANO AMAR X 300 LA BANDA   </t>
        </is>
      </c>
      <c r="H3120" t="inlineStr">
        <is>
          <t xml:space="preserve">UNIDAD              </t>
        </is>
      </c>
      <c r="I3120" t="n">
        <v>4604</v>
      </c>
      <c r="J3120" t="n">
        <v>0</v>
      </c>
      <c r="K3120" t="n">
        <v>0</v>
      </c>
      <c r="L3120" t="n">
        <v>386</v>
      </c>
      <c r="M3120" t="n">
        <v>386</v>
      </c>
      <c r="N3120" t="n">
        <v>0</v>
      </c>
      <c r="O3120" t="n">
        <v>3832</v>
      </c>
      <c r="P3120" s="96">
        <f>_xlfn.XLOOKUP(Tabla5[[#This Row],[EAN CORREGIDO]],'Tabla Articulos'!B:B,'Tabla Articulos'!D:D)</f>
        <v/>
      </c>
      <c r="Q3120" s="96">
        <f>_xlfn.XLOOKUP(S3120,'Tabla Articulos'!B:B,'Tabla Articulos'!E:E)</f>
        <v/>
      </c>
      <c r="R3120" s="96">
        <f>O3120*Q3120</f>
        <v/>
      </c>
      <c r="S3120" s="97">
        <f>TRIM(E3120)</f>
        <v/>
      </c>
    </row>
    <row r="3121" hidden="1">
      <c r="A3121" s="22" t="n">
        <v>2</v>
      </c>
      <c r="B3121" t="inlineStr">
        <is>
          <t xml:space="preserve">CD CIUDADELA                  </t>
        </is>
      </c>
      <c r="C3121" t="inlineStr">
        <is>
          <t xml:space="preserve">GRUPO L.                      </t>
        </is>
      </c>
      <c r="D3121" t="inlineStr">
        <is>
          <t>GALLE AGUA INDIV S/SAL</t>
        </is>
      </c>
      <c r="E3121" t="inlineStr">
        <is>
          <t xml:space="preserve">7796624012026       </t>
        </is>
      </c>
      <c r="F3121" t="n">
        <v>4018870</v>
      </c>
      <c r="G3121" t="inlineStr">
        <is>
          <t xml:space="preserve">GALLE AGUA IND S/SAL X25G NEOSOL   </t>
        </is>
      </c>
      <c r="H3121" t="inlineStr">
        <is>
          <t xml:space="preserve">UNIDAD              </t>
        </is>
      </c>
      <c r="I3121" t="n">
        <v>8950</v>
      </c>
      <c r="J3121" t="n">
        <v>0</v>
      </c>
      <c r="K3121" t="n">
        <v>0</v>
      </c>
      <c r="L3121" t="n">
        <v>2738</v>
      </c>
      <c r="M3121" t="n">
        <v>2738</v>
      </c>
      <c r="N3121" t="n">
        <v>0</v>
      </c>
      <c r="O3121" t="n">
        <v>3474</v>
      </c>
      <c r="P3121" s="96">
        <f>_xlfn.XLOOKUP(Tabla5[[#This Row],[EAN CORREGIDO]],'Tabla Articulos'!B:B,'Tabla Articulos'!D:D)</f>
        <v/>
      </c>
      <c r="Q3121" s="96">
        <f>_xlfn.XLOOKUP(S3121,'Tabla Articulos'!B:B,'Tabla Articulos'!E:E)</f>
        <v/>
      </c>
      <c r="R3121" s="96">
        <f>O3121*Q3121</f>
        <v/>
      </c>
      <c r="S3121" s="97">
        <f>TRIM(E3121)</f>
        <v/>
      </c>
    </row>
    <row r="3122" hidden="1">
      <c r="A3122" s="22" t="n">
        <v>2</v>
      </c>
      <c r="B3122" t="inlineStr">
        <is>
          <t xml:space="preserve">CD CIUDADELA                  </t>
        </is>
      </c>
      <c r="C3122" t="inlineStr">
        <is>
          <t xml:space="preserve">GRUPO L.                      </t>
        </is>
      </c>
      <c r="D3122" t="inlineStr">
        <is>
          <t>CASTAÑA DE CAJU</t>
        </is>
      </c>
      <c r="E3122" t="inlineStr">
        <is>
          <t xml:space="preserve">7793323003553       </t>
        </is>
      </c>
      <c r="F3122" t="n">
        <v>4020408</v>
      </c>
      <c r="G3122" t="inlineStr">
        <is>
          <t xml:space="preserve">CASTAÑA CAJU X1KG DICOMERE         </t>
        </is>
      </c>
      <c r="H3122" t="inlineStr">
        <is>
          <t xml:space="preserve">UNIDAD              </t>
        </is>
      </c>
      <c r="I3122" t="n">
        <v>79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79</v>
      </c>
      <c r="P3122" s="96">
        <f>_xlfn.XLOOKUP(Tabla5[[#This Row],[EAN CORREGIDO]],'Tabla Articulos'!B:B,'Tabla Articulos'!D:D)</f>
        <v/>
      </c>
      <c r="Q3122" s="96">
        <f>_xlfn.XLOOKUP(S3122,'Tabla Articulos'!B:B,'Tabla Articulos'!E:E)</f>
        <v/>
      </c>
      <c r="R3122" s="96">
        <f>O3122*Q3122</f>
        <v/>
      </c>
      <c r="S3122" s="97">
        <f>TRIM(E3122)</f>
        <v/>
      </c>
    </row>
    <row r="3123" hidden="1">
      <c r="A3123" s="22" t="n">
        <v>2</v>
      </c>
      <c r="B3123" t="inlineStr">
        <is>
          <t xml:space="preserve">CD CIUDADELA                  </t>
        </is>
      </c>
      <c r="C3123" t="inlineStr">
        <is>
          <t xml:space="preserve">GRUPO L.                      </t>
        </is>
      </c>
      <c r="D3123" t="inlineStr">
        <is>
          <t>BOWL DESCARTABLE COMPOST</t>
        </is>
      </c>
      <c r="E3123" t="inlineStr">
        <is>
          <t xml:space="preserve">7790000000218       </t>
        </is>
      </c>
      <c r="F3123" t="n">
        <v>2007132</v>
      </c>
      <c r="G3123" t="inlineStr">
        <is>
          <t xml:space="preserve">BOWL COMPOST 17X7 960CC BIO X600   </t>
        </is>
      </c>
      <c r="H3123" t="inlineStr">
        <is>
          <t xml:space="preserve">UNIDAD              </t>
        </is>
      </c>
      <c r="I3123" t="n">
        <v>6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6</v>
      </c>
      <c r="P3123" s="96">
        <f>_xlfn.XLOOKUP(Tabla5[[#This Row],[EAN CORREGIDO]],'Tabla Articulos'!B:B,'Tabla Articulos'!D:D)</f>
        <v/>
      </c>
      <c r="Q3123" s="96">
        <f>_xlfn.XLOOKUP(S3123,'Tabla Articulos'!B:B,'Tabla Articulos'!E:E)</f>
        <v/>
      </c>
      <c r="R3123" s="96">
        <f>O3123*Q3123</f>
        <v/>
      </c>
      <c r="S3123" s="97">
        <f>TRIM(E3123)</f>
        <v/>
      </c>
    </row>
    <row r="3124" hidden="1">
      <c r="A3124" s="22" t="n">
        <v>2</v>
      </c>
      <c r="B3124" t="inlineStr">
        <is>
          <t xml:space="preserve">CD CIUDADELA                  </t>
        </is>
      </c>
      <c r="C3124" t="inlineStr">
        <is>
          <t xml:space="preserve">GRUPO L.                      </t>
        </is>
      </c>
      <c r="D3124" t="inlineStr">
        <is>
          <t>JUGO MULTIFRUTA</t>
        </is>
      </c>
      <c r="E3124" t="inlineStr">
        <is>
          <t xml:space="preserve">7790895647123       </t>
        </is>
      </c>
      <c r="F3124" t="n">
        <v>4021165</v>
      </c>
      <c r="G3124" t="inlineStr">
        <is>
          <t xml:space="preserve">CEPITA MULTIFRUTA TETRA 1LTR       </t>
        </is>
      </c>
      <c r="H3124" t="inlineStr">
        <is>
          <t xml:space="preserve">UNIDAD              </t>
        </is>
      </c>
      <c r="I3124" t="n">
        <v>40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40</v>
      </c>
      <c r="P3124" s="96">
        <f>_xlfn.XLOOKUP(Tabla5[[#This Row],[EAN CORREGIDO]],'Tabla Articulos'!B:B,'Tabla Articulos'!D:D)</f>
        <v/>
      </c>
      <c r="Q3124" s="96">
        <f>_xlfn.XLOOKUP(S3124,'Tabla Articulos'!B:B,'Tabla Articulos'!E:E)</f>
        <v/>
      </c>
      <c r="R3124" s="96">
        <f>O3124*Q3124</f>
        <v/>
      </c>
      <c r="S3124" s="97">
        <f>TRIM(E3124)</f>
        <v/>
      </c>
    </row>
    <row r="3125" hidden="1">
      <c r="A3125" s="22" t="n">
        <v>2</v>
      </c>
      <c r="B3125" t="inlineStr">
        <is>
          <t xml:space="preserve">CD CIUDADELA                  </t>
        </is>
      </c>
      <c r="C3125" t="inlineStr">
        <is>
          <t xml:space="preserve">GRUPO L.                      </t>
        </is>
      </c>
      <c r="D3125" t="inlineStr">
        <is>
          <t>CACAO</t>
        </is>
      </c>
      <c r="E3125" t="inlineStr">
        <is>
          <t xml:space="preserve">7790530850048       </t>
        </is>
      </c>
      <c r="F3125" t="n">
        <v>4019576</v>
      </c>
      <c r="G3125" t="inlineStr">
        <is>
          <t xml:space="preserve">CACAO X 1KG BEDIAL                 </t>
        </is>
      </c>
      <c r="H3125" t="inlineStr">
        <is>
          <t xml:space="preserve">UNIDAD              </t>
        </is>
      </c>
      <c r="I3125" t="n">
        <v>1379</v>
      </c>
      <c r="J3125" t="n">
        <v>0</v>
      </c>
      <c r="K3125" t="n">
        <v>0</v>
      </c>
      <c r="L3125" t="n">
        <v>61</v>
      </c>
      <c r="M3125" t="n">
        <v>61</v>
      </c>
      <c r="N3125" t="n">
        <v>0</v>
      </c>
      <c r="O3125" t="n">
        <v>1257</v>
      </c>
      <c r="P3125" s="96">
        <f>_xlfn.XLOOKUP(Tabla5[[#This Row],[EAN CORREGIDO]],'Tabla Articulos'!B:B,'Tabla Articulos'!D:D)</f>
        <v/>
      </c>
      <c r="Q3125" s="96">
        <f>_xlfn.XLOOKUP(S3125,'Tabla Articulos'!B:B,'Tabla Articulos'!E:E)</f>
        <v/>
      </c>
      <c r="R3125" s="96">
        <f>O3125*Q3125</f>
        <v/>
      </c>
      <c r="S3125" s="97">
        <f>TRIM(E3125)</f>
        <v/>
      </c>
    </row>
    <row r="3126" hidden="1">
      <c r="A3126" s="22" t="n">
        <v>2</v>
      </c>
      <c r="B3126" t="inlineStr">
        <is>
          <t xml:space="preserve">CD CIUDADELA                  </t>
        </is>
      </c>
      <c r="C3126" t="inlineStr">
        <is>
          <t xml:space="preserve">GRUPO L.                      </t>
        </is>
      </c>
      <c r="D3126" t="inlineStr">
        <is>
          <t>POLENTA</t>
        </is>
      </c>
      <c r="E3126" t="inlineStr">
        <is>
          <t xml:space="preserve">7798049540504       </t>
        </is>
      </c>
      <c r="F3126" t="n">
        <v>4023281</v>
      </c>
      <c r="G3126" t="inlineStr">
        <is>
          <t xml:space="preserve">POLENTA X 500 G LA ABADIA          </t>
        </is>
      </c>
      <c r="H3126" t="inlineStr">
        <is>
          <t xml:space="preserve">UNIDAD              </t>
        </is>
      </c>
      <c r="I3126" t="n">
        <v>814</v>
      </c>
      <c r="J3126" t="n">
        <v>0</v>
      </c>
      <c r="K3126" t="n">
        <v>0</v>
      </c>
      <c r="L3126" t="n">
        <v>1</v>
      </c>
      <c r="M3126" t="n">
        <v>1</v>
      </c>
      <c r="N3126" t="n">
        <v>0</v>
      </c>
      <c r="O3126" t="n">
        <v>812</v>
      </c>
      <c r="P3126" s="96">
        <f>_xlfn.XLOOKUP(Tabla5[[#This Row],[EAN CORREGIDO]],'Tabla Articulos'!B:B,'Tabla Articulos'!D:D)</f>
        <v/>
      </c>
      <c r="Q3126" s="96">
        <f>_xlfn.XLOOKUP(S3126,'Tabla Articulos'!B:B,'Tabla Articulos'!E:E)</f>
        <v/>
      </c>
      <c r="R3126" s="96">
        <f>O3126*Q3126</f>
        <v/>
      </c>
      <c r="S3126" s="97">
        <f>TRIM(E3126)</f>
        <v/>
      </c>
    </row>
    <row r="3127" hidden="1">
      <c r="A3127" s="22" t="n">
        <v>2</v>
      </c>
      <c r="B3127" t="inlineStr">
        <is>
          <t xml:space="preserve">CD CIUDADELA                  </t>
        </is>
      </c>
      <c r="C3127" t="inlineStr">
        <is>
          <t xml:space="preserve">GRUPO L.                      </t>
        </is>
      </c>
      <c r="D3127" t="inlineStr">
        <is>
          <t>CHUPETIN</t>
        </is>
      </c>
      <c r="E3127" t="inlineStr">
        <is>
          <t xml:space="preserve">7790580739003       </t>
        </is>
      </c>
      <c r="F3127" t="n">
        <v>4019015</v>
      </c>
      <c r="G3127" t="inlineStr">
        <is>
          <t xml:space="preserve">CHUPETIN MISTER POP X50U ARCOR     </t>
        </is>
      </c>
      <c r="H3127" t="inlineStr">
        <is>
          <t xml:space="preserve">UNIDAD              </t>
        </is>
      </c>
      <c r="I3127" t="n">
        <v>10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10</v>
      </c>
      <c r="P3127" s="96">
        <f>_xlfn.XLOOKUP(Tabla5[[#This Row],[EAN CORREGIDO]],'Tabla Articulos'!B:B,'Tabla Articulos'!D:D)</f>
        <v/>
      </c>
      <c r="Q3127" s="96">
        <f>_xlfn.XLOOKUP(S3127,'Tabla Articulos'!B:B,'Tabla Articulos'!E:E)</f>
        <v/>
      </c>
      <c r="R3127" s="96">
        <f>O3127*Q3127</f>
        <v/>
      </c>
      <c r="S3127" s="97">
        <f>TRIM(E3127)</f>
        <v/>
      </c>
    </row>
    <row r="3128" hidden="1">
      <c r="A3128" s="22" t="n">
        <v>2</v>
      </c>
      <c r="B3128" t="inlineStr">
        <is>
          <t xml:space="preserve">CD CIUDADELA                  </t>
        </is>
      </c>
      <c r="C3128" t="inlineStr">
        <is>
          <t xml:space="preserve">GRUPO L.                      </t>
        </is>
      </c>
      <c r="D3128" t="inlineStr">
        <is>
          <t>BANDEJA P/SANDWICH</t>
        </is>
      </c>
      <c r="E3128" t="inlineStr">
        <is>
          <t xml:space="preserve">13003002A           </t>
        </is>
      </c>
      <c r="F3128" t="n">
        <v>2006433</v>
      </c>
      <c r="G3128" t="inlineStr">
        <is>
          <t xml:space="preserve">BANDEJA P/SANDWICH X 75 U BANDEX   </t>
        </is>
      </c>
      <c r="H3128" t="inlineStr">
        <is>
          <t xml:space="preserve">UNIDAD              </t>
        </is>
      </c>
      <c r="I3128" t="n">
        <v>182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182</v>
      </c>
      <c r="P3128" s="96">
        <f>_xlfn.XLOOKUP(Tabla5[[#This Row],[EAN CORREGIDO]],'Tabla Articulos'!B:B,'Tabla Articulos'!D:D)</f>
        <v/>
      </c>
      <c r="Q3128" s="96">
        <f>_xlfn.XLOOKUP(S3128,'Tabla Articulos'!B:B,'Tabla Articulos'!E:E)</f>
        <v/>
      </c>
      <c r="R3128" s="96">
        <f>O3128*Q3128</f>
        <v/>
      </c>
      <c r="S3128" s="97">
        <f>TRIM(E3128)</f>
        <v/>
      </c>
    </row>
    <row r="3129" hidden="1">
      <c r="A3129" s="22" t="n">
        <v>2</v>
      </c>
      <c r="B3129" t="inlineStr">
        <is>
          <t xml:space="preserve">CD CIUDADELA                  </t>
        </is>
      </c>
      <c r="C3129" t="inlineStr">
        <is>
          <t xml:space="preserve">GRUPO L.                      </t>
        </is>
      </c>
      <c r="D3129" t="inlineStr">
        <is>
          <t>AZUCAR S/TACC</t>
        </is>
      </c>
      <c r="E3129" t="inlineStr">
        <is>
          <t xml:space="preserve">7798174970016       </t>
        </is>
      </c>
      <c r="F3129" t="n">
        <v>4020574</v>
      </c>
      <c r="G3129" t="inlineStr">
        <is>
          <t xml:space="preserve">AZUCAR S/TACC X1KG AZUCEL          </t>
        </is>
      </c>
      <c r="H3129" t="inlineStr">
        <is>
          <t xml:space="preserve">UNIDAD              </t>
        </is>
      </c>
      <c r="I3129" t="n">
        <v>20998</v>
      </c>
      <c r="J3129" t="n">
        <v>0</v>
      </c>
      <c r="K3129" t="n">
        <v>0</v>
      </c>
      <c r="L3129" t="n">
        <v>772</v>
      </c>
      <c r="M3129" t="n">
        <v>772</v>
      </c>
      <c r="N3129" t="n">
        <v>0</v>
      </c>
      <c r="O3129" t="n">
        <v>19454</v>
      </c>
      <c r="P3129" s="96">
        <f>_xlfn.XLOOKUP(Tabla5[[#This Row],[EAN CORREGIDO]],'Tabla Articulos'!B:B,'Tabla Articulos'!D:D)</f>
        <v/>
      </c>
      <c r="Q3129" s="96">
        <f>_xlfn.XLOOKUP(S3129,'Tabla Articulos'!B:B,'Tabla Articulos'!E:E)</f>
        <v/>
      </c>
      <c r="R3129" s="96">
        <f>O3129*Q3129</f>
        <v/>
      </c>
      <c r="S3129" s="97">
        <f>TRIM(E3129)</f>
        <v/>
      </c>
    </row>
    <row r="3130" hidden="1">
      <c r="A3130" s="22" t="n">
        <v>2</v>
      </c>
      <c r="B3130" t="inlineStr">
        <is>
          <t xml:space="preserve">CD CIUDADELA                  </t>
        </is>
      </c>
      <c r="C3130" t="inlineStr">
        <is>
          <t xml:space="preserve">GRUPO L.                      </t>
        </is>
      </c>
      <c r="D3130" t="inlineStr">
        <is>
          <t>SALCHICHON</t>
        </is>
      </c>
      <c r="E3130" t="inlineStr">
        <is>
          <t xml:space="preserve">7790625000846       </t>
        </is>
      </c>
      <c r="F3130" t="n">
        <v>4017792</v>
      </c>
      <c r="G3130" t="inlineStr">
        <is>
          <t xml:space="preserve">SALCHICHON PRIMAVERA XKG           </t>
        </is>
      </c>
      <c r="H3130" t="inlineStr">
        <is>
          <t xml:space="preserve">Kgs                 </t>
        </is>
      </c>
      <c r="I3130" t="n">
        <v>17.15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17.15</v>
      </c>
      <c r="P3130" s="96">
        <f>_xlfn.XLOOKUP(Tabla5[[#This Row],[EAN CORREGIDO]],'Tabla Articulos'!B:B,'Tabla Articulos'!D:D)</f>
        <v/>
      </c>
      <c r="Q3130" s="96">
        <f>_xlfn.XLOOKUP(S3130,'Tabla Articulos'!B:B,'Tabla Articulos'!E:E)</f>
        <v/>
      </c>
      <c r="R3130" s="96">
        <f>O3130*Q3130</f>
        <v/>
      </c>
      <c r="S3130" s="97">
        <f>TRIM(E3130)</f>
        <v/>
      </c>
    </row>
    <row r="3131" hidden="1">
      <c r="A3131" s="22" t="n">
        <v>2</v>
      </c>
      <c r="B3131" t="inlineStr">
        <is>
          <t xml:space="preserve">CD CIUDADELA                  </t>
        </is>
      </c>
      <c r="C3131" t="inlineStr">
        <is>
          <t xml:space="preserve">GRUPO L.                      </t>
        </is>
      </c>
      <c r="D3131" t="inlineStr">
        <is>
          <t>LECHE POLVO ENTERA</t>
        </is>
      </c>
      <c r="E3131" t="inlineStr">
        <is>
          <t xml:space="preserve">7798001562292       </t>
        </is>
      </c>
      <c r="F3131" t="n">
        <v>4018267</v>
      </c>
      <c r="G3131" t="inlineStr">
        <is>
          <t xml:space="preserve">LECHE POLVO ENT X800G CREMIGAL     </t>
        </is>
      </c>
      <c r="H3131" t="inlineStr">
        <is>
          <t xml:space="preserve">UNIDAD              </t>
        </is>
      </c>
      <c r="I3131" t="n">
        <v>1510</v>
      </c>
      <c r="J3131" t="n">
        <v>0</v>
      </c>
      <c r="K3131" t="n">
        <v>0</v>
      </c>
      <c r="L3131" t="n">
        <v>45</v>
      </c>
      <c r="M3131" t="n">
        <v>45</v>
      </c>
      <c r="N3131" t="n">
        <v>0</v>
      </c>
      <c r="O3131" t="n">
        <v>1420</v>
      </c>
      <c r="P3131" s="96">
        <f>_xlfn.XLOOKUP(Tabla5[[#This Row],[EAN CORREGIDO]],'Tabla Articulos'!B:B,'Tabla Articulos'!D:D)</f>
        <v/>
      </c>
      <c r="Q3131" s="96">
        <f>_xlfn.XLOOKUP(S3131,'Tabla Articulos'!B:B,'Tabla Articulos'!E:E)</f>
        <v/>
      </c>
      <c r="R3131" s="96">
        <f>O3131*Q3131</f>
        <v/>
      </c>
      <c r="S3131" s="97">
        <f>TRIM(E3131)</f>
        <v/>
      </c>
    </row>
    <row r="3132" hidden="1">
      <c r="A3132" s="22" t="n">
        <v>2</v>
      </c>
      <c r="B3132" t="inlineStr">
        <is>
          <t xml:space="preserve">CD CIUDADELA                  </t>
        </is>
      </c>
      <c r="C3132" t="inlineStr">
        <is>
          <t xml:space="preserve">GRUPO L.                      </t>
        </is>
      </c>
      <c r="D3132" t="inlineStr">
        <is>
          <t>EDULCORANTE LIQUIDO</t>
        </is>
      </c>
      <c r="E3132" t="inlineStr">
        <is>
          <t xml:space="preserve">7790490998231       </t>
        </is>
      </c>
      <c r="F3132" t="n">
        <v>4019639</v>
      </c>
      <c r="G3132" t="inlineStr">
        <is>
          <t xml:space="preserve">EDULCORANTE LIQ X250ML HILERET     </t>
        </is>
      </c>
      <c r="H3132" t="inlineStr">
        <is>
          <t xml:space="preserve">UNIDAD              </t>
        </is>
      </c>
      <c r="I3132" t="n">
        <v>54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54</v>
      </c>
      <c r="P3132" s="96">
        <f>_xlfn.XLOOKUP(Tabla5[[#This Row],[EAN CORREGIDO]],'Tabla Articulos'!B:B,'Tabla Articulos'!D:D)</f>
        <v/>
      </c>
      <c r="Q3132" s="96">
        <f>_xlfn.XLOOKUP(S3132,'Tabla Articulos'!B:B,'Tabla Articulos'!E:E)</f>
        <v/>
      </c>
      <c r="R3132" s="96">
        <f>O3132*Q3132</f>
        <v/>
      </c>
      <c r="S3132" s="97">
        <f>TRIM(E3132)</f>
        <v/>
      </c>
    </row>
    <row r="3133" hidden="1">
      <c r="A3133" s="22" t="n">
        <v>2</v>
      </c>
      <c r="B3133" t="inlineStr">
        <is>
          <t xml:space="preserve">CD CIUDADELA                  </t>
        </is>
      </c>
      <c r="C3133" t="inlineStr">
        <is>
          <t xml:space="preserve">GRUPO L.                      </t>
        </is>
      </c>
      <c r="D3133" t="inlineStr">
        <is>
          <t>BASE DE TOMATE</t>
        </is>
      </c>
      <c r="E3133" t="inlineStr">
        <is>
          <t xml:space="preserve">7891150049574       </t>
        </is>
      </c>
      <c r="F3133" t="n">
        <v>4020580</v>
      </c>
      <c r="G3133" t="inlineStr">
        <is>
          <t xml:space="preserve">BASE TOM DESHID X750G KNORR        </t>
        </is>
      </c>
      <c r="H3133" t="inlineStr">
        <is>
          <t xml:space="preserve">UNIDAD              </t>
        </is>
      </c>
      <c r="I3133" t="n">
        <v>264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264</v>
      </c>
      <c r="P3133" s="96">
        <f>_xlfn.XLOOKUP(Tabla5[[#This Row],[EAN CORREGIDO]],'Tabla Articulos'!B:B,'Tabla Articulos'!D:D)</f>
        <v/>
      </c>
      <c r="Q3133" s="96">
        <f>_xlfn.XLOOKUP(S3133,'Tabla Articulos'!B:B,'Tabla Articulos'!E:E)</f>
        <v/>
      </c>
      <c r="R3133" s="96">
        <f>O3133*Q3133</f>
        <v/>
      </c>
      <c r="S3133" s="97">
        <f>TRIM(E3133)</f>
        <v/>
      </c>
    </row>
    <row r="3134" hidden="1">
      <c r="A3134" s="22" t="n">
        <v>2</v>
      </c>
      <c r="B3134" t="inlineStr">
        <is>
          <t xml:space="preserve">CD CIUDADELA                  </t>
        </is>
      </c>
      <c r="C3134" t="inlineStr">
        <is>
          <t xml:space="preserve">GRUPO L.                      </t>
        </is>
      </c>
      <c r="D3134" t="inlineStr">
        <is>
          <t>TOSTADA ARROZ IND C/S</t>
        </is>
      </c>
      <c r="E3134" t="inlineStr">
        <is>
          <t xml:space="preserve">7790412000400       </t>
        </is>
      </c>
      <c r="F3134" t="n">
        <v>4018830</v>
      </c>
      <c r="G3134" t="inlineStr">
        <is>
          <t xml:space="preserve">TOSTADA ARROZ S/TACC X17G LEIVA    </t>
        </is>
      </c>
      <c r="H3134" t="inlineStr">
        <is>
          <t xml:space="preserve">UNIDAD              </t>
        </is>
      </c>
      <c r="I3134" t="n">
        <v>19585</v>
      </c>
      <c r="J3134" t="n">
        <v>0</v>
      </c>
      <c r="K3134" t="n">
        <v>0</v>
      </c>
      <c r="L3134" t="n">
        <v>918</v>
      </c>
      <c r="M3134" t="n">
        <v>918</v>
      </c>
      <c r="N3134" t="n">
        <v>0</v>
      </c>
      <c r="O3134" t="n">
        <v>17749</v>
      </c>
      <c r="P3134" s="96">
        <f>_xlfn.XLOOKUP(Tabla5[[#This Row],[EAN CORREGIDO]],'Tabla Articulos'!B:B,'Tabla Articulos'!D:D)</f>
        <v/>
      </c>
      <c r="Q3134" s="96">
        <f>_xlfn.XLOOKUP(S3134,'Tabla Articulos'!B:B,'Tabla Articulos'!E:E)</f>
        <v/>
      </c>
      <c r="R3134" s="96">
        <f>O3134*Q3134</f>
        <v/>
      </c>
      <c r="S3134" s="97">
        <f>TRIM(E3134)</f>
        <v/>
      </c>
    </row>
    <row r="3135" hidden="1">
      <c r="A3135" s="22" t="n">
        <v>2</v>
      </c>
      <c r="B3135" t="inlineStr">
        <is>
          <t xml:space="preserve">CD CIUDADELA                  </t>
        </is>
      </c>
      <c r="C3135" t="inlineStr">
        <is>
          <t xml:space="preserve">GRUPO L.                      </t>
        </is>
      </c>
      <c r="D3135" t="inlineStr">
        <is>
          <t>GELATINA S/SABOR</t>
        </is>
      </c>
      <c r="E3135" t="inlineStr">
        <is>
          <t xml:space="preserve">763571701973        </t>
        </is>
      </c>
      <c r="F3135" t="n">
        <v>4022527</v>
      </c>
      <c r="G3135" t="inlineStr">
        <is>
          <t xml:space="preserve">GELATINA S/SABOR 1KG POREC         </t>
        </is>
      </c>
      <c r="H3135" t="inlineStr">
        <is>
          <t xml:space="preserve">UNIDAD              </t>
        </is>
      </c>
      <c r="I3135" t="n">
        <v>145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145</v>
      </c>
      <c r="P3135" s="96">
        <f>_xlfn.XLOOKUP(Tabla5[[#This Row],[EAN CORREGIDO]],'Tabla Articulos'!B:B,'Tabla Articulos'!D:D)</f>
        <v/>
      </c>
      <c r="Q3135" s="96">
        <f>_xlfn.XLOOKUP(S3135,'Tabla Articulos'!B:B,'Tabla Articulos'!E:E)</f>
        <v/>
      </c>
      <c r="R3135" s="96">
        <f>O3135*Q3135</f>
        <v/>
      </c>
      <c r="S3135" s="97">
        <f>TRIM(E3135)</f>
        <v/>
      </c>
    </row>
    <row r="3136" hidden="1">
      <c r="A3136" s="22" t="n">
        <v>2</v>
      </c>
      <c r="B3136" t="inlineStr">
        <is>
          <t xml:space="preserve">CD CIUDADELA                  </t>
        </is>
      </c>
      <c r="C3136" t="inlineStr">
        <is>
          <t xml:space="preserve">GRUPO L.                      </t>
        </is>
      </c>
      <c r="D3136" t="inlineStr">
        <is>
          <t>COPOS CEREAL AZUCARADOS</t>
        </is>
      </c>
      <c r="E3136" t="inlineStr">
        <is>
          <t xml:space="preserve">7790045001584       </t>
        </is>
      </c>
      <c r="F3136" t="n">
        <v/>
      </c>
      <c r="G3136" t="inlineStr">
        <is>
          <t xml:space="preserve">COPOS DE MAIZ x 160 G GRANIX       </t>
        </is>
      </c>
      <c r="H3136" t="inlineStr">
        <is>
          <t xml:space="preserve">UNIDAD              </t>
        </is>
      </c>
      <c r="I3136" t="n">
        <v>11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11</v>
      </c>
      <c r="P3136" s="96">
        <f>_xlfn.XLOOKUP(Tabla5[[#This Row],[EAN CORREGIDO]],'Tabla Articulos'!B:B,'Tabla Articulos'!D:D)</f>
        <v/>
      </c>
      <c r="Q3136" s="96">
        <f>_xlfn.XLOOKUP(S3136,'Tabla Articulos'!B:B,'Tabla Articulos'!E:E)</f>
        <v/>
      </c>
      <c r="R3136" s="96">
        <f>O3136*Q3136</f>
        <v/>
      </c>
      <c r="S3136" s="97">
        <f>TRIM(E3136)</f>
        <v/>
      </c>
    </row>
    <row r="3137" hidden="1">
      <c r="A3137" s="22" t="n">
        <v>2</v>
      </c>
      <c r="B3137" t="inlineStr">
        <is>
          <t xml:space="preserve">CD CIUDADELA                  </t>
        </is>
      </c>
      <c r="C3137" t="inlineStr">
        <is>
          <t xml:space="preserve">GRUPO L.                      </t>
        </is>
      </c>
      <c r="D3137" t="inlineStr">
        <is>
          <t>ANANA TROZO LATA</t>
        </is>
      </c>
      <c r="E3137" t="inlineStr">
        <is>
          <t xml:space="preserve">7797470132210       </t>
        </is>
      </c>
      <c r="F3137" t="n">
        <v>4024167</v>
      </c>
      <c r="G3137" t="inlineStr">
        <is>
          <t xml:space="preserve">ANANA TROZOS X850G MAROLIO         </t>
        </is>
      </c>
      <c r="H3137" t="inlineStr">
        <is>
          <t xml:space="preserve">UNIDAD              </t>
        </is>
      </c>
      <c r="I3137" t="n">
        <v>716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716</v>
      </c>
      <c r="P3137" s="96">
        <f>_xlfn.XLOOKUP(Tabla5[[#This Row],[EAN CORREGIDO]],'Tabla Articulos'!B:B,'Tabla Articulos'!D:D)</f>
        <v/>
      </c>
      <c r="Q3137" s="96">
        <f>_xlfn.XLOOKUP(S3137,'Tabla Articulos'!B:B,'Tabla Articulos'!E:E)</f>
        <v/>
      </c>
      <c r="R3137" s="96">
        <f>O3137*Q3137</f>
        <v/>
      </c>
      <c r="S3137" s="97">
        <f>TRIM(E3137)</f>
        <v/>
      </c>
    </row>
    <row r="3138" hidden="1">
      <c r="A3138" s="22" t="n">
        <v>2</v>
      </c>
      <c r="B3138" t="inlineStr">
        <is>
          <t xml:space="preserve">CD CIUDADELA                  </t>
        </is>
      </c>
      <c r="C3138" t="inlineStr">
        <is>
          <t xml:space="preserve">GRUPO L.                      </t>
        </is>
      </c>
      <c r="D3138" t="inlineStr">
        <is>
          <t>BAND ALUMINIO R5</t>
        </is>
      </c>
      <c r="E3138" t="inlineStr">
        <is>
          <t xml:space="preserve">610000108738        </t>
        </is>
      </c>
      <c r="F3138" t="n">
        <v>2007253</v>
      </c>
      <c r="G3138" t="inlineStr">
        <is>
          <t xml:space="preserve">BANDEJA ALUM R5 X600U VASSOI       </t>
        </is>
      </c>
      <c r="H3138" t="inlineStr">
        <is>
          <t xml:space="preserve">UNIDAD              </t>
        </is>
      </c>
      <c r="I3138" t="n">
        <v>15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15</v>
      </c>
      <c r="P3138" s="96">
        <f>_xlfn.XLOOKUP(Tabla5[[#This Row],[EAN CORREGIDO]],'Tabla Articulos'!B:B,'Tabla Articulos'!D:D)</f>
        <v/>
      </c>
      <c r="Q3138" s="96">
        <f>_xlfn.XLOOKUP(S3138,'Tabla Articulos'!B:B,'Tabla Articulos'!E:E)</f>
        <v/>
      </c>
      <c r="R3138" s="96">
        <f>O3138*Q3138</f>
        <v/>
      </c>
      <c r="S3138" s="97">
        <f>TRIM(E3138)</f>
        <v/>
      </c>
    </row>
    <row r="3139" hidden="1">
      <c r="A3139" s="22" t="n">
        <v>2</v>
      </c>
      <c r="B3139" t="inlineStr">
        <is>
          <t xml:space="preserve">CD CIUDADELA                  </t>
        </is>
      </c>
      <c r="C3139" t="inlineStr">
        <is>
          <t xml:space="preserve">GRUPO L.                      </t>
        </is>
      </c>
      <c r="D3139" t="inlineStr">
        <is>
          <t>MERMELADA DURAZNO VIDRIO</t>
        </is>
      </c>
      <c r="E3139" t="inlineStr">
        <is>
          <t xml:space="preserve">7791113000904       </t>
        </is>
      </c>
      <c r="F3139" t="n">
        <v>4020151</v>
      </c>
      <c r="G3139" t="inlineStr">
        <is>
          <t xml:space="preserve">MERMELADA DURX454GR EMETH VID      </t>
        </is>
      </c>
      <c r="H3139" t="inlineStr">
        <is>
          <t xml:space="preserve">UNIDAD              </t>
        </is>
      </c>
      <c r="I3139" t="n">
        <v>227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227</v>
      </c>
      <c r="P3139" s="96">
        <f>_xlfn.XLOOKUP(Tabla5[[#This Row],[EAN CORREGIDO]],'Tabla Articulos'!B:B,'Tabla Articulos'!D:D)</f>
        <v/>
      </c>
      <c r="Q3139" s="96">
        <f>_xlfn.XLOOKUP(S3139,'Tabla Articulos'!B:B,'Tabla Articulos'!E:E)</f>
        <v/>
      </c>
      <c r="R3139" s="96">
        <f>O3139*Q3139</f>
        <v/>
      </c>
      <c r="S3139" s="97">
        <f>TRIM(E3139)</f>
        <v/>
      </c>
    </row>
    <row r="3140" hidden="1">
      <c r="A3140" s="22" t="n">
        <v>2</v>
      </c>
      <c r="B3140" t="inlineStr">
        <is>
          <t xml:space="preserve">CD CIUDADELA                  </t>
        </is>
      </c>
      <c r="C3140" t="inlineStr">
        <is>
          <t xml:space="preserve">GRUPO L.                      </t>
        </is>
      </c>
      <c r="D3140" t="inlineStr">
        <is>
          <t>PALITO BROCHETE</t>
        </is>
      </c>
      <c r="E3140" t="inlineStr">
        <is>
          <t xml:space="preserve">7790321123456       </t>
        </is>
      </c>
      <c r="F3140" t="n">
        <v>2006633</v>
      </c>
      <c r="G3140" t="inlineStr">
        <is>
          <t xml:space="preserve">PALITO BROCHETTE 25CM X80U         </t>
        </is>
      </c>
      <c r="H3140" t="inlineStr">
        <is>
          <t xml:space="preserve">UNIDAD              </t>
        </is>
      </c>
      <c r="I3140" t="n">
        <v>11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11</v>
      </c>
      <c r="P3140" s="96">
        <f>_xlfn.XLOOKUP(Tabla5[[#This Row],[EAN CORREGIDO]],'Tabla Articulos'!B:B,'Tabla Articulos'!D:D)</f>
        <v/>
      </c>
      <c r="Q3140" s="96">
        <f>_xlfn.XLOOKUP(S3140,'Tabla Articulos'!B:B,'Tabla Articulos'!E:E)</f>
        <v/>
      </c>
      <c r="R3140" s="96">
        <f>O3140*Q3140</f>
        <v/>
      </c>
      <c r="S3140" s="97">
        <f>TRIM(E3140)</f>
        <v/>
      </c>
    </row>
    <row r="3141" hidden="1">
      <c r="A3141" s="22" t="n">
        <v>2</v>
      </c>
      <c r="B3141" t="inlineStr">
        <is>
          <t xml:space="preserve">CD CIUDADELA                  </t>
        </is>
      </c>
      <c r="C3141" t="inlineStr">
        <is>
          <t xml:space="preserve">GRUPO L.                      </t>
        </is>
      </c>
      <c r="D3141" t="inlineStr">
        <is>
          <t>GELATINA FRAMBUESA</t>
        </is>
      </c>
      <c r="E3141" t="inlineStr">
        <is>
          <t xml:space="preserve">7790971001856       </t>
        </is>
      </c>
      <c r="F3141" t="n">
        <v>4019672</v>
      </c>
      <c r="G3141" t="inlineStr">
        <is>
          <t xml:space="preserve">GELATINA FRAMBUESA XKG ORLOC       </t>
        </is>
      </c>
      <c r="H3141" t="inlineStr">
        <is>
          <t xml:space="preserve">UNIDAD              </t>
        </is>
      </c>
      <c r="I3141" t="n">
        <v>10</v>
      </c>
      <c r="J3141" t="n">
        <v>0</v>
      </c>
      <c r="K3141" t="n">
        <v>0</v>
      </c>
      <c r="L3141" t="n">
        <v>2</v>
      </c>
      <c r="M3141" t="n">
        <v>2</v>
      </c>
      <c r="N3141" t="n">
        <v>0</v>
      </c>
      <c r="O3141" t="n">
        <v>6</v>
      </c>
      <c r="P3141" s="96">
        <f>_xlfn.XLOOKUP(Tabla5[[#This Row],[EAN CORREGIDO]],'Tabla Articulos'!B:B,'Tabla Articulos'!D:D)</f>
        <v/>
      </c>
      <c r="Q3141" s="96">
        <f>_xlfn.XLOOKUP(S3141,'Tabla Articulos'!B:B,'Tabla Articulos'!E:E)</f>
        <v/>
      </c>
      <c r="R3141" s="96">
        <f>O3141*Q3141</f>
        <v/>
      </c>
      <c r="S3141" s="97">
        <f>TRIM(E3141)</f>
        <v/>
      </c>
    </row>
    <row r="3142" hidden="1">
      <c r="A3142" s="22" t="n">
        <v>2</v>
      </c>
      <c r="B3142" t="inlineStr">
        <is>
          <t xml:space="preserve">CD CIUDADELA                  </t>
        </is>
      </c>
      <c r="C3142" t="inlineStr">
        <is>
          <t xml:space="preserve">GRUPO L.                      </t>
        </is>
      </c>
      <c r="D3142" t="inlineStr">
        <is>
          <t>GELATINA DURAZNO LIGHT</t>
        </is>
      </c>
      <c r="E3142" t="inlineStr">
        <is>
          <t xml:space="preserve">7791113001901       </t>
        </is>
      </c>
      <c r="F3142" t="n">
        <v>4019867</v>
      </c>
      <c r="G3142" t="inlineStr">
        <is>
          <t xml:space="preserve">GELATINA DURAZNO LIGHT X 25G EMETH </t>
        </is>
      </c>
      <c r="H3142" t="inlineStr">
        <is>
          <t xml:space="preserve">UNIDAD              </t>
        </is>
      </c>
      <c r="I3142" t="n">
        <v>1777</v>
      </c>
      <c r="J3142" t="n">
        <v>0</v>
      </c>
      <c r="K3142" t="n">
        <v>0</v>
      </c>
      <c r="L3142" t="n">
        <v>1</v>
      </c>
      <c r="M3142" t="n">
        <v>1</v>
      </c>
      <c r="N3142" t="n">
        <v>0</v>
      </c>
      <c r="O3142" t="n">
        <v>1775</v>
      </c>
      <c r="P3142" s="96">
        <f>_xlfn.XLOOKUP(Tabla5[[#This Row],[EAN CORREGIDO]],'Tabla Articulos'!B:B,'Tabla Articulos'!D:D)</f>
        <v/>
      </c>
      <c r="Q3142" s="96">
        <f>_xlfn.XLOOKUP(S3142,'Tabla Articulos'!B:B,'Tabla Articulos'!E:E)</f>
        <v/>
      </c>
      <c r="R3142" s="96">
        <f>O3142*Q3142</f>
        <v/>
      </c>
      <c r="S3142" s="97">
        <f>TRIM(E3142)</f>
        <v/>
      </c>
    </row>
    <row r="3143" hidden="1">
      <c r="A3143" s="22" t="n">
        <v>2</v>
      </c>
      <c r="B3143" t="inlineStr">
        <is>
          <t xml:space="preserve">CD CIUDADELA                  </t>
        </is>
      </c>
      <c r="C3143" t="inlineStr">
        <is>
          <t xml:space="preserve">GRUPO L.                      </t>
        </is>
      </c>
      <c r="D3143" t="inlineStr">
        <is>
          <t>GASEOSA LIMA INDIVIDUAL</t>
        </is>
      </c>
      <c r="E3143" t="inlineStr">
        <is>
          <t xml:space="preserve">7790895650871       </t>
        </is>
      </c>
      <c r="F3143" t="n">
        <v>4023930</v>
      </c>
      <c r="G3143" t="inlineStr">
        <is>
          <t xml:space="preserve">GAS SPRITE 600CC                   </t>
        </is>
      </c>
      <c r="H3143" t="inlineStr">
        <is>
          <t xml:space="preserve">UNIDAD              </t>
        </is>
      </c>
      <c r="I3143" t="n">
        <v>3358</v>
      </c>
      <c r="J3143" t="n">
        <v>0</v>
      </c>
      <c r="K3143" t="n">
        <v>0</v>
      </c>
      <c r="L3143" t="n">
        <v>318</v>
      </c>
      <c r="M3143" t="n">
        <v>318</v>
      </c>
      <c r="N3143" t="n">
        <v>0</v>
      </c>
      <c r="O3143" t="n">
        <v>2722</v>
      </c>
      <c r="P3143" s="96">
        <f>_xlfn.XLOOKUP(Tabla5[[#This Row],[EAN CORREGIDO]],'Tabla Articulos'!B:B,'Tabla Articulos'!D:D)</f>
        <v/>
      </c>
      <c r="Q3143" s="96">
        <f>_xlfn.XLOOKUP(S3143,'Tabla Articulos'!B:B,'Tabla Articulos'!E:E)</f>
        <v/>
      </c>
      <c r="R3143" s="96">
        <f>O3143*Q3143</f>
        <v/>
      </c>
      <c r="S3143" s="97">
        <f>TRIM(E3143)</f>
        <v/>
      </c>
    </row>
    <row r="3144" hidden="1">
      <c r="A3144" s="22" t="n">
        <v>2</v>
      </c>
      <c r="B3144" t="inlineStr">
        <is>
          <t xml:space="preserve">CD CIUDADELA                  </t>
        </is>
      </c>
      <c r="C3144" t="inlineStr">
        <is>
          <t xml:space="preserve">GRUPO L.                      </t>
        </is>
      </c>
      <c r="D3144" t="inlineStr">
        <is>
          <t>BARRAS CEREAL</t>
        </is>
      </c>
      <c r="E3144" t="inlineStr">
        <is>
          <t xml:space="preserve">77989390            </t>
        </is>
      </c>
      <c r="F3144" t="n">
        <v>4021695</v>
      </c>
      <c r="G3144" t="inlineStr">
        <is>
          <t xml:space="preserve">BARRA CER.NUEZ/ALGARRO.ZAFRAN 28   </t>
        </is>
      </c>
      <c r="H3144" t="inlineStr">
        <is>
          <t xml:space="preserve">UNIDAD              </t>
        </is>
      </c>
      <c r="I3144" t="n">
        <v>4440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4440</v>
      </c>
      <c r="P3144" s="96">
        <f>_xlfn.XLOOKUP(Tabla5[[#This Row],[EAN CORREGIDO]],'Tabla Articulos'!B:B,'Tabla Articulos'!D:D)</f>
        <v/>
      </c>
      <c r="Q3144" s="96">
        <f>_xlfn.XLOOKUP(S3144,'Tabla Articulos'!B:B,'Tabla Articulos'!E:E)</f>
        <v/>
      </c>
      <c r="R3144" s="96">
        <f>O3144*Q3144</f>
        <v/>
      </c>
      <c r="S3144" s="97">
        <f>TRIM(E3144)</f>
        <v/>
      </c>
    </row>
    <row r="3145" hidden="1">
      <c r="A3145" s="22" t="n">
        <v>2</v>
      </c>
      <c r="B3145" t="inlineStr">
        <is>
          <t xml:space="preserve">CD CIUDADELA                  </t>
        </is>
      </c>
      <c r="C3145" t="inlineStr">
        <is>
          <t xml:space="preserve">GRUPO L.                      </t>
        </is>
      </c>
      <c r="D3145" t="inlineStr">
        <is>
          <t>PIMIENTA NEGRA S/TACC</t>
        </is>
      </c>
      <c r="E3145" t="inlineStr">
        <is>
          <t xml:space="preserve">7790150555446       </t>
        </is>
      </c>
      <c r="F3145" t="n">
        <v>4019427</v>
      </c>
      <c r="G3145" t="inlineStr">
        <is>
          <t xml:space="preserve">PIMIENTA NEGRA X25G ALICANTE       </t>
        </is>
      </c>
      <c r="H3145" t="inlineStr">
        <is>
          <t xml:space="preserve">UNIDAD              </t>
        </is>
      </c>
      <c r="I3145" t="n">
        <v>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5</v>
      </c>
      <c r="P3145" s="96">
        <f>_xlfn.XLOOKUP(Tabla5[[#This Row],[EAN CORREGIDO]],'Tabla Articulos'!B:B,'Tabla Articulos'!D:D)</f>
        <v/>
      </c>
      <c r="Q3145" s="96">
        <f>_xlfn.XLOOKUP(S3145,'Tabla Articulos'!B:B,'Tabla Articulos'!E:E)</f>
        <v/>
      </c>
      <c r="R3145" s="96">
        <f>O3145*Q3145</f>
        <v/>
      </c>
      <c r="S3145" s="97">
        <f>TRIM(E3145)</f>
        <v/>
      </c>
    </row>
    <row r="3146" hidden="1">
      <c r="A3146" s="22" t="n">
        <v>2</v>
      </c>
      <c r="B3146" t="inlineStr">
        <is>
          <t xml:space="preserve">CD CIUDADELA                  </t>
        </is>
      </c>
      <c r="C3146" t="inlineStr">
        <is>
          <t xml:space="preserve">GRUPO L.                      </t>
        </is>
      </c>
      <c r="D3146" t="inlineStr">
        <is>
          <t>PAPEL ALUMINIO</t>
        </is>
      </c>
      <c r="E3146" t="inlineStr">
        <is>
          <t xml:space="preserve">9992015000094       </t>
        </is>
      </c>
      <c r="F3146" t="n">
        <v>2011472</v>
      </c>
      <c r="G3146" t="inlineStr">
        <is>
          <t xml:space="preserve">GL ALUMINIO X1KG XU                </t>
        </is>
      </c>
      <c r="H3146" t="inlineStr">
        <is>
          <t xml:space="preserve">UNIDAD              </t>
        </is>
      </c>
      <c r="I3146" t="n">
        <v>27</v>
      </c>
      <c r="J3146" t="n">
        <v>0</v>
      </c>
      <c r="K3146" t="n">
        <v>0</v>
      </c>
      <c r="L3146" t="n">
        <v>3</v>
      </c>
      <c r="M3146" t="n">
        <v>3</v>
      </c>
      <c r="N3146" t="n">
        <v>0</v>
      </c>
      <c r="O3146" t="n">
        <v>21</v>
      </c>
      <c r="P3146" s="96">
        <f>_xlfn.XLOOKUP(Tabla5[[#This Row],[EAN CORREGIDO]],'Tabla Articulos'!B:B,'Tabla Articulos'!D:D)</f>
        <v/>
      </c>
      <c r="Q3146" s="96">
        <f>_xlfn.XLOOKUP(S3146,'Tabla Articulos'!B:B,'Tabla Articulos'!E:E)</f>
        <v/>
      </c>
      <c r="R3146" s="96">
        <f>O3146*Q3146</f>
        <v/>
      </c>
      <c r="S3146" s="97">
        <f>TRIM(E3146)</f>
        <v/>
      </c>
    </row>
    <row r="3147" hidden="1">
      <c r="A3147" s="22" t="n">
        <v>2</v>
      </c>
      <c r="B3147" t="inlineStr">
        <is>
          <t xml:space="preserve">CD CIUDADELA                  </t>
        </is>
      </c>
      <c r="C3147" t="inlineStr">
        <is>
          <t xml:space="preserve">GRUPO L.                      </t>
        </is>
      </c>
      <c r="D3147" t="inlineStr">
        <is>
          <t>PREMEZCLA BIZCOCHUELO CHOCO</t>
        </is>
      </c>
      <c r="E3147" t="inlineStr">
        <is>
          <t xml:space="preserve">7790971000811       </t>
        </is>
      </c>
      <c r="F3147" t="n">
        <v>4023363</v>
      </c>
      <c r="G3147" t="inlineStr">
        <is>
          <t xml:space="preserve">BIZCOCHUELO CHOCO 5KG ORLOC        </t>
        </is>
      </c>
      <c r="H3147" t="inlineStr">
        <is>
          <t xml:space="preserve">UNIDAD              </t>
        </is>
      </c>
      <c r="I3147" t="n">
        <v>110</v>
      </c>
      <c r="J3147" t="n">
        <v>0</v>
      </c>
      <c r="K3147" t="n">
        <v>0</v>
      </c>
      <c r="L3147" t="n">
        <v>1</v>
      </c>
      <c r="M3147" t="n">
        <v>1</v>
      </c>
      <c r="N3147" t="n">
        <v>0</v>
      </c>
      <c r="O3147" t="n">
        <v>108</v>
      </c>
      <c r="P3147" s="96">
        <f>_xlfn.XLOOKUP(Tabla5[[#This Row],[EAN CORREGIDO]],'Tabla Articulos'!B:B,'Tabla Articulos'!D:D)</f>
        <v/>
      </c>
      <c r="Q3147" s="96">
        <f>_xlfn.XLOOKUP(S3147,'Tabla Articulos'!B:B,'Tabla Articulos'!E:E)</f>
        <v/>
      </c>
      <c r="R3147" s="96">
        <f>O3147*Q3147</f>
        <v/>
      </c>
      <c r="S3147" s="97">
        <f>TRIM(E3147)</f>
        <v/>
      </c>
    </row>
    <row r="3148" hidden="1">
      <c r="A3148" s="22" t="n">
        <v>2</v>
      </c>
      <c r="B3148" t="inlineStr">
        <is>
          <t xml:space="preserve">CD CIUDADELA                  </t>
        </is>
      </c>
      <c r="C3148" t="inlineStr">
        <is>
          <t xml:space="preserve">GRUPO L.                      </t>
        </is>
      </c>
      <c r="D3148" t="inlineStr">
        <is>
          <t>ARROZ PARBOIL</t>
        </is>
      </c>
      <c r="E3148" t="inlineStr">
        <is>
          <t xml:space="preserve">7790503199099       </t>
        </is>
      </c>
      <c r="F3148" t="n">
        <v>4019353</v>
      </c>
      <c r="G3148" t="inlineStr">
        <is>
          <t xml:space="preserve">ARROZ PARB STACC X 1KG DOS HNOS    </t>
        </is>
      </c>
      <c r="H3148" t="inlineStr">
        <is>
          <t xml:space="preserve">UNIDAD              </t>
        </is>
      </c>
      <c r="I3148" t="n">
        <v>464</v>
      </c>
      <c r="J3148" t="n">
        <v>0</v>
      </c>
      <c r="K3148" t="n">
        <v>0</v>
      </c>
      <c r="L3148" t="n">
        <v>48</v>
      </c>
      <c r="M3148" t="n">
        <v>48</v>
      </c>
      <c r="N3148" t="n">
        <v>0</v>
      </c>
      <c r="O3148" t="n">
        <v>368</v>
      </c>
      <c r="P3148" s="96">
        <f>_xlfn.XLOOKUP(Tabla5[[#This Row],[EAN CORREGIDO]],'Tabla Articulos'!B:B,'Tabla Articulos'!D:D)</f>
        <v/>
      </c>
      <c r="Q3148" s="96">
        <f>_xlfn.XLOOKUP(S3148,'Tabla Articulos'!B:B,'Tabla Articulos'!E:E)</f>
        <v/>
      </c>
      <c r="R3148" s="96">
        <f>O3148*Q3148</f>
        <v/>
      </c>
      <c r="S3148" s="97">
        <f>TRIM(E3148)</f>
        <v/>
      </c>
    </row>
    <row r="3149" hidden="1">
      <c r="A3149" s="22" t="n">
        <v>2</v>
      </c>
      <c r="B3149" t="inlineStr">
        <is>
          <t xml:space="preserve">CD CIUDADELA                  </t>
        </is>
      </c>
      <c r="C3149" t="inlineStr">
        <is>
          <t xml:space="preserve">GRUPO L.                      </t>
        </is>
      </c>
      <c r="D3149" t="inlineStr">
        <is>
          <t>AVENA</t>
        </is>
      </c>
      <c r="E3149" t="inlineStr">
        <is>
          <t xml:space="preserve">7790199604587       </t>
        </is>
      </c>
      <c r="F3149" t="n">
        <v>4024505</v>
      </c>
      <c r="G3149" t="inlineStr">
        <is>
          <t xml:space="preserve">AVENA TRADICIONAL X400G MORIXE     </t>
        </is>
      </c>
      <c r="H3149" t="inlineStr">
        <is>
          <t xml:space="preserve">UNIDAD              </t>
        </is>
      </c>
      <c r="I3149" t="n">
        <v>826</v>
      </c>
      <c r="J3149" t="n">
        <v>0</v>
      </c>
      <c r="K3149" t="n">
        <v>0</v>
      </c>
      <c r="L3149" t="n">
        <v>128</v>
      </c>
      <c r="M3149" t="n">
        <v>128</v>
      </c>
      <c r="N3149" t="n">
        <v>0</v>
      </c>
      <c r="O3149" t="n">
        <v>570</v>
      </c>
      <c r="P3149" s="96">
        <f>_xlfn.XLOOKUP(Tabla5[[#This Row],[EAN CORREGIDO]],'Tabla Articulos'!B:B,'Tabla Articulos'!D:D)</f>
        <v/>
      </c>
      <c r="Q3149" s="96">
        <f>_xlfn.XLOOKUP(S3149,'Tabla Articulos'!B:B,'Tabla Articulos'!E:E)</f>
        <v/>
      </c>
      <c r="R3149" s="96">
        <f>O3149*Q3149</f>
        <v/>
      </c>
      <c r="S3149" s="97">
        <f>TRIM(E3149)</f>
        <v/>
      </c>
    </row>
    <row r="3150" hidden="1">
      <c r="A3150" s="22" t="n">
        <v>2</v>
      </c>
      <c r="B3150" t="inlineStr">
        <is>
          <t xml:space="preserve">CD CIUDADELA                  </t>
        </is>
      </c>
      <c r="C3150" t="inlineStr">
        <is>
          <t xml:space="preserve">GRUPO L.                      </t>
        </is>
      </c>
      <c r="D3150" t="inlineStr">
        <is>
          <t xml:space="preserve">LECHE MATERNIZADA </t>
        </is>
      </c>
      <c r="E3150" t="inlineStr">
        <is>
          <t xml:space="preserve">7798181641459       </t>
        </is>
      </c>
      <c r="F3150" t="n">
        <v>4022557</v>
      </c>
      <c r="G3150" t="inlineStr">
        <is>
          <t xml:space="preserve">LECHE BB3 ADV X200CC SANCOR        </t>
        </is>
      </c>
      <c r="H3150" t="inlineStr">
        <is>
          <t xml:space="preserve">UNIDAD              </t>
        </is>
      </c>
      <c r="I3150" t="n">
        <v>46048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46048</v>
      </c>
      <c r="P3150" s="96">
        <f>_xlfn.XLOOKUP(Tabla5[[#This Row],[EAN CORREGIDO]],'Tabla Articulos'!B:B,'Tabla Articulos'!D:D)</f>
        <v/>
      </c>
      <c r="Q3150" s="96">
        <f>_xlfn.XLOOKUP(S3150,'Tabla Articulos'!B:B,'Tabla Articulos'!E:E)</f>
        <v/>
      </c>
      <c r="R3150" s="96">
        <f>O3150*Q3150</f>
        <v/>
      </c>
      <c r="S3150" s="97">
        <f>TRIM(E3150)</f>
        <v/>
      </c>
    </row>
    <row r="3151" hidden="1">
      <c r="A3151" s="22" t="n">
        <v>2</v>
      </c>
      <c r="B3151" t="inlineStr">
        <is>
          <t xml:space="preserve">CD CIUDADELA                  </t>
        </is>
      </c>
      <c r="C3151" t="inlineStr">
        <is>
          <t xml:space="preserve">GRUPO L.                      </t>
        </is>
      </c>
      <c r="D3151" t="inlineStr">
        <is>
          <t>CHAMPIGNON LAMINADO</t>
        </is>
      </c>
      <c r="E3151" t="inlineStr">
        <is>
          <t xml:space="preserve">7790499000867       </t>
        </is>
      </c>
      <c r="F3151" t="n">
        <v>4022359</v>
      </c>
      <c r="G3151" t="inlineStr">
        <is>
          <t xml:space="preserve">CHAMPIGNON LAMINA X 400 LA BAN     </t>
        </is>
      </c>
      <c r="H3151" t="inlineStr">
        <is>
          <t xml:space="preserve">UNIDAD              </t>
        </is>
      </c>
      <c r="I3151" t="n">
        <v>871</v>
      </c>
      <c r="J3151" t="n">
        <v>0</v>
      </c>
      <c r="K3151" t="n">
        <v>0</v>
      </c>
      <c r="L3151" t="n">
        <v>26</v>
      </c>
      <c r="M3151" t="n">
        <v>26</v>
      </c>
      <c r="N3151" t="n">
        <v>0</v>
      </c>
      <c r="O3151" t="n">
        <v>819</v>
      </c>
      <c r="P3151" s="96">
        <f>_xlfn.XLOOKUP(Tabla5[[#This Row],[EAN CORREGIDO]],'Tabla Articulos'!B:B,'Tabla Articulos'!D:D)</f>
        <v/>
      </c>
      <c r="Q3151" s="96">
        <f>_xlfn.XLOOKUP(S3151,'Tabla Articulos'!B:B,'Tabla Articulos'!E:E)</f>
        <v/>
      </c>
      <c r="R3151" s="96">
        <f>O3151*Q3151</f>
        <v/>
      </c>
      <c r="S3151" s="97">
        <f>TRIM(E3151)</f>
        <v/>
      </c>
    </row>
    <row r="3152" hidden="1">
      <c r="A3152" s="22" t="n">
        <v>2</v>
      </c>
      <c r="B3152" t="inlineStr">
        <is>
          <t xml:space="preserve">CD CIUDADELA                  </t>
        </is>
      </c>
      <c r="C3152" t="inlineStr">
        <is>
          <t xml:space="preserve">GRUPO L.                      </t>
        </is>
      </c>
      <c r="D3152" t="inlineStr">
        <is>
          <t>TOMATE TRITURADO</t>
        </is>
      </c>
      <c r="E3152" t="inlineStr">
        <is>
          <t xml:space="preserve">7790499017667       </t>
        </is>
      </c>
      <c r="F3152" t="n">
        <v>4019733</v>
      </c>
      <c r="G3152" t="inlineStr">
        <is>
          <t xml:space="preserve">TOMATE TRITURADO X500 GR LA BANDA  </t>
        </is>
      </c>
      <c r="H3152" t="inlineStr">
        <is>
          <t xml:space="preserve">UNIDAD              </t>
        </is>
      </c>
      <c r="I3152" t="n">
        <v>4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4</v>
      </c>
      <c r="P3152" s="96">
        <f>_xlfn.XLOOKUP(Tabla5[[#This Row],[EAN CORREGIDO]],'Tabla Articulos'!B:B,'Tabla Articulos'!D:D)</f>
        <v/>
      </c>
      <c r="Q3152" s="96">
        <f>_xlfn.XLOOKUP(S3152,'Tabla Articulos'!B:B,'Tabla Articulos'!E:E)</f>
        <v/>
      </c>
      <c r="R3152" s="96">
        <f>O3152*Q3152</f>
        <v/>
      </c>
      <c r="S3152" s="97">
        <f>TRIM(E3152)</f>
        <v/>
      </c>
    </row>
    <row r="3153" hidden="1">
      <c r="A3153" s="22" t="n">
        <v>2</v>
      </c>
      <c r="B3153" t="inlineStr">
        <is>
          <t xml:space="preserve">CD CIUDADELA                  </t>
        </is>
      </c>
      <c r="C3153" t="inlineStr">
        <is>
          <t xml:space="preserve">GRUPO L.                      </t>
        </is>
      </c>
      <c r="D3153" t="inlineStr">
        <is>
          <t>SORBETES</t>
        </is>
      </c>
      <c r="E3153" t="inlineStr">
        <is>
          <t xml:space="preserve">7790000000894       </t>
        </is>
      </c>
      <c r="F3153" t="n">
        <v>2016742</v>
      </c>
      <c r="G3153" t="inlineStr">
        <is>
          <t xml:space="preserve">SORBETES ENSOBRADOS X1000U         </t>
        </is>
      </c>
      <c r="H3153" t="inlineStr">
        <is>
          <t xml:space="preserve">UNIDAD              </t>
        </is>
      </c>
      <c r="I3153" t="n">
        <v>39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39</v>
      </c>
      <c r="P3153" s="96">
        <f>_xlfn.XLOOKUP(Tabla5[[#This Row],[EAN CORREGIDO]],'Tabla Articulos'!B:B,'Tabla Articulos'!D:D)</f>
        <v/>
      </c>
      <c r="Q3153" s="96">
        <f>_xlfn.XLOOKUP(S3153,'Tabla Articulos'!B:B,'Tabla Articulos'!E:E)</f>
        <v/>
      </c>
      <c r="R3153" s="96">
        <f>O3153*Q3153</f>
        <v/>
      </c>
      <c r="S3153" s="97">
        <f>TRIM(E3153)</f>
        <v/>
      </c>
    </row>
    <row r="3154" hidden="1">
      <c r="A3154" s="22" t="n">
        <v>2</v>
      </c>
      <c r="B3154" t="inlineStr">
        <is>
          <t xml:space="preserve">CD CIUDADELA                  </t>
        </is>
      </c>
      <c r="C3154" t="inlineStr">
        <is>
          <t xml:space="preserve">GRUPO L.                      </t>
        </is>
      </c>
      <c r="D3154" t="inlineStr">
        <is>
          <t>LECHE LV DESCREMADA</t>
        </is>
      </c>
      <c r="E3154" t="inlineStr">
        <is>
          <t xml:space="preserve">7790787002535       </t>
        </is>
      </c>
      <c r="F3154" t="n">
        <v>4022728</v>
      </c>
      <c r="G3154" t="inlineStr">
        <is>
          <t xml:space="preserve">LECHE DESCREMADA X 1 LT ILOLAY     </t>
        </is>
      </c>
      <c r="H3154" t="inlineStr">
        <is>
          <t xml:space="preserve">UNIDAD              </t>
        </is>
      </c>
      <c r="I3154" t="n">
        <v>14662</v>
      </c>
      <c r="J3154" t="n">
        <v>0</v>
      </c>
      <c r="K3154" t="n">
        <v>0</v>
      </c>
      <c r="L3154" t="n">
        <v>3682</v>
      </c>
      <c r="M3154" t="n">
        <v>3682</v>
      </c>
      <c r="N3154" t="n">
        <v>0</v>
      </c>
      <c r="O3154" t="n">
        <v>7298</v>
      </c>
      <c r="P3154" s="96">
        <f>_xlfn.XLOOKUP(Tabla5[[#This Row],[EAN CORREGIDO]],'Tabla Articulos'!B:B,'Tabla Articulos'!D:D)</f>
        <v/>
      </c>
      <c r="Q3154" s="96">
        <f>_xlfn.XLOOKUP(S3154,'Tabla Articulos'!B:B,'Tabla Articulos'!E:E)</f>
        <v/>
      </c>
      <c r="R3154" s="96">
        <f>O3154*Q3154</f>
        <v/>
      </c>
      <c r="S3154" s="97">
        <f>TRIM(E3154)</f>
        <v/>
      </c>
    </row>
    <row r="3155" hidden="1">
      <c r="A3155" s="22" t="n">
        <v>2</v>
      </c>
      <c r="B3155" t="inlineStr">
        <is>
          <t xml:space="preserve">CD CIUDADELA                  </t>
        </is>
      </c>
      <c r="C3155" t="inlineStr">
        <is>
          <t xml:space="preserve">GRUPO L.                      </t>
        </is>
      </c>
      <c r="D3155" t="inlineStr">
        <is>
          <t>PAPEL ALUMINIO HAMBURGUESA</t>
        </is>
      </c>
      <c r="E3155" t="inlineStr">
        <is>
          <t xml:space="preserve">7798188651181       </t>
        </is>
      </c>
      <c r="F3155" t="n">
        <v>2006661</v>
      </c>
      <c r="G3155" t="inlineStr">
        <is>
          <t xml:space="preserve">PAPEL HAMBUR ALUMINIO X116U        </t>
        </is>
      </c>
      <c r="H3155" t="inlineStr">
        <is>
          <t xml:space="preserve">BULTOS              </t>
        </is>
      </c>
      <c r="I3155" t="n">
        <v>8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8</v>
      </c>
      <c r="P3155" s="96">
        <f>_xlfn.XLOOKUP(Tabla5[[#This Row],[EAN CORREGIDO]],'Tabla Articulos'!B:B,'Tabla Articulos'!D:D)</f>
        <v/>
      </c>
      <c r="Q3155" s="96">
        <f>_xlfn.XLOOKUP(S3155,'Tabla Articulos'!B:B,'Tabla Articulos'!E:E)</f>
        <v/>
      </c>
      <c r="R3155" s="96">
        <f>O3155*Q3155</f>
        <v/>
      </c>
      <c r="S3155" s="97">
        <f>TRIM(E3155)</f>
        <v/>
      </c>
    </row>
    <row r="3156" hidden="1">
      <c r="A3156" s="22" t="n">
        <v>2</v>
      </c>
      <c r="B3156" t="inlineStr">
        <is>
          <t xml:space="preserve">CD CIUDADELA                  </t>
        </is>
      </c>
      <c r="C3156" t="inlineStr">
        <is>
          <t xml:space="preserve">GRUPO L.                      </t>
        </is>
      </c>
      <c r="D3156" t="inlineStr">
        <is>
          <t>NUTRICION ENTERAL</t>
        </is>
      </c>
      <c r="E3156" t="inlineStr">
        <is>
          <t xml:space="preserve">4008976413400       </t>
        </is>
      </c>
      <c r="F3156" t="n">
        <v>4018375</v>
      </c>
      <c r="G3156" t="inlineStr">
        <is>
          <t xml:space="preserve">SUPLEMENTO X300G ESPESAN           </t>
        </is>
      </c>
      <c r="H3156" t="inlineStr">
        <is>
          <t xml:space="preserve">UNIDAD              </t>
        </is>
      </c>
      <c r="I3156" t="n">
        <v>37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37</v>
      </c>
      <c r="P3156" s="96">
        <f>_xlfn.XLOOKUP(Tabla5[[#This Row],[EAN CORREGIDO]],'Tabla Articulos'!B:B,'Tabla Articulos'!D:D)</f>
        <v/>
      </c>
      <c r="Q3156" s="96">
        <f>_xlfn.XLOOKUP(S3156,'Tabla Articulos'!B:B,'Tabla Articulos'!E:E)</f>
        <v/>
      </c>
      <c r="R3156" s="96">
        <f>O3156*Q3156</f>
        <v/>
      </c>
      <c r="S3156" s="97">
        <f>TRIM(E3156)</f>
        <v/>
      </c>
    </row>
    <row r="3157" hidden="1">
      <c r="A3157" s="22" t="n">
        <v>2</v>
      </c>
      <c r="B3157" t="inlineStr">
        <is>
          <t xml:space="preserve">CD CIUDADELA                  </t>
        </is>
      </c>
      <c r="C3157" t="inlineStr">
        <is>
          <t xml:space="preserve">GRUPO L.                      </t>
        </is>
      </c>
      <c r="D3157" t="inlineStr">
        <is>
          <t>CARNE ENTERA</t>
        </is>
      </c>
      <c r="E3157" t="inlineStr">
        <is>
          <t xml:space="preserve">7790000000826       </t>
        </is>
      </c>
      <c r="F3157" t="n">
        <v>4077226</v>
      </c>
      <c r="G3157" t="inlineStr">
        <is>
          <t xml:space="preserve">PECHO REFRIG XKG                   </t>
        </is>
      </c>
      <c r="H3157" t="inlineStr">
        <is>
          <t xml:space="preserve">Kgs                 </t>
        </is>
      </c>
      <c r="I3157" t="n">
        <v>0</v>
      </c>
      <c r="J3157" t="n">
        <v>3057.1</v>
      </c>
      <c r="K3157" t="n">
        <v>1000.94</v>
      </c>
      <c r="L3157" t="n">
        <v>0</v>
      </c>
      <c r="M3157" t="n">
        <v>0</v>
      </c>
      <c r="N3157" t="n">
        <v>0</v>
      </c>
      <c r="O3157" t="n">
        <v>2056.16</v>
      </c>
      <c r="P3157" s="96">
        <f>_xlfn.XLOOKUP(Tabla5[[#This Row],[EAN CORREGIDO]],'Tabla Articulos'!B:B,'Tabla Articulos'!D:D)</f>
        <v/>
      </c>
      <c r="Q3157" s="96">
        <f>_xlfn.XLOOKUP(S3157,'Tabla Articulos'!B:B,'Tabla Articulos'!E:E)</f>
        <v/>
      </c>
      <c r="R3157" s="96">
        <f>O3157*Q3157</f>
        <v/>
      </c>
      <c r="S3157" s="97">
        <f>TRIM(E3157)</f>
        <v/>
      </c>
    </row>
    <row r="3158" hidden="1">
      <c r="A3158" s="22" t="n">
        <v>2</v>
      </c>
      <c r="B3158" t="inlineStr">
        <is>
          <t xml:space="preserve">CD CIUDADELA                  </t>
        </is>
      </c>
      <c r="C3158" t="inlineStr">
        <is>
          <t xml:space="preserve">GRUPO L.                      </t>
        </is>
      </c>
      <c r="D3158" t="inlineStr">
        <is>
          <t>MANTEL INDIVIDUAL LISO</t>
        </is>
      </c>
      <c r="E3158" t="inlineStr">
        <is>
          <t xml:space="preserve">7790000000043       </t>
        </is>
      </c>
      <c r="F3158" t="n">
        <v>2007004</v>
      </c>
      <c r="G3158" t="inlineStr">
        <is>
          <t xml:space="preserve">MANTEL INDIV KRAFT LISO X200U      </t>
        </is>
      </c>
      <c r="H3158" t="inlineStr">
        <is>
          <t xml:space="preserve">UNIDAD              </t>
        </is>
      </c>
      <c r="I3158" t="n">
        <v>20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20</v>
      </c>
      <c r="P3158" s="96">
        <f>_xlfn.XLOOKUP(Tabla5[[#This Row],[EAN CORREGIDO]],'Tabla Articulos'!B:B,'Tabla Articulos'!D:D)</f>
        <v/>
      </c>
      <c r="Q3158" s="96">
        <f>_xlfn.XLOOKUP(S3158,'Tabla Articulos'!B:B,'Tabla Articulos'!E:E)</f>
        <v/>
      </c>
      <c r="R3158" s="96">
        <f>O3158*Q3158</f>
        <v/>
      </c>
      <c r="S3158" s="97">
        <f>TRIM(E3158)</f>
        <v/>
      </c>
    </row>
    <row r="3159" hidden="1">
      <c r="A3159" s="22" t="n">
        <v>2</v>
      </c>
      <c r="B3159" t="inlineStr">
        <is>
          <t xml:space="preserve">CD CIUDADELA                  </t>
        </is>
      </c>
      <c r="C3159" t="inlineStr">
        <is>
          <t xml:space="preserve">GRUPO L.                      </t>
        </is>
      </c>
      <c r="D3159" t="inlineStr">
        <is>
          <t>LECHE POLVO NIDINA 1</t>
        </is>
      </c>
      <c r="E3159" t="inlineStr">
        <is>
          <t xml:space="preserve">8445290649744       </t>
        </is>
      </c>
      <c r="F3159" t="n">
        <v>4018405</v>
      </c>
      <c r="G3159" t="inlineStr">
        <is>
          <t xml:space="preserve">LECHE EN POLVO X800G NIDINA1       </t>
        </is>
      </c>
      <c r="H3159" t="inlineStr">
        <is>
          <t xml:space="preserve">UNIDAD              </t>
        </is>
      </c>
      <c r="I3159" t="n">
        <v>3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3</v>
      </c>
      <c r="P3159" s="96">
        <f>_xlfn.XLOOKUP(Tabla5[[#This Row],[EAN CORREGIDO]],'Tabla Articulos'!B:B,'Tabla Articulos'!D:D)</f>
        <v/>
      </c>
      <c r="Q3159" s="96">
        <f>_xlfn.XLOOKUP(S3159,'Tabla Articulos'!B:B,'Tabla Articulos'!E:E)</f>
        <v/>
      </c>
      <c r="R3159" s="96">
        <f>O3159*Q3159</f>
        <v/>
      </c>
      <c r="S3159" s="97">
        <f>TRIM(E3159)</f>
        <v/>
      </c>
    </row>
    <row r="3160" hidden="1">
      <c r="A3160" s="22" t="n">
        <v>2</v>
      </c>
      <c r="B3160" t="inlineStr">
        <is>
          <t xml:space="preserve">CD CIUDADELA                  </t>
        </is>
      </c>
      <c r="C3160" t="inlineStr">
        <is>
          <t xml:space="preserve">GRUPO L.                      </t>
        </is>
      </c>
      <c r="D3160" t="inlineStr">
        <is>
          <t>CABALLA A/N</t>
        </is>
      </c>
      <c r="E3160" t="inlineStr">
        <is>
          <t xml:space="preserve">7790748235095       </t>
        </is>
      </c>
      <c r="F3160" t="n">
        <v>4020641</v>
      </c>
      <c r="G3160" t="inlineStr">
        <is>
          <t xml:space="preserve">CABALLA  A/N X 380 G PUGL          </t>
        </is>
      </c>
      <c r="H3160" t="inlineStr">
        <is>
          <t xml:space="preserve">UNIDAD              </t>
        </is>
      </c>
      <c r="I3160" t="n">
        <v>4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4</v>
      </c>
      <c r="P3160" s="96">
        <f>_xlfn.XLOOKUP(Tabla5[[#This Row],[EAN CORREGIDO]],'Tabla Articulos'!B:B,'Tabla Articulos'!D:D)</f>
        <v/>
      </c>
      <c r="Q3160" s="96">
        <f>_xlfn.XLOOKUP(S3160,'Tabla Articulos'!B:B,'Tabla Articulos'!E:E)</f>
        <v/>
      </c>
      <c r="R3160" s="96">
        <f>O3160*Q3160</f>
        <v/>
      </c>
      <c r="S3160" s="97">
        <f>TRIM(E3160)</f>
        <v/>
      </c>
    </row>
    <row r="3161" hidden="1">
      <c r="A3161" s="22" t="n">
        <v>2</v>
      </c>
      <c r="B3161" t="inlineStr">
        <is>
          <t xml:space="preserve">CD CIUDADELA                  </t>
        </is>
      </c>
      <c r="C3161" t="inlineStr">
        <is>
          <t xml:space="preserve">GRUPO L.                      </t>
        </is>
      </c>
      <c r="D3161" t="inlineStr">
        <is>
          <t>ANANA RODAJA LATA</t>
        </is>
      </c>
      <c r="E3161" t="inlineStr">
        <is>
          <t xml:space="preserve">7791885004810       </t>
        </is>
      </c>
      <c r="F3161" t="n">
        <v>4020681</v>
      </c>
      <c r="G3161" t="inlineStr">
        <is>
          <t xml:space="preserve">ANANA EN CONS X836G CUMANA         </t>
        </is>
      </c>
      <c r="H3161" t="inlineStr">
        <is>
          <t xml:space="preserve">UNIDAD              </t>
        </is>
      </c>
      <c r="I3161" t="n">
        <v>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5</v>
      </c>
      <c r="P3161" s="96">
        <f>_xlfn.XLOOKUP(Tabla5[[#This Row],[EAN CORREGIDO]],'Tabla Articulos'!B:B,'Tabla Articulos'!D:D)</f>
        <v/>
      </c>
      <c r="Q3161" s="96">
        <f>_xlfn.XLOOKUP(S3161,'Tabla Articulos'!B:B,'Tabla Articulos'!E:E)</f>
        <v/>
      </c>
      <c r="R3161" s="96">
        <f>O3161*Q3161</f>
        <v/>
      </c>
      <c r="S3161" s="97">
        <f>TRIM(E3161)</f>
        <v/>
      </c>
    </row>
    <row r="3162" hidden="1">
      <c r="A3162" s="22" t="n">
        <v>2</v>
      </c>
      <c r="B3162" t="inlineStr">
        <is>
          <t xml:space="preserve">CD CIUDADELA                  </t>
        </is>
      </c>
      <c r="C3162" t="inlineStr">
        <is>
          <t xml:space="preserve">GRUPO L.                      </t>
        </is>
      </c>
      <c r="D3162" t="inlineStr">
        <is>
          <t>BIFE CERDO</t>
        </is>
      </c>
      <c r="E3162" t="inlineStr">
        <is>
          <t xml:space="preserve">7790213012031       </t>
        </is>
      </c>
      <c r="F3162" t="n">
        <v>4017742</v>
      </c>
      <c r="G3162" t="inlineStr">
        <is>
          <t xml:space="preserve">BIFE CERDO CONG XKG	               </t>
        </is>
      </c>
      <c r="H3162" t="inlineStr">
        <is>
          <t xml:space="preserve">Kgs                 </t>
        </is>
      </c>
      <c r="I3162" t="n">
        <v>3.68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3.68</v>
      </c>
      <c r="P3162" s="96">
        <f>_xlfn.XLOOKUP(Tabla5[[#This Row],[EAN CORREGIDO]],'Tabla Articulos'!B:B,'Tabla Articulos'!D:D)</f>
        <v/>
      </c>
      <c r="Q3162" s="96">
        <f>_xlfn.XLOOKUP(S3162,'Tabla Articulos'!B:B,'Tabla Articulos'!E:E)</f>
        <v/>
      </c>
      <c r="R3162" s="96">
        <f>O3162*Q3162</f>
        <v/>
      </c>
      <c r="S3162" s="97">
        <f>TRIM(E3162)</f>
        <v/>
      </c>
    </row>
    <row r="3163" hidden="1">
      <c r="A3163" s="22" t="n">
        <v>2</v>
      </c>
      <c r="B3163" t="inlineStr">
        <is>
          <t xml:space="preserve">CD CIUDADELA                  </t>
        </is>
      </c>
      <c r="C3163" t="inlineStr">
        <is>
          <t xml:space="preserve">GRUPO L.                      </t>
        </is>
      </c>
      <c r="D3163" t="inlineStr">
        <is>
          <t>COLLARIN CARTON</t>
        </is>
      </c>
      <c r="E3163" t="inlineStr">
        <is>
          <t xml:space="preserve">7790321020904       </t>
        </is>
      </c>
      <c r="F3163" t="n">
        <v>2006846</v>
      </c>
      <c r="G3163" t="inlineStr">
        <is>
          <t xml:space="preserve">COLLARIN CARTON 8/12 OZ X100UN     </t>
        </is>
      </c>
      <c r="H3163" t="inlineStr">
        <is>
          <t xml:space="preserve">UNIDAD              </t>
        </is>
      </c>
      <c r="I3163" t="n">
        <v>14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14</v>
      </c>
      <c r="P3163" s="96">
        <f>_xlfn.XLOOKUP(Tabla5[[#This Row],[EAN CORREGIDO]],'Tabla Articulos'!B:B,'Tabla Articulos'!D:D)</f>
        <v/>
      </c>
      <c r="Q3163" s="96">
        <f>_xlfn.XLOOKUP(S3163,'Tabla Articulos'!B:B,'Tabla Articulos'!E:E)</f>
        <v/>
      </c>
      <c r="R3163" s="96">
        <f>O3163*Q3163</f>
        <v/>
      </c>
      <c r="S3163" s="97">
        <f>TRIM(E3163)</f>
        <v/>
      </c>
    </row>
    <row r="3164" hidden="1">
      <c r="A3164" s="22" t="n">
        <v>2</v>
      </c>
      <c r="B3164" t="inlineStr">
        <is>
          <t xml:space="preserve">CD CIUDADELA                  </t>
        </is>
      </c>
      <c r="C3164" t="inlineStr">
        <is>
          <t xml:space="preserve">GRUPO L.                      </t>
        </is>
      </c>
      <c r="D3164" t="inlineStr">
        <is>
          <t>PROVENZAL S/TACC</t>
        </is>
      </c>
      <c r="E3164" t="inlineStr">
        <is>
          <t xml:space="preserve">7797234000397       </t>
        </is>
      </c>
      <c r="F3164" t="n">
        <v>4020081</v>
      </c>
      <c r="G3164" t="inlineStr">
        <is>
          <t xml:space="preserve">PROVENZAL x 25 G PERGOLA           </t>
        </is>
      </c>
      <c r="H3164" t="inlineStr">
        <is>
          <t xml:space="preserve">UNIDAD              </t>
        </is>
      </c>
      <c r="I3164" t="n">
        <v>249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249</v>
      </c>
      <c r="P3164" s="96">
        <f>_xlfn.XLOOKUP(Tabla5[[#This Row],[EAN CORREGIDO]],'Tabla Articulos'!B:B,'Tabla Articulos'!D:D)</f>
        <v/>
      </c>
      <c r="Q3164" s="96">
        <f>_xlfn.XLOOKUP(S3164,'Tabla Articulos'!B:B,'Tabla Articulos'!E:E)</f>
        <v/>
      </c>
      <c r="R3164" s="96">
        <f>O3164*Q3164</f>
        <v/>
      </c>
      <c r="S3164" s="97">
        <f>TRIM(E3164)</f>
        <v/>
      </c>
    </row>
    <row r="3165" hidden="1">
      <c r="A3165" s="22" t="n">
        <v>2</v>
      </c>
      <c r="B3165" t="inlineStr">
        <is>
          <t xml:space="preserve">CD CIUDADELA                  </t>
        </is>
      </c>
      <c r="C3165" t="inlineStr">
        <is>
          <t xml:space="preserve">GRUPO L.                      </t>
        </is>
      </c>
      <c r="D3165" t="inlineStr">
        <is>
          <t>VASO TERMICO</t>
        </is>
      </c>
      <c r="E3165" t="inlineStr">
        <is>
          <t xml:space="preserve">7798934234563       </t>
        </is>
      </c>
      <c r="F3165" t="n">
        <v>2006656</v>
      </c>
      <c r="G3165" t="inlineStr">
        <is>
          <t xml:space="preserve">VASO TERMICO 300CCX1000U           </t>
        </is>
      </c>
      <c r="H3165" t="inlineStr">
        <is>
          <t xml:space="preserve">UNIDAD              </t>
        </is>
      </c>
      <c r="I3165" t="n">
        <v>23</v>
      </c>
      <c r="J3165" t="n">
        <v>0</v>
      </c>
      <c r="K3165" t="n">
        <v>0</v>
      </c>
      <c r="L3165" t="n">
        <v>1</v>
      </c>
      <c r="M3165" t="n">
        <v>1</v>
      </c>
      <c r="N3165" t="n">
        <v>0</v>
      </c>
      <c r="O3165" t="n">
        <v>21</v>
      </c>
      <c r="P3165" s="96">
        <f>_xlfn.XLOOKUP(Tabla5[[#This Row],[EAN CORREGIDO]],'Tabla Articulos'!B:B,'Tabla Articulos'!D:D)</f>
        <v/>
      </c>
      <c r="Q3165" s="96">
        <f>_xlfn.XLOOKUP(S3165,'Tabla Articulos'!B:B,'Tabla Articulos'!E:E)</f>
        <v/>
      </c>
      <c r="R3165" s="96">
        <f>O3165*Q3165</f>
        <v/>
      </c>
      <c r="S3165" s="97">
        <f>TRIM(E3165)</f>
        <v/>
      </c>
    </row>
    <row r="3166" hidden="1">
      <c r="A3166" s="22" t="n">
        <v>2</v>
      </c>
      <c r="B3166" t="inlineStr">
        <is>
          <t xml:space="preserve">CD CIUDADELA                  </t>
        </is>
      </c>
      <c r="C3166" t="inlineStr">
        <is>
          <t xml:space="preserve">GRUPO L.                      </t>
        </is>
      </c>
      <c r="D3166" t="inlineStr">
        <is>
          <t>GALLE ARROZ C/S</t>
        </is>
      </c>
      <c r="E3166" t="inlineStr">
        <is>
          <t xml:space="preserve">7798082000126       </t>
        </is>
      </c>
      <c r="F3166" t="n">
        <v>4018878</v>
      </c>
      <c r="G3166" t="inlineStr">
        <is>
          <t xml:space="preserve">GALL ARROZ C/S CEL X100G ARROC     </t>
        </is>
      </c>
      <c r="H3166" t="inlineStr">
        <is>
          <t xml:space="preserve">UNIDAD              </t>
        </is>
      </c>
      <c r="I3166" t="n">
        <v>1133</v>
      </c>
      <c r="J3166" t="n">
        <v>0</v>
      </c>
      <c r="K3166" t="n">
        <v>0</v>
      </c>
      <c r="L3166" t="n">
        <v>49</v>
      </c>
      <c r="M3166" t="n">
        <v>49</v>
      </c>
      <c r="N3166" t="n">
        <v>0</v>
      </c>
      <c r="O3166" t="n">
        <v>1035</v>
      </c>
      <c r="P3166" s="96">
        <f>_xlfn.XLOOKUP(Tabla5[[#This Row],[EAN CORREGIDO]],'Tabla Articulos'!B:B,'Tabla Articulos'!D:D)</f>
        <v/>
      </c>
      <c r="Q3166" s="96">
        <f>_xlfn.XLOOKUP(S3166,'Tabla Articulos'!B:B,'Tabla Articulos'!E:E)</f>
        <v/>
      </c>
      <c r="R3166" s="96">
        <f>O3166*Q3166</f>
        <v/>
      </c>
      <c r="S3166" s="97">
        <f>TRIM(E3166)</f>
        <v/>
      </c>
    </row>
    <row r="3167" hidden="1">
      <c r="A3167" s="22" t="n">
        <v>2</v>
      </c>
      <c r="B3167" t="inlineStr">
        <is>
          <t xml:space="preserve">CD CIUDADELA                  </t>
        </is>
      </c>
      <c r="C3167" t="inlineStr">
        <is>
          <t xml:space="preserve">GRUPO L.                      </t>
        </is>
      </c>
      <c r="D3167" t="inlineStr">
        <is>
          <t>TE BOLDO</t>
        </is>
      </c>
      <c r="E3167" t="inlineStr">
        <is>
          <t xml:space="preserve">7792280000407       </t>
        </is>
      </c>
      <c r="F3167" t="n">
        <v>4023303</v>
      </c>
      <c r="G3167" t="inlineStr">
        <is>
          <t xml:space="preserve">TE BOLDO X100SAQ ENS CACHAMAI      </t>
        </is>
      </c>
      <c r="H3167" t="inlineStr">
        <is>
          <t xml:space="preserve">UNIDAD              </t>
        </is>
      </c>
      <c r="I3167" t="n">
        <v>3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3</v>
      </c>
      <c r="P3167" s="96">
        <f>_xlfn.XLOOKUP(Tabla5[[#This Row],[EAN CORREGIDO]],'Tabla Articulos'!B:B,'Tabla Articulos'!D:D)</f>
        <v/>
      </c>
      <c r="Q3167" s="96">
        <f>_xlfn.XLOOKUP(S3167,'Tabla Articulos'!B:B,'Tabla Articulos'!E:E)</f>
        <v/>
      </c>
      <c r="R3167" s="96">
        <f>O3167*Q3167</f>
        <v/>
      </c>
      <c r="S3167" s="97">
        <f>TRIM(E3167)</f>
        <v/>
      </c>
    </row>
    <row r="3168" hidden="1">
      <c r="A3168" s="22" t="n">
        <v>2</v>
      </c>
      <c r="B3168" t="inlineStr">
        <is>
          <t xml:space="preserve">CD CIUDADELA                  </t>
        </is>
      </c>
      <c r="C3168" t="inlineStr">
        <is>
          <t xml:space="preserve">GRUPO L.                      </t>
        </is>
      </c>
      <c r="D3168" t="inlineStr">
        <is>
          <t>CUCHILLOS</t>
        </is>
      </c>
      <c r="E3168" t="inlineStr">
        <is>
          <t xml:space="preserve">714604111788        </t>
        </is>
      </c>
      <c r="F3168" t="n">
        <v>2016596</v>
      </c>
      <c r="G3168" t="inlineStr">
        <is>
          <t xml:space="preserve">CUCHILLOS DESCARTABLES X1000U      </t>
        </is>
      </c>
      <c r="H3168" t="inlineStr">
        <is>
          <t xml:space="preserve">UNIDAD              </t>
        </is>
      </c>
      <c r="I3168" t="n">
        <v>51</v>
      </c>
      <c r="J3168" t="n">
        <v>0</v>
      </c>
      <c r="K3168" t="n">
        <v>0</v>
      </c>
      <c r="L3168" t="n">
        <v>5</v>
      </c>
      <c r="M3168" t="n">
        <v>5</v>
      </c>
      <c r="N3168" t="n">
        <v>0</v>
      </c>
      <c r="O3168" t="n">
        <v>41</v>
      </c>
      <c r="P3168" s="96">
        <f>_xlfn.XLOOKUP(Tabla5[[#This Row],[EAN CORREGIDO]],'Tabla Articulos'!B:B,'Tabla Articulos'!D:D)</f>
        <v/>
      </c>
      <c r="Q3168" s="96">
        <f>_xlfn.XLOOKUP(S3168,'Tabla Articulos'!B:B,'Tabla Articulos'!E:E)</f>
        <v/>
      </c>
      <c r="R3168" s="96">
        <f>O3168*Q3168</f>
        <v/>
      </c>
      <c r="S3168" s="97">
        <f>TRIM(E3168)</f>
        <v/>
      </c>
    </row>
    <row r="3169" hidden="1">
      <c r="A3169" s="22" t="n">
        <v>2</v>
      </c>
      <c r="B3169" t="inlineStr">
        <is>
          <t xml:space="preserve">CD CIUDADELA                  </t>
        </is>
      </c>
      <c r="C3169" t="inlineStr">
        <is>
          <t xml:space="preserve">GRUPO L.                      </t>
        </is>
      </c>
      <c r="D3169" t="inlineStr">
        <is>
          <t>MOSTAZA INDIVIDUAL</t>
        </is>
      </c>
      <c r="E3169" t="inlineStr">
        <is>
          <t xml:space="preserve">7798011976607       </t>
        </is>
      </c>
      <c r="F3169" t="n">
        <v>4020348</v>
      </c>
      <c r="G3169" t="inlineStr">
        <is>
          <t xml:space="preserve">MOSTAZA IND X198U X8CC ABEDUL      </t>
        </is>
      </c>
      <c r="H3169" t="inlineStr">
        <is>
          <t xml:space="preserve">UNIDAD              </t>
        </is>
      </c>
      <c r="I3169" t="n">
        <v>90</v>
      </c>
      <c r="J3169" t="n">
        <v>0</v>
      </c>
      <c r="K3169" t="n">
        <v>0</v>
      </c>
      <c r="L3169" t="n">
        <v>14</v>
      </c>
      <c r="M3169" t="n">
        <v>14</v>
      </c>
      <c r="N3169" t="n">
        <v>0</v>
      </c>
      <c r="O3169" t="n">
        <v>62</v>
      </c>
      <c r="P3169" s="96">
        <f>_xlfn.XLOOKUP(Tabla5[[#This Row],[EAN CORREGIDO]],'Tabla Articulos'!B:B,'Tabla Articulos'!D:D)</f>
        <v/>
      </c>
      <c r="Q3169" s="96">
        <f>_xlfn.XLOOKUP(S3169,'Tabla Articulos'!B:B,'Tabla Articulos'!E:E)</f>
        <v/>
      </c>
      <c r="R3169" s="96">
        <f>O3169*Q3169</f>
        <v/>
      </c>
      <c r="S3169" s="97">
        <f>TRIM(E3169)</f>
        <v/>
      </c>
    </row>
    <row r="3170" hidden="1">
      <c r="A3170" s="22" t="n">
        <v>2</v>
      </c>
      <c r="B3170" t="inlineStr">
        <is>
          <t xml:space="preserve">CD CIUDADELA                  </t>
        </is>
      </c>
      <c r="C3170" t="inlineStr">
        <is>
          <t xml:space="preserve">GRUPO L.                      </t>
        </is>
      </c>
      <c r="D3170" t="inlineStr">
        <is>
          <t>NUGGETS POLLO</t>
        </is>
      </c>
      <c r="E3170" t="inlineStr">
        <is>
          <t xml:space="preserve">7798346030272       </t>
        </is>
      </c>
      <c r="F3170" t="n">
        <v>4077491</v>
      </c>
      <c r="G3170" t="inlineStr">
        <is>
          <t xml:space="preserve">NUGGET POLLO CONG X1KG BRAVA       </t>
        </is>
      </c>
      <c r="H3170" t="inlineStr">
        <is>
          <t xml:space="preserve">UNIDAD              </t>
        </is>
      </c>
      <c r="I3170" t="n">
        <v>10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10</v>
      </c>
      <c r="P3170" s="96">
        <f>_xlfn.XLOOKUP(Tabla5[[#This Row],[EAN CORREGIDO]],'Tabla Articulos'!B:B,'Tabla Articulos'!D:D)</f>
        <v/>
      </c>
      <c r="Q3170" s="96">
        <f>_xlfn.XLOOKUP(S3170,'Tabla Articulos'!B:B,'Tabla Articulos'!E:E)</f>
        <v/>
      </c>
      <c r="R3170" s="96">
        <f>O3170*Q3170</f>
        <v/>
      </c>
      <c r="S3170" s="97">
        <f>TRIM(E3170)</f>
        <v/>
      </c>
    </row>
    <row r="3171" hidden="1">
      <c r="A3171" s="22" t="n">
        <v>2</v>
      </c>
      <c r="B3171" t="inlineStr">
        <is>
          <t xml:space="preserve">CD CIUDADELA                  </t>
        </is>
      </c>
      <c r="C3171" t="inlineStr">
        <is>
          <t xml:space="preserve">GRUPO L.                      </t>
        </is>
      </c>
      <c r="D3171" t="inlineStr">
        <is>
          <t>AZUCAR INDIV</t>
        </is>
      </c>
      <c r="E3171" t="inlineStr">
        <is>
          <t xml:space="preserve">7798011970186       </t>
        </is>
      </c>
      <c r="F3171" t="n">
        <v>4020344</v>
      </c>
      <c r="G3171" t="inlineStr">
        <is>
          <t xml:space="preserve">AZUCAR INDIV 6.25GRX800U ABEDUL    </t>
        </is>
      </c>
      <c r="H3171" t="inlineStr">
        <is>
          <t xml:space="preserve">UNIDAD              </t>
        </is>
      </c>
      <c r="I3171" t="n">
        <v>216</v>
      </c>
      <c r="J3171" t="n">
        <v>0</v>
      </c>
      <c r="K3171" t="n">
        <v>0</v>
      </c>
      <c r="L3171" t="n">
        <v>18</v>
      </c>
      <c r="M3171" t="n">
        <v>18</v>
      </c>
      <c r="N3171" t="n">
        <v>0</v>
      </c>
      <c r="O3171" t="n">
        <v>180</v>
      </c>
      <c r="P3171" s="96">
        <f>_xlfn.XLOOKUP(Tabla5[[#This Row],[EAN CORREGIDO]],'Tabla Articulos'!B:B,'Tabla Articulos'!D:D)</f>
        <v/>
      </c>
      <c r="Q3171" s="96">
        <f>_xlfn.XLOOKUP(S3171,'Tabla Articulos'!B:B,'Tabla Articulos'!E:E)</f>
        <v/>
      </c>
      <c r="R3171" s="96">
        <f>O3171*Q3171</f>
        <v/>
      </c>
      <c r="S3171" s="97">
        <f>TRIM(E3171)</f>
        <v/>
      </c>
    </row>
    <row r="3172" hidden="1">
      <c r="A3172" s="22" t="n">
        <v>2</v>
      </c>
      <c r="B3172" t="inlineStr">
        <is>
          <t xml:space="preserve">CD CIUDADELA                  </t>
        </is>
      </c>
      <c r="C3172" t="inlineStr">
        <is>
          <t xml:space="preserve">GRUPO L.                      </t>
        </is>
      </c>
      <c r="D3172" t="inlineStr">
        <is>
          <t>OBLEAS BAÑADAS</t>
        </is>
      </c>
      <c r="E3172" t="inlineStr">
        <is>
          <t xml:space="preserve">7790580125530       </t>
        </is>
      </c>
      <c r="F3172" t="n">
        <v>4019125</v>
      </c>
      <c r="G3172" t="inlineStr">
        <is>
          <t xml:space="preserve">OBLEA CHOCO 45G X 12U GRAFITTI     </t>
        </is>
      </c>
      <c r="H3172" t="inlineStr">
        <is>
          <t xml:space="preserve">UNIDAD              </t>
        </is>
      </c>
      <c r="I3172" t="n">
        <v>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4</v>
      </c>
      <c r="P3172" s="96">
        <f>_xlfn.XLOOKUP(Tabla5[[#This Row],[EAN CORREGIDO]],'Tabla Articulos'!B:B,'Tabla Articulos'!D:D)</f>
        <v/>
      </c>
      <c r="Q3172" s="96">
        <f>_xlfn.XLOOKUP(S3172,'Tabla Articulos'!B:B,'Tabla Articulos'!E:E)</f>
        <v/>
      </c>
      <c r="R3172" s="96">
        <f>O3172*Q3172</f>
        <v/>
      </c>
      <c r="S3172" s="97">
        <f>TRIM(E3172)</f>
        <v/>
      </c>
    </row>
    <row r="3173" hidden="1">
      <c r="A3173" s="22" t="n">
        <v>2</v>
      </c>
      <c r="B3173" t="inlineStr">
        <is>
          <t xml:space="preserve">CD CIUDADELA                  </t>
        </is>
      </c>
      <c r="C3173" t="inlineStr">
        <is>
          <t xml:space="preserve">GRUPO L.                      </t>
        </is>
      </c>
      <c r="D3173" t="inlineStr">
        <is>
          <t>BARRAS CEREAL</t>
        </is>
      </c>
      <c r="E3173" t="inlineStr">
        <is>
          <t xml:space="preserve">77955159            </t>
        </is>
      </c>
      <c r="F3173" t="n">
        <v>4021690</v>
      </c>
      <c r="G3173" t="inlineStr">
        <is>
          <t xml:space="preserve">BARRA CEREAL ALM/COCO ZAFRAN 28G   </t>
        </is>
      </c>
      <c r="H3173" t="inlineStr">
        <is>
          <t xml:space="preserve">UNIDAD              </t>
        </is>
      </c>
      <c r="I3173" t="n">
        <v>1080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1080</v>
      </c>
      <c r="P3173" s="96">
        <f>_xlfn.XLOOKUP(Tabla5[[#This Row],[EAN CORREGIDO]],'Tabla Articulos'!B:B,'Tabla Articulos'!D:D)</f>
        <v/>
      </c>
      <c r="Q3173" s="96">
        <f>_xlfn.XLOOKUP(S3173,'Tabla Articulos'!B:B,'Tabla Articulos'!E:E)</f>
        <v/>
      </c>
      <c r="R3173" s="96">
        <f>O3173*Q3173</f>
        <v/>
      </c>
      <c r="S3173" s="97">
        <f>TRIM(E3173)</f>
        <v/>
      </c>
    </row>
    <row r="3174" hidden="1">
      <c r="A3174" s="22" t="n">
        <v>2</v>
      </c>
      <c r="B3174" t="inlineStr">
        <is>
          <t xml:space="preserve">CD CIUDADELA                  </t>
        </is>
      </c>
      <c r="C3174" t="inlineStr">
        <is>
          <t xml:space="preserve">GRUPO L.                      </t>
        </is>
      </c>
      <c r="D3174" t="inlineStr">
        <is>
          <t>PEPA INDIVIDUAL</t>
        </is>
      </c>
      <c r="E3174" t="inlineStr">
        <is>
          <t xml:space="preserve">7793176000020       </t>
        </is>
      </c>
      <c r="F3174" t="n">
        <v>4077429</v>
      </c>
      <c r="G3174" t="inlineStr">
        <is>
          <t xml:space="preserve">GALLET DUL PEPA X 30G TEMFLOR      </t>
        </is>
      </c>
      <c r="H3174" t="inlineStr">
        <is>
          <t xml:space="preserve">PALLET              </t>
        </is>
      </c>
      <c r="I3174" t="n">
        <v>2520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2520</v>
      </c>
      <c r="P3174" s="96">
        <f>_xlfn.XLOOKUP(Tabla5[[#This Row],[EAN CORREGIDO]],'Tabla Articulos'!B:B,'Tabla Articulos'!D:D)</f>
        <v/>
      </c>
      <c r="Q3174" s="96">
        <f>_xlfn.XLOOKUP(S3174,'Tabla Articulos'!B:B,'Tabla Articulos'!E:E)</f>
        <v/>
      </c>
      <c r="R3174" s="96">
        <f>O3174*Q3174</f>
        <v/>
      </c>
      <c r="S3174" s="97">
        <f>TRIM(E3174)</f>
        <v/>
      </c>
    </row>
    <row r="3175" hidden="1">
      <c r="A3175" s="22" t="n">
        <v>2</v>
      </c>
      <c r="B3175" t="inlineStr">
        <is>
          <t xml:space="preserve">CD CIUDADELA                  </t>
        </is>
      </c>
      <c r="C3175" t="inlineStr">
        <is>
          <t xml:space="preserve">GRUPO L.                      </t>
        </is>
      </c>
      <c r="D3175" t="inlineStr">
        <is>
          <t>CEBOLLA DESHIDRATADA</t>
        </is>
      </c>
      <c r="E3175" t="inlineStr">
        <is>
          <t xml:space="preserve">7793875322188       </t>
        </is>
      </c>
      <c r="F3175" t="n">
        <v>4021285</v>
      </c>
      <c r="G3175" t="inlineStr">
        <is>
          <t xml:space="preserve">CEBOLLA ESCAMAS X5KG MYG           </t>
        </is>
      </c>
      <c r="H3175" t="inlineStr">
        <is>
          <t xml:space="preserve">UNIDAD              </t>
        </is>
      </c>
      <c r="I3175" t="n">
        <v>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7</v>
      </c>
      <c r="P3175" s="96">
        <f>_xlfn.XLOOKUP(Tabla5[[#This Row],[EAN CORREGIDO]],'Tabla Articulos'!B:B,'Tabla Articulos'!D:D)</f>
        <v/>
      </c>
      <c r="Q3175" s="96">
        <f>_xlfn.XLOOKUP(S3175,'Tabla Articulos'!B:B,'Tabla Articulos'!E:E)</f>
        <v/>
      </c>
      <c r="R3175" s="96">
        <f>O3175*Q3175</f>
        <v/>
      </c>
      <c r="S3175" s="97">
        <f>TRIM(E3175)</f>
        <v/>
      </c>
    </row>
    <row r="3176" hidden="1">
      <c r="A3176" s="22" t="n">
        <v>2</v>
      </c>
      <c r="B3176" t="inlineStr">
        <is>
          <t xml:space="preserve">CD CIUDADELA                  </t>
        </is>
      </c>
      <c r="C3176" t="inlineStr">
        <is>
          <t xml:space="preserve">GRUPO L.                      </t>
        </is>
      </c>
      <c r="D3176" t="inlineStr">
        <is>
          <t>CARNE ENTERA</t>
        </is>
      </c>
      <c r="E3176" t="inlineStr">
        <is>
          <t xml:space="preserve">7790212030082       </t>
        </is>
      </c>
      <c r="F3176" t="n">
        <v>4017730</v>
      </c>
      <c r="G3176" t="inlineStr">
        <is>
          <t xml:space="preserve">NALGA ENTERA  X KG                 </t>
        </is>
      </c>
      <c r="H3176" t="inlineStr">
        <is>
          <t xml:space="preserve">Kgs                 </t>
        </is>
      </c>
      <c r="I3176" t="n">
        <v>23.41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23.41</v>
      </c>
      <c r="P3176" s="96">
        <f>_xlfn.XLOOKUP(Tabla5[[#This Row],[EAN CORREGIDO]],'Tabla Articulos'!B:B,'Tabla Articulos'!D:D)</f>
        <v/>
      </c>
      <c r="Q3176" s="96">
        <f>_xlfn.XLOOKUP(S3176,'Tabla Articulos'!B:B,'Tabla Articulos'!E:E)</f>
        <v/>
      </c>
      <c r="R3176" s="96">
        <f>O3176*Q3176</f>
        <v/>
      </c>
      <c r="S3176" s="97">
        <f>TRIM(E3176)</f>
        <v/>
      </c>
    </row>
    <row r="3177" hidden="1">
      <c r="A3177" s="22" t="n">
        <v>2</v>
      </c>
      <c r="B3177" t="inlineStr">
        <is>
          <t xml:space="preserve">CD CIUDADELA                  </t>
        </is>
      </c>
      <c r="C3177" t="inlineStr">
        <is>
          <t xml:space="preserve">GRUPO L.                      </t>
        </is>
      </c>
      <c r="D3177" t="inlineStr">
        <is>
          <t>ARROZ PARBOIL</t>
        </is>
      </c>
      <c r="E3177" t="inlineStr">
        <is>
          <t xml:space="preserve">7790503000029       </t>
        </is>
      </c>
      <c r="F3177" t="n">
        <v>4019380</v>
      </c>
      <c r="G3177" t="inlineStr">
        <is>
          <t xml:space="preserve">ARROZ PARBOIL STACC X5K DOS HNOS   </t>
        </is>
      </c>
      <c r="H3177" t="inlineStr">
        <is>
          <t xml:space="preserve">UNIDAD              </t>
        </is>
      </c>
      <c r="I3177" t="n">
        <v>130</v>
      </c>
      <c r="J3177" t="n">
        <v>0</v>
      </c>
      <c r="K3177" t="n">
        <v>0</v>
      </c>
      <c r="L3177" t="n">
        <v>36</v>
      </c>
      <c r="M3177" t="n">
        <v>36</v>
      </c>
      <c r="N3177" t="n">
        <v>0</v>
      </c>
      <c r="O3177" t="n">
        <v>58</v>
      </c>
      <c r="P3177" s="96">
        <f>_xlfn.XLOOKUP(Tabla5[[#This Row],[EAN CORREGIDO]],'Tabla Articulos'!B:B,'Tabla Articulos'!D:D)</f>
        <v/>
      </c>
      <c r="Q3177" s="96">
        <f>_xlfn.XLOOKUP(S3177,'Tabla Articulos'!B:B,'Tabla Articulos'!E:E)</f>
        <v/>
      </c>
      <c r="R3177" s="96">
        <f>O3177*Q3177</f>
        <v/>
      </c>
      <c r="S3177" s="97">
        <f>TRIM(E3177)</f>
        <v/>
      </c>
    </row>
    <row r="3178" hidden="1">
      <c r="A3178" s="22" t="n">
        <v>2</v>
      </c>
      <c r="B3178" t="inlineStr">
        <is>
          <t xml:space="preserve">CD CIUDADELA                  </t>
        </is>
      </c>
      <c r="C3178" t="inlineStr">
        <is>
          <t xml:space="preserve">GRUPO L.                      </t>
        </is>
      </c>
      <c r="D3178" t="inlineStr">
        <is>
          <t>TE ENSOB LIMON</t>
        </is>
      </c>
      <c r="E3178" t="inlineStr">
        <is>
          <t xml:space="preserve">7790150240175       </t>
        </is>
      </c>
      <c r="F3178" t="n">
        <v>4019311</v>
      </c>
      <c r="G3178" t="inlineStr">
        <is>
          <t xml:space="preserve">TE LIMON ENSOB X20U LA VIRGINA     </t>
        </is>
      </c>
      <c r="H3178" t="inlineStr">
        <is>
          <t xml:space="preserve">UNIDAD              </t>
        </is>
      </c>
      <c r="I3178" t="n">
        <v>49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49</v>
      </c>
      <c r="P3178" s="96">
        <f>_xlfn.XLOOKUP(Tabla5[[#This Row],[EAN CORREGIDO]],'Tabla Articulos'!B:B,'Tabla Articulos'!D:D)</f>
        <v/>
      </c>
      <c r="Q3178" s="96">
        <f>_xlfn.XLOOKUP(S3178,'Tabla Articulos'!B:B,'Tabla Articulos'!E:E)</f>
        <v/>
      </c>
      <c r="R3178" s="96">
        <f>O3178*Q3178</f>
        <v/>
      </c>
      <c r="S3178" s="97">
        <f>TRIM(E3178)</f>
        <v/>
      </c>
    </row>
    <row r="3179" hidden="1">
      <c r="A3179" s="22" t="n">
        <v>2</v>
      </c>
      <c r="B3179" t="inlineStr">
        <is>
          <t xml:space="preserve">CD CIUDADELA                  </t>
        </is>
      </c>
      <c r="C3179" t="inlineStr">
        <is>
          <t xml:space="preserve">GRUPO L.                      </t>
        </is>
      </c>
      <c r="D3179" t="inlineStr">
        <is>
          <t>LAUREL SECO</t>
        </is>
      </c>
      <c r="E3179" t="inlineStr">
        <is>
          <t xml:space="preserve">7793875314756       </t>
        </is>
      </c>
      <c r="F3179" t="n">
        <v>4020057</v>
      </c>
      <c r="G3179" t="inlineStr">
        <is>
          <t xml:space="preserve">LAUREL X1KG AROMAS Y SABORES       </t>
        </is>
      </c>
      <c r="H3179" t="inlineStr">
        <is>
          <t xml:space="preserve">UNIDAD              </t>
        </is>
      </c>
      <c r="I3179" t="n">
        <v>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4</v>
      </c>
      <c r="P3179" s="96">
        <f>_xlfn.XLOOKUP(Tabla5[[#This Row],[EAN CORREGIDO]],'Tabla Articulos'!B:B,'Tabla Articulos'!D:D)</f>
        <v/>
      </c>
      <c r="Q3179" s="96">
        <f>_xlfn.XLOOKUP(S3179,'Tabla Articulos'!B:B,'Tabla Articulos'!E:E)</f>
        <v/>
      </c>
      <c r="R3179" s="96">
        <f>O3179*Q3179</f>
        <v/>
      </c>
      <c r="S3179" s="97">
        <f>TRIM(E3179)</f>
        <v/>
      </c>
    </row>
    <row r="3180" hidden="1">
      <c r="A3180" s="22" t="n">
        <v>2</v>
      </c>
      <c r="B3180" t="inlineStr">
        <is>
          <t xml:space="preserve">CD CIUDADELA                  </t>
        </is>
      </c>
      <c r="C3180" t="inlineStr">
        <is>
          <t xml:space="preserve">GRUPO L.                      </t>
        </is>
      </c>
      <c r="D3180" t="inlineStr">
        <is>
          <t>TARTA JAMON Y QUESO</t>
        </is>
      </c>
      <c r="E3180" t="inlineStr">
        <is>
          <t xml:space="preserve">7798088625418       </t>
        </is>
      </c>
      <c r="F3180" t="n">
        <v>4018454</v>
      </c>
      <c r="G3180" t="inlineStr">
        <is>
          <t xml:space="preserve">TARTA JAM/QUESO X340G X10U SELYGEL </t>
        </is>
      </c>
      <c r="H3180" t="inlineStr">
        <is>
          <t xml:space="preserve">UNIDAD              </t>
        </is>
      </c>
      <c r="I3180" t="n">
        <v>15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15</v>
      </c>
      <c r="P3180" s="96">
        <f>_xlfn.XLOOKUP(Tabla5[[#This Row],[EAN CORREGIDO]],'Tabla Articulos'!B:B,'Tabla Articulos'!D:D)</f>
        <v/>
      </c>
      <c r="Q3180" s="96">
        <f>_xlfn.XLOOKUP(S3180,'Tabla Articulos'!B:B,'Tabla Articulos'!E:E)</f>
        <v/>
      </c>
      <c r="R3180" s="96">
        <f>O3180*Q3180</f>
        <v/>
      </c>
      <c r="S3180" s="97">
        <f>TRIM(E3180)</f>
        <v/>
      </c>
    </row>
    <row r="3181" hidden="1">
      <c r="A3181" s="22" t="n">
        <v>2</v>
      </c>
      <c r="B3181" t="inlineStr">
        <is>
          <t xml:space="preserve">CD CIUDADELA                  </t>
        </is>
      </c>
      <c r="C3181" t="inlineStr">
        <is>
          <t xml:space="preserve">GRUPO L.                      </t>
        </is>
      </c>
      <c r="D3181" t="inlineStr">
        <is>
          <t>FECULA DE MANDIOCA</t>
        </is>
      </c>
      <c r="E3181" t="inlineStr">
        <is>
          <t xml:space="preserve">7798186163000       </t>
        </is>
      </c>
      <c r="F3181" t="n">
        <v>4020463</v>
      </c>
      <c r="G3181" t="inlineStr">
        <is>
          <t xml:space="preserve">FECULA DE MANDIOCA X1KG VALLE	     </t>
        </is>
      </c>
      <c r="H3181" t="inlineStr">
        <is>
          <t xml:space="preserve">UNIDAD              </t>
        </is>
      </c>
      <c r="I3181" t="n">
        <v>464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464</v>
      </c>
      <c r="P3181" s="96">
        <f>_xlfn.XLOOKUP(Tabla5[[#This Row],[EAN CORREGIDO]],'Tabla Articulos'!B:B,'Tabla Articulos'!D:D)</f>
        <v/>
      </c>
      <c r="Q3181" s="96">
        <f>_xlfn.XLOOKUP(S3181,'Tabla Articulos'!B:B,'Tabla Articulos'!E:E)</f>
        <v/>
      </c>
      <c r="R3181" s="96">
        <f>O3181*Q3181</f>
        <v/>
      </c>
      <c r="S3181" s="97">
        <f>TRIM(E3181)</f>
        <v/>
      </c>
    </row>
    <row r="3182" hidden="1">
      <c r="A3182" s="22" t="n">
        <v>2</v>
      </c>
      <c r="B3182" t="inlineStr">
        <is>
          <t xml:space="preserve">CD CIUDADELA                  </t>
        </is>
      </c>
      <c r="C3182" t="inlineStr">
        <is>
          <t xml:space="preserve">GRUPO L.                      </t>
        </is>
      </c>
      <c r="D3182" t="inlineStr">
        <is>
          <t>KETCHUP</t>
        </is>
      </c>
      <c r="E3182" t="inlineStr">
        <is>
          <t xml:space="preserve">7798011976904       </t>
        </is>
      </c>
      <c r="F3182" t="n">
        <v>4024612</v>
      </c>
      <c r="G3182" t="inlineStr">
        <is>
          <t xml:space="preserve">KETCHUP X3KG ABEDUL                </t>
        </is>
      </c>
      <c r="H3182" t="inlineStr">
        <is>
          <t xml:space="preserve">UNIDAD              </t>
        </is>
      </c>
      <c r="I3182" t="n">
        <v>339</v>
      </c>
      <c r="J3182" t="n">
        <v>0</v>
      </c>
      <c r="K3182" t="n">
        <v>0</v>
      </c>
      <c r="L3182" t="n">
        <v>3</v>
      </c>
      <c r="M3182" t="n">
        <v>3</v>
      </c>
      <c r="N3182" t="n">
        <v>0</v>
      </c>
      <c r="O3182" t="n">
        <v>333</v>
      </c>
      <c r="P3182" s="96">
        <f>_xlfn.XLOOKUP(Tabla5[[#This Row],[EAN CORREGIDO]],'Tabla Articulos'!B:B,'Tabla Articulos'!D:D)</f>
        <v/>
      </c>
      <c r="Q3182" s="96">
        <f>_xlfn.XLOOKUP(S3182,'Tabla Articulos'!B:B,'Tabla Articulos'!E:E)</f>
        <v/>
      </c>
      <c r="R3182" s="96">
        <f>O3182*Q3182</f>
        <v/>
      </c>
      <c r="S3182" s="97">
        <f>TRIM(E3182)</f>
        <v/>
      </c>
    </row>
    <row r="3183" hidden="1">
      <c r="A3183" s="22" t="n">
        <v>2</v>
      </c>
      <c r="B3183" t="inlineStr">
        <is>
          <t xml:space="preserve">CD CIUDADELA                  </t>
        </is>
      </c>
      <c r="C3183" t="inlineStr">
        <is>
          <t xml:space="preserve">GRUPO L.                      </t>
        </is>
      </c>
      <c r="D3183" t="inlineStr">
        <is>
          <t>JUGO POLVO ANANA</t>
        </is>
      </c>
      <c r="E3183" t="inlineStr">
        <is>
          <t xml:space="preserve">7790971000965       </t>
        </is>
      </c>
      <c r="F3183" t="n">
        <v>4019991</v>
      </c>
      <c r="G3183" t="inlineStr">
        <is>
          <t xml:space="preserve">JUGO ANANA X5KG ORLOC              </t>
        </is>
      </c>
      <c r="H3183" t="inlineStr">
        <is>
          <t xml:space="preserve">UNIDAD              </t>
        </is>
      </c>
      <c r="I3183" t="n">
        <v>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1</v>
      </c>
      <c r="P3183" s="96">
        <f>_xlfn.XLOOKUP(Tabla5[[#This Row],[EAN CORREGIDO]],'Tabla Articulos'!B:B,'Tabla Articulos'!D:D)</f>
        <v/>
      </c>
      <c r="Q3183" s="96">
        <f>_xlfn.XLOOKUP(S3183,'Tabla Articulos'!B:B,'Tabla Articulos'!E:E)</f>
        <v/>
      </c>
      <c r="R3183" s="96">
        <f>O3183*Q3183</f>
        <v/>
      </c>
      <c r="S3183" s="97">
        <f>TRIM(E3183)</f>
        <v/>
      </c>
    </row>
    <row r="3184" hidden="1">
      <c r="A3184" s="22" t="n">
        <v>2</v>
      </c>
      <c r="B3184" t="inlineStr">
        <is>
          <t xml:space="preserve">CD CIUDADELA                  </t>
        </is>
      </c>
      <c r="C3184" t="inlineStr">
        <is>
          <t xml:space="preserve">GRUPO L.                      </t>
        </is>
      </c>
      <c r="D3184" t="inlineStr">
        <is>
          <t>DULCE BATATA</t>
        </is>
      </c>
      <c r="E3184" t="inlineStr">
        <is>
          <t xml:space="preserve">7790212060832       </t>
        </is>
      </c>
      <c r="F3184" t="n">
        <v>4020480</v>
      </c>
      <c r="G3184" t="inlineStr">
        <is>
          <t xml:space="preserve">DULCE BATATA X KG                  </t>
        </is>
      </c>
      <c r="H3184" t="inlineStr">
        <is>
          <t xml:space="preserve">Kgs                 </t>
        </is>
      </c>
      <c r="I3184" t="n">
        <v>9.5</v>
      </c>
      <c r="J3184" t="n">
        <v>0</v>
      </c>
      <c r="K3184" t="n">
        <v>0</v>
      </c>
      <c r="L3184" t="n">
        <v>0.62</v>
      </c>
      <c r="M3184" t="n">
        <v>0.62</v>
      </c>
      <c r="N3184" t="n">
        <v>0</v>
      </c>
      <c r="O3184" t="n">
        <v>8.26</v>
      </c>
      <c r="P3184" s="96">
        <f>_xlfn.XLOOKUP(Tabla5[[#This Row],[EAN CORREGIDO]],'Tabla Articulos'!B:B,'Tabla Articulos'!D:D)</f>
        <v/>
      </c>
      <c r="Q3184" s="96">
        <f>_xlfn.XLOOKUP(S3184,'Tabla Articulos'!B:B,'Tabla Articulos'!E:E)</f>
        <v/>
      </c>
      <c r="R3184" s="96">
        <f>O3184*Q3184</f>
        <v/>
      </c>
      <c r="S3184" s="97">
        <f>TRIM(E3184)</f>
        <v/>
      </c>
    </row>
    <row r="3185" hidden="1">
      <c r="A3185" s="22" t="n">
        <v>2</v>
      </c>
      <c r="B3185" t="inlineStr">
        <is>
          <t xml:space="preserve">CD CIUDADELA                  </t>
        </is>
      </c>
      <c r="C3185" t="inlineStr">
        <is>
          <t xml:space="preserve">GRUPO L.                      </t>
        </is>
      </c>
      <c r="D3185" t="inlineStr">
        <is>
          <t>FIDEOS GLUTEN S/TACC</t>
        </is>
      </c>
      <c r="E3185" t="inlineStr">
        <is>
          <t xml:space="preserve">7790070336002       </t>
        </is>
      </c>
      <c r="F3185" t="n">
        <v>4019454</v>
      </c>
      <c r="G3185" t="inlineStr">
        <is>
          <t>FIDEO SPAGHETTI S/TACC X500G MATARA</t>
        </is>
      </c>
      <c r="H3185" t="inlineStr">
        <is>
          <t xml:space="preserve">UNIDAD              </t>
        </is>
      </c>
      <c r="I3185" t="n">
        <v>172</v>
      </c>
      <c r="J3185" t="n">
        <v>0</v>
      </c>
      <c r="K3185" t="n">
        <v>0</v>
      </c>
      <c r="L3185" t="n">
        <v>6</v>
      </c>
      <c r="M3185" t="n">
        <v>6</v>
      </c>
      <c r="N3185" t="n">
        <v>0</v>
      </c>
      <c r="O3185" t="n">
        <v>160</v>
      </c>
      <c r="P3185" s="96">
        <f>_xlfn.XLOOKUP(Tabla5[[#This Row],[EAN CORREGIDO]],'Tabla Articulos'!B:B,'Tabla Articulos'!D:D)</f>
        <v/>
      </c>
      <c r="Q3185" s="96">
        <f>_xlfn.XLOOKUP(S3185,'Tabla Articulos'!B:B,'Tabla Articulos'!E:E)</f>
        <v/>
      </c>
      <c r="R3185" s="96">
        <f>O3185*Q3185</f>
        <v/>
      </c>
      <c r="S3185" s="97">
        <f>TRIM(E3185)</f>
        <v/>
      </c>
    </row>
    <row r="3186" hidden="1">
      <c r="A3186" s="22" t="n">
        <v>2</v>
      </c>
      <c r="B3186" t="inlineStr">
        <is>
          <t xml:space="preserve">CD CIUDADELA                  </t>
        </is>
      </c>
      <c r="C3186" t="inlineStr">
        <is>
          <t xml:space="preserve">GRUPO L.                      </t>
        </is>
      </c>
      <c r="D3186" t="inlineStr">
        <is>
          <t>PIMIENTA BLANCA IND</t>
        </is>
      </c>
      <c r="E3186" t="inlineStr">
        <is>
          <t xml:space="preserve">7798011977048       </t>
        </is>
      </c>
      <c r="F3186" t="n">
        <v>4020556</v>
      </c>
      <c r="G3186" t="inlineStr">
        <is>
          <t>PIMIENTA BLANCA IND 0.5GX 400U ABED</t>
        </is>
      </c>
      <c r="H3186" t="inlineStr">
        <is>
          <t xml:space="preserve">UNIDAD              </t>
        </is>
      </c>
      <c r="I3186" t="n">
        <v>15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15</v>
      </c>
      <c r="P3186" s="96">
        <f>_xlfn.XLOOKUP(Tabla5[[#This Row],[EAN CORREGIDO]],'Tabla Articulos'!B:B,'Tabla Articulos'!D:D)</f>
        <v/>
      </c>
      <c r="Q3186" s="96">
        <f>_xlfn.XLOOKUP(S3186,'Tabla Articulos'!B:B,'Tabla Articulos'!E:E)</f>
        <v/>
      </c>
      <c r="R3186" s="96">
        <f>O3186*Q3186</f>
        <v/>
      </c>
      <c r="S3186" s="97">
        <f>TRIM(E3186)</f>
        <v/>
      </c>
    </row>
    <row r="3187" hidden="1">
      <c r="A3187" s="22" t="n">
        <v>2</v>
      </c>
      <c r="B3187" t="inlineStr">
        <is>
          <t xml:space="preserve">CD CIUDADELA                  </t>
        </is>
      </c>
      <c r="C3187" t="inlineStr">
        <is>
          <t xml:space="preserve">GRUPO L.                      </t>
        </is>
      </c>
      <c r="D3187" t="inlineStr">
        <is>
          <t>BARBIJO DESCARTABLE</t>
        </is>
      </c>
      <c r="E3187" t="inlineStr">
        <is>
          <t xml:space="preserve">LIM000462           </t>
        </is>
      </c>
      <c r="F3187" t="n">
        <v>2006638</v>
      </c>
      <c r="G3187" t="inlineStr">
        <is>
          <t xml:space="preserve">BARBIJO QUIRURGICO X 50 U          </t>
        </is>
      </c>
      <c r="H3187" t="inlineStr">
        <is>
          <t xml:space="preserve">UNIDAD              </t>
        </is>
      </c>
      <c r="I3187" t="n">
        <v>362</v>
      </c>
      <c r="J3187" t="n">
        <v>0</v>
      </c>
      <c r="K3187" t="n">
        <v>0</v>
      </c>
      <c r="L3187" t="n">
        <v>10</v>
      </c>
      <c r="M3187" t="n">
        <v>10</v>
      </c>
      <c r="N3187" t="n">
        <v>0</v>
      </c>
      <c r="O3187" t="n">
        <v>342</v>
      </c>
      <c r="P3187" s="96">
        <f>_xlfn.XLOOKUP(Tabla5[[#This Row],[EAN CORREGIDO]],'Tabla Articulos'!B:B,'Tabla Articulos'!D:D)</f>
        <v/>
      </c>
      <c r="Q3187" s="96">
        <f>_xlfn.XLOOKUP(S3187,'Tabla Articulos'!B:B,'Tabla Articulos'!E:E)</f>
        <v/>
      </c>
      <c r="R3187" s="96">
        <f>O3187*Q3187</f>
        <v/>
      </c>
      <c r="S3187" s="97">
        <f>TRIM(E3187)</f>
        <v/>
      </c>
    </row>
    <row r="3188" hidden="1">
      <c r="A3188" s="22" t="n">
        <v>2</v>
      </c>
      <c r="B3188" t="inlineStr">
        <is>
          <t xml:space="preserve">CD CIUDADELA                  </t>
        </is>
      </c>
      <c r="C3188" t="inlineStr">
        <is>
          <t xml:space="preserve">GRUPO L.                      </t>
        </is>
      </c>
      <c r="D3188" t="inlineStr">
        <is>
          <t>TOSTADA ARROZ DULCE</t>
        </is>
      </c>
      <c r="E3188" t="inlineStr">
        <is>
          <t xml:space="preserve">7790412000288       </t>
        </is>
      </c>
      <c r="F3188" t="n">
        <v>4018812</v>
      </c>
      <c r="G3188" t="inlineStr">
        <is>
          <t>TOSTADA ARROZ DULCE S/TACC X150G LE</t>
        </is>
      </c>
      <c r="H3188" t="inlineStr">
        <is>
          <t xml:space="preserve">UNIDAD              </t>
        </is>
      </c>
      <c r="I3188" t="n">
        <v>1948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1948</v>
      </c>
      <c r="P3188" s="96">
        <f>_xlfn.XLOOKUP(Tabla5[[#This Row],[EAN CORREGIDO]],'Tabla Articulos'!B:B,'Tabla Articulos'!D:D)</f>
        <v/>
      </c>
      <c r="Q3188" s="96">
        <f>_xlfn.XLOOKUP(S3188,'Tabla Articulos'!B:B,'Tabla Articulos'!E:E)</f>
        <v/>
      </c>
      <c r="R3188" s="96">
        <f>O3188*Q3188</f>
        <v/>
      </c>
      <c r="S3188" s="97">
        <f>TRIM(E3188)</f>
        <v/>
      </c>
    </row>
    <row r="3189" hidden="1">
      <c r="A3189" s="22" t="n">
        <v>2</v>
      </c>
      <c r="B3189" t="inlineStr">
        <is>
          <t xml:space="preserve">CD CIUDADELA                  </t>
        </is>
      </c>
      <c r="C3189" t="inlineStr">
        <is>
          <t xml:space="preserve">GRUPO L.                      </t>
        </is>
      </c>
      <c r="D3189" t="inlineStr">
        <is>
          <t>LECHE NIDINA 2</t>
        </is>
      </c>
      <c r="E3189" t="inlineStr">
        <is>
          <t xml:space="preserve">8445290180209       </t>
        </is>
      </c>
      <c r="F3189" t="n">
        <v>4018276</v>
      </c>
      <c r="G3189" t="inlineStr">
        <is>
          <t xml:space="preserve">LECHE NIDINA2 X200ML               </t>
        </is>
      </c>
      <c r="H3189" t="inlineStr">
        <is>
          <t xml:space="preserve">UNIDAD              </t>
        </is>
      </c>
      <c r="I3189" t="n">
        <v>329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329</v>
      </c>
      <c r="P3189" s="96">
        <f>_xlfn.XLOOKUP(Tabla5[[#This Row],[EAN CORREGIDO]],'Tabla Articulos'!B:B,'Tabla Articulos'!D:D)</f>
        <v/>
      </c>
      <c r="Q3189" s="96">
        <f>_xlfn.XLOOKUP(S3189,'Tabla Articulos'!B:B,'Tabla Articulos'!E:E)</f>
        <v/>
      </c>
      <c r="R3189" s="96">
        <f>O3189*Q3189</f>
        <v/>
      </c>
      <c r="S3189" s="97">
        <f>TRIM(E3189)</f>
        <v/>
      </c>
    </row>
    <row r="3190" hidden="1">
      <c r="A3190" s="22" t="n">
        <v>2</v>
      </c>
      <c r="B3190" t="inlineStr">
        <is>
          <t xml:space="preserve">CD CIUDADELA                  </t>
        </is>
      </c>
      <c r="C3190" t="inlineStr">
        <is>
          <t xml:space="preserve">GRUPO L.                      </t>
        </is>
      </c>
      <c r="D3190" t="inlineStr">
        <is>
          <t>CALDO CUBOS VERDURA</t>
        </is>
      </c>
      <c r="E3190" t="inlineStr">
        <is>
          <t xml:space="preserve">7790989004290       </t>
        </is>
      </c>
      <c r="F3190" t="n">
        <v>4019936</v>
      </c>
      <c r="G3190" t="inlineStr">
        <is>
          <t xml:space="preserve">CALDO VERDURA X12U LA MERE MIC     </t>
        </is>
      </c>
      <c r="H3190" t="inlineStr">
        <is>
          <t xml:space="preserve">UNIDAD              </t>
        </is>
      </c>
      <c r="I3190" t="n">
        <v>669</v>
      </c>
      <c r="J3190" t="n">
        <v>0</v>
      </c>
      <c r="K3190" t="n">
        <v>0</v>
      </c>
      <c r="L3190" t="n">
        <v>5</v>
      </c>
      <c r="M3190" t="n">
        <v>5</v>
      </c>
      <c r="N3190" t="n">
        <v>0</v>
      </c>
      <c r="O3190" t="n">
        <v>659</v>
      </c>
      <c r="P3190" s="96">
        <f>_xlfn.XLOOKUP(Tabla5[[#This Row],[EAN CORREGIDO]],'Tabla Articulos'!B:B,'Tabla Articulos'!D:D)</f>
        <v/>
      </c>
      <c r="Q3190" s="96">
        <f>_xlfn.XLOOKUP(S3190,'Tabla Articulos'!B:B,'Tabla Articulos'!E:E)</f>
        <v/>
      </c>
      <c r="R3190" s="96">
        <f>O3190*Q3190</f>
        <v/>
      </c>
      <c r="S3190" s="97">
        <f>TRIM(E3190)</f>
        <v/>
      </c>
    </row>
    <row r="3191" hidden="1">
      <c r="A3191" s="22" t="n">
        <v>2</v>
      </c>
      <c r="B3191" t="inlineStr">
        <is>
          <t xml:space="preserve">CD CIUDADELA                  </t>
        </is>
      </c>
      <c r="C3191" t="inlineStr">
        <is>
          <t xml:space="preserve">GRUPO L.                      </t>
        </is>
      </c>
      <c r="D3191" t="inlineStr">
        <is>
          <t>TE MANZANILLA ENSOBR</t>
        </is>
      </c>
      <c r="E3191" t="inlineStr">
        <is>
          <t xml:space="preserve">7792280000377       </t>
        </is>
      </c>
      <c r="F3191" t="n">
        <v>4020042</v>
      </c>
      <c r="G3191" t="inlineStr">
        <is>
          <t xml:space="preserve">TE SOB MANZANILLA X20U CACHAMAI    </t>
        </is>
      </c>
      <c r="H3191" t="inlineStr">
        <is>
          <t xml:space="preserve">UNIDAD              </t>
        </is>
      </c>
      <c r="I3191" t="n">
        <v>254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254</v>
      </c>
      <c r="P3191" s="96">
        <f>_xlfn.XLOOKUP(Tabla5[[#This Row],[EAN CORREGIDO]],'Tabla Articulos'!B:B,'Tabla Articulos'!D:D)</f>
        <v/>
      </c>
      <c r="Q3191" s="96">
        <f>_xlfn.XLOOKUP(S3191,'Tabla Articulos'!B:B,'Tabla Articulos'!E:E)</f>
        <v/>
      </c>
      <c r="R3191" s="96">
        <f>O3191*Q3191</f>
        <v/>
      </c>
      <c r="S3191" s="97">
        <f>TRIM(E3191)</f>
        <v/>
      </c>
    </row>
    <row r="3192" hidden="1">
      <c r="A3192" s="22" t="n">
        <v>2</v>
      </c>
      <c r="B3192" t="inlineStr">
        <is>
          <t xml:space="preserve">CD CIUDADELA                  </t>
        </is>
      </c>
      <c r="C3192" t="inlineStr">
        <is>
          <t xml:space="preserve">GRUPO L.                      </t>
        </is>
      </c>
      <c r="D3192" t="inlineStr">
        <is>
          <t>MANTECA GRANEL</t>
        </is>
      </c>
      <c r="E3192" t="inlineStr">
        <is>
          <t xml:space="preserve">27790398000382      </t>
        </is>
      </c>
      <c r="F3192" t="n">
        <v>4018307</v>
      </c>
      <c r="G3192" t="inlineStr">
        <is>
          <t xml:space="preserve">MANTECA PILON X5KG PAULINA	        </t>
        </is>
      </c>
      <c r="H3192" t="inlineStr">
        <is>
          <t xml:space="preserve">UNIDAD              </t>
        </is>
      </c>
      <c r="I3192" t="n">
        <v>40</v>
      </c>
      <c r="J3192" t="n">
        <v>0</v>
      </c>
      <c r="K3192" t="n">
        <v>0</v>
      </c>
      <c r="L3192" t="n">
        <v>5</v>
      </c>
      <c r="M3192" t="n">
        <v>5</v>
      </c>
      <c r="N3192" t="n">
        <v>0</v>
      </c>
      <c r="O3192" t="n">
        <v>30</v>
      </c>
      <c r="P3192" s="96">
        <f>_xlfn.XLOOKUP(Tabla5[[#This Row],[EAN CORREGIDO]],'Tabla Articulos'!B:B,'Tabla Articulos'!D:D)</f>
        <v/>
      </c>
      <c r="Q3192" s="96">
        <f>_xlfn.XLOOKUP(S3192,'Tabla Articulos'!B:B,'Tabla Articulos'!E:E)</f>
        <v/>
      </c>
      <c r="R3192" s="96">
        <f>O3192*Q3192</f>
        <v/>
      </c>
      <c r="S3192" s="97">
        <f>TRIM(E3192)</f>
        <v/>
      </c>
    </row>
    <row r="3193" hidden="1">
      <c r="A3193" s="22" t="n">
        <v>2</v>
      </c>
      <c r="B3193" t="inlineStr">
        <is>
          <t xml:space="preserve">CD CIUDADELA                  </t>
        </is>
      </c>
      <c r="C3193" t="inlineStr">
        <is>
          <t xml:space="preserve">GRUPO L.                      </t>
        </is>
      </c>
      <c r="D3193" t="inlineStr">
        <is>
          <t>EMPANADA CONG ACELGA</t>
        </is>
      </c>
      <c r="E3193" t="inlineStr">
        <is>
          <t xml:space="preserve">7798357290351       </t>
        </is>
      </c>
      <c r="F3193" t="n">
        <v>4018740</v>
      </c>
      <c r="G3193" t="inlineStr">
        <is>
          <t xml:space="preserve">EMP VERDURA X90GX48U SELYGEL       </t>
        </is>
      </c>
      <c r="H3193" t="inlineStr">
        <is>
          <t xml:space="preserve">UNIDAD              </t>
        </is>
      </c>
      <c r="I3193" t="n">
        <v>2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2</v>
      </c>
      <c r="P3193" s="96">
        <f>_xlfn.XLOOKUP(Tabla5[[#This Row],[EAN CORREGIDO]],'Tabla Articulos'!B:B,'Tabla Articulos'!D:D)</f>
        <v/>
      </c>
      <c r="Q3193" s="96">
        <f>_xlfn.XLOOKUP(S3193,'Tabla Articulos'!B:B,'Tabla Articulos'!E:E)</f>
        <v/>
      </c>
      <c r="R3193" s="96">
        <f>O3193*Q3193</f>
        <v/>
      </c>
      <c r="S3193" s="97">
        <f>TRIM(E3193)</f>
        <v/>
      </c>
    </row>
    <row r="3194" hidden="1">
      <c r="A3194" s="22" t="n">
        <v>2</v>
      </c>
      <c r="B3194" t="inlineStr">
        <is>
          <t xml:space="preserve">CD CIUDADELA                  </t>
        </is>
      </c>
      <c r="C3194" t="inlineStr">
        <is>
          <t xml:space="preserve">GRUPO L.                      </t>
        </is>
      </c>
      <c r="D3194" t="inlineStr">
        <is>
          <t>GALLE CHOCOLATE</t>
        </is>
      </c>
      <c r="E3194" t="inlineStr">
        <is>
          <t xml:space="preserve">7791376000925       </t>
        </is>
      </c>
      <c r="F3194" t="n">
        <v>4018843</v>
      </c>
      <c r="G3194" t="inlineStr">
        <is>
          <t xml:space="preserve">GALLETITA CHOCOLATE X200G GOLCI    </t>
        </is>
      </c>
      <c r="H3194" t="inlineStr">
        <is>
          <t xml:space="preserve">UNIDAD              </t>
        </is>
      </c>
      <c r="I3194" t="n">
        <v>1709</v>
      </c>
      <c r="J3194" t="n">
        <v>0</v>
      </c>
      <c r="K3194" t="n">
        <v>0</v>
      </c>
      <c r="L3194" t="n">
        <v>76</v>
      </c>
      <c r="M3194" t="n">
        <v>76</v>
      </c>
      <c r="N3194" t="n">
        <v>0</v>
      </c>
      <c r="O3194" t="n">
        <v>1557</v>
      </c>
      <c r="P3194" s="96">
        <f>_xlfn.XLOOKUP(Tabla5[[#This Row],[EAN CORREGIDO]],'Tabla Articulos'!B:B,'Tabla Articulos'!D:D)</f>
        <v/>
      </c>
      <c r="Q3194" s="96">
        <f>_xlfn.XLOOKUP(S3194,'Tabla Articulos'!B:B,'Tabla Articulos'!E:E)</f>
        <v/>
      </c>
      <c r="R3194" s="96">
        <f>O3194*Q3194</f>
        <v/>
      </c>
      <c r="S3194" s="97">
        <f>TRIM(E3194)</f>
        <v/>
      </c>
    </row>
    <row r="3195" hidden="1">
      <c r="A3195" s="22" t="n">
        <v>2</v>
      </c>
      <c r="B3195" t="inlineStr">
        <is>
          <t xml:space="preserve">CD CIUDADELA                  </t>
        </is>
      </c>
      <c r="C3195" t="inlineStr">
        <is>
          <t xml:space="preserve">GRUPO L.                      </t>
        </is>
      </c>
      <c r="D3195" t="inlineStr">
        <is>
          <t>BANANA ECUADOR</t>
        </is>
      </c>
      <c r="E3195" t="inlineStr">
        <is>
          <t xml:space="preserve">7790216020118       </t>
        </is>
      </c>
      <c r="F3195" t="n">
        <v>4018082</v>
      </c>
      <c r="G3195" t="inlineStr">
        <is>
          <t xml:space="preserve">FRUTA BANANA ECUADOR XKG           </t>
        </is>
      </c>
      <c r="H3195" t="inlineStr">
        <is>
          <t xml:space="preserve">Kgs                 </t>
        </is>
      </c>
      <c r="I3195" t="n">
        <v>2368</v>
      </c>
      <c r="J3195" t="n">
        <v>0</v>
      </c>
      <c r="K3195" t="n">
        <v>0</v>
      </c>
      <c r="L3195" t="n">
        <v>67</v>
      </c>
      <c r="M3195" t="n">
        <v>67</v>
      </c>
      <c r="N3195" t="n">
        <v>0</v>
      </c>
      <c r="O3195" t="n">
        <v>2234</v>
      </c>
      <c r="P3195" s="96">
        <f>_xlfn.XLOOKUP(Tabla5[[#This Row],[EAN CORREGIDO]],'Tabla Articulos'!B:B,'Tabla Articulos'!D:D)</f>
        <v/>
      </c>
      <c r="Q3195" s="96">
        <f>_xlfn.XLOOKUP(S3195,'Tabla Articulos'!B:B,'Tabla Articulos'!E:E)</f>
        <v/>
      </c>
      <c r="R3195" s="96">
        <f>O3195*Q3195</f>
        <v/>
      </c>
      <c r="S3195" s="97">
        <f>TRIM(E3195)</f>
        <v/>
      </c>
    </row>
    <row r="3196" hidden="1">
      <c r="A3196" s="22" t="n">
        <v>2</v>
      </c>
      <c r="B3196" t="inlineStr">
        <is>
          <t xml:space="preserve">CD CIUDADELA                  </t>
        </is>
      </c>
      <c r="C3196" t="inlineStr">
        <is>
          <t xml:space="preserve">GRUPO L.                      </t>
        </is>
      </c>
      <c r="D3196" t="inlineStr">
        <is>
          <t>LECHE CONDENSADA</t>
        </is>
      </c>
      <c r="E3196" t="inlineStr">
        <is>
          <t xml:space="preserve">8445290900654       </t>
        </is>
      </c>
      <c r="F3196" t="n">
        <v>4021353</v>
      </c>
      <c r="G3196" t="inlineStr">
        <is>
          <t xml:space="preserve">LECHE CONDENSADA X395G NESTLE      </t>
        </is>
      </c>
      <c r="H3196" t="inlineStr">
        <is>
          <t xml:space="preserve">UNIDAD              </t>
        </is>
      </c>
      <c r="I3196" t="n">
        <v>39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39</v>
      </c>
      <c r="P3196" s="96">
        <f>_xlfn.XLOOKUP(Tabla5[[#This Row],[EAN CORREGIDO]],'Tabla Articulos'!B:B,'Tabla Articulos'!D:D)</f>
        <v/>
      </c>
      <c r="Q3196" s="96">
        <f>_xlfn.XLOOKUP(S3196,'Tabla Articulos'!B:B,'Tabla Articulos'!E:E)</f>
        <v/>
      </c>
      <c r="R3196" s="96">
        <f>O3196*Q3196</f>
        <v/>
      </c>
      <c r="S3196" s="97">
        <f>TRIM(E3196)</f>
        <v/>
      </c>
    </row>
    <row r="3197" hidden="1">
      <c r="A3197" s="22" t="n">
        <v>2</v>
      </c>
      <c r="B3197" t="inlineStr">
        <is>
          <t xml:space="preserve">CD CIUDADELA                  </t>
        </is>
      </c>
      <c r="C3197" t="inlineStr">
        <is>
          <t xml:space="preserve">GRUPO L.                      </t>
        </is>
      </c>
      <c r="D3197" t="inlineStr">
        <is>
          <t>COCO RALLADO</t>
        </is>
      </c>
      <c r="E3197" t="inlineStr">
        <is>
          <t xml:space="preserve">7790530900248       </t>
        </is>
      </c>
      <c r="F3197" t="n">
        <v>4019488</v>
      </c>
      <c r="G3197" t="inlineStr">
        <is>
          <t xml:space="preserve">COCO RALLADO BEDIAL X 1 KG         </t>
        </is>
      </c>
      <c r="H3197" t="inlineStr">
        <is>
          <t xml:space="preserve">UNIDAD              </t>
        </is>
      </c>
      <c r="I3197" t="n">
        <v>142</v>
      </c>
      <c r="J3197" t="n">
        <v>0</v>
      </c>
      <c r="K3197" t="n">
        <v>0</v>
      </c>
      <c r="L3197" t="n">
        <v>5</v>
      </c>
      <c r="M3197" t="n">
        <v>5</v>
      </c>
      <c r="N3197" t="n">
        <v>0</v>
      </c>
      <c r="O3197" t="n">
        <v>132</v>
      </c>
      <c r="P3197" s="96">
        <f>_xlfn.XLOOKUP(Tabla5[[#This Row],[EAN CORREGIDO]],'Tabla Articulos'!B:B,'Tabla Articulos'!D:D)</f>
        <v/>
      </c>
      <c r="Q3197" s="96">
        <f>_xlfn.XLOOKUP(S3197,'Tabla Articulos'!B:B,'Tabla Articulos'!E:E)</f>
        <v/>
      </c>
      <c r="R3197" s="96">
        <f>O3197*Q3197</f>
        <v/>
      </c>
      <c r="S3197" s="97">
        <f>TRIM(E3197)</f>
        <v/>
      </c>
    </row>
    <row r="3198" hidden="1">
      <c r="A3198" s="22" t="n">
        <v>2</v>
      </c>
      <c r="B3198" t="inlineStr">
        <is>
          <t xml:space="preserve">CD CIUDADELA                  </t>
        </is>
      </c>
      <c r="C3198" t="inlineStr">
        <is>
          <t xml:space="preserve">GRUPO L.                      </t>
        </is>
      </c>
      <c r="D3198" t="inlineStr">
        <is>
          <t>BOLSAS ARRANQUE</t>
        </is>
      </c>
      <c r="E3198" t="inlineStr">
        <is>
          <t xml:space="preserve">16204006A           </t>
        </is>
      </c>
      <c r="F3198" t="n">
        <v>2006407</v>
      </c>
      <c r="G3198" t="inlineStr">
        <is>
          <t xml:space="preserve">ROLLO BOLSA ARRANQUE 60 X 90       </t>
        </is>
      </c>
      <c r="H3198" t="inlineStr">
        <is>
          <t xml:space="preserve">UNIDAD              </t>
        </is>
      </c>
      <c r="I3198" t="n">
        <v>112</v>
      </c>
      <c r="J3198" t="n">
        <v>0</v>
      </c>
      <c r="K3198" t="n">
        <v>0</v>
      </c>
      <c r="L3198" t="n">
        <v>1</v>
      </c>
      <c r="M3198" t="n">
        <v>1</v>
      </c>
      <c r="N3198" t="n">
        <v>0</v>
      </c>
      <c r="O3198" t="n">
        <v>110</v>
      </c>
      <c r="P3198" s="96">
        <f>_xlfn.XLOOKUP(Tabla5[[#This Row],[EAN CORREGIDO]],'Tabla Articulos'!B:B,'Tabla Articulos'!D:D)</f>
        <v/>
      </c>
      <c r="Q3198" s="96">
        <f>_xlfn.XLOOKUP(S3198,'Tabla Articulos'!B:B,'Tabla Articulos'!E:E)</f>
        <v/>
      </c>
      <c r="R3198" s="96">
        <f>O3198*Q3198</f>
        <v/>
      </c>
      <c r="S3198" s="97">
        <f>TRIM(E3198)</f>
        <v/>
      </c>
    </row>
    <row r="3199" hidden="1">
      <c r="A3199" s="22" t="n">
        <v>2</v>
      </c>
      <c r="B3199" t="inlineStr">
        <is>
          <t xml:space="preserve">CD CIUDADELA                  </t>
        </is>
      </c>
      <c r="C3199" t="inlineStr">
        <is>
          <t xml:space="preserve">GRUPO L.                      </t>
        </is>
      </c>
      <c r="D3199" t="inlineStr">
        <is>
          <t>PAPEL MANTECA</t>
        </is>
      </c>
      <c r="E3199" t="inlineStr">
        <is>
          <t xml:space="preserve">14044013A           </t>
        </is>
      </c>
      <c r="F3199" t="n">
        <v>2006209</v>
      </c>
      <c r="G3199" t="inlineStr">
        <is>
          <t xml:space="preserve">ROLLO PAPEL MANTECA                </t>
        </is>
      </c>
      <c r="H3199" t="inlineStr">
        <is>
          <t xml:space="preserve">UNIDAD              </t>
        </is>
      </c>
      <c r="I3199" t="n">
        <v>22</v>
      </c>
      <c r="J3199" t="n">
        <v>0</v>
      </c>
      <c r="K3199" t="n">
        <v>10</v>
      </c>
      <c r="L3199" t="n">
        <v>0</v>
      </c>
      <c r="M3199" t="n">
        <v>0</v>
      </c>
      <c r="N3199" t="n">
        <v>0</v>
      </c>
      <c r="O3199" t="n">
        <v>12</v>
      </c>
      <c r="P3199" s="96">
        <f>_xlfn.XLOOKUP(Tabla5[[#This Row],[EAN CORREGIDO]],'Tabla Articulos'!B:B,'Tabla Articulos'!D:D)</f>
        <v/>
      </c>
      <c r="Q3199" s="96">
        <f>_xlfn.XLOOKUP(S3199,'Tabla Articulos'!B:B,'Tabla Articulos'!E:E)</f>
        <v/>
      </c>
      <c r="R3199" s="96">
        <f>O3199*Q3199</f>
        <v/>
      </c>
      <c r="S3199" s="97">
        <f>TRIM(E3199)</f>
        <v/>
      </c>
    </row>
    <row r="3200" hidden="1">
      <c r="A3200" s="22" t="n">
        <v>2</v>
      </c>
      <c r="B3200" t="inlineStr">
        <is>
          <t xml:space="preserve">CD CIUDADELA                  </t>
        </is>
      </c>
      <c r="C3200" t="inlineStr">
        <is>
          <t xml:space="preserve">GRUPO L.                      </t>
        </is>
      </c>
      <c r="D3200" t="inlineStr">
        <is>
          <t>BOLSA PAPEL MADERA</t>
        </is>
      </c>
      <c r="E3200" t="inlineStr">
        <is>
          <t xml:space="preserve">EMB000042           </t>
        </is>
      </c>
      <c r="F3200" t="n">
        <v>2006644</v>
      </c>
      <c r="G3200" t="inlineStr">
        <is>
          <t xml:space="preserve">BOLSA PAPEL MADERA X100U 15X35     </t>
        </is>
      </c>
      <c r="H3200" t="inlineStr">
        <is>
          <t xml:space="preserve">UNIDAD              </t>
        </is>
      </c>
      <c r="I3200" t="n">
        <v>84</v>
      </c>
      <c r="J3200" t="n">
        <v>0</v>
      </c>
      <c r="K3200" t="n">
        <v>0</v>
      </c>
      <c r="L3200" t="n">
        <v>2</v>
      </c>
      <c r="M3200" t="n">
        <v>2</v>
      </c>
      <c r="N3200" t="n">
        <v>0</v>
      </c>
      <c r="O3200" t="n">
        <v>80</v>
      </c>
      <c r="P3200" s="96">
        <f>_xlfn.XLOOKUP(Tabla5[[#This Row],[EAN CORREGIDO]],'Tabla Articulos'!B:B,'Tabla Articulos'!D:D)</f>
        <v/>
      </c>
      <c r="Q3200" s="96">
        <f>_xlfn.XLOOKUP(S3200,'Tabla Articulos'!B:B,'Tabla Articulos'!E:E)</f>
        <v/>
      </c>
      <c r="R3200" s="96">
        <f>O3200*Q3200</f>
        <v/>
      </c>
      <c r="S3200" s="97">
        <f>TRIM(E3200)</f>
        <v/>
      </c>
    </row>
    <row r="3201" hidden="1">
      <c r="A3201" s="22" t="n">
        <v>2</v>
      </c>
      <c r="B3201" t="inlineStr">
        <is>
          <t xml:space="preserve">CD CIUDADELA                  </t>
        </is>
      </c>
      <c r="C3201" t="inlineStr">
        <is>
          <t xml:space="preserve">GRUPO L.                      </t>
        </is>
      </c>
      <c r="D3201" t="inlineStr">
        <is>
          <t>LECHE LV ENTERA</t>
        </is>
      </c>
      <c r="E3201" t="inlineStr">
        <is>
          <t xml:space="preserve">7794820903100       </t>
        </is>
      </c>
      <c r="F3201" t="n">
        <v>4018198</v>
      </c>
      <c r="G3201" t="inlineStr">
        <is>
          <t xml:space="preserve">LECHE ENTERA LV X1L MILKAUT        </t>
        </is>
      </c>
      <c r="H3201" t="inlineStr">
        <is>
          <t xml:space="preserve">UNIDAD              </t>
        </is>
      </c>
      <c r="I3201" t="n">
        <v>19977</v>
      </c>
      <c r="J3201" t="n">
        <v>0</v>
      </c>
      <c r="K3201" t="n">
        <v>0</v>
      </c>
      <c r="L3201" t="n">
        <v>384</v>
      </c>
      <c r="M3201" t="n">
        <v>384</v>
      </c>
      <c r="N3201" t="n">
        <v>0</v>
      </c>
      <c r="O3201" t="n">
        <v>19209</v>
      </c>
      <c r="P3201" s="96">
        <f>_xlfn.XLOOKUP(Tabla5[[#This Row],[EAN CORREGIDO]],'Tabla Articulos'!B:B,'Tabla Articulos'!D:D)</f>
        <v/>
      </c>
      <c r="Q3201" s="96">
        <f>_xlfn.XLOOKUP(S3201,'Tabla Articulos'!B:B,'Tabla Articulos'!E:E)</f>
        <v/>
      </c>
      <c r="R3201" s="96">
        <f>O3201*Q3201</f>
        <v/>
      </c>
      <c r="S3201" s="97">
        <f>TRIM(E3201)</f>
        <v/>
      </c>
    </row>
    <row r="3202" hidden="1">
      <c r="A3202" s="22" t="n">
        <v>2</v>
      </c>
      <c r="B3202" t="inlineStr">
        <is>
          <t xml:space="preserve">CD CIUDADELA                  </t>
        </is>
      </c>
      <c r="C3202" t="inlineStr">
        <is>
          <t xml:space="preserve">GRUPO L.                      </t>
        </is>
      </c>
      <c r="D3202" t="inlineStr">
        <is>
          <t>GELATINA DURAZNO LIGHT</t>
        </is>
      </c>
      <c r="E3202" t="inlineStr">
        <is>
          <t xml:space="preserve">7790971002433       </t>
        </is>
      </c>
      <c r="F3202" t="n">
        <v>4019935</v>
      </c>
      <c r="G3202" t="inlineStr">
        <is>
          <t xml:space="preserve">GELATINA LIGHT DURAZNO XKG ORLOC   </t>
        </is>
      </c>
      <c r="H3202" t="inlineStr">
        <is>
          <t xml:space="preserve">UNIDAD              </t>
        </is>
      </c>
      <c r="I3202" t="n">
        <v>10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10</v>
      </c>
      <c r="P3202" s="96">
        <f>_xlfn.XLOOKUP(Tabla5[[#This Row],[EAN CORREGIDO]],'Tabla Articulos'!B:B,'Tabla Articulos'!D:D)</f>
        <v/>
      </c>
      <c r="Q3202" s="96">
        <f>_xlfn.XLOOKUP(S3202,'Tabla Articulos'!B:B,'Tabla Articulos'!E:E)</f>
        <v/>
      </c>
      <c r="R3202" s="96">
        <f>O3202*Q3202</f>
        <v/>
      </c>
      <c r="S3202" s="97">
        <f>TRIM(E3202)</f>
        <v/>
      </c>
    </row>
    <row r="3203" hidden="1">
      <c r="A3203" s="22" t="n">
        <v>2</v>
      </c>
      <c r="B3203" t="inlineStr">
        <is>
          <t xml:space="preserve">CD CIUDADELA                  </t>
        </is>
      </c>
      <c r="C3203" t="inlineStr">
        <is>
          <t xml:space="preserve">GRUPO L.                      </t>
        </is>
      </c>
      <c r="D3203" t="inlineStr">
        <is>
          <t>AJI COLORADO</t>
        </is>
      </c>
      <c r="E3203" t="inlineStr">
        <is>
          <t xml:space="preserve">7790216012613       </t>
        </is>
      </c>
      <c r="F3203" t="n">
        <v>4017962</v>
      </c>
      <c r="G3203" t="inlineStr">
        <is>
          <t xml:space="preserve">MORRON COLORADO X KG               </t>
        </is>
      </c>
      <c r="H3203" t="inlineStr">
        <is>
          <t xml:space="preserve">Kgs                 </t>
        </is>
      </c>
      <c r="I3203" t="n">
        <v>713.8200000000001</v>
      </c>
      <c r="J3203" t="n">
        <v>0</v>
      </c>
      <c r="K3203" t="n">
        <v>0</v>
      </c>
      <c r="L3203" t="n">
        <v>151.054</v>
      </c>
      <c r="M3203" t="n">
        <v>207.699</v>
      </c>
      <c r="N3203" t="n">
        <v>0</v>
      </c>
      <c r="O3203" t="n">
        <v>355.067</v>
      </c>
      <c r="P3203" s="96">
        <f>_xlfn.XLOOKUP(Tabla5[[#This Row],[EAN CORREGIDO]],'Tabla Articulos'!B:B,'Tabla Articulos'!D:D)</f>
        <v/>
      </c>
      <c r="Q3203" s="96">
        <f>_xlfn.XLOOKUP(S3203,'Tabla Articulos'!B:B,'Tabla Articulos'!E:E)</f>
        <v/>
      </c>
      <c r="R3203" s="96">
        <f>O3203*Q3203</f>
        <v/>
      </c>
      <c r="S3203" s="97">
        <f>TRIM(E3203)</f>
        <v/>
      </c>
    </row>
    <row r="3204" hidden="1">
      <c r="A3204" s="22" t="n">
        <v>2</v>
      </c>
      <c r="B3204" t="inlineStr">
        <is>
          <t xml:space="preserve">CD CIUDADELA                  </t>
        </is>
      </c>
      <c r="C3204" t="inlineStr">
        <is>
          <t xml:space="preserve">GRUPO L.                      </t>
        </is>
      </c>
      <c r="D3204" t="inlineStr">
        <is>
          <t>POROTOS DE SOJA</t>
        </is>
      </c>
      <c r="E3204" t="inlineStr">
        <is>
          <t xml:space="preserve">7790279000605       </t>
        </is>
      </c>
      <c r="F3204" t="n">
        <v>4024704</v>
      </c>
      <c r="G3204" t="inlineStr">
        <is>
          <t xml:space="preserve">POROTO DE SOJA BOLSA 5KG RAMONED   </t>
        </is>
      </c>
      <c r="H3204" t="inlineStr">
        <is>
          <t xml:space="preserve">UNIDAD              </t>
        </is>
      </c>
      <c r="I3204" t="n">
        <v>84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84</v>
      </c>
      <c r="P3204" s="96">
        <f>_xlfn.XLOOKUP(Tabla5[[#This Row],[EAN CORREGIDO]],'Tabla Articulos'!B:B,'Tabla Articulos'!D:D)</f>
        <v/>
      </c>
      <c r="Q3204" s="96">
        <f>_xlfn.XLOOKUP(S3204,'Tabla Articulos'!B:B,'Tabla Articulos'!E:E)</f>
        <v/>
      </c>
      <c r="R3204" s="96">
        <f>O3204*Q3204</f>
        <v/>
      </c>
      <c r="S3204" s="97">
        <f>TRIM(E3204)</f>
        <v/>
      </c>
    </row>
    <row r="3205" hidden="1">
      <c r="A3205" s="22" t="n">
        <v>2</v>
      </c>
      <c r="B3205" t="inlineStr">
        <is>
          <t xml:space="preserve">CD CIUDADELA                  </t>
        </is>
      </c>
      <c r="C3205" t="inlineStr">
        <is>
          <t xml:space="preserve">GRUPO L.                      </t>
        </is>
      </c>
      <c r="D3205" t="inlineStr">
        <is>
          <t>ATUN A/N ENTERO</t>
        </is>
      </c>
      <c r="E3205" t="inlineStr">
        <is>
          <t xml:space="preserve">7795933101186       </t>
        </is>
      </c>
      <c r="F3205" t="n">
        <v>4077191</v>
      </c>
      <c r="G3205" t="inlineStr">
        <is>
          <t xml:space="preserve">ATUN LOMITO NAT STACC 170GR BAHIA  </t>
        </is>
      </c>
      <c r="H3205" t="inlineStr">
        <is>
          <t xml:space="preserve">UNIDAD              </t>
        </is>
      </c>
      <c r="I3205" t="n">
        <v>872</v>
      </c>
      <c r="J3205" t="n">
        <v>0</v>
      </c>
      <c r="K3205" t="n">
        <v>0</v>
      </c>
      <c r="L3205" t="n">
        <v>31</v>
      </c>
      <c r="M3205" t="n">
        <v>31</v>
      </c>
      <c r="N3205" t="n">
        <v>0</v>
      </c>
      <c r="O3205" t="n">
        <v>810</v>
      </c>
      <c r="P3205" s="96">
        <f>_xlfn.XLOOKUP(Tabla5[[#This Row],[EAN CORREGIDO]],'Tabla Articulos'!B:B,'Tabla Articulos'!D:D)</f>
        <v/>
      </c>
      <c r="Q3205" s="96">
        <f>_xlfn.XLOOKUP(S3205,'Tabla Articulos'!B:B,'Tabla Articulos'!E:E)</f>
        <v/>
      </c>
      <c r="R3205" s="96">
        <f>O3205*Q3205</f>
        <v/>
      </c>
      <c r="S3205" s="97">
        <f>TRIM(E3205)</f>
        <v/>
      </c>
    </row>
    <row r="3206" hidden="1">
      <c r="A3206" s="22" t="n">
        <v>2</v>
      </c>
      <c r="B3206" t="inlineStr">
        <is>
          <t xml:space="preserve">CD CIUDADELA                  </t>
        </is>
      </c>
      <c r="C3206" t="inlineStr">
        <is>
          <t xml:space="preserve">GRUPO L.                      </t>
        </is>
      </c>
      <c r="D3206" t="inlineStr">
        <is>
          <t>POSTRE CHOCOLATE</t>
        </is>
      </c>
      <c r="E3206" t="inlineStr">
        <is>
          <t xml:space="preserve">7791113001598       </t>
        </is>
      </c>
      <c r="F3206" t="n">
        <v>4019939</v>
      </c>
      <c r="G3206" t="inlineStr">
        <is>
          <t xml:space="preserve">POSTRE CHOC X 120 G EMETH          </t>
        </is>
      </c>
      <c r="H3206" t="inlineStr">
        <is>
          <t xml:space="preserve">UNIDAD              </t>
        </is>
      </c>
      <c r="I3206" t="n">
        <v>73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73</v>
      </c>
      <c r="P3206" s="96">
        <f>_xlfn.XLOOKUP(Tabla5[[#This Row],[EAN CORREGIDO]],'Tabla Articulos'!B:B,'Tabla Articulos'!D:D)</f>
        <v/>
      </c>
      <c r="Q3206" s="96">
        <f>_xlfn.XLOOKUP(S3206,'Tabla Articulos'!B:B,'Tabla Articulos'!E:E)</f>
        <v/>
      </c>
      <c r="R3206" s="96">
        <f>O3206*Q3206</f>
        <v/>
      </c>
      <c r="S3206" s="97">
        <f>TRIM(E3206)</f>
        <v/>
      </c>
    </row>
    <row r="3207" hidden="1">
      <c r="A3207" s="22" t="n">
        <v>2</v>
      </c>
      <c r="B3207" t="inlineStr">
        <is>
          <t xml:space="preserve">CD CIUDADELA                  </t>
        </is>
      </c>
      <c r="C3207" t="inlineStr">
        <is>
          <t xml:space="preserve">GRUPO L.                      </t>
        </is>
      </c>
      <c r="D3207" t="inlineStr">
        <is>
          <t>AGUA MIN C/GAS INDIV</t>
        </is>
      </c>
      <c r="E3207" t="inlineStr">
        <is>
          <t xml:space="preserve">7790895646027       </t>
        </is>
      </c>
      <c r="F3207" t="n">
        <v>4017241</v>
      </c>
      <c r="G3207" t="inlineStr">
        <is>
          <t xml:space="preserve">AGUA MIN C/GAS X591CC SMARTWAT     </t>
        </is>
      </c>
      <c r="H3207" t="inlineStr">
        <is>
          <t xml:space="preserve">UNIDAD              </t>
        </is>
      </c>
      <c r="I3207" t="n">
        <v>1662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1662</v>
      </c>
      <c r="P3207" s="96">
        <f>_xlfn.XLOOKUP(Tabla5[[#This Row],[EAN CORREGIDO]],'Tabla Articulos'!B:B,'Tabla Articulos'!D:D)</f>
        <v/>
      </c>
      <c r="Q3207" s="96">
        <f>_xlfn.XLOOKUP(S3207,'Tabla Articulos'!B:B,'Tabla Articulos'!E:E)</f>
        <v/>
      </c>
      <c r="R3207" s="96">
        <f>O3207*Q3207</f>
        <v/>
      </c>
      <c r="S3207" s="97">
        <f>TRIM(E3207)</f>
        <v/>
      </c>
    </row>
    <row r="3208" hidden="1">
      <c r="A3208" s="22" t="n">
        <v>2</v>
      </c>
      <c r="B3208" t="inlineStr">
        <is>
          <t xml:space="preserve">CD CIUDADELA                  </t>
        </is>
      </c>
      <c r="C3208" t="inlineStr">
        <is>
          <t xml:space="preserve">GRUPO L.                      </t>
        </is>
      </c>
      <c r="D3208" t="inlineStr">
        <is>
          <t>CARAMELOS DUROS</t>
        </is>
      </c>
      <c r="E3208" t="inlineStr">
        <is>
          <t xml:space="preserve">7793360131103       </t>
        </is>
      </c>
      <c r="F3208" t="n">
        <v>4018964</v>
      </c>
      <c r="G3208" t="inlineStr">
        <is>
          <t xml:space="preserve">CARAMELO BC SURT X420G ARCOR       </t>
        </is>
      </c>
      <c r="H3208" t="inlineStr">
        <is>
          <t xml:space="preserve">BULTOS              </t>
        </is>
      </c>
      <c r="I3208" t="n">
        <v>12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12</v>
      </c>
      <c r="P3208" s="96">
        <f>_xlfn.XLOOKUP(Tabla5[[#This Row],[EAN CORREGIDO]],'Tabla Articulos'!B:B,'Tabla Articulos'!D:D)</f>
        <v/>
      </c>
      <c r="Q3208" s="96">
        <f>_xlfn.XLOOKUP(S3208,'Tabla Articulos'!B:B,'Tabla Articulos'!E:E)</f>
        <v/>
      </c>
      <c r="R3208" s="96">
        <f>O3208*Q3208</f>
        <v/>
      </c>
      <c r="S3208" s="97">
        <f>TRIM(E3208)</f>
        <v/>
      </c>
    </row>
    <row r="3209" hidden="1">
      <c r="A3209" s="22" t="n">
        <v>2</v>
      </c>
      <c r="B3209" t="inlineStr">
        <is>
          <t xml:space="preserve">CD CIUDADELA                  </t>
        </is>
      </c>
      <c r="C3209" t="inlineStr">
        <is>
          <t xml:space="preserve">GRUPO L.                      </t>
        </is>
      </c>
      <c r="D3209" t="inlineStr">
        <is>
          <t>MAYONESA</t>
        </is>
      </c>
      <c r="E3209" t="inlineStr">
        <is>
          <t xml:space="preserve">7798146139090       </t>
        </is>
      </c>
      <c r="F3209" t="n">
        <v>4077431</v>
      </c>
      <c r="G3209" t="inlineStr">
        <is>
          <t xml:space="preserve">MAYONESA C/AJO 300G TAU            </t>
        </is>
      </c>
      <c r="H3209" t="inlineStr">
        <is>
          <t xml:space="preserve">UNIDAD              </t>
        </is>
      </c>
      <c r="I3209" t="n">
        <v>84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84</v>
      </c>
      <c r="P3209" s="96">
        <f>_xlfn.XLOOKUP(Tabla5[[#This Row],[EAN CORREGIDO]],'Tabla Articulos'!B:B,'Tabla Articulos'!D:D)</f>
        <v/>
      </c>
      <c r="Q3209" s="96">
        <f>_xlfn.XLOOKUP(S3209,'Tabla Articulos'!B:B,'Tabla Articulos'!E:E)</f>
        <v/>
      </c>
      <c r="R3209" s="96">
        <f>O3209*Q3209</f>
        <v/>
      </c>
      <c r="S3209" s="97">
        <f>TRIM(E3209)</f>
        <v/>
      </c>
    </row>
    <row r="3210" hidden="1">
      <c r="A3210" s="22" t="n">
        <v>2</v>
      </c>
      <c r="B3210" t="inlineStr">
        <is>
          <t xml:space="preserve">CD CIUDADELA                  </t>
        </is>
      </c>
      <c r="C3210" t="inlineStr">
        <is>
          <t xml:space="preserve">GRUPO L.                      </t>
        </is>
      </c>
      <c r="D3210" t="inlineStr">
        <is>
          <t>CONDIM P/PIZZA</t>
        </is>
      </c>
      <c r="E3210" t="inlineStr">
        <is>
          <t xml:space="preserve">7793875360104       </t>
        </is>
      </c>
      <c r="F3210" t="n">
        <v>4020628</v>
      </c>
      <c r="G3210" t="inlineStr">
        <is>
          <t xml:space="preserve">CONDIMENTO P/PIZZA X 25G AROMAS    </t>
        </is>
      </c>
      <c r="H3210" t="inlineStr">
        <is>
          <t xml:space="preserve">UNIDAD              </t>
        </is>
      </c>
      <c r="I3210" t="n">
        <v>4187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4187</v>
      </c>
      <c r="P3210" s="96">
        <f>_xlfn.XLOOKUP(Tabla5[[#This Row],[EAN CORREGIDO]],'Tabla Articulos'!B:B,'Tabla Articulos'!D:D)</f>
        <v/>
      </c>
      <c r="Q3210" s="96">
        <f>_xlfn.XLOOKUP(S3210,'Tabla Articulos'!B:B,'Tabla Articulos'!E:E)</f>
        <v/>
      </c>
      <c r="R3210" s="96">
        <f>O3210*Q3210</f>
        <v/>
      </c>
      <c r="S3210" s="97">
        <f>TRIM(E3210)</f>
        <v/>
      </c>
    </row>
    <row r="3211" hidden="1">
      <c r="A3211" s="22" t="n">
        <v>2</v>
      </c>
      <c r="B3211" t="inlineStr">
        <is>
          <t xml:space="preserve">CD CIUDADELA                  </t>
        </is>
      </c>
      <c r="C3211" t="inlineStr">
        <is>
          <t xml:space="preserve">GRUPO L.                      </t>
        </is>
      </c>
      <c r="D3211" t="inlineStr">
        <is>
          <t>PAN SUPER PACHO</t>
        </is>
      </c>
      <c r="E3211" t="inlineStr">
        <is>
          <t xml:space="preserve">7793890259995       </t>
        </is>
      </c>
      <c r="F3211" t="n">
        <v>4023434</v>
      </c>
      <c r="G3211" t="inlineStr">
        <is>
          <t xml:space="preserve">PAN SUPER PANCHO X6UN FARGO        </t>
        </is>
      </c>
      <c r="H3211" t="inlineStr">
        <is>
          <t xml:space="preserve">UNIDAD              </t>
        </is>
      </c>
      <c r="I3211" t="n">
        <v>10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10</v>
      </c>
      <c r="P3211" s="96">
        <f>_xlfn.XLOOKUP(Tabla5[[#This Row],[EAN CORREGIDO]],'Tabla Articulos'!B:B,'Tabla Articulos'!D:D)</f>
        <v/>
      </c>
      <c r="Q3211" s="96">
        <f>_xlfn.XLOOKUP(S3211,'Tabla Articulos'!B:B,'Tabla Articulos'!E:E)</f>
        <v/>
      </c>
      <c r="R3211" s="96">
        <f>O3211*Q3211</f>
        <v/>
      </c>
      <c r="S3211" s="97">
        <f>TRIM(E3211)</f>
        <v/>
      </c>
    </row>
    <row r="3212" hidden="1">
      <c r="A3212" s="22" t="n">
        <v>2</v>
      </c>
      <c r="B3212" t="inlineStr">
        <is>
          <t xml:space="preserve">CD CIUDADELA                  </t>
        </is>
      </c>
      <c r="C3212" t="inlineStr">
        <is>
          <t xml:space="preserve">GRUPO L.                      </t>
        </is>
      </c>
      <c r="D3212" t="inlineStr">
        <is>
          <t>GASEOSA COLA</t>
        </is>
      </c>
      <c r="E3212" t="inlineStr">
        <is>
          <t xml:space="preserve">7790895007217       </t>
        </is>
      </c>
      <c r="F3212" t="n">
        <v>4017438</v>
      </c>
      <c r="G3212" t="inlineStr">
        <is>
          <t xml:space="preserve">GAS COCA COLA X1.75L MA            </t>
        </is>
      </c>
      <c r="H3212" t="inlineStr">
        <is>
          <t xml:space="preserve">UNIDAD              </t>
        </is>
      </c>
      <c r="I3212" t="n">
        <v>900</v>
      </c>
      <c r="J3212" t="n">
        <v>0</v>
      </c>
      <c r="K3212" t="n">
        <v>0</v>
      </c>
      <c r="L3212" t="n">
        <v>64</v>
      </c>
      <c r="M3212" t="n">
        <v>64</v>
      </c>
      <c r="N3212" t="n">
        <v>0</v>
      </c>
      <c r="O3212" t="n">
        <v>772</v>
      </c>
      <c r="P3212" s="96">
        <f>_xlfn.XLOOKUP(Tabla5[[#This Row],[EAN CORREGIDO]],'Tabla Articulos'!B:B,'Tabla Articulos'!D:D)</f>
        <v/>
      </c>
      <c r="Q3212" s="96">
        <f>_xlfn.XLOOKUP(S3212,'Tabla Articulos'!B:B,'Tabla Articulos'!E:E)</f>
        <v/>
      </c>
      <c r="R3212" s="96">
        <f>O3212*Q3212</f>
        <v/>
      </c>
      <c r="S3212" s="97">
        <f>TRIM(E3212)</f>
        <v/>
      </c>
    </row>
    <row r="3213" hidden="1">
      <c r="A3213" s="22" t="n">
        <v>2</v>
      </c>
      <c r="B3213" t="inlineStr">
        <is>
          <t xml:space="preserve">CD CIUDADELA                  </t>
        </is>
      </c>
      <c r="C3213" t="inlineStr">
        <is>
          <t xml:space="preserve">GRUPO L.                      </t>
        </is>
      </c>
      <c r="D3213" t="inlineStr">
        <is>
          <t>AZUCAR INDIV FINOCHIETTO</t>
        </is>
      </c>
      <c r="E3213" t="inlineStr">
        <is>
          <t xml:space="preserve">7798011977246       </t>
        </is>
      </c>
      <c r="F3213" t="n">
        <v>4020502</v>
      </c>
      <c r="G3213" t="inlineStr">
        <is>
          <t xml:space="preserve">AZUCAR FINOC X6,25GX800U ABEDUL    </t>
        </is>
      </c>
      <c r="H3213" t="inlineStr">
        <is>
          <t xml:space="preserve">UNIDAD              </t>
        </is>
      </c>
      <c r="I3213" t="n">
        <v>347</v>
      </c>
      <c r="J3213" t="n">
        <v>0</v>
      </c>
      <c r="K3213" t="n">
        <v>0</v>
      </c>
      <c r="L3213" t="n">
        <v>5</v>
      </c>
      <c r="M3213" t="n">
        <v>5</v>
      </c>
      <c r="N3213" t="n">
        <v>0</v>
      </c>
      <c r="O3213" t="n">
        <v>337</v>
      </c>
      <c r="P3213" s="96">
        <f>_xlfn.XLOOKUP(Tabla5[[#This Row],[EAN CORREGIDO]],'Tabla Articulos'!B:B,'Tabla Articulos'!D:D)</f>
        <v/>
      </c>
      <c r="Q3213" s="96">
        <f>_xlfn.XLOOKUP(S3213,'Tabla Articulos'!B:B,'Tabla Articulos'!E:E)</f>
        <v/>
      </c>
      <c r="R3213" s="96">
        <f>O3213*Q3213</f>
        <v/>
      </c>
      <c r="S3213" s="97">
        <f>TRIM(E3213)</f>
        <v/>
      </c>
    </row>
    <row r="3214" hidden="1">
      <c r="A3214" s="22" t="n">
        <v>2</v>
      </c>
      <c r="B3214" t="inlineStr">
        <is>
          <t xml:space="preserve">CD CIUDADELA                  </t>
        </is>
      </c>
      <c r="C3214" t="inlineStr">
        <is>
          <t xml:space="preserve">GRUPO L.                      </t>
        </is>
      </c>
      <c r="D3214" t="inlineStr">
        <is>
          <t>MATE COCIDO SAQ S/TACC</t>
        </is>
      </c>
      <c r="E3214" t="inlineStr">
        <is>
          <t xml:space="preserve">7792198006638       </t>
        </is>
      </c>
      <c r="F3214" t="n">
        <v>4022289</v>
      </c>
      <c r="G3214" t="inlineStr">
        <is>
          <t xml:space="preserve">MATE COC EN SAQ X25U NATURA	       </t>
        </is>
      </c>
      <c r="H3214" t="inlineStr">
        <is>
          <t xml:space="preserve">UNIDAD              </t>
        </is>
      </c>
      <c r="I3214" t="n">
        <v>1404</v>
      </c>
      <c r="J3214" t="n">
        <v>0</v>
      </c>
      <c r="K3214" t="n">
        <v>0</v>
      </c>
      <c r="L3214" t="n">
        <v>40</v>
      </c>
      <c r="M3214" t="n">
        <v>40</v>
      </c>
      <c r="N3214" t="n">
        <v>0</v>
      </c>
      <c r="O3214" t="n">
        <v>1324</v>
      </c>
      <c r="P3214" s="96">
        <f>_xlfn.XLOOKUP(Tabla5[[#This Row],[EAN CORREGIDO]],'Tabla Articulos'!B:B,'Tabla Articulos'!D:D)</f>
        <v/>
      </c>
      <c r="Q3214" s="96">
        <f>_xlfn.XLOOKUP(S3214,'Tabla Articulos'!B:B,'Tabla Articulos'!E:E)</f>
        <v/>
      </c>
      <c r="R3214" s="96">
        <f>O3214*Q3214</f>
        <v/>
      </c>
      <c r="S3214" s="97">
        <f>TRIM(E3214)</f>
        <v/>
      </c>
    </row>
    <row r="3215" hidden="1">
      <c r="A3215" s="22" t="n">
        <v>2</v>
      </c>
      <c r="B3215" t="inlineStr">
        <is>
          <t xml:space="preserve">CD CIUDADELA                  </t>
        </is>
      </c>
      <c r="C3215" t="inlineStr">
        <is>
          <t xml:space="preserve">GRUPO L.                      </t>
        </is>
      </c>
      <c r="D3215" t="inlineStr">
        <is>
          <t>POLLO GOURMET CONGE T11</t>
        </is>
      </c>
      <c r="E3215" t="inlineStr">
        <is>
          <t xml:space="preserve">7790000000497       </t>
        </is>
      </c>
      <c r="F3215" t="n">
        <v>4024328</v>
      </c>
      <c r="G3215" t="inlineStr">
        <is>
          <t xml:space="preserve">POLLO GOURM CONG 11CAB X20KG       </t>
        </is>
      </c>
      <c r="H3215" t="inlineStr">
        <is>
          <t xml:space="preserve">UNIDAD              </t>
        </is>
      </c>
      <c r="I3215" t="n">
        <v>25</v>
      </c>
      <c r="J3215" t="n">
        <v>0</v>
      </c>
      <c r="K3215" t="n">
        <v>0</v>
      </c>
      <c r="L3215" t="n">
        <v>2</v>
      </c>
      <c r="M3215" t="n">
        <v>2</v>
      </c>
      <c r="N3215" t="n">
        <v>1</v>
      </c>
      <c r="O3215" t="n">
        <v>20</v>
      </c>
      <c r="P3215" s="96">
        <f>_xlfn.XLOOKUP(Tabla5[[#This Row],[EAN CORREGIDO]],'Tabla Articulos'!B:B,'Tabla Articulos'!D:D)</f>
        <v/>
      </c>
      <c r="Q3215" s="96">
        <f>_xlfn.XLOOKUP(S3215,'Tabla Articulos'!B:B,'Tabla Articulos'!E:E)</f>
        <v/>
      </c>
      <c r="R3215" s="96">
        <f>O3215*Q3215</f>
        <v/>
      </c>
      <c r="S3215" s="97">
        <f>TRIM(E3215)</f>
        <v/>
      </c>
    </row>
    <row r="3216" hidden="1">
      <c r="A3216" s="22" t="n">
        <v>2</v>
      </c>
      <c r="B3216" t="inlineStr">
        <is>
          <t xml:space="preserve">CD CIUDADELA                  </t>
        </is>
      </c>
      <c r="C3216" t="inlineStr">
        <is>
          <t xml:space="preserve">GRUPO L.                      </t>
        </is>
      </c>
      <c r="D3216" t="inlineStr">
        <is>
          <t>MERMELADA FRUTILLA</t>
        </is>
      </c>
      <c r="E3216" t="inlineStr">
        <is>
          <t xml:space="preserve">7792260640227       </t>
        </is>
      </c>
      <c r="F3216" t="n">
        <v>4023830</v>
      </c>
      <c r="G3216" t="inlineStr">
        <is>
          <t xml:space="preserve">MERME FRUTI 420GR ORIETA           </t>
        </is>
      </c>
      <c r="H3216" t="inlineStr">
        <is>
          <t xml:space="preserve">UNIDAD              </t>
        </is>
      </c>
      <c r="I3216" t="n">
        <v>98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98</v>
      </c>
      <c r="P3216" s="96">
        <f>_xlfn.XLOOKUP(Tabla5[[#This Row],[EAN CORREGIDO]],'Tabla Articulos'!B:B,'Tabla Articulos'!D:D)</f>
        <v/>
      </c>
      <c r="Q3216" s="96">
        <f>_xlfn.XLOOKUP(S3216,'Tabla Articulos'!B:B,'Tabla Articulos'!E:E)</f>
        <v/>
      </c>
      <c r="R3216" s="96">
        <f>O3216*Q3216</f>
        <v/>
      </c>
      <c r="S3216" s="97">
        <f>TRIM(E3216)</f>
        <v/>
      </c>
    </row>
    <row r="3217" hidden="1">
      <c r="A3217" s="22" t="n">
        <v>2</v>
      </c>
      <c r="B3217" t="inlineStr">
        <is>
          <t xml:space="preserve">CD CIUDADELA                  </t>
        </is>
      </c>
      <c r="C3217" t="inlineStr">
        <is>
          <t xml:space="preserve">GRUPO L.                      </t>
        </is>
      </c>
      <c r="D3217" t="inlineStr">
        <is>
          <t>ATUN A/N DESMEN</t>
        </is>
      </c>
      <c r="E3217" t="inlineStr">
        <is>
          <t xml:space="preserve">7790645002363       </t>
        </is>
      </c>
      <c r="F3217" t="n">
        <v>4019886</v>
      </c>
      <c r="G3217" t="inlineStr">
        <is>
          <t xml:space="preserve">ATUN A/N DESM X170 CARACAS         </t>
        </is>
      </c>
      <c r="H3217" t="inlineStr">
        <is>
          <t xml:space="preserve">UNIDAD              </t>
        </is>
      </c>
      <c r="I3217" t="n">
        <v>369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369</v>
      </c>
      <c r="P3217" s="96">
        <f>_xlfn.XLOOKUP(Tabla5[[#This Row],[EAN CORREGIDO]],'Tabla Articulos'!B:B,'Tabla Articulos'!D:D)</f>
        <v/>
      </c>
      <c r="Q3217" s="96">
        <f>_xlfn.XLOOKUP(S3217,'Tabla Articulos'!B:B,'Tabla Articulos'!E:E)</f>
        <v/>
      </c>
      <c r="R3217" s="96">
        <f>O3217*Q3217</f>
        <v/>
      </c>
      <c r="S3217" s="97">
        <f>TRIM(E3217)</f>
        <v/>
      </c>
    </row>
    <row r="3218" hidden="1">
      <c r="A3218" s="22" t="n">
        <v>2</v>
      </c>
      <c r="B3218" t="inlineStr">
        <is>
          <t xml:space="preserve">CD CIUDADELA                  </t>
        </is>
      </c>
      <c r="C3218" t="inlineStr">
        <is>
          <t xml:space="preserve">GRUPO L.                      </t>
        </is>
      </c>
      <c r="D3218" t="inlineStr">
        <is>
          <t>GALLE MIEL</t>
        </is>
      </c>
      <c r="E3218" t="inlineStr">
        <is>
          <t xml:space="preserve">7790726120023       </t>
        </is>
      </c>
      <c r="F3218" t="n">
        <v>4018838</v>
      </c>
      <c r="G3218" t="inlineStr">
        <is>
          <t xml:space="preserve">GALLET.MIEL X 200G DULCYPAS        </t>
        </is>
      </c>
      <c r="H3218" t="inlineStr">
        <is>
          <t xml:space="preserve">UNIDAD              </t>
        </is>
      </c>
      <c r="I3218" t="n">
        <v>62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62</v>
      </c>
      <c r="P3218" s="96">
        <f>_xlfn.XLOOKUP(Tabla5[[#This Row],[EAN CORREGIDO]],'Tabla Articulos'!B:B,'Tabla Articulos'!D:D)</f>
        <v/>
      </c>
      <c r="Q3218" s="96">
        <f>_xlfn.XLOOKUP(S3218,'Tabla Articulos'!B:B,'Tabla Articulos'!E:E)</f>
        <v/>
      </c>
      <c r="R3218" s="96">
        <f>O3218*Q3218</f>
        <v/>
      </c>
      <c r="S3218" s="97">
        <f>TRIM(E3218)</f>
        <v/>
      </c>
    </row>
    <row r="3219" hidden="1">
      <c r="A3219" s="22" t="n">
        <v>2</v>
      </c>
      <c r="B3219" t="inlineStr">
        <is>
          <t xml:space="preserve">CD CIUDADELA                  </t>
        </is>
      </c>
      <c r="C3219" t="inlineStr">
        <is>
          <t xml:space="preserve">GRUPO L.                      </t>
        </is>
      </c>
      <c r="D3219" t="inlineStr">
        <is>
          <t>TE CACHAMAI</t>
        </is>
      </c>
      <c r="E3219" t="inlineStr">
        <is>
          <t xml:space="preserve">7798104307707       </t>
        </is>
      </c>
      <c r="F3219" t="n">
        <v>4049021</v>
      </c>
      <c r="G3219" t="inlineStr">
        <is>
          <t xml:space="preserve">TE INTIZEN CACHAMCHAI X15UN        </t>
        </is>
      </c>
      <c r="H3219" t="inlineStr">
        <is>
          <t xml:space="preserve">UNIDAD              </t>
        </is>
      </c>
      <c r="I3219" t="n">
        <v>13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13</v>
      </c>
      <c r="P3219" s="96">
        <f>_xlfn.XLOOKUP(Tabla5[[#This Row],[EAN CORREGIDO]],'Tabla Articulos'!B:B,'Tabla Articulos'!D:D)</f>
        <v/>
      </c>
      <c r="Q3219" s="96">
        <f>_xlfn.XLOOKUP(S3219,'Tabla Articulos'!B:B,'Tabla Articulos'!E:E)</f>
        <v/>
      </c>
      <c r="R3219" s="96">
        <f>O3219*Q3219</f>
        <v/>
      </c>
      <c r="S3219" s="97">
        <f>TRIM(E3219)</f>
        <v/>
      </c>
    </row>
    <row r="3220" hidden="1">
      <c r="A3220" s="22" t="n">
        <v>2</v>
      </c>
      <c r="B3220" t="inlineStr">
        <is>
          <t xml:space="preserve">CD CIUDADELA                  </t>
        </is>
      </c>
      <c r="C3220" t="inlineStr">
        <is>
          <t xml:space="preserve">GRUPO L.                      </t>
        </is>
      </c>
      <c r="D3220" t="inlineStr">
        <is>
          <t>ADEREZOS CESAR INDIV</t>
        </is>
      </c>
      <c r="E3220" t="inlineStr">
        <is>
          <t xml:space="preserve">7798011970063       </t>
        </is>
      </c>
      <c r="F3220" t="n">
        <v>4020343</v>
      </c>
      <c r="G3220" t="inlineStr">
        <is>
          <t xml:space="preserve">ADEREZO CESAR X15CCX120U ABEDUL    </t>
        </is>
      </c>
      <c r="H3220" t="inlineStr">
        <is>
          <t xml:space="preserve">UNIDAD              </t>
        </is>
      </c>
      <c r="I3220" t="n">
        <v>69</v>
      </c>
      <c r="J3220" t="n">
        <v>0</v>
      </c>
      <c r="K3220" t="n">
        <v>0</v>
      </c>
      <c r="L3220" t="n">
        <v>4</v>
      </c>
      <c r="M3220" t="n">
        <v>4</v>
      </c>
      <c r="N3220" t="n">
        <v>0</v>
      </c>
      <c r="O3220" t="n">
        <v>61</v>
      </c>
      <c r="P3220" s="96">
        <f>_xlfn.XLOOKUP(Tabla5[[#This Row],[EAN CORREGIDO]],'Tabla Articulos'!B:B,'Tabla Articulos'!D:D)</f>
        <v/>
      </c>
      <c r="Q3220" s="96">
        <f>_xlfn.XLOOKUP(S3220,'Tabla Articulos'!B:B,'Tabla Articulos'!E:E)</f>
        <v/>
      </c>
      <c r="R3220" s="96">
        <f>O3220*Q3220</f>
        <v/>
      </c>
      <c r="S3220" s="97">
        <f>TRIM(E3220)</f>
        <v/>
      </c>
    </row>
    <row r="3221" hidden="1">
      <c r="A3221" s="22" t="n">
        <v>2</v>
      </c>
      <c r="B3221" t="inlineStr">
        <is>
          <t xml:space="preserve">CD CIUDADELA                  </t>
        </is>
      </c>
      <c r="C3221" t="inlineStr">
        <is>
          <t xml:space="preserve">GRUPO L.                      </t>
        </is>
      </c>
      <c r="D3221" t="inlineStr">
        <is>
          <t>ARROZ 00000</t>
        </is>
      </c>
      <c r="E3221" t="inlineStr">
        <is>
          <t xml:space="preserve">7793650000027       </t>
        </is>
      </c>
      <c r="F3221" t="n">
        <v>4049076</v>
      </c>
      <c r="G3221" t="inlineStr">
        <is>
          <t xml:space="preserve">ARROZ 00000 S/TACC X500G CAROGRAN  </t>
        </is>
      </c>
      <c r="H3221" t="inlineStr">
        <is>
          <t xml:space="preserve">UNIDAD              </t>
        </is>
      </c>
      <c r="I3221" t="n">
        <v>2989</v>
      </c>
      <c r="J3221" t="n">
        <v>0</v>
      </c>
      <c r="K3221" t="n">
        <v>0</v>
      </c>
      <c r="L3221" t="n">
        <v>438</v>
      </c>
      <c r="M3221" t="n">
        <v>438</v>
      </c>
      <c r="N3221" t="n">
        <v>0</v>
      </c>
      <c r="O3221" t="n">
        <v>2113</v>
      </c>
      <c r="P3221" s="96">
        <f>_xlfn.XLOOKUP(Tabla5[[#This Row],[EAN CORREGIDO]],'Tabla Articulos'!B:B,'Tabla Articulos'!D:D)</f>
        <v/>
      </c>
      <c r="Q3221" s="96">
        <f>_xlfn.XLOOKUP(S3221,'Tabla Articulos'!B:B,'Tabla Articulos'!E:E)</f>
        <v/>
      </c>
      <c r="R3221" s="96">
        <f>O3221*Q3221</f>
        <v/>
      </c>
      <c r="S3221" s="97">
        <f>TRIM(E3221)</f>
        <v/>
      </c>
    </row>
    <row r="3222" hidden="1">
      <c r="A3222" s="22" t="n">
        <v>2</v>
      </c>
      <c r="B3222" t="inlineStr">
        <is>
          <t xml:space="preserve">CD CIUDADELA                  </t>
        </is>
      </c>
      <c r="C3222" t="inlineStr">
        <is>
          <t xml:space="preserve">GRUPO L.                      </t>
        </is>
      </c>
      <c r="D3222" t="inlineStr">
        <is>
          <t>NUTRICION ENTERAL</t>
        </is>
      </c>
      <c r="E3222" t="inlineStr">
        <is>
          <t xml:space="preserve">4008976681854       </t>
        </is>
      </c>
      <c r="F3222" t="n">
        <v>4022540</v>
      </c>
      <c r="G3222" t="inlineStr">
        <is>
          <t xml:space="preserve">COMPLEM ALIM 350G FORTISIPMAX NE   </t>
        </is>
      </c>
      <c r="H3222" t="inlineStr">
        <is>
          <t xml:space="preserve">UNIDAD              </t>
        </is>
      </c>
      <c r="I3222" t="n">
        <v>2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2</v>
      </c>
      <c r="P3222" s="96">
        <f>_xlfn.XLOOKUP(Tabla5[[#This Row],[EAN CORREGIDO]],'Tabla Articulos'!B:B,'Tabla Articulos'!D:D)</f>
        <v/>
      </c>
      <c r="Q3222" s="96">
        <f>_xlfn.XLOOKUP(S3222,'Tabla Articulos'!B:B,'Tabla Articulos'!E:E)</f>
        <v/>
      </c>
      <c r="R3222" s="96">
        <f>O3222*Q3222</f>
        <v/>
      </c>
      <c r="S3222" s="97">
        <f>TRIM(E3222)</f>
        <v/>
      </c>
    </row>
    <row r="3223" hidden="1">
      <c r="A3223" s="22" t="n">
        <v>2</v>
      </c>
      <c r="B3223" t="inlineStr">
        <is>
          <t xml:space="preserve">CD CIUDADELA                  </t>
        </is>
      </c>
      <c r="C3223" t="inlineStr">
        <is>
          <t xml:space="preserve">GRUPO L.                      </t>
        </is>
      </c>
      <c r="D3223" t="inlineStr">
        <is>
          <t>CALDO CELIACO</t>
        </is>
      </c>
      <c r="E3223" t="inlineStr">
        <is>
          <t xml:space="preserve">7798146450027       </t>
        </is>
      </c>
      <c r="F3223" t="n">
        <v>4024272</v>
      </c>
      <c r="G3223" t="inlineStr">
        <is>
          <t xml:space="preserve">CALDO VERD S/TACC X35GR ARGENDIE   </t>
        </is>
      </c>
      <c r="H3223" t="inlineStr">
        <is>
          <t xml:space="preserve">UNIDAD              </t>
        </is>
      </c>
      <c r="I3223" t="n">
        <v>7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7</v>
      </c>
      <c r="P3223" s="96">
        <f>_xlfn.XLOOKUP(Tabla5[[#This Row],[EAN CORREGIDO]],'Tabla Articulos'!B:B,'Tabla Articulos'!D:D)</f>
        <v/>
      </c>
      <c r="Q3223" s="96">
        <f>_xlfn.XLOOKUP(S3223,'Tabla Articulos'!B:B,'Tabla Articulos'!E:E)</f>
        <v/>
      </c>
      <c r="R3223" s="96">
        <f>O3223*Q3223</f>
        <v/>
      </c>
      <c r="S3223" s="97">
        <f>TRIM(E3223)</f>
        <v/>
      </c>
    </row>
    <row r="3224" hidden="1">
      <c r="A3224" s="22" t="n">
        <v>2</v>
      </c>
      <c r="B3224" t="inlineStr">
        <is>
          <t xml:space="preserve">CD CIUDADELA                  </t>
        </is>
      </c>
      <c r="C3224" t="inlineStr">
        <is>
          <t xml:space="preserve">GRUPO L.                      </t>
        </is>
      </c>
      <c r="D3224" t="inlineStr">
        <is>
          <t>MIX FRUTAS SECAS</t>
        </is>
      </c>
      <c r="E3224" t="inlineStr">
        <is>
          <t xml:space="preserve">7798186161235       </t>
        </is>
      </c>
      <c r="F3224" t="n">
        <v>4076914</v>
      </c>
      <c r="G3224" t="inlineStr">
        <is>
          <t xml:space="preserve">MIX FRUTOS SECOS B X1KG NOGALES    </t>
        </is>
      </c>
      <c r="H3224" t="inlineStr">
        <is>
          <t xml:space="preserve">UNIDAD              </t>
        </is>
      </c>
      <c r="I3224" t="n">
        <v>29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29</v>
      </c>
      <c r="P3224" s="96">
        <f>_xlfn.XLOOKUP(Tabla5[[#This Row],[EAN CORREGIDO]],'Tabla Articulos'!B:B,'Tabla Articulos'!D:D)</f>
        <v/>
      </c>
      <c r="Q3224" s="96">
        <f>_xlfn.XLOOKUP(S3224,'Tabla Articulos'!B:B,'Tabla Articulos'!E:E)</f>
        <v/>
      </c>
      <c r="R3224" s="96">
        <f>O3224*Q3224</f>
        <v/>
      </c>
      <c r="S3224" s="97">
        <f>TRIM(E3224)</f>
        <v/>
      </c>
    </row>
    <row r="3225" hidden="1">
      <c r="A3225" s="22" t="n">
        <v>2</v>
      </c>
      <c r="B3225" t="inlineStr">
        <is>
          <t xml:space="preserve">CD CIUDADELA                  </t>
        </is>
      </c>
      <c r="C3225" t="inlineStr">
        <is>
          <t xml:space="preserve">GRUPO L.                      </t>
        </is>
      </c>
      <c r="D3225" t="inlineStr">
        <is>
          <t>BEBIDA ISOTONICA MANZANA</t>
        </is>
      </c>
      <c r="E3225" t="inlineStr">
        <is>
          <t xml:space="preserve">7790895640018       </t>
        </is>
      </c>
      <c r="F3225" t="n">
        <v>4017318</v>
      </c>
      <c r="G3225" t="inlineStr">
        <is>
          <t xml:space="preserve">POWERADE MANZANA X500CC            </t>
        </is>
      </c>
      <c r="H3225" t="inlineStr">
        <is>
          <t xml:space="preserve">UNIDAD              </t>
        </is>
      </c>
      <c r="I3225" t="n">
        <v>486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486</v>
      </c>
      <c r="P3225" s="96">
        <f>_xlfn.XLOOKUP(Tabla5[[#This Row],[EAN CORREGIDO]],'Tabla Articulos'!B:B,'Tabla Articulos'!D:D)</f>
        <v/>
      </c>
      <c r="Q3225" s="96">
        <f>_xlfn.XLOOKUP(S3225,'Tabla Articulos'!B:B,'Tabla Articulos'!E:E)</f>
        <v/>
      </c>
      <c r="R3225" s="96">
        <f>O3225*Q3225</f>
        <v/>
      </c>
      <c r="S3225" s="97">
        <f>TRIM(E3225)</f>
        <v/>
      </c>
    </row>
    <row r="3226" hidden="1">
      <c r="A3226" s="22" t="n">
        <v>2</v>
      </c>
      <c r="B3226" t="inlineStr">
        <is>
          <t xml:space="preserve">CD CIUDADELA                  </t>
        </is>
      </c>
      <c r="C3226" t="inlineStr">
        <is>
          <t xml:space="preserve">GRUPO L.                      </t>
        </is>
      </c>
      <c r="D3226" t="inlineStr">
        <is>
          <t>CHOCOLATE TAZA IND</t>
        </is>
      </c>
      <c r="E3226" t="inlineStr">
        <is>
          <t xml:space="preserve">7790580315405       </t>
        </is>
      </c>
      <c r="F3226" t="n">
        <v>4019848</v>
      </c>
      <c r="G3226" t="inlineStr">
        <is>
          <t xml:space="preserve">BARRA CHOCOLATE X24U AGUILA        </t>
        </is>
      </c>
      <c r="H3226" t="inlineStr">
        <is>
          <t xml:space="preserve">UNIDAD              </t>
        </is>
      </c>
      <c r="I3226" t="n">
        <v>70</v>
      </c>
      <c r="J3226" t="n">
        <v>0</v>
      </c>
      <c r="K3226" t="n">
        <v>0</v>
      </c>
      <c r="L3226" t="n">
        <v>2</v>
      </c>
      <c r="M3226" t="n">
        <v>2</v>
      </c>
      <c r="N3226" t="n">
        <v>0</v>
      </c>
      <c r="O3226" t="n">
        <v>66</v>
      </c>
      <c r="P3226" s="96">
        <f>_xlfn.XLOOKUP(Tabla5[[#This Row],[EAN CORREGIDO]],'Tabla Articulos'!B:B,'Tabla Articulos'!D:D)</f>
        <v/>
      </c>
      <c r="Q3226" s="96">
        <f>_xlfn.XLOOKUP(S3226,'Tabla Articulos'!B:B,'Tabla Articulos'!E:E)</f>
        <v/>
      </c>
      <c r="R3226" s="96">
        <f>O3226*Q3226</f>
        <v/>
      </c>
      <c r="S3226" s="97">
        <f>TRIM(E3226)</f>
        <v/>
      </c>
    </row>
    <row r="3227" hidden="1">
      <c r="A3227" s="22" t="n">
        <v>2</v>
      </c>
      <c r="B3227" t="inlineStr">
        <is>
          <t xml:space="preserve">CD CIUDADELA                  </t>
        </is>
      </c>
      <c r="C3227" t="inlineStr">
        <is>
          <t xml:space="preserve">GRUPO L.                      </t>
        </is>
      </c>
      <c r="D3227" t="inlineStr">
        <is>
          <t>PIZZA MUZZARELA</t>
        </is>
      </c>
      <c r="E3227" t="inlineStr">
        <is>
          <t xml:space="preserve">7798131130729       </t>
        </is>
      </c>
      <c r="F3227" t="n">
        <v>4076559</v>
      </c>
      <c r="G3227" t="inlineStr">
        <is>
          <t xml:space="preserve">PIZZA MUZZARELA LA DELFINA X UN    </t>
        </is>
      </c>
      <c r="H3227" t="inlineStr">
        <is>
          <t xml:space="preserve">UNIDAD              </t>
        </is>
      </c>
      <c r="I3227" t="n">
        <v>16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16</v>
      </c>
      <c r="P3227" s="96">
        <f>_xlfn.XLOOKUP(Tabla5[[#This Row],[EAN CORREGIDO]],'Tabla Articulos'!B:B,'Tabla Articulos'!D:D)</f>
        <v/>
      </c>
      <c r="Q3227" s="96">
        <f>_xlfn.XLOOKUP(S3227,'Tabla Articulos'!B:B,'Tabla Articulos'!E:E)</f>
        <v/>
      </c>
      <c r="R3227" s="96">
        <f>O3227*Q3227</f>
        <v/>
      </c>
      <c r="S3227" s="97">
        <f>TRIM(E3227)</f>
        <v/>
      </c>
    </row>
    <row r="3228" hidden="1">
      <c r="A3228" s="22" t="n">
        <v>2</v>
      </c>
      <c r="B3228" t="inlineStr">
        <is>
          <t xml:space="preserve">CD CIUDADELA                  </t>
        </is>
      </c>
      <c r="C3228" t="inlineStr">
        <is>
          <t xml:space="preserve">GRUPO L.                      </t>
        </is>
      </c>
      <c r="D3228" t="inlineStr">
        <is>
          <t>MIX CEREALES</t>
        </is>
      </c>
      <c r="E3228" t="inlineStr">
        <is>
          <t xml:space="preserve">7790040140929       </t>
        </is>
      </c>
      <c r="F3228" t="n">
        <v>4076768</v>
      </c>
      <c r="G3228" t="inlineStr">
        <is>
          <t xml:space="preserve">SNACK CER CACAO X100G CEREAL MIX   </t>
        </is>
      </c>
      <c r="H3228" t="inlineStr">
        <is>
          <t xml:space="preserve">UNIDAD              </t>
        </is>
      </c>
      <c r="I3228" t="n">
        <v>33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33</v>
      </c>
      <c r="P3228" s="96">
        <f>_xlfn.XLOOKUP(Tabla5[[#This Row],[EAN CORREGIDO]],'Tabla Articulos'!B:B,'Tabla Articulos'!D:D)</f>
        <v/>
      </c>
      <c r="Q3228" s="96">
        <f>_xlfn.XLOOKUP(S3228,'Tabla Articulos'!B:B,'Tabla Articulos'!E:E)</f>
        <v/>
      </c>
      <c r="R3228" s="96">
        <f>O3228*Q3228</f>
        <v/>
      </c>
      <c r="S3228" s="97">
        <f>TRIM(E3228)</f>
        <v/>
      </c>
    </row>
    <row r="3229" hidden="1">
      <c r="A3229" s="22" t="n">
        <v>2</v>
      </c>
      <c r="B3229" t="inlineStr">
        <is>
          <t xml:space="preserve">CD CIUDADELA                  </t>
        </is>
      </c>
      <c r="C3229" t="inlineStr">
        <is>
          <t xml:space="preserve">GRUPO L.                      </t>
        </is>
      </c>
      <c r="D3229" t="inlineStr">
        <is>
          <t>MADALENA INDIVIDUAL</t>
        </is>
      </c>
      <c r="E3229" t="inlineStr">
        <is>
          <t xml:space="preserve">47790726000392      </t>
        </is>
      </c>
      <c r="F3229" t="n">
        <v>4019413</v>
      </c>
      <c r="G3229" t="inlineStr">
        <is>
          <t xml:space="preserve">MADALENA X 25 G DULCYPAS           </t>
        </is>
      </c>
      <c r="H3229" t="inlineStr">
        <is>
          <t xml:space="preserve">UNIDAD              </t>
        </is>
      </c>
      <c r="I3229" t="n">
        <v>27511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27511</v>
      </c>
      <c r="P3229" s="96">
        <f>_xlfn.XLOOKUP(Tabla5[[#This Row],[EAN CORREGIDO]],'Tabla Articulos'!B:B,'Tabla Articulos'!D:D)</f>
        <v/>
      </c>
      <c r="Q3229" s="96">
        <f>_xlfn.XLOOKUP(S3229,'Tabla Articulos'!B:B,'Tabla Articulos'!E:E)</f>
        <v/>
      </c>
      <c r="R3229" s="96">
        <f>O3229*Q3229</f>
        <v/>
      </c>
      <c r="S3229" s="97">
        <f>TRIM(E3229)</f>
        <v/>
      </c>
    </row>
    <row r="3230" hidden="1">
      <c r="A3230" s="22" t="n">
        <v>2</v>
      </c>
      <c r="B3230" t="inlineStr">
        <is>
          <t xml:space="preserve">CD CIUDADELA                  </t>
        </is>
      </c>
      <c r="C3230" t="inlineStr">
        <is>
          <t xml:space="preserve">GRUPO L.                      </t>
        </is>
      </c>
      <c r="D3230" t="inlineStr">
        <is>
          <t>TE SAQUITO S/TACC</t>
        </is>
      </c>
      <c r="E3230" t="inlineStr">
        <is>
          <t xml:space="preserve">7792198006652       </t>
        </is>
      </c>
      <c r="F3230" t="n">
        <v>4020211</v>
      </c>
      <c r="G3230" t="inlineStr">
        <is>
          <t xml:space="preserve">TE SAQUITO X25U HURLINGHAM         </t>
        </is>
      </c>
      <c r="H3230" t="inlineStr">
        <is>
          <t xml:space="preserve">UNIDAD              </t>
        </is>
      </c>
      <c r="I3230" t="n">
        <v>871</v>
      </c>
      <c r="J3230" t="n">
        <v>0</v>
      </c>
      <c r="K3230" t="n">
        <v>0</v>
      </c>
      <c r="L3230" t="n">
        <v>3</v>
      </c>
      <c r="M3230" t="n">
        <v>3</v>
      </c>
      <c r="N3230" t="n">
        <v>0</v>
      </c>
      <c r="O3230" t="n">
        <v>865</v>
      </c>
      <c r="P3230" s="96">
        <f>_xlfn.XLOOKUP(Tabla5[[#This Row],[EAN CORREGIDO]],'Tabla Articulos'!B:B,'Tabla Articulos'!D:D)</f>
        <v/>
      </c>
      <c r="Q3230" s="96">
        <f>_xlfn.XLOOKUP(S3230,'Tabla Articulos'!B:B,'Tabla Articulos'!E:E)</f>
        <v/>
      </c>
      <c r="R3230" s="96">
        <f>O3230*Q3230</f>
        <v/>
      </c>
      <c r="S3230" s="97">
        <f>TRIM(E3230)</f>
        <v/>
      </c>
    </row>
    <row r="3231" hidden="1">
      <c r="A3231" s="22" t="n">
        <v>2</v>
      </c>
      <c r="B3231" t="inlineStr">
        <is>
          <t xml:space="preserve">CD CIUDADELA                  </t>
        </is>
      </c>
      <c r="C3231" t="inlineStr">
        <is>
          <t xml:space="preserve">GRUPO L.                      </t>
        </is>
      </c>
      <c r="D3231" t="inlineStr">
        <is>
          <t>BOLSA CAMISETA REFORZADA</t>
        </is>
      </c>
      <c r="E3231" t="inlineStr">
        <is>
          <t xml:space="preserve">7790000000386       </t>
        </is>
      </c>
      <c r="F3231" t="n">
        <v>2007329</v>
      </c>
      <c r="G3231" t="inlineStr">
        <is>
          <t xml:space="preserve">BOLSA CAM NEGR REF 50X60X100U EV   </t>
        </is>
      </c>
      <c r="H3231" t="inlineStr">
        <is>
          <t xml:space="preserve">UNIDAD              </t>
        </is>
      </c>
      <c r="I3231" t="n">
        <v>110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110</v>
      </c>
      <c r="P3231" s="96">
        <f>_xlfn.XLOOKUP(Tabla5[[#This Row],[EAN CORREGIDO]],'Tabla Articulos'!B:B,'Tabla Articulos'!D:D)</f>
        <v/>
      </c>
      <c r="Q3231" s="96">
        <f>_xlfn.XLOOKUP(S3231,'Tabla Articulos'!B:B,'Tabla Articulos'!E:E)</f>
        <v/>
      </c>
      <c r="R3231" s="96">
        <f>O3231*Q3231</f>
        <v/>
      </c>
      <c r="S3231" s="97">
        <f>TRIM(E3231)</f>
        <v/>
      </c>
    </row>
    <row r="3232" hidden="1">
      <c r="A3232" s="22" t="n">
        <v>2</v>
      </c>
      <c r="B3232" t="inlineStr">
        <is>
          <t xml:space="preserve">CD CIUDADELA                  </t>
        </is>
      </c>
      <c r="C3232" t="inlineStr">
        <is>
          <t xml:space="preserve">GRUPO L.                      </t>
        </is>
      </c>
      <c r="D3232" t="inlineStr">
        <is>
          <t>PAPA</t>
        </is>
      </c>
      <c r="E3232" t="inlineStr">
        <is>
          <t xml:space="preserve">7790216010052       </t>
        </is>
      </c>
      <c r="F3232" t="n">
        <v>4018027</v>
      </c>
      <c r="G3232" t="inlineStr">
        <is>
          <t xml:space="preserve">PAPA X KG                          </t>
        </is>
      </c>
      <c r="H3232" t="inlineStr">
        <is>
          <t xml:space="preserve">Kgs                 </t>
        </is>
      </c>
      <c r="I3232" t="n">
        <v>3275.277</v>
      </c>
      <c r="J3232" t="n">
        <v>0</v>
      </c>
      <c r="K3232" t="n">
        <v>0</v>
      </c>
      <c r="L3232" t="n">
        <v>1112.315</v>
      </c>
      <c r="M3232" t="n">
        <v>1112.315</v>
      </c>
      <c r="N3232" t="n">
        <v>0</v>
      </c>
      <c r="O3232" t="n">
        <v>1050.647</v>
      </c>
      <c r="P3232" s="96">
        <f>_xlfn.XLOOKUP(Tabla5[[#This Row],[EAN CORREGIDO]],'Tabla Articulos'!B:B,'Tabla Articulos'!D:D)</f>
        <v/>
      </c>
      <c r="Q3232" s="96">
        <f>_xlfn.XLOOKUP(S3232,'Tabla Articulos'!B:B,'Tabla Articulos'!E:E)</f>
        <v/>
      </c>
      <c r="R3232" s="96">
        <f>O3232*Q3232</f>
        <v/>
      </c>
      <c r="S3232" s="97">
        <f>TRIM(E3232)</f>
        <v/>
      </c>
    </row>
    <row r="3233" hidden="1">
      <c r="A3233" s="22" t="n">
        <v>2</v>
      </c>
      <c r="B3233" t="inlineStr">
        <is>
          <t xml:space="preserve">CD CIUDADELA                  </t>
        </is>
      </c>
      <c r="C3233" t="inlineStr">
        <is>
          <t xml:space="preserve">GRUPO L.                      </t>
        </is>
      </c>
      <c r="D3233" t="inlineStr">
        <is>
          <t>YERBA MATE</t>
        </is>
      </c>
      <c r="E3233" t="inlineStr">
        <is>
          <t xml:space="preserve">7798028021598       </t>
        </is>
      </c>
      <c r="F3233" t="n">
        <v>4020783</v>
      </c>
      <c r="G3233" t="inlineStr">
        <is>
          <t>YERBA MATE SUAVE X 500GR LA POSADEÑ</t>
        </is>
      </c>
      <c r="H3233" t="inlineStr">
        <is>
          <t xml:space="preserve">UNIDAD              </t>
        </is>
      </c>
      <c r="I3233" t="n">
        <v>16</v>
      </c>
      <c r="J3233" t="n">
        <v>0</v>
      </c>
      <c r="K3233" t="n">
        <v>0</v>
      </c>
      <c r="L3233" t="n">
        <v>2</v>
      </c>
      <c r="M3233" t="n">
        <v>2</v>
      </c>
      <c r="N3233" t="n">
        <v>0</v>
      </c>
      <c r="O3233" t="n">
        <v>12</v>
      </c>
      <c r="P3233" s="96">
        <f>_xlfn.XLOOKUP(Tabla5[[#This Row],[EAN CORREGIDO]],'Tabla Articulos'!B:B,'Tabla Articulos'!D:D)</f>
        <v/>
      </c>
      <c r="Q3233" s="96">
        <f>_xlfn.XLOOKUP(S3233,'Tabla Articulos'!B:B,'Tabla Articulos'!E:E)</f>
        <v/>
      </c>
      <c r="R3233" s="96">
        <f>O3233*Q3233</f>
        <v/>
      </c>
      <c r="S3233" s="97">
        <f>TRIM(E3233)</f>
        <v/>
      </c>
    </row>
    <row r="3234" hidden="1">
      <c r="A3234" s="22" t="n">
        <v>2</v>
      </c>
      <c r="B3234" t="inlineStr">
        <is>
          <t xml:space="preserve">CD CIUDADELA                  </t>
        </is>
      </c>
      <c r="C3234" t="inlineStr">
        <is>
          <t xml:space="preserve">GRUPO L.                      </t>
        </is>
      </c>
      <c r="D3234" t="inlineStr">
        <is>
          <t>SERVILLETA BAR</t>
        </is>
      </c>
      <c r="E3234" t="inlineStr">
        <is>
          <t xml:space="preserve">7790000000917       </t>
        </is>
      </c>
      <c r="F3234" t="n">
        <v>2016793</v>
      </c>
      <c r="G3234" t="inlineStr">
        <is>
          <t xml:space="preserve">SERVILLETAS BAR 1.45KGX5500UN      </t>
        </is>
      </c>
      <c r="H3234" t="inlineStr">
        <is>
          <t xml:space="preserve">UNIDAD              </t>
        </is>
      </c>
      <c r="I3234" t="n">
        <v>15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15</v>
      </c>
      <c r="P3234" s="96">
        <f>_xlfn.XLOOKUP(Tabla5[[#This Row],[EAN CORREGIDO]],'Tabla Articulos'!B:B,'Tabla Articulos'!D:D)</f>
        <v/>
      </c>
      <c r="Q3234" s="96">
        <f>_xlfn.XLOOKUP(S3234,'Tabla Articulos'!B:B,'Tabla Articulos'!E:E)</f>
        <v/>
      </c>
      <c r="R3234" s="96">
        <f>O3234*Q3234</f>
        <v/>
      </c>
      <c r="S3234" s="97">
        <f>TRIM(E3234)</f>
        <v/>
      </c>
    </row>
    <row r="3235" hidden="1">
      <c r="A3235" s="22" t="n">
        <v>2</v>
      </c>
      <c r="B3235" t="inlineStr">
        <is>
          <t xml:space="preserve">CD CIUDADELA                  </t>
        </is>
      </c>
      <c r="C3235" t="inlineStr">
        <is>
          <t xml:space="preserve">GRUPO L.                      </t>
        </is>
      </c>
      <c r="D3235" t="inlineStr">
        <is>
          <t>JUGO INDIVIDUAL MANZANA</t>
        </is>
      </c>
      <c r="E3235" t="inlineStr">
        <is>
          <t xml:space="preserve">7790036000572       </t>
        </is>
      </c>
      <c r="F3235" t="n">
        <v>4017428</v>
      </c>
      <c r="G3235" t="inlineStr">
        <is>
          <t xml:space="preserve">JUGO MANZANA X 200 ML BAGGIO       </t>
        </is>
      </c>
      <c r="H3235" t="inlineStr">
        <is>
          <t xml:space="preserve">UNIDAD              </t>
        </is>
      </c>
      <c r="I3235" t="n">
        <v>1382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1382</v>
      </c>
      <c r="P3235" s="96">
        <f>_xlfn.XLOOKUP(Tabla5[[#This Row],[EAN CORREGIDO]],'Tabla Articulos'!B:B,'Tabla Articulos'!D:D)</f>
        <v/>
      </c>
      <c r="Q3235" s="96">
        <f>_xlfn.XLOOKUP(S3235,'Tabla Articulos'!B:B,'Tabla Articulos'!E:E)</f>
        <v/>
      </c>
      <c r="R3235" s="96">
        <f>O3235*Q3235</f>
        <v/>
      </c>
      <c r="S3235" s="97">
        <f>TRIM(E3235)</f>
        <v/>
      </c>
    </row>
    <row r="3236" hidden="1">
      <c r="A3236" s="22" t="n">
        <v>2</v>
      </c>
      <c r="B3236" t="inlineStr">
        <is>
          <t xml:space="preserve">CD CIUDADELA                  </t>
        </is>
      </c>
      <c r="C3236" t="inlineStr">
        <is>
          <t xml:space="preserve">GRUPO L.                      </t>
        </is>
      </c>
      <c r="D3236" t="inlineStr">
        <is>
          <t>CHOCLO GRANO AMARILLO</t>
        </is>
      </c>
      <c r="E3236" t="inlineStr">
        <is>
          <t xml:space="preserve">7790499000744       </t>
        </is>
      </c>
      <c r="F3236" t="n">
        <v>4024164</v>
      </c>
      <c r="G3236" t="inlineStr">
        <is>
          <t xml:space="preserve">CHOCLO GRANO X 810G LA BANDA       </t>
        </is>
      </c>
      <c r="H3236" t="inlineStr">
        <is>
          <t xml:space="preserve">UNIDAD              </t>
        </is>
      </c>
      <c r="I3236" t="n">
        <v>1821</v>
      </c>
      <c r="J3236" t="n">
        <v>0</v>
      </c>
      <c r="K3236" t="n">
        <v>0</v>
      </c>
      <c r="L3236" t="n">
        <v>72</v>
      </c>
      <c r="M3236" t="n">
        <v>72</v>
      </c>
      <c r="N3236" t="n">
        <v>0</v>
      </c>
      <c r="O3236" t="n">
        <v>1677</v>
      </c>
      <c r="P3236" s="96">
        <f>_xlfn.XLOOKUP(Tabla5[[#This Row],[EAN CORREGIDO]],'Tabla Articulos'!B:B,'Tabla Articulos'!D:D)</f>
        <v/>
      </c>
      <c r="Q3236" s="96">
        <f>_xlfn.XLOOKUP(S3236,'Tabla Articulos'!B:B,'Tabla Articulos'!E:E)</f>
        <v/>
      </c>
      <c r="R3236" s="96">
        <f>O3236*Q3236</f>
        <v/>
      </c>
      <c r="S3236" s="97">
        <f>TRIM(E3236)</f>
        <v/>
      </c>
    </row>
    <row r="3237" hidden="1">
      <c r="A3237" s="22" t="n">
        <v>2</v>
      </c>
      <c r="B3237" t="inlineStr">
        <is>
          <t xml:space="preserve">CD CIUDADELA                  </t>
        </is>
      </c>
      <c r="C3237" t="inlineStr">
        <is>
          <t xml:space="preserve">GRUPO L.                      </t>
        </is>
      </c>
      <c r="D3237" t="inlineStr">
        <is>
          <t>JUGO POLVO MANZANA LIGHT</t>
        </is>
      </c>
      <c r="E3237" t="inlineStr">
        <is>
          <t xml:space="preserve">7790580129972       </t>
        </is>
      </c>
      <c r="F3237" t="n">
        <v>4021665</v>
      </c>
      <c r="G3237" t="inlineStr">
        <is>
          <t xml:space="preserve">JUGO POLVO MANZ LIGHT X7G BC       </t>
        </is>
      </c>
      <c r="H3237" t="inlineStr">
        <is>
          <t xml:space="preserve">UNIDAD              </t>
        </is>
      </c>
      <c r="I3237" t="n">
        <v>3398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3398</v>
      </c>
      <c r="P3237" s="96">
        <f>_xlfn.XLOOKUP(Tabla5[[#This Row],[EAN CORREGIDO]],'Tabla Articulos'!B:B,'Tabla Articulos'!D:D)</f>
        <v/>
      </c>
      <c r="Q3237" s="96">
        <f>_xlfn.XLOOKUP(S3237,'Tabla Articulos'!B:B,'Tabla Articulos'!E:E)</f>
        <v/>
      </c>
      <c r="R3237" s="96">
        <f>O3237*Q3237</f>
        <v/>
      </c>
      <c r="S3237" s="97">
        <f>TRIM(E3237)</f>
        <v/>
      </c>
    </row>
    <row r="3238" hidden="1">
      <c r="A3238" s="22" t="n">
        <v>2</v>
      </c>
      <c r="B3238" t="inlineStr">
        <is>
          <t xml:space="preserve">CD CIUDADELA                  </t>
        </is>
      </c>
      <c r="C3238" t="inlineStr">
        <is>
          <t xml:space="preserve">GRUPO L.                      </t>
        </is>
      </c>
      <c r="D3238" t="inlineStr">
        <is>
          <t>COPOS CEREAL S/AZUCAR</t>
        </is>
      </c>
      <c r="E3238" t="inlineStr">
        <is>
          <t xml:space="preserve">7790045001591       </t>
        </is>
      </c>
      <c r="F3238" t="n">
        <v>4019327</v>
      </c>
      <c r="G3238" t="inlineStr">
        <is>
          <t xml:space="preserve">COPOS MAIZ S/AZUCAR X400G GRANIX   </t>
        </is>
      </c>
      <c r="H3238" t="inlineStr">
        <is>
          <t xml:space="preserve">UNIDAD              </t>
        </is>
      </c>
      <c r="I3238" t="n">
        <v>3343</v>
      </c>
      <c r="J3238" t="n">
        <v>0</v>
      </c>
      <c r="K3238" t="n">
        <v>0</v>
      </c>
      <c r="L3238" t="n">
        <v>10</v>
      </c>
      <c r="M3238" t="n">
        <v>10</v>
      </c>
      <c r="N3238" t="n">
        <v>0</v>
      </c>
      <c r="O3238" t="n">
        <v>3323</v>
      </c>
      <c r="P3238" s="96">
        <f>_xlfn.XLOOKUP(Tabla5[[#This Row],[EAN CORREGIDO]],'Tabla Articulos'!B:B,'Tabla Articulos'!D:D)</f>
        <v/>
      </c>
      <c r="Q3238" s="96">
        <f>_xlfn.XLOOKUP(S3238,'Tabla Articulos'!B:B,'Tabla Articulos'!E:E)</f>
        <v/>
      </c>
      <c r="R3238" s="96">
        <f>O3238*Q3238</f>
        <v/>
      </c>
      <c r="S3238" s="97">
        <f>TRIM(E3238)</f>
        <v/>
      </c>
    </row>
    <row r="3239" hidden="1">
      <c r="A3239" s="22" t="n">
        <v>2</v>
      </c>
      <c r="B3239" t="inlineStr">
        <is>
          <t xml:space="preserve">CD CIUDADELA                  </t>
        </is>
      </c>
      <c r="C3239" t="inlineStr">
        <is>
          <t xml:space="preserve">GRUPO L.                      </t>
        </is>
      </c>
      <c r="D3239" t="inlineStr">
        <is>
          <t>TOSTADA ARROZ C/S</t>
        </is>
      </c>
      <c r="E3239" t="inlineStr">
        <is>
          <t xml:space="preserve">7790412000271       </t>
        </is>
      </c>
      <c r="F3239" t="n">
        <v>4018815</v>
      </c>
      <c r="G3239" t="inlineStr">
        <is>
          <t xml:space="preserve">TOSTADA ARROZX150G LEIVA           </t>
        </is>
      </c>
      <c r="H3239" t="inlineStr">
        <is>
          <t xml:space="preserve">UNIDAD              </t>
        </is>
      </c>
      <c r="I3239" t="n">
        <v>1684</v>
      </c>
      <c r="J3239" t="n">
        <v>0</v>
      </c>
      <c r="K3239" t="n">
        <v>0</v>
      </c>
      <c r="L3239" t="n">
        <v>28</v>
      </c>
      <c r="M3239" t="n">
        <v>28</v>
      </c>
      <c r="N3239" t="n">
        <v>0</v>
      </c>
      <c r="O3239" t="n">
        <v>1628</v>
      </c>
      <c r="P3239" s="96">
        <f>_xlfn.XLOOKUP(Tabla5[[#This Row],[EAN CORREGIDO]],'Tabla Articulos'!B:B,'Tabla Articulos'!D:D)</f>
        <v/>
      </c>
      <c r="Q3239" s="96">
        <f>_xlfn.XLOOKUP(S3239,'Tabla Articulos'!B:B,'Tabla Articulos'!E:E)</f>
        <v/>
      </c>
      <c r="R3239" s="96">
        <f>O3239*Q3239</f>
        <v/>
      </c>
      <c r="S3239" s="97">
        <f>TRIM(E3239)</f>
        <v/>
      </c>
    </row>
    <row r="3240" hidden="1">
      <c r="A3240" s="22" t="n">
        <v>2</v>
      </c>
      <c r="B3240" t="inlineStr">
        <is>
          <t xml:space="preserve">CD CIUDADELA                  </t>
        </is>
      </c>
      <c r="C3240" t="inlineStr">
        <is>
          <t xml:space="preserve">GRUPO L.                      </t>
        </is>
      </c>
      <c r="D3240" t="inlineStr">
        <is>
          <t>GALLE DULCE</t>
        </is>
      </c>
      <c r="E3240" t="inlineStr">
        <is>
          <t xml:space="preserve">7791324157466       </t>
        </is>
      </c>
      <c r="F3240" t="n">
        <v>4018851</v>
      </c>
      <c r="G3240" t="inlineStr">
        <is>
          <t xml:space="preserve">GALLE FRUTILLA X 160GR PITUSAS     </t>
        </is>
      </c>
      <c r="H3240" t="inlineStr">
        <is>
          <t xml:space="preserve">UNIDAD              </t>
        </is>
      </c>
      <c r="I3240" t="n">
        <v>2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2</v>
      </c>
      <c r="P3240" s="96">
        <f>_xlfn.XLOOKUP(Tabla5[[#This Row],[EAN CORREGIDO]],'Tabla Articulos'!B:B,'Tabla Articulos'!D:D)</f>
        <v/>
      </c>
      <c r="Q3240" s="96">
        <f>_xlfn.XLOOKUP(S3240,'Tabla Articulos'!B:B,'Tabla Articulos'!E:E)</f>
        <v/>
      </c>
      <c r="R3240" s="96">
        <f>O3240*Q3240</f>
        <v/>
      </c>
      <c r="S3240" s="97">
        <f>TRIM(E3240)</f>
        <v/>
      </c>
    </row>
    <row r="3241" hidden="1">
      <c r="A3241" s="22" t="n">
        <v>2</v>
      </c>
      <c r="B3241" t="inlineStr">
        <is>
          <t xml:space="preserve">CD CIUDADELA                  </t>
        </is>
      </c>
      <c r="C3241" t="inlineStr">
        <is>
          <t xml:space="preserve">GRUPO L.                      </t>
        </is>
      </c>
      <c r="D3241" t="inlineStr">
        <is>
          <t>FRUTOS ROJOS CONGE</t>
        </is>
      </c>
      <c r="E3241" t="inlineStr">
        <is>
          <t xml:space="preserve">7798422170120       </t>
        </is>
      </c>
      <c r="F3241" t="n">
        <v>4077588</v>
      </c>
      <c r="G3241" t="inlineStr">
        <is>
          <t>FRUTOS ROJOS CONG IQF FRESH BSA 1KG</t>
        </is>
      </c>
      <c r="H3241" t="inlineStr">
        <is>
          <t xml:space="preserve">UNIDAD              </t>
        </is>
      </c>
      <c r="I3241" t="n">
        <v>3</v>
      </c>
      <c r="J3241" t="n">
        <v>0</v>
      </c>
      <c r="K3241" t="n">
        <v>0</v>
      </c>
      <c r="L3241" t="n">
        <v>1</v>
      </c>
      <c r="M3241" t="n">
        <v>1</v>
      </c>
      <c r="N3241" t="n">
        <v>0</v>
      </c>
      <c r="O3241" t="n">
        <v>1</v>
      </c>
      <c r="P3241" s="96">
        <f>_xlfn.XLOOKUP(Tabla5[[#This Row],[EAN CORREGIDO]],'Tabla Articulos'!B:B,'Tabla Articulos'!D:D)</f>
        <v/>
      </c>
      <c r="Q3241" s="96">
        <f>_xlfn.XLOOKUP(S3241,'Tabla Articulos'!B:B,'Tabla Articulos'!E:E)</f>
        <v/>
      </c>
      <c r="R3241" s="96">
        <f>O3241*Q3241</f>
        <v/>
      </c>
      <c r="S3241" s="97">
        <f>TRIM(E3241)</f>
        <v/>
      </c>
    </row>
    <row r="3242" hidden="1">
      <c r="A3242" s="22" t="n">
        <v>2</v>
      </c>
      <c r="B3242" t="inlineStr">
        <is>
          <t xml:space="preserve">CD CIUDADELA                  </t>
        </is>
      </c>
      <c r="C3242" t="inlineStr">
        <is>
          <t xml:space="preserve">GRUPO L.                      </t>
        </is>
      </c>
      <c r="D3242" t="inlineStr">
        <is>
          <t>BOLSAS CAMISETA NEGRAS</t>
        </is>
      </c>
      <c r="E3242" t="inlineStr">
        <is>
          <t xml:space="preserve">7790321020147       </t>
        </is>
      </c>
      <c r="F3242" t="n">
        <v>2006140</v>
      </c>
      <c r="G3242" t="inlineStr">
        <is>
          <t xml:space="preserve">BOLSA CAMISETA NEG 40X50X60U       </t>
        </is>
      </c>
      <c r="H3242" t="inlineStr">
        <is>
          <t xml:space="preserve">UNIDAD              </t>
        </is>
      </c>
      <c r="I3242" t="n">
        <v>317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317</v>
      </c>
      <c r="P3242" s="96">
        <f>_xlfn.XLOOKUP(Tabla5[[#This Row],[EAN CORREGIDO]],'Tabla Articulos'!B:B,'Tabla Articulos'!D:D)</f>
        <v/>
      </c>
      <c r="Q3242" s="96">
        <f>_xlfn.XLOOKUP(S3242,'Tabla Articulos'!B:B,'Tabla Articulos'!E:E)</f>
        <v/>
      </c>
      <c r="R3242" s="96">
        <f>O3242*Q3242</f>
        <v/>
      </c>
      <c r="S3242" s="97">
        <f>TRIM(E3242)</f>
        <v/>
      </c>
    </row>
    <row r="3243" hidden="1">
      <c r="A3243" s="22" t="n">
        <v>2</v>
      </c>
      <c r="B3243" t="inlineStr">
        <is>
          <t xml:space="preserve">CD CIUDADELA                  </t>
        </is>
      </c>
      <c r="C3243" t="inlineStr">
        <is>
          <t xml:space="preserve">GRUPO L.                      </t>
        </is>
      </c>
      <c r="D3243" t="inlineStr">
        <is>
          <t>NACHOS</t>
        </is>
      </c>
      <c r="E3243" t="inlineStr">
        <is>
          <t xml:space="preserve">7790538010291       </t>
        </is>
      </c>
      <c r="F3243" t="n">
        <v>4077492</v>
      </c>
      <c r="G3243" t="inlineStr">
        <is>
          <t xml:space="preserve">NACHOS X250GR MACRITAS             </t>
        </is>
      </c>
      <c r="H3243" t="inlineStr">
        <is>
          <t xml:space="preserve">UNIDAD              </t>
        </is>
      </c>
      <c r="I3243" t="n">
        <v>980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980</v>
      </c>
      <c r="P3243" s="96">
        <f>_xlfn.XLOOKUP(Tabla5[[#This Row],[EAN CORREGIDO]],'Tabla Articulos'!B:B,'Tabla Articulos'!D:D)</f>
        <v/>
      </c>
      <c r="Q3243" s="96">
        <f>_xlfn.XLOOKUP(S3243,'Tabla Articulos'!B:B,'Tabla Articulos'!E:E)</f>
        <v/>
      </c>
      <c r="R3243" s="96">
        <f>O3243*Q3243</f>
        <v/>
      </c>
      <c r="S3243" s="97">
        <f>TRIM(E3243)</f>
        <v/>
      </c>
    </row>
    <row r="3244" hidden="1">
      <c r="A3244" s="22" t="n">
        <v>2</v>
      </c>
      <c r="B3244" t="inlineStr">
        <is>
          <t xml:space="preserve">CD CIUDADELA                  </t>
        </is>
      </c>
      <c r="C3244" t="inlineStr">
        <is>
          <t xml:space="preserve">GRUPO L.                      </t>
        </is>
      </c>
      <c r="D3244" t="inlineStr">
        <is>
          <t xml:space="preserve">REMOLACHA  </t>
        </is>
      </c>
      <c r="E3244" t="inlineStr">
        <is>
          <t xml:space="preserve">7790216012625       </t>
        </is>
      </c>
      <c r="F3244" t="n">
        <v>4017999</v>
      </c>
      <c r="G3244" t="inlineStr">
        <is>
          <t xml:space="preserve">REMOLACHA X KG                     </t>
        </is>
      </c>
      <c r="H3244" t="inlineStr">
        <is>
          <t xml:space="preserve">Kgs                 </t>
        </is>
      </c>
      <c r="I3244" t="n">
        <v>1066.45</v>
      </c>
      <c r="J3244" t="n">
        <v>0</v>
      </c>
      <c r="K3244" t="n">
        <v>0</v>
      </c>
      <c r="L3244" t="n">
        <v>116.58</v>
      </c>
      <c r="M3244" t="n">
        <v>167.38</v>
      </c>
      <c r="N3244" t="n">
        <v>0</v>
      </c>
      <c r="O3244" t="n">
        <v>782.49</v>
      </c>
      <c r="P3244" s="96">
        <f>_xlfn.XLOOKUP(Tabla5[[#This Row],[EAN CORREGIDO]],'Tabla Articulos'!B:B,'Tabla Articulos'!D:D)</f>
        <v/>
      </c>
      <c r="Q3244" s="96">
        <f>_xlfn.XLOOKUP(S3244,'Tabla Articulos'!B:B,'Tabla Articulos'!E:E)</f>
        <v/>
      </c>
      <c r="R3244" s="96">
        <f>O3244*Q3244</f>
        <v/>
      </c>
      <c r="S3244" s="97">
        <f>TRIM(E3244)</f>
        <v/>
      </c>
    </row>
    <row r="3245" hidden="1">
      <c r="A3245" s="22" t="n">
        <v>2</v>
      </c>
      <c r="B3245" t="inlineStr">
        <is>
          <t xml:space="preserve">CD CIUDADELA                  </t>
        </is>
      </c>
      <c r="C3245" t="inlineStr">
        <is>
          <t xml:space="preserve">GRUPO L.                      </t>
        </is>
      </c>
      <c r="D3245" t="inlineStr">
        <is>
          <t>MOUSSE DDL</t>
        </is>
      </c>
      <c r="E3245" t="inlineStr">
        <is>
          <t xml:space="preserve">7791270013632       </t>
        </is>
      </c>
      <c r="F3245" t="n">
        <v>4019701</v>
      </c>
      <c r="G3245" t="inlineStr">
        <is>
          <t xml:space="preserve">MOUSSE DULCE LECHE X500G KEUKEN    </t>
        </is>
      </c>
      <c r="H3245" t="inlineStr">
        <is>
          <t xml:space="preserve">UNIDAD              </t>
        </is>
      </c>
      <c r="I3245" t="n">
        <v>15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15</v>
      </c>
      <c r="P3245" s="96">
        <f>_xlfn.XLOOKUP(Tabla5[[#This Row],[EAN CORREGIDO]],'Tabla Articulos'!B:B,'Tabla Articulos'!D:D)</f>
        <v/>
      </c>
      <c r="Q3245" s="96">
        <f>_xlfn.XLOOKUP(S3245,'Tabla Articulos'!B:B,'Tabla Articulos'!E:E)</f>
        <v/>
      </c>
      <c r="R3245" s="96">
        <f>O3245*Q3245</f>
        <v/>
      </c>
      <c r="S3245" s="97">
        <f>TRIM(E3245)</f>
        <v/>
      </c>
    </row>
    <row r="3246" hidden="1">
      <c r="A3246" s="22" t="n">
        <v>2</v>
      </c>
      <c r="B3246" t="inlineStr">
        <is>
          <t xml:space="preserve">CD CIUDADELA                  </t>
        </is>
      </c>
      <c r="C3246" t="inlineStr">
        <is>
          <t xml:space="preserve">GRUPO L.                      </t>
        </is>
      </c>
      <c r="D3246" t="inlineStr">
        <is>
          <t>PIMIENTA NEGRA</t>
        </is>
      </c>
      <c r="E3246" t="inlineStr">
        <is>
          <t xml:space="preserve">7793875316958       </t>
        </is>
      </c>
      <c r="F3246" t="n">
        <v>4023660</v>
      </c>
      <c r="G3246" t="inlineStr">
        <is>
          <t xml:space="preserve">PIMIENTA NEGRA MOLIDA X1KG ARO     </t>
        </is>
      </c>
      <c r="H3246" t="inlineStr">
        <is>
          <t xml:space="preserve">UNIDAD              </t>
        </is>
      </c>
      <c r="I3246" t="n">
        <v>2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2</v>
      </c>
      <c r="P3246" s="96">
        <f>_xlfn.XLOOKUP(Tabla5[[#This Row],[EAN CORREGIDO]],'Tabla Articulos'!B:B,'Tabla Articulos'!D:D)</f>
        <v/>
      </c>
      <c r="Q3246" s="96">
        <f>_xlfn.XLOOKUP(S3246,'Tabla Articulos'!B:B,'Tabla Articulos'!E:E)</f>
        <v/>
      </c>
      <c r="R3246" s="96">
        <f>O3246*Q3246</f>
        <v/>
      </c>
      <c r="S3246" s="97">
        <f>TRIM(E3246)</f>
        <v/>
      </c>
    </row>
    <row r="3247" hidden="1">
      <c r="A3247" s="22" t="n">
        <v>2</v>
      </c>
      <c r="B3247" t="inlineStr">
        <is>
          <t xml:space="preserve">CD CIUDADELA                  </t>
        </is>
      </c>
      <c r="C3247" t="inlineStr">
        <is>
          <t xml:space="preserve">GRUPO L.                      </t>
        </is>
      </c>
      <c r="D3247" t="inlineStr">
        <is>
          <t>FIDEOS GUISEROS</t>
        </is>
      </c>
      <c r="E3247" t="inlineStr">
        <is>
          <t xml:space="preserve">7790070336026       </t>
        </is>
      </c>
      <c r="F3247" t="n">
        <v>4019467</v>
      </c>
      <c r="G3247" t="inlineStr">
        <is>
          <t xml:space="preserve">FIDEOS GUIS TIRAB X500G LUCCHE     </t>
        </is>
      </c>
      <c r="H3247" t="inlineStr">
        <is>
          <t xml:space="preserve">UNIDAD              </t>
        </is>
      </c>
      <c r="I3247" t="n">
        <v>537</v>
      </c>
      <c r="J3247" t="n">
        <v>0</v>
      </c>
      <c r="K3247" t="n">
        <v>0</v>
      </c>
      <c r="L3247" t="n">
        <v>26</v>
      </c>
      <c r="M3247" t="n">
        <v>26</v>
      </c>
      <c r="N3247" t="n">
        <v>0</v>
      </c>
      <c r="O3247" t="n">
        <v>485</v>
      </c>
      <c r="P3247" s="96">
        <f>_xlfn.XLOOKUP(Tabla5[[#This Row],[EAN CORREGIDO]],'Tabla Articulos'!B:B,'Tabla Articulos'!D:D)</f>
        <v/>
      </c>
      <c r="Q3247" s="96">
        <f>_xlfn.XLOOKUP(S3247,'Tabla Articulos'!B:B,'Tabla Articulos'!E:E)</f>
        <v/>
      </c>
      <c r="R3247" s="96">
        <f>O3247*Q3247</f>
        <v/>
      </c>
      <c r="S3247" s="97">
        <f>TRIM(E3247)</f>
        <v/>
      </c>
    </row>
    <row r="3248" hidden="1">
      <c r="A3248" s="22" t="n">
        <v>2</v>
      </c>
      <c r="B3248" t="inlineStr">
        <is>
          <t xml:space="preserve">CD CIUDADELA                  </t>
        </is>
      </c>
      <c r="C3248" t="inlineStr">
        <is>
          <t xml:space="preserve">GRUPO L.                      </t>
        </is>
      </c>
      <c r="D3248" t="inlineStr">
        <is>
          <t>CARNE FETEADA</t>
        </is>
      </c>
      <c r="E3248" t="inlineStr">
        <is>
          <t xml:space="preserve">7790212030042       </t>
        </is>
      </c>
      <c r="F3248" t="n">
        <v>4017743</v>
      </c>
      <c r="G3248" t="inlineStr">
        <is>
          <t xml:space="preserve">CUADRADA FETEADA X KG              </t>
        </is>
      </c>
      <c r="H3248" t="inlineStr">
        <is>
          <t xml:space="preserve">Kgs                 </t>
        </is>
      </c>
      <c r="I3248" t="n">
        <v>776.116</v>
      </c>
      <c r="J3248" t="n">
        <v>0</v>
      </c>
      <c r="K3248" t="n">
        <v>0</v>
      </c>
      <c r="L3248" t="n">
        <v>7.52</v>
      </c>
      <c r="M3248" t="n">
        <v>7.52</v>
      </c>
      <c r="N3248" t="n">
        <v>0</v>
      </c>
      <c r="O3248" t="n">
        <v>761.076</v>
      </c>
      <c r="P3248" s="96">
        <f>_xlfn.XLOOKUP(Tabla5[[#This Row],[EAN CORREGIDO]],'Tabla Articulos'!B:B,'Tabla Articulos'!D:D)</f>
        <v/>
      </c>
      <c r="Q3248" s="96">
        <f>_xlfn.XLOOKUP(S3248,'Tabla Articulos'!B:B,'Tabla Articulos'!E:E)</f>
        <v/>
      </c>
      <c r="R3248" s="96">
        <f>O3248*Q3248</f>
        <v/>
      </c>
      <c r="S3248" s="97">
        <f>TRIM(E3248)</f>
        <v/>
      </c>
    </row>
    <row r="3249" hidden="1">
      <c r="A3249" s="22" t="n">
        <v>2</v>
      </c>
      <c r="B3249" t="inlineStr">
        <is>
          <t xml:space="preserve">CD CIUDADELA                  </t>
        </is>
      </c>
      <c r="C3249" t="inlineStr">
        <is>
          <t xml:space="preserve">GRUPO L.                      </t>
        </is>
      </c>
      <c r="D3249" t="inlineStr">
        <is>
          <t>POLLO T10</t>
        </is>
      </c>
      <c r="E3249" t="inlineStr">
        <is>
          <t xml:space="preserve">7790212030086       </t>
        </is>
      </c>
      <c r="F3249" t="n">
        <v>4017565</v>
      </c>
      <c r="G3249" t="inlineStr">
        <is>
          <t xml:space="preserve">POLLO T10 X UND                    </t>
        </is>
      </c>
      <c r="H3249" t="inlineStr">
        <is>
          <t xml:space="preserve">UNIDAD              </t>
        </is>
      </c>
      <c r="I3249" t="n">
        <v>636</v>
      </c>
      <c r="J3249" t="n">
        <v>0</v>
      </c>
      <c r="K3249" t="n">
        <v>0</v>
      </c>
      <c r="L3249" t="n">
        <v>150</v>
      </c>
      <c r="M3249" t="n">
        <v>150</v>
      </c>
      <c r="N3249" t="n">
        <v>0</v>
      </c>
      <c r="O3249" t="n">
        <v>336</v>
      </c>
      <c r="P3249" s="96">
        <f>_xlfn.XLOOKUP(Tabla5[[#This Row],[EAN CORREGIDO]],'Tabla Articulos'!B:B,'Tabla Articulos'!D:D)</f>
        <v/>
      </c>
      <c r="Q3249" s="96">
        <f>_xlfn.XLOOKUP(S3249,'Tabla Articulos'!B:B,'Tabla Articulos'!E:E)</f>
        <v/>
      </c>
      <c r="R3249" s="96">
        <f>O3249*Q3249</f>
        <v/>
      </c>
      <c r="S3249" s="97">
        <f>TRIM(E3249)</f>
        <v/>
      </c>
    </row>
    <row r="3250" hidden="1">
      <c r="A3250" s="22" t="n">
        <v>2</v>
      </c>
      <c r="B3250" t="inlineStr">
        <is>
          <t xml:space="preserve">CD CIUDADELA                  </t>
        </is>
      </c>
      <c r="C3250" t="inlineStr">
        <is>
          <t xml:space="preserve">GRUPO L.                      </t>
        </is>
      </c>
      <c r="D3250" t="inlineStr">
        <is>
          <t>TE SOBRE MANZ Y CANELA</t>
        </is>
      </c>
      <c r="E3250" t="inlineStr">
        <is>
          <t xml:space="preserve">7790150250426       </t>
        </is>
      </c>
      <c r="F3250" t="n">
        <v>4024640</v>
      </c>
      <c r="G3250" t="inlineStr">
        <is>
          <t xml:space="preserve">TE MANZ/CANELA X25U LA VIRGINIA    </t>
        </is>
      </c>
      <c r="H3250" t="inlineStr">
        <is>
          <t xml:space="preserve">UNIDAD              </t>
        </is>
      </c>
      <c r="I3250" t="n">
        <v>7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7</v>
      </c>
      <c r="P3250" s="96">
        <f>_xlfn.XLOOKUP(Tabla5[[#This Row],[EAN CORREGIDO]],'Tabla Articulos'!B:B,'Tabla Articulos'!D:D)</f>
        <v/>
      </c>
      <c r="Q3250" s="96">
        <f>_xlfn.XLOOKUP(S3250,'Tabla Articulos'!B:B,'Tabla Articulos'!E:E)</f>
        <v/>
      </c>
      <c r="R3250" s="96">
        <f>O3250*Q3250</f>
        <v/>
      </c>
      <c r="S3250" s="97">
        <f>TRIM(E3250)</f>
        <v/>
      </c>
    </row>
    <row r="3251" hidden="1">
      <c r="A3251" s="22" t="n">
        <v>2</v>
      </c>
      <c r="B3251" t="inlineStr">
        <is>
          <t xml:space="preserve">CD CIUDADELA                  </t>
        </is>
      </c>
      <c r="C3251" t="inlineStr">
        <is>
          <t xml:space="preserve">GRUPO L.                      </t>
        </is>
      </c>
      <c r="D3251" t="inlineStr">
        <is>
          <t>ACEITE OLIVA</t>
        </is>
      </c>
      <c r="E3251" t="inlineStr">
        <is>
          <t xml:space="preserve">7790070231833       </t>
        </is>
      </c>
      <c r="F3251" t="n">
        <v>4022358</v>
      </c>
      <c r="G3251" t="inlineStr">
        <is>
          <t xml:space="preserve">ACEITE DE OLIVA LIRA PET 500ML     </t>
        </is>
      </c>
      <c r="H3251" t="inlineStr">
        <is>
          <t xml:space="preserve">UNIDAD              </t>
        </is>
      </c>
      <c r="I3251" t="n">
        <v>46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46</v>
      </c>
      <c r="P3251" s="96">
        <f>_xlfn.XLOOKUP(Tabla5[[#This Row],[EAN CORREGIDO]],'Tabla Articulos'!B:B,'Tabla Articulos'!D:D)</f>
        <v/>
      </c>
      <c r="Q3251" s="96">
        <f>_xlfn.XLOOKUP(S3251,'Tabla Articulos'!B:B,'Tabla Articulos'!E:E)</f>
        <v/>
      </c>
      <c r="R3251" s="96">
        <f>O3251*Q3251</f>
        <v/>
      </c>
      <c r="S3251" s="97">
        <f>TRIM(E3251)</f>
        <v/>
      </c>
    </row>
    <row r="3252" hidden="1">
      <c r="A3252" s="22" t="n">
        <v>2</v>
      </c>
      <c r="B3252" t="inlineStr">
        <is>
          <t xml:space="preserve">CD CIUDADELA                  </t>
        </is>
      </c>
      <c r="C3252" t="inlineStr">
        <is>
          <t xml:space="preserve">GRUPO L.                      </t>
        </is>
      </c>
      <c r="D3252" t="inlineStr">
        <is>
          <t>CERDO DESHUESADO</t>
        </is>
      </c>
      <c r="E3252" t="inlineStr">
        <is>
          <t xml:space="preserve">7790000000598       </t>
        </is>
      </c>
      <c r="F3252" t="n">
        <v>4001105</v>
      </c>
      <c r="G3252" t="inlineStr">
        <is>
          <t xml:space="preserve">CARRE CERDO DESH CONG XKG          </t>
        </is>
      </c>
      <c r="H3252" t="inlineStr">
        <is>
          <t xml:space="preserve">Kgs                 </t>
        </is>
      </c>
      <c r="I3252" t="n">
        <v>332.64</v>
      </c>
      <c r="J3252" t="n">
        <v>0</v>
      </c>
      <c r="K3252" t="n">
        <v>0</v>
      </c>
      <c r="L3252" t="n">
        <v>98</v>
      </c>
      <c r="M3252" t="n">
        <v>98</v>
      </c>
      <c r="N3252" t="n">
        <v>0</v>
      </c>
      <c r="O3252" t="n">
        <v>136.64</v>
      </c>
      <c r="P3252" s="96">
        <f>_xlfn.XLOOKUP(Tabla5[[#This Row],[EAN CORREGIDO]],'Tabla Articulos'!B:B,'Tabla Articulos'!D:D)</f>
        <v/>
      </c>
      <c r="Q3252" s="96">
        <f>_xlfn.XLOOKUP(S3252,'Tabla Articulos'!B:B,'Tabla Articulos'!E:E)</f>
        <v/>
      </c>
      <c r="R3252" s="96">
        <f>O3252*Q3252</f>
        <v/>
      </c>
      <c r="S3252" s="97">
        <f>TRIM(E3252)</f>
        <v/>
      </c>
    </row>
    <row r="3253" hidden="1">
      <c r="A3253" s="22" t="n">
        <v>2</v>
      </c>
      <c r="B3253" t="inlineStr">
        <is>
          <t xml:space="preserve">CD CIUDADELA                  </t>
        </is>
      </c>
      <c r="C3253" t="inlineStr">
        <is>
          <t xml:space="preserve">GRUPO L.                      </t>
        </is>
      </c>
      <c r="D3253" t="inlineStr">
        <is>
          <t>CAFE MOLIDO</t>
        </is>
      </c>
      <c r="E3253" t="inlineStr">
        <is>
          <t xml:space="preserve">7792360002383       </t>
        </is>
      </c>
      <c r="F3253" t="n">
        <v>4024674</v>
      </c>
      <c r="G3253" t="inlineStr">
        <is>
          <t xml:space="preserve">CAFE BONAFIDE SUAVE                </t>
        </is>
      </c>
      <c r="H3253" t="inlineStr">
        <is>
          <t xml:space="preserve">UNIDAD              </t>
        </is>
      </c>
      <c r="I3253" t="n">
        <v>35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35</v>
      </c>
      <c r="P3253" s="96">
        <f>_xlfn.XLOOKUP(Tabla5[[#This Row],[EAN CORREGIDO]],'Tabla Articulos'!B:B,'Tabla Articulos'!D:D)</f>
        <v/>
      </c>
      <c r="Q3253" s="96">
        <f>_xlfn.XLOOKUP(S3253,'Tabla Articulos'!B:B,'Tabla Articulos'!E:E)</f>
        <v/>
      </c>
      <c r="R3253" s="96">
        <f>O3253*Q3253</f>
        <v/>
      </c>
      <c r="S3253" s="97">
        <f>TRIM(E3253)</f>
        <v/>
      </c>
    </row>
    <row r="3254" hidden="1">
      <c r="A3254" s="22" t="n">
        <v>2</v>
      </c>
      <c r="B3254" t="inlineStr">
        <is>
          <t xml:space="preserve">CD CIUDADELA                  </t>
        </is>
      </c>
      <c r="C3254" t="inlineStr">
        <is>
          <t xml:space="preserve">GRUPO L.                      </t>
        </is>
      </c>
      <c r="D3254" t="inlineStr">
        <is>
          <t>LECHE LV DESLACTOSADA</t>
        </is>
      </c>
      <c r="E3254" t="inlineStr">
        <is>
          <t xml:space="preserve">7790742333605       </t>
        </is>
      </c>
      <c r="F3254" t="n">
        <v>4018130</v>
      </c>
      <c r="G3254" t="inlineStr">
        <is>
          <t xml:space="preserve">LECHE DESLACTOSADA XLT SERENI      </t>
        </is>
      </c>
      <c r="H3254" t="inlineStr">
        <is>
          <t xml:space="preserve">UNIDAD              </t>
        </is>
      </c>
      <c r="I3254" t="n">
        <v>600</v>
      </c>
      <c r="J3254" t="n">
        <v>0</v>
      </c>
      <c r="K3254" t="n">
        <v>0</v>
      </c>
      <c r="L3254" t="n">
        <v>30</v>
      </c>
      <c r="M3254" t="n">
        <v>30</v>
      </c>
      <c r="N3254" t="n">
        <v>0</v>
      </c>
      <c r="O3254" t="n">
        <v>540</v>
      </c>
      <c r="P3254" s="96">
        <f>_xlfn.XLOOKUP(Tabla5[[#This Row],[EAN CORREGIDO]],'Tabla Articulos'!B:B,'Tabla Articulos'!D:D)</f>
        <v/>
      </c>
      <c r="Q3254" s="96">
        <f>_xlfn.XLOOKUP(S3254,'Tabla Articulos'!B:B,'Tabla Articulos'!E:E)</f>
        <v/>
      </c>
      <c r="R3254" s="96">
        <f>O3254*Q3254</f>
        <v/>
      </c>
      <c r="S3254" s="97">
        <f>TRIM(E3254)</f>
        <v/>
      </c>
    </row>
    <row r="3255" hidden="1">
      <c r="A3255" s="22" t="n">
        <v>2</v>
      </c>
      <c r="B3255" t="inlineStr">
        <is>
          <t xml:space="preserve">CD CIUDADELA                  </t>
        </is>
      </c>
      <c r="C3255" t="inlineStr">
        <is>
          <t xml:space="preserve">GRUPO L.                      </t>
        </is>
      </c>
      <c r="D3255" t="inlineStr">
        <is>
          <t>LECHE POLVO DESCREMADA</t>
        </is>
      </c>
      <c r="E3255" t="inlineStr">
        <is>
          <t xml:space="preserve">7790787201303       </t>
        </is>
      </c>
      <c r="F3255" t="n">
        <v>4023151</v>
      </c>
      <c r="G3255" t="inlineStr">
        <is>
          <t xml:space="preserve">LECHE POLVO DESC 800G ILOLAY       </t>
        </is>
      </c>
      <c r="H3255" t="inlineStr">
        <is>
          <t xml:space="preserve">UNIDAD              </t>
        </is>
      </c>
      <c r="I3255" t="n">
        <v>381</v>
      </c>
      <c r="J3255" t="n">
        <v>0</v>
      </c>
      <c r="K3255" t="n">
        <v>0</v>
      </c>
      <c r="L3255" t="n">
        <v>34</v>
      </c>
      <c r="M3255" t="n">
        <v>34</v>
      </c>
      <c r="N3255" t="n">
        <v>0</v>
      </c>
      <c r="O3255" t="n">
        <v>313</v>
      </c>
      <c r="P3255" s="96">
        <f>_xlfn.XLOOKUP(Tabla5[[#This Row],[EAN CORREGIDO]],'Tabla Articulos'!B:B,'Tabla Articulos'!D:D)</f>
        <v/>
      </c>
      <c r="Q3255" s="96">
        <f>_xlfn.XLOOKUP(S3255,'Tabla Articulos'!B:B,'Tabla Articulos'!E:E)</f>
        <v/>
      </c>
      <c r="R3255" s="96">
        <f>O3255*Q3255</f>
        <v/>
      </c>
      <c r="S3255" s="97">
        <f>TRIM(E3255)</f>
        <v/>
      </c>
    </row>
    <row r="3256" hidden="1">
      <c r="A3256" s="22" t="n">
        <v>2</v>
      </c>
      <c r="B3256" t="inlineStr">
        <is>
          <t xml:space="preserve">CD CIUDADELA                  </t>
        </is>
      </c>
      <c r="C3256" t="inlineStr">
        <is>
          <t xml:space="preserve">GRUPO L.                      </t>
        </is>
      </c>
      <c r="D3256" t="inlineStr">
        <is>
          <t>HUEVO EN POLVO</t>
        </is>
      </c>
      <c r="E3256" t="inlineStr">
        <is>
          <t xml:space="preserve">1234567890          </t>
        </is>
      </c>
      <c r="F3256" t="n">
        <v>4019283</v>
      </c>
      <c r="G3256" t="inlineStr">
        <is>
          <t xml:space="preserve">HUEVO EN POLVO X 3K                </t>
        </is>
      </c>
      <c r="H3256" t="inlineStr">
        <is>
          <t xml:space="preserve">UNIDAD              </t>
        </is>
      </c>
      <c r="I3256" t="n">
        <v>13</v>
      </c>
      <c r="J3256" t="n">
        <v>0</v>
      </c>
      <c r="K3256" t="n">
        <v>0</v>
      </c>
      <c r="L3256" t="n">
        <v>2</v>
      </c>
      <c r="M3256" t="n">
        <v>2</v>
      </c>
      <c r="N3256" t="n">
        <v>0</v>
      </c>
      <c r="O3256" t="n">
        <v>9</v>
      </c>
      <c r="P3256" s="96">
        <f>_xlfn.XLOOKUP(Tabla5[[#This Row],[EAN CORREGIDO]],'Tabla Articulos'!B:B,'Tabla Articulos'!D:D)</f>
        <v/>
      </c>
      <c r="Q3256" s="96">
        <f>_xlfn.XLOOKUP(S3256,'Tabla Articulos'!B:B,'Tabla Articulos'!E:E)</f>
        <v/>
      </c>
      <c r="R3256" s="96">
        <f>O3256*Q3256</f>
        <v/>
      </c>
      <c r="S3256" s="97">
        <f>TRIM(E3256)</f>
        <v/>
      </c>
    </row>
    <row r="3257" hidden="1">
      <c r="A3257" s="22" t="n">
        <v>2</v>
      </c>
      <c r="B3257" t="inlineStr">
        <is>
          <t xml:space="preserve">CD CIUDADELA                  </t>
        </is>
      </c>
      <c r="C3257" t="inlineStr">
        <is>
          <t xml:space="preserve">GRUPO L.                      </t>
        </is>
      </c>
      <c r="D3257" t="inlineStr">
        <is>
          <t>CACAO</t>
        </is>
      </c>
      <c r="E3257" t="inlineStr">
        <is>
          <t xml:space="preserve">7790530085303       </t>
        </is>
      </c>
      <c r="F3257" t="n">
        <v>4019384</v>
      </c>
      <c r="G3257" t="inlineStr">
        <is>
          <t xml:space="preserve">CACAO X 180 GRS BEDIAL             </t>
        </is>
      </c>
      <c r="H3257" t="inlineStr">
        <is>
          <t xml:space="preserve">UNIDAD              </t>
        </is>
      </c>
      <c r="I3257" t="n">
        <v>14532</v>
      </c>
      <c r="J3257" t="n">
        <v>0</v>
      </c>
      <c r="K3257" t="n">
        <v>0</v>
      </c>
      <c r="L3257" t="n">
        <v>2757</v>
      </c>
      <c r="M3257" t="n">
        <v>2757</v>
      </c>
      <c r="N3257" t="n">
        <v>0</v>
      </c>
      <c r="O3257" t="n">
        <v>9018</v>
      </c>
      <c r="P3257" s="96">
        <f>_xlfn.XLOOKUP(Tabla5[[#This Row],[EAN CORREGIDO]],'Tabla Articulos'!B:B,'Tabla Articulos'!D:D)</f>
        <v/>
      </c>
      <c r="Q3257" s="96">
        <f>_xlfn.XLOOKUP(S3257,'Tabla Articulos'!B:B,'Tabla Articulos'!E:E)</f>
        <v/>
      </c>
      <c r="R3257" s="96">
        <f>O3257*Q3257</f>
        <v/>
      </c>
      <c r="S3257" s="97">
        <f>TRIM(E3257)</f>
        <v/>
      </c>
    </row>
    <row r="3258" hidden="1">
      <c r="A3258" s="22" t="n">
        <v>2</v>
      </c>
      <c r="B3258" t="inlineStr">
        <is>
          <t xml:space="preserve">CD CIUDADELA                  </t>
        </is>
      </c>
      <c r="C3258" t="inlineStr">
        <is>
          <t xml:space="preserve">GRUPO L.                      </t>
        </is>
      </c>
      <c r="D3258" t="inlineStr">
        <is>
          <t>GELATINA DURAZNO</t>
        </is>
      </c>
      <c r="E3258" t="inlineStr">
        <is>
          <t xml:space="preserve">7790530850208       </t>
        </is>
      </c>
      <c r="F3258" t="n">
        <v>4019578</v>
      </c>
      <c r="G3258" t="inlineStr">
        <is>
          <t xml:space="preserve">GELATINA DURAZNO X1KG BEDIAL       </t>
        </is>
      </c>
      <c r="H3258" t="inlineStr">
        <is>
          <t xml:space="preserve">BULTOS              </t>
        </is>
      </c>
      <c r="I3258" t="n">
        <v>49</v>
      </c>
      <c r="J3258" t="n">
        <v>0</v>
      </c>
      <c r="K3258" t="n">
        <v>0</v>
      </c>
      <c r="L3258" t="n">
        <v>8</v>
      </c>
      <c r="M3258" t="n">
        <v>8</v>
      </c>
      <c r="N3258" t="n">
        <v>0</v>
      </c>
      <c r="O3258" t="n">
        <v>33</v>
      </c>
      <c r="P3258" s="96">
        <f>_xlfn.XLOOKUP(Tabla5[[#This Row],[EAN CORREGIDO]],'Tabla Articulos'!B:B,'Tabla Articulos'!D:D)</f>
        <v/>
      </c>
      <c r="Q3258" s="96">
        <f>_xlfn.XLOOKUP(S3258,'Tabla Articulos'!B:B,'Tabla Articulos'!E:E)</f>
        <v/>
      </c>
      <c r="R3258" s="96">
        <f>O3258*Q3258</f>
        <v/>
      </c>
      <c r="S3258" s="97">
        <f>TRIM(E3258)</f>
        <v/>
      </c>
    </row>
    <row r="3259" hidden="1">
      <c r="A3259" s="22" t="n">
        <v>2</v>
      </c>
      <c r="B3259" t="inlineStr">
        <is>
          <t xml:space="preserve">CD CIUDADELA                  </t>
        </is>
      </c>
      <c r="C3259" t="inlineStr">
        <is>
          <t xml:space="preserve">GRUPO L.                      </t>
        </is>
      </c>
      <c r="D3259" t="inlineStr">
        <is>
          <t>MEDIALUNA MANT CONGELADA</t>
        </is>
      </c>
      <c r="E3259" t="inlineStr">
        <is>
          <t xml:space="preserve">7799132966523       </t>
        </is>
      </c>
      <c r="F3259" t="n">
        <v>4018455</v>
      </c>
      <c r="G3259" t="inlineStr">
        <is>
          <t xml:space="preserve">MEDIALU MANT X50G X125U SELYGEL    </t>
        </is>
      </c>
      <c r="H3259" t="inlineStr">
        <is>
          <t xml:space="preserve">UNIDAD              </t>
        </is>
      </c>
      <c r="I3259" t="n">
        <v>2</v>
      </c>
      <c r="J3259" t="n">
        <v>0</v>
      </c>
      <c r="K3259" t="n">
        <v>0</v>
      </c>
      <c r="L3259" t="n">
        <v>0</v>
      </c>
      <c r="M3259" t="n">
        <v>0</v>
      </c>
      <c r="N3259" t="n">
        <v>40</v>
      </c>
      <c r="O3259" t="n">
        <v>-38</v>
      </c>
      <c r="P3259" s="96">
        <f>_xlfn.XLOOKUP(Tabla5[[#This Row],[EAN CORREGIDO]],'Tabla Articulos'!B:B,'Tabla Articulos'!D:D)</f>
        <v/>
      </c>
      <c r="Q3259" s="96">
        <f>_xlfn.XLOOKUP(S3259,'Tabla Articulos'!B:B,'Tabla Articulos'!E:E)</f>
        <v/>
      </c>
      <c r="R3259" s="96">
        <f>O3259*Q3259</f>
        <v/>
      </c>
      <c r="S3259" s="97">
        <f>TRIM(E3259)</f>
        <v/>
      </c>
    </row>
    <row r="3260" hidden="1">
      <c r="A3260" s="22" t="n">
        <v>2</v>
      </c>
      <c r="B3260" t="inlineStr">
        <is>
          <t xml:space="preserve">CD CIUDADELA                  </t>
        </is>
      </c>
      <c r="C3260" t="inlineStr">
        <is>
          <t xml:space="preserve">GRUPO L.                      </t>
        </is>
      </c>
      <c r="D3260" t="inlineStr">
        <is>
          <t>YOGUR ENTERO VAINILLA</t>
        </is>
      </c>
      <c r="E3260" t="inlineStr">
        <is>
          <t xml:space="preserve">7794820902257       </t>
        </is>
      </c>
      <c r="F3260" t="n">
        <v>4018195</v>
      </c>
      <c r="G3260" t="inlineStr">
        <is>
          <t xml:space="preserve">YOGUR ENT VAINILLA X900G MILKAUT   </t>
        </is>
      </c>
      <c r="H3260" t="inlineStr">
        <is>
          <t xml:space="preserve">UNIDAD              </t>
        </is>
      </c>
      <c r="I3260" t="n">
        <v>17368</v>
      </c>
      <c r="J3260" t="n">
        <v>0</v>
      </c>
      <c r="K3260" t="n">
        <v>0</v>
      </c>
      <c r="L3260" t="n">
        <v>50</v>
      </c>
      <c r="M3260" t="n">
        <v>50</v>
      </c>
      <c r="N3260" t="n">
        <v>0</v>
      </c>
      <c r="O3260" t="n">
        <v>17268</v>
      </c>
      <c r="P3260" s="96">
        <f>_xlfn.XLOOKUP(Tabla5[[#This Row],[EAN CORREGIDO]],'Tabla Articulos'!B:B,'Tabla Articulos'!D:D)</f>
        <v/>
      </c>
      <c r="Q3260" s="96">
        <f>_xlfn.XLOOKUP(S3260,'Tabla Articulos'!B:B,'Tabla Articulos'!E:E)</f>
        <v/>
      </c>
      <c r="R3260" s="96">
        <f>O3260*Q3260</f>
        <v/>
      </c>
      <c r="S3260" s="97">
        <f>TRIM(E3260)</f>
        <v/>
      </c>
    </row>
    <row r="3261" hidden="1">
      <c r="A3261" s="22" t="n">
        <v>2</v>
      </c>
      <c r="B3261" t="inlineStr">
        <is>
          <t xml:space="preserve">CD CIUDADELA                  </t>
        </is>
      </c>
      <c r="C3261" t="inlineStr">
        <is>
          <t xml:space="preserve">GRUPO L.                      </t>
        </is>
      </c>
      <c r="D3261" t="inlineStr">
        <is>
          <t>QUESO FINLANDIA</t>
        </is>
      </c>
      <c r="E3261" t="inlineStr">
        <is>
          <t xml:space="preserve">7790742374004       </t>
        </is>
      </c>
      <c r="F3261" t="n">
        <v>4018250</v>
      </c>
      <c r="G3261" t="inlineStr">
        <is>
          <t xml:space="preserve">QUESO FINLANDIA X2KG	              </t>
        </is>
      </c>
      <c r="H3261" t="inlineStr">
        <is>
          <t xml:space="preserve">UNIDAD              </t>
        </is>
      </c>
      <c r="I3261" t="n">
        <v>15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15</v>
      </c>
      <c r="P3261" s="96">
        <f>_xlfn.XLOOKUP(Tabla5[[#This Row],[EAN CORREGIDO]],'Tabla Articulos'!B:B,'Tabla Articulos'!D:D)</f>
        <v/>
      </c>
      <c r="Q3261" s="96">
        <f>_xlfn.XLOOKUP(S3261,'Tabla Articulos'!B:B,'Tabla Articulos'!E:E)</f>
        <v/>
      </c>
      <c r="R3261" s="96">
        <f>O3261*Q3261</f>
        <v/>
      </c>
      <c r="S3261" s="97">
        <f>TRIM(E3261)</f>
        <v/>
      </c>
    </row>
    <row r="3262" hidden="1">
      <c r="A3262" s="22" t="n">
        <v>2</v>
      </c>
      <c r="B3262" t="inlineStr">
        <is>
          <t xml:space="preserve">CD CIUDADELA                  </t>
        </is>
      </c>
      <c r="C3262" t="inlineStr">
        <is>
          <t xml:space="preserve">GRUPO L.                      </t>
        </is>
      </c>
      <c r="D3262" t="inlineStr">
        <is>
          <t>GUISO LENTEJAS</t>
        </is>
      </c>
      <c r="E3262" t="inlineStr">
        <is>
          <t xml:space="preserve">7798156760987       </t>
        </is>
      </c>
      <c r="F3262" t="n">
        <v>4020532</v>
      </c>
      <c r="G3262" t="inlineStr">
        <is>
          <t>GUISO LENTEJAS X500GR SABORES DEL V</t>
        </is>
      </c>
      <c r="H3262" t="inlineStr">
        <is>
          <t xml:space="preserve">UNIDAD              </t>
        </is>
      </c>
      <c r="I3262" t="n">
        <v>38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38</v>
      </c>
      <c r="P3262" s="96">
        <f>_xlfn.XLOOKUP(Tabla5[[#This Row],[EAN CORREGIDO]],'Tabla Articulos'!B:B,'Tabla Articulos'!D:D)</f>
        <v/>
      </c>
      <c r="Q3262" s="96">
        <f>_xlfn.XLOOKUP(S3262,'Tabla Articulos'!B:B,'Tabla Articulos'!E:E)</f>
        <v/>
      </c>
      <c r="R3262" s="96">
        <f>O3262*Q3262</f>
        <v/>
      </c>
      <c r="S3262" s="97">
        <f>TRIM(E3262)</f>
        <v/>
      </c>
    </row>
    <row r="3263" hidden="1">
      <c r="A3263" s="22" t="n">
        <v>2</v>
      </c>
      <c r="B3263" t="inlineStr">
        <is>
          <t xml:space="preserve">CD CIUDADELA                  </t>
        </is>
      </c>
      <c r="C3263" t="inlineStr">
        <is>
          <t xml:space="preserve">GRUPO L.                      </t>
        </is>
      </c>
      <c r="D3263" t="inlineStr">
        <is>
          <t>ACEITE GIRASOL</t>
        </is>
      </c>
      <c r="E3263" t="inlineStr">
        <is>
          <t xml:space="preserve">7798366740298       </t>
        </is>
      </c>
      <c r="F3263" t="n">
        <v>4020598</v>
      </c>
      <c r="G3263" t="inlineStr">
        <is>
          <t xml:space="preserve">ACEITE GIR STACC X900CC LA MANCE   </t>
        </is>
      </c>
      <c r="H3263" t="inlineStr">
        <is>
          <t xml:space="preserve">UNIDAD              </t>
        </is>
      </c>
      <c r="I3263" t="n">
        <v>1314</v>
      </c>
      <c r="J3263" t="n">
        <v>0</v>
      </c>
      <c r="K3263" t="n">
        <v>0</v>
      </c>
      <c r="L3263" t="n">
        <v>516</v>
      </c>
      <c r="M3263" t="n">
        <v>516</v>
      </c>
      <c r="N3263" t="n">
        <v>0</v>
      </c>
      <c r="O3263" t="n">
        <v>282</v>
      </c>
      <c r="P3263" s="96">
        <f>_xlfn.XLOOKUP(Tabla5[[#This Row],[EAN CORREGIDO]],'Tabla Articulos'!B:B,'Tabla Articulos'!D:D)</f>
        <v/>
      </c>
      <c r="Q3263" s="96">
        <f>_xlfn.XLOOKUP(S3263,'Tabla Articulos'!B:B,'Tabla Articulos'!E:E)</f>
        <v/>
      </c>
      <c r="R3263" s="96">
        <f>O3263*Q3263</f>
        <v/>
      </c>
      <c r="S3263" s="97">
        <f>TRIM(E3263)</f>
        <v/>
      </c>
    </row>
    <row r="3264" hidden="1">
      <c r="A3264" s="22" t="n">
        <v>2</v>
      </c>
      <c r="B3264" t="inlineStr">
        <is>
          <t xml:space="preserve">CD CIUDADELA                  </t>
        </is>
      </c>
      <c r="C3264" t="inlineStr">
        <is>
          <t xml:space="preserve">GRUPO L.                      </t>
        </is>
      </c>
      <c r="D3264" t="inlineStr">
        <is>
          <t>TOSTADA ARROZ IND S/S</t>
        </is>
      </c>
      <c r="E3264" t="inlineStr">
        <is>
          <t xml:space="preserve">7790412000417       </t>
        </is>
      </c>
      <c r="F3264" t="n">
        <v>4018836</v>
      </c>
      <c r="G3264" t="inlineStr">
        <is>
          <t xml:space="preserve">TOSTADA ARROZ S/SAL X17G LEIVA     </t>
        </is>
      </c>
      <c r="H3264" t="inlineStr">
        <is>
          <t xml:space="preserve">UNIDAD              </t>
        </is>
      </c>
      <c r="I3264" t="n">
        <v>15976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15976</v>
      </c>
      <c r="P3264" s="96">
        <f>_xlfn.XLOOKUP(Tabla5[[#This Row],[EAN CORREGIDO]],'Tabla Articulos'!B:B,'Tabla Articulos'!D:D)</f>
        <v/>
      </c>
      <c r="Q3264" s="96">
        <f>_xlfn.XLOOKUP(S3264,'Tabla Articulos'!B:B,'Tabla Articulos'!E:E)</f>
        <v/>
      </c>
      <c r="R3264" s="96">
        <f>O3264*Q3264</f>
        <v/>
      </c>
      <c r="S3264" s="97">
        <f>TRIM(E3264)</f>
        <v/>
      </c>
    </row>
    <row r="3265" hidden="1">
      <c r="A3265" s="22" t="n">
        <v>2</v>
      </c>
      <c r="B3265" t="inlineStr">
        <is>
          <t xml:space="preserve">CD CIUDADELA                  </t>
        </is>
      </c>
      <c r="C3265" t="inlineStr">
        <is>
          <t xml:space="preserve">GRUPO L.                      </t>
        </is>
      </c>
      <c r="D3265" t="inlineStr">
        <is>
          <t>JUGO INDIVIDUAL MULTIFRUTA</t>
        </is>
      </c>
      <c r="E3265" t="inlineStr">
        <is>
          <t xml:space="preserve">7790895000737       </t>
        </is>
      </c>
      <c r="F3265" t="n">
        <v>4017344</v>
      </c>
      <c r="G3265" t="inlineStr">
        <is>
          <t xml:space="preserve">JUGO MULTIFRUTAS X200 CC CEPITA    </t>
        </is>
      </c>
      <c r="H3265" t="inlineStr">
        <is>
          <t xml:space="preserve">UNIDAD              </t>
        </is>
      </c>
      <c r="I3265" t="n">
        <v>198</v>
      </c>
      <c r="J3265" t="n">
        <v>0</v>
      </c>
      <c r="K3265" t="n">
        <v>0</v>
      </c>
      <c r="L3265" t="n">
        <v>24</v>
      </c>
      <c r="M3265" t="n">
        <v>24</v>
      </c>
      <c r="N3265" t="n">
        <v>0</v>
      </c>
      <c r="O3265" t="n">
        <v>150</v>
      </c>
      <c r="P3265" s="96">
        <f>_xlfn.XLOOKUP(Tabla5[[#This Row],[EAN CORREGIDO]],'Tabla Articulos'!B:B,'Tabla Articulos'!D:D)</f>
        <v/>
      </c>
      <c r="Q3265" s="96">
        <f>_xlfn.XLOOKUP(S3265,'Tabla Articulos'!B:B,'Tabla Articulos'!E:E)</f>
        <v/>
      </c>
      <c r="R3265" s="96">
        <f>O3265*Q3265</f>
        <v/>
      </c>
      <c r="S3265" s="97">
        <f>TRIM(E3265)</f>
        <v/>
      </c>
    </row>
    <row r="3266" hidden="1">
      <c r="A3266" s="22" t="n">
        <v>2</v>
      </c>
      <c r="B3266" t="inlineStr">
        <is>
          <t xml:space="preserve">CD CIUDADELA                  </t>
        </is>
      </c>
      <c r="C3266" t="inlineStr">
        <is>
          <t xml:space="preserve">GRUPO L.                      </t>
        </is>
      </c>
      <c r="D3266" t="inlineStr">
        <is>
          <t>PEPINOS EN VINAGRE</t>
        </is>
      </c>
      <c r="E3266" t="inlineStr">
        <is>
          <t xml:space="preserve">7793275016069       </t>
        </is>
      </c>
      <c r="F3266" t="n">
        <v>4076729</v>
      </c>
      <c r="G3266" t="inlineStr">
        <is>
          <t xml:space="preserve">PEPINILLOS VINAGRE 3KG REYG        </t>
        </is>
      </c>
      <c r="H3266" t="inlineStr">
        <is>
          <t xml:space="preserve">UNIDAD              </t>
        </is>
      </c>
      <c r="I3266" t="n">
        <v>11</v>
      </c>
      <c r="J3266" t="n">
        <v>0</v>
      </c>
      <c r="K3266" t="n">
        <v>0</v>
      </c>
      <c r="L3266" t="n">
        <v>1</v>
      </c>
      <c r="M3266" t="n">
        <v>1</v>
      </c>
      <c r="N3266" t="n">
        <v>0</v>
      </c>
      <c r="O3266" t="n">
        <v>9</v>
      </c>
      <c r="P3266" s="96">
        <f>_xlfn.XLOOKUP(Tabla5[[#This Row],[EAN CORREGIDO]],'Tabla Articulos'!B:B,'Tabla Articulos'!D:D)</f>
        <v/>
      </c>
      <c r="Q3266" s="96">
        <f>_xlfn.XLOOKUP(S3266,'Tabla Articulos'!B:B,'Tabla Articulos'!E:E)</f>
        <v/>
      </c>
      <c r="R3266" s="96">
        <f>O3266*Q3266</f>
        <v/>
      </c>
      <c r="S3266" s="97">
        <f>TRIM(E3266)</f>
        <v/>
      </c>
    </row>
    <row r="3267" hidden="1">
      <c r="A3267" s="22" t="n">
        <v>2</v>
      </c>
      <c r="B3267" t="inlineStr">
        <is>
          <t xml:space="preserve">CD CIUDADELA                  </t>
        </is>
      </c>
      <c r="C3267" t="inlineStr">
        <is>
          <t xml:space="preserve">GRUPO L.                      </t>
        </is>
      </c>
      <c r="D3267" t="inlineStr">
        <is>
          <t>PIMENTON</t>
        </is>
      </c>
      <c r="E3267" t="inlineStr">
        <is>
          <t xml:space="preserve">7793875360098       </t>
        </is>
      </c>
      <c r="F3267" t="n">
        <v>4020246</v>
      </c>
      <c r="G3267" t="inlineStr">
        <is>
          <t xml:space="preserve">PIMENTON EXTRA X 25 G AROMAS Y     </t>
        </is>
      </c>
      <c r="H3267" t="inlineStr">
        <is>
          <t xml:space="preserve">UNIDAD              </t>
        </is>
      </c>
      <c r="I3267" t="n">
        <v>5789</v>
      </c>
      <c r="J3267" t="n">
        <v>0</v>
      </c>
      <c r="K3267" t="n">
        <v>0</v>
      </c>
      <c r="L3267" t="n">
        <v>12</v>
      </c>
      <c r="M3267" t="n">
        <v>12</v>
      </c>
      <c r="N3267" t="n">
        <v>0</v>
      </c>
      <c r="O3267" t="n">
        <v>5765</v>
      </c>
      <c r="P3267" s="96">
        <f>_xlfn.XLOOKUP(Tabla5[[#This Row],[EAN CORREGIDO]],'Tabla Articulos'!B:B,'Tabla Articulos'!D:D)</f>
        <v/>
      </c>
      <c r="Q3267" s="96">
        <f>_xlfn.XLOOKUP(S3267,'Tabla Articulos'!B:B,'Tabla Articulos'!E:E)</f>
        <v/>
      </c>
      <c r="R3267" s="96">
        <f>O3267*Q3267</f>
        <v/>
      </c>
      <c r="S3267" s="97">
        <f>TRIM(E3267)</f>
        <v/>
      </c>
    </row>
    <row r="3268" hidden="1">
      <c r="A3268" s="22" t="n">
        <v>2</v>
      </c>
      <c r="B3268" t="inlineStr">
        <is>
          <t xml:space="preserve">CD CIUDADELA                  </t>
        </is>
      </c>
      <c r="C3268" t="inlineStr">
        <is>
          <t xml:space="preserve">GRUPO L.                      </t>
        </is>
      </c>
      <c r="D3268" t="inlineStr">
        <is>
          <t>CHORIZOS</t>
        </is>
      </c>
      <c r="E3268" t="inlineStr">
        <is>
          <t xml:space="preserve">7790212031209       </t>
        </is>
      </c>
      <c r="F3268" t="n">
        <v>4017736</v>
      </c>
      <c r="G3268" t="inlineStr">
        <is>
          <t xml:space="preserve">CHORIZO COLORADO X KG              </t>
        </is>
      </c>
      <c r="H3268" t="inlineStr">
        <is>
          <t xml:space="preserve">Kgs                 </t>
        </is>
      </c>
      <c r="I3268" t="n">
        <v>32.2</v>
      </c>
      <c r="J3268" t="n">
        <v>0</v>
      </c>
      <c r="K3268" t="n">
        <v>0</v>
      </c>
      <c r="L3268" t="n">
        <v>8.6</v>
      </c>
      <c r="M3268" t="n">
        <v>8.6</v>
      </c>
      <c r="N3268" t="n">
        <v>0</v>
      </c>
      <c r="O3268" t="n">
        <v>15</v>
      </c>
      <c r="P3268" s="96">
        <f>_xlfn.XLOOKUP(Tabla5[[#This Row],[EAN CORREGIDO]],'Tabla Articulos'!B:B,'Tabla Articulos'!D:D)</f>
        <v/>
      </c>
      <c r="Q3268" s="96">
        <f>_xlfn.XLOOKUP(S3268,'Tabla Articulos'!B:B,'Tabla Articulos'!E:E)</f>
        <v/>
      </c>
      <c r="R3268" s="96">
        <f>O3268*Q3268</f>
        <v/>
      </c>
      <c r="S3268" s="97">
        <f>TRIM(E3268)</f>
        <v/>
      </c>
    </row>
    <row r="3269" hidden="1">
      <c r="A3269" s="22" t="n">
        <v>2</v>
      </c>
      <c r="B3269" t="inlineStr">
        <is>
          <t xml:space="preserve">CD CIUDADELA                  </t>
        </is>
      </c>
      <c r="C3269" t="inlineStr">
        <is>
          <t xml:space="preserve">GRUPO L.                      </t>
        </is>
      </c>
      <c r="D3269" t="inlineStr">
        <is>
          <t>AGUA SAB MANZANA IND LIGHT</t>
        </is>
      </c>
      <c r="E3269" t="inlineStr">
        <is>
          <t xml:space="preserve">7791813402039       </t>
        </is>
      </c>
      <c r="F3269" t="n">
        <v>4022156</v>
      </c>
      <c r="G3269" t="inlineStr">
        <is>
          <t xml:space="preserve">AGUA SAB S/G MANZANELL H20H STIL   </t>
        </is>
      </c>
      <c r="H3269" t="inlineStr">
        <is>
          <t xml:space="preserve">UNIDAD              </t>
        </is>
      </c>
      <c r="I3269" t="n">
        <v>449</v>
      </c>
      <c r="J3269" t="n">
        <v>0</v>
      </c>
      <c r="K3269" t="n">
        <v>0</v>
      </c>
      <c r="L3269" t="n">
        <v>77</v>
      </c>
      <c r="M3269" t="n">
        <v>77</v>
      </c>
      <c r="N3269" t="n">
        <v>0</v>
      </c>
      <c r="O3269" t="n">
        <v>295</v>
      </c>
      <c r="P3269" s="96">
        <f>_xlfn.XLOOKUP(Tabla5[[#This Row],[EAN CORREGIDO]],'Tabla Articulos'!B:B,'Tabla Articulos'!D:D)</f>
        <v/>
      </c>
      <c r="Q3269" s="96">
        <f>_xlfn.XLOOKUP(S3269,'Tabla Articulos'!B:B,'Tabla Articulos'!E:E)</f>
        <v/>
      </c>
      <c r="R3269" s="96">
        <f>O3269*Q3269</f>
        <v/>
      </c>
      <c r="S3269" s="97">
        <f>TRIM(E3269)</f>
        <v/>
      </c>
    </row>
    <row r="3270" hidden="1">
      <c r="A3270" s="22" t="n">
        <v>2</v>
      </c>
      <c r="B3270" t="inlineStr">
        <is>
          <t xml:space="preserve">CD CIUDADELA                  </t>
        </is>
      </c>
      <c r="C3270" t="inlineStr">
        <is>
          <t xml:space="preserve">GRUPO L.                      </t>
        </is>
      </c>
      <c r="D3270" t="inlineStr">
        <is>
          <t>HUEVO</t>
        </is>
      </c>
      <c r="E3270" t="inlineStr">
        <is>
          <t xml:space="preserve">7798158930136       </t>
        </is>
      </c>
      <c r="F3270" t="n">
        <v/>
      </c>
      <c r="G3270" t="inlineStr">
        <is>
          <t xml:space="preserve">HUEVO XU GRADO A MIN 50G MG        </t>
        </is>
      </c>
      <c r="H3270" t="inlineStr">
        <is>
          <t xml:space="preserve">UNIDAD              </t>
        </is>
      </c>
      <c r="I3270" t="n">
        <v>10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10</v>
      </c>
      <c r="P3270" s="96">
        <f>_xlfn.XLOOKUP(Tabla5[[#This Row],[EAN CORREGIDO]],'Tabla Articulos'!B:B,'Tabla Articulos'!D:D)</f>
        <v/>
      </c>
      <c r="Q3270" s="96">
        <f>_xlfn.XLOOKUP(S3270,'Tabla Articulos'!B:B,'Tabla Articulos'!E:E)</f>
        <v/>
      </c>
      <c r="R3270" s="96">
        <f>O3270*Q3270</f>
        <v/>
      </c>
      <c r="S3270" s="97">
        <f>TRIM(E3270)</f>
        <v/>
      </c>
    </row>
    <row r="3271" hidden="1">
      <c r="A3271" s="22" t="n">
        <v>2</v>
      </c>
      <c r="B3271" t="inlineStr">
        <is>
          <t xml:space="preserve">CD CIUDADELA                  </t>
        </is>
      </c>
      <c r="C3271" t="inlineStr">
        <is>
          <t xml:space="preserve">GRUPO L.                      </t>
        </is>
      </c>
      <c r="D3271" t="inlineStr">
        <is>
          <t>KETCHUP</t>
        </is>
      </c>
      <c r="E3271" t="inlineStr">
        <is>
          <t xml:space="preserve">7794000006324       </t>
        </is>
      </c>
      <c r="F3271" t="n">
        <v>4020193</v>
      </c>
      <c r="G3271" t="inlineStr">
        <is>
          <t xml:space="preserve">KETCHUP X 3K HELLMAN´S             </t>
        </is>
      </c>
      <c r="H3271" t="inlineStr">
        <is>
          <t xml:space="preserve">UNIDAD              </t>
        </is>
      </c>
      <c r="I3271" t="n">
        <v>50</v>
      </c>
      <c r="J3271" t="n">
        <v>0</v>
      </c>
      <c r="K3271" t="n">
        <v>0</v>
      </c>
      <c r="L3271" t="n">
        <v>3</v>
      </c>
      <c r="M3271" t="n">
        <v>3</v>
      </c>
      <c r="N3271" t="n">
        <v>0</v>
      </c>
      <c r="O3271" t="n">
        <v>44</v>
      </c>
      <c r="P3271" s="96">
        <f>_xlfn.XLOOKUP(Tabla5[[#This Row],[EAN CORREGIDO]],'Tabla Articulos'!B:B,'Tabla Articulos'!D:D)</f>
        <v/>
      </c>
      <c r="Q3271" s="96">
        <f>_xlfn.XLOOKUP(S3271,'Tabla Articulos'!B:B,'Tabla Articulos'!E:E)</f>
        <v/>
      </c>
      <c r="R3271" s="96">
        <f>O3271*Q3271</f>
        <v/>
      </c>
      <c r="S3271" s="97">
        <f>TRIM(E3271)</f>
        <v/>
      </c>
    </row>
    <row r="3272" hidden="1">
      <c r="A3272" s="22" t="n">
        <v>2</v>
      </c>
      <c r="B3272" t="inlineStr">
        <is>
          <t xml:space="preserve">CD CIUDADELA                  </t>
        </is>
      </c>
      <c r="C3272" t="inlineStr">
        <is>
          <t xml:space="preserve">GRUPO L.                      </t>
        </is>
      </c>
      <c r="D3272" t="inlineStr">
        <is>
          <t>GASEOSA COLA LIGHT</t>
        </is>
      </c>
      <c r="E3272" t="inlineStr">
        <is>
          <t xml:space="preserve">7790895012259       </t>
        </is>
      </c>
      <c r="F3272" t="n">
        <v>4017440</v>
      </c>
      <c r="G3272" t="inlineStr">
        <is>
          <t xml:space="preserve">GAS COCA COLA ZERO X1.75L	         </t>
        </is>
      </c>
      <c r="H3272" t="inlineStr">
        <is>
          <t xml:space="preserve">UNIDAD              </t>
        </is>
      </c>
      <c r="I3272" t="n">
        <v>536</v>
      </c>
      <c r="J3272" t="n">
        <v>0</v>
      </c>
      <c r="K3272" t="n">
        <v>0</v>
      </c>
      <c r="L3272" t="n">
        <v>64</v>
      </c>
      <c r="M3272" t="n">
        <v>64</v>
      </c>
      <c r="N3272" t="n">
        <v>0</v>
      </c>
      <c r="O3272" t="n">
        <v>408</v>
      </c>
      <c r="P3272" s="96">
        <f>_xlfn.XLOOKUP(Tabla5[[#This Row],[EAN CORREGIDO]],'Tabla Articulos'!B:B,'Tabla Articulos'!D:D)</f>
        <v/>
      </c>
      <c r="Q3272" s="96">
        <f>_xlfn.XLOOKUP(S3272,'Tabla Articulos'!B:B,'Tabla Articulos'!E:E)</f>
        <v/>
      </c>
      <c r="R3272" s="96">
        <f>O3272*Q3272</f>
        <v/>
      </c>
      <c r="S3272" s="97">
        <f>TRIM(E3272)</f>
        <v/>
      </c>
    </row>
    <row r="3273" hidden="1">
      <c r="A3273" s="22" t="n">
        <v>2</v>
      </c>
      <c r="B3273" t="inlineStr">
        <is>
          <t xml:space="preserve">CD CIUDADELA                  </t>
        </is>
      </c>
      <c r="C3273" t="inlineStr">
        <is>
          <t xml:space="preserve">GRUPO L.                      </t>
        </is>
      </c>
      <c r="D3273" t="inlineStr">
        <is>
          <t>CALDO POLVO CARNE</t>
        </is>
      </c>
      <c r="E3273" t="inlineStr">
        <is>
          <t xml:space="preserve">7794000004047       </t>
        </is>
      </c>
      <c r="F3273" t="n">
        <v>4020630</v>
      </c>
      <c r="G3273" t="inlineStr">
        <is>
          <t xml:space="preserve">CALDO CARNE X1KG KNORR             </t>
        </is>
      </c>
      <c r="H3273" t="inlineStr">
        <is>
          <t xml:space="preserve">UNIDAD              </t>
        </is>
      </c>
      <c r="I3273" t="n">
        <v>63</v>
      </c>
      <c r="J3273" t="n">
        <v>0</v>
      </c>
      <c r="K3273" t="n">
        <v>0</v>
      </c>
      <c r="L3273" t="n">
        <v>1</v>
      </c>
      <c r="M3273" t="n">
        <v>1</v>
      </c>
      <c r="N3273" t="n">
        <v>0</v>
      </c>
      <c r="O3273" t="n">
        <v>61</v>
      </c>
      <c r="P3273" s="96">
        <f>_xlfn.XLOOKUP(Tabla5[[#This Row],[EAN CORREGIDO]],'Tabla Articulos'!B:B,'Tabla Articulos'!D:D)</f>
        <v/>
      </c>
      <c r="Q3273" s="96">
        <f>_xlfn.XLOOKUP(S3273,'Tabla Articulos'!B:B,'Tabla Articulos'!E:E)</f>
        <v/>
      </c>
      <c r="R3273" s="96">
        <f>O3273*Q3273</f>
        <v/>
      </c>
      <c r="S3273" s="97">
        <f>TRIM(E3273)</f>
        <v/>
      </c>
    </row>
    <row r="3274" hidden="1">
      <c r="A3274" s="22" t="n">
        <v>2</v>
      </c>
      <c r="B3274" t="inlineStr">
        <is>
          <t xml:space="preserve">CD CIUDADELA                  </t>
        </is>
      </c>
      <c r="C3274" t="inlineStr">
        <is>
          <t xml:space="preserve">GRUPO L.                      </t>
        </is>
      </c>
      <c r="D3274" t="inlineStr">
        <is>
          <t>CARNE FETEADA</t>
        </is>
      </c>
      <c r="E3274" t="inlineStr">
        <is>
          <t xml:space="preserve">7790212030072       </t>
        </is>
      </c>
      <c r="F3274" t="n">
        <v>4017688</v>
      </c>
      <c r="G3274" t="inlineStr">
        <is>
          <t xml:space="preserve">NALGA  FETEADA X KG                </t>
        </is>
      </c>
      <c r="H3274" t="inlineStr">
        <is>
          <t xml:space="preserve">Kgs                 </t>
        </is>
      </c>
      <c r="I3274" t="n">
        <v>1243.88</v>
      </c>
      <c r="J3274" t="n">
        <v>0</v>
      </c>
      <c r="K3274" t="n">
        <v>0</v>
      </c>
      <c r="L3274" t="n">
        <v>70.20999999999999</v>
      </c>
      <c r="M3274" t="n">
        <v>70.20999999999999</v>
      </c>
      <c r="N3274" t="n">
        <v>0</v>
      </c>
      <c r="O3274" t="n">
        <v>1103.46</v>
      </c>
      <c r="P3274" s="96">
        <f>_xlfn.XLOOKUP(Tabla5[[#This Row],[EAN CORREGIDO]],'Tabla Articulos'!B:B,'Tabla Articulos'!D:D)</f>
        <v/>
      </c>
      <c r="Q3274" s="96">
        <f>_xlfn.XLOOKUP(S3274,'Tabla Articulos'!B:B,'Tabla Articulos'!E:E)</f>
        <v/>
      </c>
      <c r="R3274" s="96">
        <f>O3274*Q3274</f>
        <v/>
      </c>
      <c r="S3274" s="97">
        <f>TRIM(E3274)</f>
        <v/>
      </c>
    </row>
    <row r="3275" hidden="1">
      <c r="A3275" s="22" t="n">
        <v>2</v>
      </c>
      <c r="B3275" t="inlineStr">
        <is>
          <t xml:space="preserve">CD CIUDADELA                  </t>
        </is>
      </c>
      <c r="C3275" t="inlineStr">
        <is>
          <t xml:space="preserve">GRUPO L.                      </t>
        </is>
      </c>
      <c r="D3275" t="inlineStr">
        <is>
          <t>FIDEOS GUISEROS</t>
        </is>
      </c>
      <c r="E3275" t="inlineStr">
        <is>
          <t xml:space="preserve">7798138555532       </t>
        </is>
      </c>
      <c r="F3275" t="n">
        <v>4020334</v>
      </c>
      <c r="G3275" t="inlineStr">
        <is>
          <t>FIDEO GUIS TIRABUZON X500G STA ISAB</t>
        </is>
      </c>
      <c r="H3275" t="inlineStr">
        <is>
          <t xml:space="preserve">UNIDAD              </t>
        </is>
      </c>
      <c r="I3275" t="n">
        <v>5857</v>
      </c>
      <c r="J3275" t="n">
        <v>0</v>
      </c>
      <c r="K3275" t="n">
        <v>0</v>
      </c>
      <c r="L3275" t="n">
        <v>491</v>
      </c>
      <c r="M3275" t="n">
        <v>491</v>
      </c>
      <c r="N3275" t="n">
        <v>0</v>
      </c>
      <c r="O3275" t="n">
        <v>4875</v>
      </c>
      <c r="P3275" s="96">
        <f>_xlfn.XLOOKUP(Tabla5[[#This Row],[EAN CORREGIDO]],'Tabla Articulos'!B:B,'Tabla Articulos'!D:D)</f>
        <v/>
      </c>
      <c r="Q3275" s="96">
        <f>_xlfn.XLOOKUP(S3275,'Tabla Articulos'!B:B,'Tabla Articulos'!E:E)</f>
        <v/>
      </c>
      <c r="R3275" s="96">
        <f>O3275*Q3275</f>
        <v/>
      </c>
      <c r="S3275" s="97">
        <f>TRIM(E3275)</f>
        <v/>
      </c>
    </row>
    <row r="3276" hidden="1">
      <c r="A3276" s="22" t="n">
        <v>2</v>
      </c>
      <c r="B3276" t="inlineStr">
        <is>
          <t xml:space="preserve">CD CIUDADELA                  </t>
        </is>
      </c>
      <c r="C3276" t="inlineStr">
        <is>
          <t xml:space="preserve">GRUPO L.                      </t>
        </is>
      </c>
      <c r="D3276" t="inlineStr">
        <is>
          <t>DULCE DE LECHE INDIV</t>
        </is>
      </c>
      <c r="E3276" t="inlineStr">
        <is>
          <t xml:space="preserve">7798011976744       </t>
        </is>
      </c>
      <c r="F3276" t="n">
        <v>4020711</v>
      </c>
      <c r="G3276" t="inlineStr">
        <is>
          <t xml:space="preserve">DULCE LECHE IND 20GX108U ABEDUL	   </t>
        </is>
      </c>
      <c r="H3276" t="inlineStr">
        <is>
          <t xml:space="preserve">UNIDAD              </t>
        </is>
      </c>
      <c r="I3276" t="n">
        <v>24</v>
      </c>
      <c r="J3276" t="n">
        <v>0</v>
      </c>
      <c r="K3276" t="n">
        <v>0</v>
      </c>
      <c r="L3276" t="n">
        <v>3</v>
      </c>
      <c r="M3276" t="n">
        <v>3</v>
      </c>
      <c r="N3276" t="n">
        <v>0</v>
      </c>
      <c r="O3276" t="n">
        <v>18</v>
      </c>
      <c r="P3276" s="96">
        <f>_xlfn.XLOOKUP(Tabla5[[#This Row],[EAN CORREGIDO]],'Tabla Articulos'!B:B,'Tabla Articulos'!D:D)</f>
        <v/>
      </c>
      <c r="Q3276" s="96">
        <f>_xlfn.XLOOKUP(S3276,'Tabla Articulos'!B:B,'Tabla Articulos'!E:E)</f>
        <v/>
      </c>
      <c r="R3276" s="96">
        <f>O3276*Q3276</f>
        <v/>
      </c>
      <c r="S3276" s="97">
        <f>TRIM(E3276)</f>
        <v/>
      </c>
    </row>
    <row r="3277" hidden="1">
      <c r="A3277" s="22" t="n">
        <v>2</v>
      </c>
      <c r="B3277" t="inlineStr">
        <is>
          <t xml:space="preserve">CD CIUDADELA                  </t>
        </is>
      </c>
      <c r="C3277" t="inlineStr">
        <is>
          <t xml:space="preserve">GRUPO L.                      </t>
        </is>
      </c>
      <c r="D3277" t="inlineStr">
        <is>
          <t>CHOCOLATADA</t>
        </is>
      </c>
      <c r="E3277" t="inlineStr">
        <is>
          <t xml:space="preserve">7798290581943       </t>
        </is>
      </c>
      <c r="F3277" t="n">
        <v>4018142</v>
      </c>
      <c r="G3277" t="inlineStr">
        <is>
          <t xml:space="preserve">LECHE CHOCOLATADA LV X1L CHOCHOCO  </t>
        </is>
      </c>
      <c r="H3277" t="inlineStr">
        <is>
          <t xml:space="preserve">UNIDAD              </t>
        </is>
      </c>
      <c r="I3277" t="n">
        <v>7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7</v>
      </c>
      <c r="P3277" s="96">
        <f>_xlfn.XLOOKUP(Tabla5[[#This Row],[EAN CORREGIDO]],'Tabla Articulos'!B:B,'Tabla Articulos'!D:D)</f>
        <v/>
      </c>
      <c r="Q3277" s="96">
        <f>_xlfn.XLOOKUP(S3277,'Tabla Articulos'!B:B,'Tabla Articulos'!E:E)</f>
        <v/>
      </c>
      <c r="R3277" s="96">
        <f>O3277*Q3277</f>
        <v/>
      </c>
      <c r="S3277" s="97">
        <f>TRIM(E3277)</f>
        <v/>
      </c>
    </row>
    <row r="3278" hidden="1">
      <c r="A3278" s="22" t="n">
        <v>2</v>
      </c>
      <c r="B3278" t="inlineStr">
        <is>
          <t xml:space="preserve">CD CIUDADELA                  </t>
        </is>
      </c>
      <c r="C3278" t="inlineStr">
        <is>
          <t xml:space="preserve">GRUPO L.                      </t>
        </is>
      </c>
      <c r="D3278" t="inlineStr">
        <is>
          <t>ZAPALLITO</t>
        </is>
      </c>
      <c r="E3278" t="inlineStr">
        <is>
          <t xml:space="preserve">7790216010132       </t>
        </is>
      </c>
      <c r="F3278" t="n">
        <v>4018043</v>
      </c>
      <c r="G3278" t="inlineStr">
        <is>
          <t xml:space="preserve">ZAPALLITO X KG                     </t>
        </is>
      </c>
      <c r="H3278" t="inlineStr">
        <is>
          <t xml:space="preserve">Kgs                 </t>
        </is>
      </c>
      <c r="I3278" t="n">
        <v>1624.697</v>
      </c>
      <c r="J3278" t="n">
        <v>0</v>
      </c>
      <c r="K3278" t="n">
        <v>0</v>
      </c>
      <c r="L3278" t="n">
        <v>101.612</v>
      </c>
      <c r="M3278" t="n">
        <v>195.822</v>
      </c>
      <c r="N3278" t="n">
        <v>0</v>
      </c>
      <c r="O3278" t="n">
        <v>1327.263</v>
      </c>
      <c r="P3278" s="96">
        <f>_xlfn.XLOOKUP(Tabla5[[#This Row],[EAN CORREGIDO]],'Tabla Articulos'!B:B,'Tabla Articulos'!D:D)</f>
        <v/>
      </c>
      <c r="Q3278" s="96">
        <f>_xlfn.XLOOKUP(S3278,'Tabla Articulos'!B:B,'Tabla Articulos'!E:E)</f>
        <v/>
      </c>
      <c r="R3278" s="96">
        <f>O3278*Q3278</f>
        <v/>
      </c>
      <c r="S3278" s="97">
        <f>TRIM(E3278)</f>
        <v/>
      </c>
    </row>
    <row r="3279" hidden="1">
      <c r="A3279" s="22" t="n">
        <v>2</v>
      </c>
      <c r="B3279" t="inlineStr">
        <is>
          <t xml:space="preserve">CD CIUDADELA                  </t>
        </is>
      </c>
      <c r="C3279" t="inlineStr">
        <is>
          <t xml:space="preserve">GRUPO L.                      </t>
        </is>
      </c>
      <c r="D3279" t="inlineStr">
        <is>
          <t>MERMELADA LIGHT</t>
        </is>
      </c>
      <c r="E3279" t="inlineStr">
        <is>
          <t xml:space="preserve">7791113001215       </t>
        </is>
      </c>
      <c r="F3279" t="n">
        <v>4020152</v>
      </c>
      <c r="G3279" t="inlineStr">
        <is>
          <t xml:space="preserve">MERMELADA DUR X 420 G EMETH LIGHT  </t>
        </is>
      </c>
      <c r="H3279" t="inlineStr">
        <is>
          <t xml:space="preserve">UNIDAD              </t>
        </is>
      </c>
      <c r="I3279" t="n">
        <v>437</v>
      </c>
      <c r="J3279" t="n">
        <v>0</v>
      </c>
      <c r="K3279" t="n">
        <v>0</v>
      </c>
      <c r="L3279" t="n">
        <v>28</v>
      </c>
      <c r="M3279" t="n">
        <v>28</v>
      </c>
      <c r="N3279" t="n">
        <v>0</v>
      </c>
      <c r="O3279" t="n">
        <v>381</v>
      </c>
      <c r="P3279" s="96">
        <f>_xlfn.XLOOKUP(Tabla5[[#This Row],[EAN CORREGIDO]],'Tabla Articulos'!B:B,'Tabla Articulos'!D:D)</f>
        <v/>
      </c>
      <c r="Q3279" s="96">
        <f>_xlfn.XLOOKUP(S3279,'Tabla Articulos'!B:B,'Tabla Articulos'!E:E)</f>
        <v/>
      </c>
      <c r="R3279" s="96">
        <f>O3279*Q3279</f>
        <v/>
      </c>
      <c r="S3279" s="97">
        <f>TRIM(E3279)</f>
        <v/>
      </c>
    </row>
    <row r="3280" hidden="1">
      <c r="A3280" s="22" t="n">
        <v>2</v>
      </c>
      <c r="B3280" t="inlineStr">
        <is>
          <t xml:space="preserve">CD CIUDADELA                  </t>
        </is>
      </c>
      <c r="C3280" t="inlineStr">
        <is>
          <t xml:space="preserve">GRUPO L.                      </t>
        </is>
      </c>
      <c r="D3280" t="inlineStr">
        <is>
          <t>COPOS CEREAL AZUCARADOS</t>
        </is>
      </c>
      <c r="E3280" t="inlineStr">
        <is>
          <t xml:space="preserve">7790045000624       </t>
        </is>
      </c>
      <c r="F3280" t="n">
        <v>4019507</v>
      </c>
      <c r="G3280" t="inlineStr">
        <is>
          <t xml:space="preserve">COPOS DE MAIZ X 500G SKARCHITO     </t>
        </is>
      </c>
      <c r="H3280" t="inlineStr">
        <is>
          <t xml:space="preserve">UNIDAD              </t>
        </is>
      </c>
      <c r="I3280" t="n">
        <v>83</v>
      </c>
      <c r="J3280" t="n">
        <v>0</v>
      </c>
      <c r="K3280" t="n">
        <v>0</v>
      </c>
      <c r="L3280" t="n">
        <v>2</v>
      </c>
      <c r="M3280" t="n">
        <v>2</v>
      </c>
      <c r="N3280" t="n">
        <v>0</v>
      </c>
      <c r="O3280" t="n">
        <v>79</v>
      </c>
      <c r="P3280" s="96">
        <f>_xlfn.XLOOKUP(Tabla5[[#This Row],[EAN CORREGIDO]],'Tabla Articulos'!B:B,'Tabla Articulos'!D:D)</f>
        <v/>
      </c>
      <c r="Q3280" s="96">
        <f>_xlfn.XLOOKUP(S3280,'Tabla Articulos'!B:B,'Tabla Articulos'!E:E)</f>
        <v/>
      </c>
      <c r="R3280" s="96">
        <f>O3280*Q3280</f>
        <v/>
      </c>
      <c r="S3280" s="97">
        <f>TRIM(E3280)</f>
        <v/>
      </c>
    </row>
    <row r="3281" hidden="1">
      <c r="A3281" s="22" t="n">
        <v>2</v>
      </c>
      <c r="B3281" t="inlineStr">
        <is>
          <t xml:space="preserve">CD CIUDADELA                  </t>
        </is>
      </c>
      <c r="C3281" t="inlineStr">
        <is>
          <t xml:space="preserve">GRUPO L.                      </t>
        </is>
      </c>
      <c r="D3281" t="inlineStr">
        <is>
          <t>POLENTA S/TACC</t>
        </is>
      </c>
      <c r="E3281" t="inlineStr">
        <is>
          <t xml:space="preserve">7790199603214       </t>
        </is>
      </c>
      <c r="F3281" t="n">
        <v>4019518</v>
      </c>
      <c r="G3281" t="inlineStr">
        <is>
          <t xml:space="preserve">POLENTA X1KG MORIXE                </t>
        </is>
      </c>
      <c r="H3281" t="inlineStr">
        <is>
          <t xml:space="preserve">UNIDAD              </t>
        </is>
      </c>
      <c r="I3281" t="n">
        <v>122</v>
      </c>
      <c r="J3281" t="n">
        <v>0</v>
      </c>
      <c r="K3281" t="n">
        <v>0</v>
      </c>
      <c r="L3281" t="n">
        <v>54</v>
      </c>
      <c r="M3281" t="n">
        <v>54</v>
      </c>
      <c r="N3281" t="n">
        <v>0</v>
      </c>
      <c r="O3281" t="n">
        <v>14</v>
      </c>
      <c r="P3281" s="96">
        <f>_xlfn.XLOOKUP(Tabla5[[#This Row],[EAN CORREGIDO]],'Tabla Articulos'!B:B,'Tabla Articulos'!D:D)</f>
        <v/>
      </c>
      <c r="Q3281" s="96">
        <f>_xlfn.XLOOKUP(S3281,'Tabla Articulos'!B:B,'Tabla Articulos'!E:E)</f>
        <v/>
      </c>
      <c r="R3281" s="96">
        <f>O3281*Q3281</f>
        <v/>
      </c>
      <c r="S3281" s="97">
        <f>TRIM(E3281)</f>
        <v/>
      </c>
    </row>
    <row r="3282" hidden="1">
      <c r="A3282" s="22" t="n">
        <v>2</v>
      </c>
      <c r="B3282" t="inlineStr">
        <is>
          <t xml:space="preserve">CD CIUDADELA                  </t>
        </is>
      </c>
      <c r="C3282" t="inlineStr">
        <is>
          <t xml:space="preserve">GRUPO L.                      </t>
        </is>
      </c>
      <c r="D3282" t="inlineStr">
        <is>
          <t>VAINILLAS INDIV</t>
        </is>
      </c>
      <c r="E3282" t="inlineStr">
        <is>
          <t xml:space="preserve">77903884            </t>
        </is>
      </c>
      <c r="F3282" t="n">
        <v>4018811</v>
      </c>
      <c r="G3282" t="inlineStr">
        <is>
          <t xml:space="preserve">VAINILLAS X 22 G MAURI             </t>
        </is>
      </c>
      <c r="H3282" t="inlineStr">
        <is>
          <t xml:space="preserve">UNIDAD              </t>
        </is>
      </c>
      <c r="I3282" t="n">
        <v>12140</v>
      </c>
      <c r="J3282" t="n">
        <v>0</v>
      </c>
      <c r="K3282" t="n">
        <v>0</v>
      </c>
      <c r="L3282" t="n">
        <v>1230</v>
      </c>
      <c r="M3282" t="n">
        <v>1230</v>
      </c>
      <c r="N3282" t="n">
        <v>0</v>
      </c>
      <c r="O3282" t="n">
        <v>9680</v>
      </c>
      <c r="P3282" s="96">
        <f>_xlfn.XLOOKUP(Tabla5[[#This Row],[EAN CORREGIDO]],'Tabla Articulos'!B:B,'Tabla Articulos'!D:D)</f>
        <v/>
      </c>
      <c r="Q3282" s="96">
        <f>_xlfn.XLOOKUP(S3282,'Tabla Articulos'!B:B,'Tabla Articulos'!E:E)</f>
        <v/>
      </c>
      <c r="R3282" s="96">
        <f>O3282*Q3282</f>
        <v/>
      </c>
      <c r="S3282" s="97">
        <f>TRIM(E3282)</f>
        <v/>
      </c>
    </row>
    <row r="3283" hidden="1">
      <c r="A3283" s="22" t="n">
        <v>2</v>
      </c>
      <c r="B3283" t="inlineStr">
        <is>
          <t xml:space="preserve">CD CIUDADELA                  </t>
        </is>
      </c>
      <c r="C3283" t="inlineStr">
        <is>
          <t xml:space="preserve">GRUPO L.                      </t>
        </is>
      </c>
      <c r="D3283" t="inlineStr">
        <is>
          <t>LECHE POLVO DESC INDIV</t>
        </is>
      </c>
      <c r="E3283" t="inlineStr">
        <is>
          <t xml:space="preserve">7790787201297       </t>
        </is>
      </c>
      <c r="F3283" t="n">
        <v>4018383</v>
      </c>
      <c r="G3283" t="inlineStr">
        <is>
          <t>LECHE POLVO DESC IND X5G X30U ILOLA</t>
        </is>
      </c>
      <c r="H3283" t="inlineStr">
        <is>
          <t xml:space="preserve">UNIDAD              </t>
        </is>
      </c>
      <c r="I3283" t="n">
        <v>117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117</v>
      </c>
      <c r="P3283" s="96">
        <f>_xlfn.XLOOKUP(Tabla5[[#This Row],[EAN CORREGIDO]],'Tabla Articulos'!B:B,'Tabla Articulos'!D:D)</f>
        <v/>
      </c>
      <c r="Q3283" s="96">
        <f>_xlfn.XLOOKUP(S3283,'Tabla Articulos'!B:B,'Tabla Articulos'!E:E)</f>
        <v/>
      </c>
      <c r="R3283" s="96">
        <f>O3283*Q3283</f>
        <v/>
      </c>
      <c r="S3283" s="97">
        <f>TRIM(E3283)</f>
        <v/>
      </c>
    </row>
    <row r="3284" hidden="1">
      <c r="A3284" s="22" t="n">
        <v>2</v>
      </c>
      <c r="B3284" t="inlineStr">
        <is>
          <t xml:space="preserve">CD CIUDADELA                  </t>
        </is>
      </c>
      <c r="C3284" t="inlineStr">
        <is>
          <t xml:space="preserve">GRUPO L.                      </t>
        </is>
      </c>
      <c r="D3284" t="inlineStr">
        <is>
          <t>TAPA ALUMINIO R3</t>
        </is>
      </c>
      <c r="E3284" t="inlineStr">
        <is>
          <t xml:space="preserve">640000108776        </t>
        </is>
      </c>
      <c r="F3284" t="n">
        <v>2007250</v>
      </c>
      <c r="G3284" t="inlineStr">
        <is>
          <t xml:space="preserve">TAPA ALUM R3/F275X1000U VASSOI     </t>
        </is>
      </c>
      <c r="H3284" t="inlineStr">
        <is>
          <t xml:space="preserve">UNIDAD              </t>
        </is>
      </c>
      <c r="I3284" t="n">
        <v>65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65</v>
      </c>
      <c r="P3284" s="96">
        <f>_xlfn.XLOOKUP(Tabla5[[#This Row],[EAN CORREGIDO]],'Tabla Articulos'!B:B,'Tabla Articulos'!D:D)</f>
        <v/>
      </c>
      <c r="Q3284" s="96">
        <f>_xlfn.XLOOKUP(S3284,'Tabla Articulos'!B:B,'Tabla Articulos'!E:E)</f>
        <v/>
      </c>
      <c r="R3284" s="96">
        <f>O3284*Q3284</f>
        <v/>
      </c>
      <c r="S3284" s="97">
        <f>TRIM(E3284)</f>
        <v/>
      </c>
    </row>
    <row r="3285" hidden="1">
      <c r="A3285" s="22" t="n">
        <v>2</v>
      </c>
      <c r="B3285" t="inlineStr">
        <is>
          <t xml:space="preserve">CD CIUDADELA                  </t>
        </is>
      </c>
      <c r="C3285" t="inlineStr">
        <is>
          <t xml:space="preserve">GRUPO L.                      </t>
        </is>
      </c>
      <c r="D3285" t="inlineStr">
        <is>
          <t>ALFAJOR DE ARROZ</t>
        </is>
      </c>
      <c r="E3285" t="inlineStr">
        <is>
          <t xml:space="preserve">77987877            </t>
        </is>
      </c>
      <c r="F3285" t="n">
        <v>4022695</v>
      </c>
      <c r="G3285" t="inlineStr">
        <is>
          <t xml:space="preserve">ALF DE ARROZ LIMON/CHO 22GR LULE   </t>
        </is>
      </c>
      <c r="H3285" t="inlineStr">
        <is>
          <t xml:space="preserve">UNIDAD              </t>
        </is>
      </c>
      <c r="I3285" t="n">
        <v>90</v>
      </c>
      <c r="J3285" t="n">
        <v>0</v>
      </c>
      <c r="K3285" t="n">
        <v>0</v>
      </c>
      <c r="L3285" t="n">
        <v>40</v>
      </c>
      <c r="M3285" t="n">
        <v>40</v>
      </c>
      <c r="N3285" t="n">
        <v>0</v>
      </c>
      <c r="O3285" t="n">
        <v>10</v>
      </c>
      <c r="P3285" s="96">
        <f>_xlfn.XLOOKUP(Tabla5[[#This Row],[EAN CORREGIDO]],'Tabla Articulos'!B:B,'Tabla Articulos'!D:D)</f>
        <v/>
      </c>
      <c r="Q3285" s="96">
        <f>_xlfn.XLOOKUP(S3285,'Tabla Articulos'!B:B,'Tabla Articulos'!E:E)</f>
        <v/>
      </c>
      <c r="R3285" s="96">
        <f>O3285*Q3285</f>
        <v/>
      </c>
      <c r="S3285" s="97">
        <f>TRIM(E3285)</f>
        <v/>
      </c>
    </row>
    <row r="3286" hidden="1">
      <c r="A3286" s="22" t="n">
        <v>2</v>
      </c>
      <c r="B3286" t="inlineStr">
        <is>
          <t xml:space="preserve">CD CIUDADELA                  </t>
        </is>
      </c>
      <c r="C3286" t="inlineStr">
        <is>
          <t xml:space="preserve">GRUPO L.                      </t>
        </is>
      </c>
      <c r="D3286" t="inlineStr">
        <is>
          <t>DELANTAL DESCARTABLE</t>
        </is>
      </c>
      <c r="E3286" t="inlineStr">
        <is>
          <t xml:space="preserve">BAZ000387           </t>
        </is>
      </c>
      <c r="F3286" t="n">
        <v>2006422</v>
      </c>
      <c r="G3286" t="inlineStr">
        <is>
          <t xml:space="preserve">DELANTALES DESCARTABLES X 100      </t>
        </is>
      </c>
      <c r="H3286" t="inlineStr">
        <is>
          <t xml:space="preserve">UNIDAD              </t>
        </is>
      </c>
      <c r="I3286" t="n">
        <v>324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324</v>
      </c>
      <c r="P3286" s="96">
        <f>_xlfn.XLOOKUP(Tabla5[[#This Row],[EAN CORREGIDO]],'Tabla Articulos'!B:B,'Tabla Articulos'!D:D)</f>
        <v/>
      </c>
      <c r="Q3286" s="96">
        <f>_xlfn.XLOOKUP(S3286,'Tabla Articulos'!B:B,'Tabla Articulos'!E:E)</f>
        <v/>
      </c>
      <c r="R3286" s="96">
        <f>O3286*Q3286</f>
        <v/>
      </c>
      <c r="S3286" s="97">
        <f>TRIM(E3286)</f>
        <v/>
      </c>
    </row>
    <row r="3287" hidden="1">
      <c r="A3287" s="22" t="n">
        <v>2</v>
      </c>
      <c r="B3287" t="inlineStr">
        <is>
          <t xml:space="preserve">CD CIUDADELA                  </t>
        </is>
      </c>
      <c r="C3287" t="inlineStr">
        <is>
          <t xml:space="preserve">GRUPO L.                      </t>
        </is>
      </c>
      <c r="D3287" t="inlineStr">
        <is>
          <t>JUGO INDIVIDUAL NARANJA</t>
        </is>
      </c>
      <c r="E3287" t="inlineStr">
        <is>
          <t xml:space="preserve">7798290580052       </t>
        </is>
      </c>
      <c r="F3287" t="n">
        <v>4021111</v>
      </c>
      <c r="G3287" t="inlineStr">
        <is>
          <t xml:space="preserve">JUGO NARANJA X200CC TUTTI          </t>
        </is>
      </c>
      <c r="H3287" t="inlineStr">
        <is>
          <t xml:space="preserve">UNIDAD              </t>
        </is>
      </c>
      <c r="I3287" t="n">
        <v>110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110</v>
      </c>
      <c r="P3287" s="96">
        <f>_xlfn.XLOOKUP(Tabla5[[#This Row],[EAN CORREGIDO]],'Tabla Articulos'!B:B,'Tabla Articulos'!D:D)</f>
        <v/>
      </c>
      <c r="Q3287" s="96">
        <f>_xlfn.XLOOKUP(S3287,'Tabla Articulos'!B:B,'Tabla Articulos'!E:E)</f>
        <v/>
      </c>
      <c r="R3287" s="96">
        <f>O3287*Q3287</f>
        <v/>
      </c>
      <c r="S3287" s="97">
        <f>TRIM(E3287)</f>
        <v/>
      </c>
    </row>
    <row r="3288" hidden="1">
      <c r="A3288" s="22" t="n">
        <v>2</v>
      </c>
      <c r="B3288" t="inlineStr">
        <is>
          <t xml:space="preserve">CD CIUDADELA                  </t>
        </is>
      </c>
      <c r="C3288" t="inlineStr">
        <is>
          <t xml:space="preserve">GRUPO L.                      </t>
        </is>
      </c>
      <c r="D3288" t="inlineStr">
        <is>
          <t>ATUN A/N DESMEN</t>
        </is>
      </c>
      <c r="E3288" t="inlineStr">
        <is>
          <t xml:space="preserve">7790199604785       </t>
        </is>
      </c>
      <c r="F3288" t="n">
        <v>4023172</v>
      </c>
      <c r="G3288" t="inlineStr">
        <is>
          <t xml:space="preserve">ATUN DESM NAT 170GR MORIXE         </t>
        </is>
      </c>
      <c r="H3288" t="inlineStr">
        <is>
          <t xml:space="preserve">UNIDAD              </t>
        </is>
      </c>
      <c r="I3288" t="n">
        <v>74</v>
      </c>
      <c r="J3288" t="n">
        <v>0</v>
      </c>
      <c r="K3288" t="n">
        <v>0</v>
      </c>
      <c r="L3288" t="n">
        <v>6</v>
      </c>
      <c r="M3288" t="n">
        <v>6</v>
      </c>
      <c r="N3288" t="n">
        <v>0</v>
      </c>
      <c r="O3288" t="n">
        <v>62</v>
      </c>
      <c r="P3288" s="96">
        <f>_xlfn.XLOOKUP(Tabla5[[#This Row],[EAN CORREGIDO]],'Tabla Articulos'!B:B,'Tabla Articulos'!D:D)</f>
        <v/>
      </c>
      <c r="Q3288" s="96">
        <f>_xlfn.XLOOKUP(S3288,'Tabla Articulos'!B:B,'Tabla Articulos'!E:E)</f>
        <v/>
      </c>
      <c r="R3288" s="96">
        <f>O3288*Q3288</f>
        <v/>
      </c>
      <c r="S3288" s="97">
        <f>TRIM(E3288)</f>
        <v/>
      </c>
    </row>
    <row r="3289" hidden="1">
      <c r="A3289" s="22" t="n">
        <v>2</v>
      </c>
      <c r="B3289" t="inlineStr">
        <is>
          <t xml:space="preserve">CD CIUDADELA                  </t>
        </is>
      </c>
      <c r="C3289" t="inlineStr">
        <is>
          <t xml:space="preserve">GRUPO L.                      </t>
        </is>
      </c>
      <c r="D3289" t="inlineStr">
        <is>
          <t>PANADERIA CONGELADA</t>
        </is>
      </c>
      <c r="E3289" t="inlineStr">
        <is>
          <t xml:space="preserve">7798041132480       </t>
        </is>
      </c>
      <c r="F3289" t="n">
        <v>4018569</v>
      </c>
      <c r="G3289" t="inlineStr">
        <is>
          <t xml:space="preserve">CUADRADO CHOCOTORTA X12U SELYGEL   </t>
        </is>
      </c>
      <c r="H3289" t="inlineStr">
        <is>
          <t xml:space="preserve">UNIDAD              </t>
        </is>
      </c>
      <c r="I3289" t="n">
        <v>3</v>
      </c>
      <c r="J3289" t="n">
        <v>0</v>
      </c>
      <c r="K3289" t="n">
        <v>0</v>
      </c>
      <c r="L3289" t="n">
        <v>0</v>
      </c>
      <c r="M3289" t="n">
        <v>0</v>
      </c>
      <c r="N3289" t="n">
        <v>3</v>
      </c>
      <c r="O3289" t="n">
        <v>0</v>
      </c>
      <c r="P3289" s="96">
        <f>_xlfn.XLOOKUP(Tabla5[[#This Row],[EAN CORREGIDO]],'Tabla Articulos'!B:B,'Tabla Articulos'!D:D)</f>
        <v/>
      </c>
      <c r="Q3289" s="96">
        <f>_xlfn.XLOOKUP(S3289,'Tabla Articulos'!B:B,'Tabla Articulos'!E:E)</f>
        <v/>
      </c>
      <c r="R3289" s="96">
        <f>O3289*Q3289</f>
        <v/>
      </c>
      <c r="S3289" s="97">
        <f>TRIM(E3289)</f>
        <v/>
      </c>
    </row>
    <row r="3290" hidden="1">
      <c r="A3290" s="22" t="n">
        <v>2</v>
      </c>
      <c r="B3290" t="inlineStr">
        <is>
          <t xml:space="preserve">CD CIUDADELA                  </t>
        </is>
      </c>
      <c r="C3290" t="inlineStr">
        <is>
          <t xml:space="preserve">GRUPO L.                      </t>
        </is>
      </c>
      <c r="D3290" t="inlineStr">
        <is>
          <t>MANTEL LOGO NUTRIRE</t>
        </is>
      </c>
      <c r="E3290" t="inlineStr">
        <is>
          <t xml:space="preserve">7790321020530       </t>
        </is>
      </c>
      <c r="F3290" t="n">
        <v>2006637</v>
      </c>
      <c r="G3290" t="inlineStr">
        <is>
          <t xml:space="preserve">MANTEL IND 40X30X1000U NUTRIRE     </t>
        </is>
      </c>
      <c r="H3290" t="inlineStr">
        <is>
          <t xml:space="preserve">UNIDAD              </t>
        </is>
      </c>
      <c r="I3290" t="n">
        <v>24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24</v>
      </c>
      <c r="P3290" s="96">
        <f>_xlfn.XLOOKUP(Tabla5[[#This Row],[EAN CORREGIDO]],'Tabla Articulos'!B:B,'Tabla Articulos'!D:D)</f>
        <v/>
      </c>
      <c r="Q3290" s="96">
        <f>_xlfn.XLOOKUP(S3290,'Tabla Articulos'!B:B,'Tabla Articulos'!E:E)</f>
        <v/>
      </c>
      <c r="R3290" s="96">
        <f>O3290*Q3290</f>
        <v/>
      </c>
      <c r="S3290" s="97">
        <f>TRIM(E3290)</f>
        <v/>
      </c>
    </row>
    <row r="3291" hidden="1">
      <c r="A3291" s="22" t="n">
        <v>2</v>
      </c>
      <c r="B3291" t="inlineStr">
        <is>
          <t xml:space="preserve">CD CIUDADELA                  </t>
        </is>
      </c>
      <c r="C3291" t="inlineStr">
        <is>
          <t xml:space="preserve">GRUPO L.                      </t>
        </is>
      </c>
      <c r="D3291" t="inlineStr">
        <is>
          <t>SALSA FRUTILLA</t>
        </is>
      </c>
      <c r="E3291" t="inlineStr">
        <is>
          <t xml:space="preserve">7798110340057       </t>
        </is>
      </c>
      <c r="F3291" t="n">
        <v>4024491</v>
      </c>
      <c r="G3291" t="inlineStr">
        <is>
          <t xml:space="preserve">SALSA DE FRUTILLA X 0.5KG INDUAL   </t>
        </is>
      </c>
      <c r="H3291" t="inlineStr">
        <is>
          <t xml:space="preserve">UNIDAD              </t>
        </is>
      </c>
      <c r="I3291" t="n">
        <v>78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78</v>
      </c>
      <c r="P3291" s="96">
        <f>_xlfn.XLOOKUP(Tabla5[[#This Row],[EAN CORREGIDO]],'Tabla Articulos'!B:B,'Tabla Articulos'!D:D)</f>
        <v/>
      </c>
      <c r="Q3291" s="96">
        <f>_xlfn.XLOOKUP(S3291,'Tabla Articulos'!B:B,'Tabla Articulos'!E:E)</f>
        <v/>
      </c>
      <c r="R3291" s="96">
        <f>O3291*Q3291</f>
        <v/>
      </c>
      <c r="S3291" s="97">
        <f>TRIM(E3291)</f>
        <v/>
      </c>
    </row>
    <row r="3292" hidden="1">
      <c r="A3292" s="22" t="n">
        <v>2</v>
      </c>
      <c r="B3292" t="inlineStr">
        <is>
          <t xml:space="preserve">CD CIUDADELA                  </t>
        </is>
      </c>
      <c r="C3292" t="inlineStr">
        <is>
          <t xml:space="preserve">GRUPO L.                      </t>
        </is>
      </c>
      <c r="D3292" t="inlineStr">
        <is>
          <t>FIDEOS GUISEROS</t>
        </is>
      </c>
      <c r="E3292" t="inlineStr">
        <is>
          <t xml:space="preserve">7791599014648       </t>
        </is>
      </c>
      <c r="F3292" t="n">
        <v>4048941</v>
      </c>
      <c r="G3292" t="inlineStr">
        <is>
          <t xml:space="preserve">GL FIDEOS TIRABUZON X500GR TORINO  </t>
        </is>
      </c>
      <c r="H3292" t="inlineStr">
        <is>
          <t xml:space="preserve">UNIDAD              </t>
        </is>
      </c>
      <c r="I3292" t="n">
        <v>5</v>
      </c>
      <c r="J3292" t="n">
        <v>0</v>
      </c>
      <c r="K3292" t="n">
        <v>5</v>
      </c>
      <c r="L3292" t="n">
        <v>0</v>
      </c>
      <c r="M3292" t="n">
        <v>0</v>
      </c>
      <c r="N3292" t="n">
        <v>0</v>
      </c>
      <c r="O3292" t="n">
        <v>0</v>
      </c>
      <c r="P3292" s="96">
        <f>_xlfn.XLOOKUP(Tabla5[[#This Row],[EAN CORREGIDO]],'Tabla Articulos'!B:B,'Tabla Articulos'!D:D)</f>
        <v/>
      </c>
      <c r="Q3292" s="96">
        <f>_xlfn.XLOOKUP(S3292,'Tabla Articulos'!B:B,'Tabla Articulos'!E:E)</f>
        <v/>
      </c>
      <c r="R3292" s="96">
        <f>O3292*Q3292</f>
        <v/>
      </c>
      <c r="S3292" s="97">
        <f>TRIM(E3292)</f>
        <v/>
      </c>
    </row>
    <row r="3293" hidden="1">
      <c r="A3293" s="22" t="n">
        <v>2</v>
      </c>
      <c r="B3293" t="inlineStr">
        <is>
          <t xml:space="preserve">CD CIUDADELA                  </t>
        </is>
      </c>
      <c r="C3293" t="inlineStr">
        <is>
          <t xml:space="preserve">GRUPO L.                      </t>
        </is>
      </c>
      <c r="D3293" t="inlineStr">
        <is>
          <t>POLLO ENTERO T10</t>
        </is>
      </c>
      <c r="E3293" t="inlineStr">
        <is>
          <t xml:space="preserve">7790212031270       </t>
        </is>
      </c>
      <c r="F3293" t="n">
        <v>4017575</v>
      </c>
      <c r="G3293" t="inlineStr">
        <is>
          <t xml:space="preserve">POLLO T10 C XU                     </t>
        </is>
      </c>
      <c r="H3293" t="inlineStr">
        <is>
          <t xml:space="preserve">UNIDAD              </t>
        </is>
      </c>
      <c r="I3293" t="n">
        <v>100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100</v>
      </c>
      <c r="P3293" s="96">
        <f>_xlfn.XLOOKUP(Tabla5[[#This Row],[EAN CORREGIDO]],'Tabla Articulos'!B:B,'Tabla Articulos'!D:D)</f>
        <v/>
      </c>
      <c r="Q3293" s="96">
        <f>_xlfn.XLOOKUP(S3293,'Tabla Articulos'!B:B,'Tabla Articulos'!E:E)</f>
        <v/>
      </c>
      <c r="R3293" s="96">
        <f>O3293*Q3293</f>
        <v/>
      </c>
      <c r="S3293" s="97">
        <f>TRIM(E3293)</f>
        <v/>
      </c>
    </row>
    <row r="3294" hidden="1">
      <c r="A3294" s="22" t="n">
        <v>2</v>
      </c>
      <c r="B3294" t="inlineStr">
        <is>
          <t xml:space="preserve">CD CIUDADELA                  </t>
        </is>
      </c>
      <c r="C3294" t="inlineStr">
        <is>
          <t xml:space="preserve">GRUPO L.                      </t>
        </is>
      </c>
      <c r="D3294" t="inlineStr">
        <is>
          <t>HUEVO PACK</t>
        </is>
      </c>
      <c r="E3294" t="inlineStr">
        <is>
          <t xml:space="preserve">7798158930074       </t>
        </is>
      </c>
      <c r="F3294" t="n">
        <v>4017609</v>
      </c>
      <c r="G3294" t="inlineStr">
        <is>
          <t xml:space="preserve">HUEVO BLANCO PACK X6U              </t>
        </is>
      </c>
      <c r="H3294" t="inlineStr">
        <is>
          <t xml:space="preserve">UNIDAD              </t>
        </is>
      </c>
      <c r="I3294" t="n">
        <v>23399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23399</v>
      </c>
      <c r="P3294" s="96">
        <f>_xlfn.XLOOKUP(Tabla5[[#This Row],[EAN CORREGIDO]],'Tabla Articulos'!B:B,'Tabla Articulos'!D:D)</f>
        <v/>
      </c>
      <c r="Q3294" s="96">
        <f>_xlfn.XLOOKUP(S3294,'Tabla Articulos'!B:B,'Tabla Articulos'!E:E)</f>
        <v/>
      </c>
      <c r="R3294" s="96">
        <f>O3294*Q3294</f>
        <v/>
      </c>
      <c r="S3294" s="97">
        <f>TRIM(E3294)</f>
        <v/>
      </c>
    </row>
    <row r="3295" hidden="1">
      <c r="A3295" s="22" t="n">
        <v>2</v>
      </c>
      <c r="B3295" t="inlineStr">
        <is>
          <t xml:space="preserve">CD CIUDADELA                  </t>
        </is>
      </c>
      <c r="C3295" t="inlineStr">
        <is>
          <t xml:space="preserve">GRUPO L.                      </t>
        </is>
      </c>
      <c r="D3295" t="inlineStr">
        <is>
          <t>TE INTI ZEN</t>
        </is>
      </c>
      <c r="E3295" t="inlineStr">
        <is>
          <t xml:space="preserve">7798104307950       </t>
        </is>
      </c>
      <c r="F3295" t="n">
        <v>4049022</v>
      </c>
      <c r="G3295" t="inlineStr">
        <is>
          <t xml:space="preserve">TE INTIZEN DON JUAN 0.002K X15UN   </t>
        </is>
      </c>
      <c r="H3295" t="inlineStr">
        <is>
          <t xml:space="preserve">UNIDAD              </t>
        </is>
      </c>
      <c r="I3295" t="n">
        <v>32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32</v>
      </c>
      <c r="P3295" s="96">
        <f>_xlfn.XLOOKUP(Tabla5[[#This Row],[EAN CORREGIDO]],'Tabla Articulos'!B:B,'Tabla Articulos'!D:D)</f>
        <v/>
      </c>
      <c r="Q3295" s="96">
        <f>_xlfn.XLOOKUP(S3295,'Tabla Articulos'!B:B,'Tabla Articulos'!E:E)</f>
        <v/>
      </c>
      <c r="R3295" s="96">
        <f>O3295*Q3295</f>
        <v/>
      </c>
      <c r="S3295" s="97">
        <f>TRIM(E3295)</f>
        <v/>
      </c>
    </row>
    <row r="3296" hidden="1">
      <c r="A3296" s="22" t="n">
        <v>2</v>
      </c>
      <c r="B3296" t="inlineStr">
        <is>
          <t xml:space="preserve">CD CIUDADELA                  </t>
        </is>
      </c>
      <c r="C3296" t="inlineStr">
        <is>
          <t xml:space="preserve">GRUPO L.                      </t>
        </is>
      </c>
      <c r="D3296" t="inlineStr">
        <is>
          <t>COFIA DESCARTABLE</t>
        </is>
      </c>
      <c r="E3296" t="inlineStr">
        <is>
          <t xml:space="preserve">17018002A           </t>
        </is>
      </c>
      <c r="F3296" t="n">
        <v>2006779</v>
      </c>
      <c r="G3296" t="inlineStr">
        <is>
          <t xml:space="preserve">COFIAS DESCARTABLES X 100 U        </t>
        </is>
      </c>
      <c r="H3296" t="inlineStr">
        <is>
          <t xml:space="preserve">UNIDAD              </t>
        </is>
      </c>
      <c r="I3296" t="n">
        <v>92</v>
      </c>
      <c r="J3296" t="n">
        <v>0</v>
      </c>
      <c r="K3296" t="n">
        <v>0</v>
      </c>
      <c r="L3296" t="n">
        <v>5</v>
      </c>
      <c r="M3296" t="n">
        <v>5</v>
      </c>
      <c r="N3296" t="n">
        <v>0</v>
      </c>
      <c r="O3296" t="n">
        <v>82</v>
      </c>
      <c r="P3296" s="96">
        <f>_xlfn.XLOOKUP(Tabla5[[#This Row],[EAN CORREGIDO]],'Tabla Articulos'!B:B,'Tabla Articulos'!D:D)</f>
        <v/>
      </c>
      <c r="Q3296" s="96">
        <f>_xlfn.XLOOKUP(S3296,'Tabla Articulos'!B:B,'Tabla Articulos'!E:E)</f>
        <v/>
      </c>
      <c r="R3296" s="96">
        <f>O3296*Q3296</f>
        <v/>
      </c>
      <c r="S3296" s="97">
        <f>TRIM(E3296)</f>
        <v/>
      </c>
    </row>
    <row r="3297" hidden="1">
      <c r="A3297" s="22" t="n">
        <v>2</v>
      </c>
      <c r="B3297" t="inlineStr">
        <is>
          <t xml:space="preserve">CD CIUDADELA                  </t>
        </is>
      </c>
      <c r="C3297" t="inlineStr">
        <is>
          <t xml:space="preserve">GRUPO L.                      </t>
        </is>
      </c>
      <c r="D3297" t="inlineStr">
        <is>
          <t>SEMILLAS LINO</t>
        </is>
      </c>
      <c r="E3297" t="inlineStr">
        <is>
          <t xml:space="preserve">7793323024473       </t>
        </is>
      </c>
      <c r="F3297" t="n">
        <v>4077451</v>
      </c>
      <c r="G3297" t="inlineStr">
        <is>
          <t xml:space="preserve">SEMILLA LINO X1KG DICOMERE         </t>
        </is>
      </c>
      <c r="H3297" t="inlineStr">
        <is>
          <t xml:space="preserve">UNIDAD              </t>
        </is>
      </c>
      <c r="I3297" t="n">
        <v>50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50</v>
      </c>
      <c r="P3297" s="96">
        <f>_xlfn.XLOOKUP(Tabla5[[#This Row],[EAN CORREGIDO]],'Tabla Articulos'!B:B,'Tabla Articulos'!D:D)</f>
        <v/>
      </c>
      <c r="Q3297" s="96">
        <f>_xlfn.XLOOKUP(S3297,'Tabla Articulos'!B:B,'Tabla Articulos'!E:E)</f>
        <v/>
      </c>
      <c r="R3297" s="96">
        <f>O3297*Q3297</f>
        <v/>
      </c>
      <c r="S3297" s="97">
        <f>TRIM(E3297)</f>
        <v/>
      </c>
    </row>
    <row r="3298" hidden="1">
      <c r="A3298" s="22" t="n">
        <v>2</v>
      </c>
      <c r="B3298" t="inlineStr">
        <is>
          <t xml:space="preserve">CD CIUDADELA                  </t>
        </is>
      </c>
      <c r="C3298" t="inlineStr">
        <is>
          <t xml:space="preserve">GRUPO L.                      </t>
        </is>
      </c>
      <c r="D3298" t="inlineStr">
        <is>
          <t>PAN RALLADO</t>
        </is>
      </c>
      <c r="E3298" t="inlineStr">
        <is>
          <t xml:space="preserve">7792590005192       </t>
        </is>
      </c>
      <c r="F3298" t="n">
        <v>4024569</v>
      </c>
      <c r="G3298" t="inlineStr">
        <is>
          <t xml:space="preserve">PAN RALLADO X5KG RAYITO DE SOL     </t>
        </is>
      </c>
      <c r="H3298" t="inlineStr">
        <is>
          <t xml:space="preserve">UNIDAD              </t>
        </is>
      </c>
      <c r="I3298" t="n">
        <v>175</v>
      </c>
      <c r="J3298" t="n">
        <v>0</v>
      </c>
      <c r="K3298" t="n">
        <v>0</v>
      </c>
      <c r="L3298" t="n">
        <v>14</v>
      </c>
      <c r="M3298" t="n">
        <v>14</v>
      </c>
      <c r="N3298" t="n">
        <v>0</v>
      </c>
      <c r="O3298" t="n">
        <v>147</v>
      </c>
      <c r="P3298" s="96">
        <f>_xlfn.XLOOKUP(Tabla5[[#This Row],[EAN CORREGIDO]],'Tabla Articulos'!B:B,'Tabla Articulos'!D:D)</f>
        <v/>
      </c>
      <c r="Q3298" s="96">
        <f>_xlfn.XLOOKUP(S3298,'Tabla Articulos'!B:B,'Tabla Articulos'!E:E)</f>
        <v/>
      </c>
      <c r="R3298" s="96">
        <f>O3298*Q3298</f>
        <v/>
      </c>
      <c r="S3298" s="97">
        <f>TRIM(E3298)</f>
        <v/>
      </c>
    </row>
    <row r="3299" hidden="1">
      <c r="A3299" s="22" t="n">
        <v>2</v>
      </c>
      <c r="B3299" t="inlineStr">
        <is>
          <t xml:space="preserve">CD CIUDADELA                  </t>
        </is>
      </c>
      <c r="C3299" t="inlineStr">
        <is>
          <t xml:space="preserve">GRUPO L.                      </t>
        </is>
      </c>
      <c r="D3299" t="inlineStr">
        <is>
          <t>MANDARINA 90-120</t>
        </is>
      </c>
      <c r="E3299" t="inlineStr">
        <is>
          <t xml:space="preserve">7790216020103       </t>
        </is>
      </c>
      <c r="F3299" t="n">
        <v>4018018</v>
      </c>
      <c r="G3299" t="inlineStr">
        <is>
          <t xml:space="preserve">FRUTA MANDARINA 90-120 XKG         </t>
        </is>
      </c>
      <c r="H3299" t="inlineStr">
        <is>
          <t xml:space="preserve">Kgs                 </t>
        </is>
      </c>
      <c r="I3299" t="n">
        <v>107482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107482</v>
      </c>
      <c r="P3299" s="96">
        <f>_xlfn.XLOOKUP(Tabla5[[#This Row],[EAN CORREGIDO]],'Tabla Articulos'!B:B,'Tabla Articulos'!D:D)</f>
        <v/>
      </c>
      <c r="Q3299" s="96">
        <f>_xlfn.XLOOKUP(S3299,'Tabla Articulos'!B:B,'Tabla Articulos'!E:E)</f>
        <v/>
      </c>
      <c r="R3299" s="96">
        <f>O3299*Q3299</f>
        <v/>
      </c>
      <c r="S3299" s="97">
        <f>TRIM(E3299)</f>
        <v/>
      </c>
    </row>
    <row r="3300" hidden="1">
      <c r="A3300" s="22" t="n">
        <v>2</v>
      </c>
      <c r="B3300" t="inlineStr">
        <is>
          <t xml:space="preserve">CD CIUDADELA                  </t>
        </is>
      </c>
      <c r="C3300" t="inlineStr">
        <is>
          <t xml:space="preserve">GRUPO L.                      </t>
        </is>
      </c>
      <c r="D3300" t="inlineStr">
        <is>
          <t>ALFAJOR SIMPLE BLANCO</t>
        </is>
      </c>
      <c r="E3300" t="inlineStr">
        <is>
          <t xml:space="preserve">77958310            </t>
        </is>
      </c>
      <c r="F3300" t="n">
        <v>4019160</v>
      </c>
      <c r="G3300" t="inlineStr">
        <is>
          <t xml:space="preserve">ALFAJOR BCO X 38 G VIMAR           </t>
        </is>
      </c>
      <c r="H3300" t="inlineStr">
        <is>
          <t xml:space="preserve">UNIDAD              </t>
        </is>
      </c>
      <c r="I3300" t="n">
        <v>3915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3915</v>
      </c>
      <c r="P3300" s="96">
        <f>_xlfn.XLOOKUP(Tabla5[[#This Row],[EAN CORREGIDO]],'Tabla Articulos'!B:B,'Tabla Articulos'!D:D)</f>
        <v/>
      </c>
      <c r="Q3300" s="96">
        <f>_xlfn.XLOOKUP(S3300,'Tabla Articulos'!B:B,'Tabla Articulos'!E:E)</f>
        <v/>
      </c>
      <c r="R3300" s="96">
        <f>O3300*Q3300</f>
        <v/>
      </c>
      <c r="S3300" s="97">
        <f>TRIM(E3300)</f>
        <v/>
      </c>
    </row>
    <row r="3301" hidden="1">
      <c r="A3301" s="22" t="n">
        <v>2</v>
      </c>
      <c r="B3301" t="inlineStr">
        <is>
          <t xml:space="preserve">CD CIUDADELA                  </t>
        </is>
      </c>
      <c r="C3301" t="inlineStr">
        <is>
          <t xml:space="preserve">GRUPO L.                      </t>
        </is>
      </c>
      <c r="D3301" t="inlineStr">
        <is>
          <t>TAPA P/EMP ROTIS</t>
        </is>
      </c>
      <c r="E3301" t="inlineStr">
        <is>
          <t xml:space="preserve">7795711002353       </t>
        </is>
      </c>
      <c r="F3301" t="n">
        <v>4022369</v>
      </c>
      <c r="G3301" t="inlineStr">
        <is>
          <t>TAPA P/EMPANADA ROT X12U VILLA DAGR</t>
        </is>
      </c>
      <c r="H3301" t="inlineStr">
        <is>
          <t xml:space="preserve">UNIDAD              </t>
        </is>
      </c>
      <c r="I3301" t="n">
        <v>1778</v>
      </c>
      <c r="J3301" t="n">
        <v>0</v>
      </c>
      <c r="K3301" t="n">
        <v>877</v>
      </c>
      <c r="L3301" t="n">
        <v>81</v>
      </c>
      <c r="M3301" t="n">
        <v>81</v>
      </c>
      <c r="N3301" t="n">
        <v>0</v>
      </c>
      <c r="O3301" t="n">
        <v>739</v>
      </c>
      <c r="P3301" s="96">
        <f>_xlfn.XLOOKUP(Tabla5[[#This Row],[EAN CORREGIDO]],'Tabla Articulos'!B:B,'Tabla Articulos'!D:D)</f>
        <v/>
      </c>
      <c r="Q3301" s="96">
        <f>_xlfn.XLOOKUP(S3301,'Tabla Articulos'!B:B,'Tabla Articulos'!E:E)</f>
        <v/>
      </c>
      <c r="R3301" s="96">
        <f>O3301*Q3301</f>
        <v/>
      </c>
      <c r="S3301" s="97">
        <f>TRIM(E3301)</f>
        <v/>
      </c>
    </row>
    <row r="3302" hidden="1">
      <c r="A3302" s="22" t="n">
        <v>2</v>
      </c>
      <c r="B3302" t="inlineStr">
        <is>
          <t xml:space="preserve">CD CIUDADELA                  </t>
        </is>
      </c>
      <c r="C3302" t="inlineStr">
        <is>
          <t xml:space="preserve">GRUPO L.                      </t>
        </is>
      </c>
      <c r="D3302" t="inlineStr">
        <is>
          <t>ALMOHADITAS</t>
        </is>
      </c>
      <c r="E3302" t="inlineStr">
        <is>
          <t xml:space="preserve">7791078022713       </t>
        </is>
      </c>
      <c r="F3302" t="n">
        <v>4024323</v>
      </c>
      <c r="G3302" t="inlineStr">
        <is>
          <t>ALMOHADITA AVENA-TRIGO X180G GRANIX</t>
        </is>
      </c>
      <c r="H3302" t="inlineStr">
        <is>
          <t xml:space="preserve">UNIDAD              </t>
        </is>
      </c>
      <c r="I3302" t="n">
        <v>9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9</v>
      </c>
      <c r="P3302" s="96">
        <f>_xlfn.XLOOKUP(Tabla5[[#This Row],[EAN CORREGIDO]],'Tabla Articulos'!B:B,'Tabla Articulos'!D:D)</f>
        <v/>
      </c>
      <c r="Q3302" s="96">
        <f>_xlfn.XLOOKUP(S3302,'Tabla Articulos'!B:B,'Tabla Articulos'!E:E)</f>
        <v/>
      </c>
      <c r="R3302" s="96">
        <f>O3302*Q3302</f>
        <v/>
      </c>
      <c r="S3302" s="97">
        <f>TRIM(E3302)</f>
        <v/>
      </c>
    </row>
    <row r="3303" hidden="1">
      <c r="A3303" s="22" t="n">
        <v>2</v>
      </c>
      <c r="B3303" t="inlineStr">
        <is>
          <t xml:space="preserve">CD CIUDADELA                  </t>
        </is>
      </c>
      <c r="C3303" t="inlineStr">
        <is>
          <t xml:space="preserve">GRUPO L.                      </t>
        </is>
      </c>
      <c r="D3303" t="inlineStr">
        <is>
          <t>CHIPS CHOCOLATE</t>
        </is>
      </c>
      <c r="E3303" t="inlineStr">
        <is>
          <t xml:space="preserve">7791270010280       </t>
        </is>
      </c>
      <c r="F3303" t="n">
        <v>4024588</v>
      </c>
      <c r="G3303" t="inlineStr">
        <is>
          <t xml:space="preserve">CHIPS CHOCOLATE X1KG ALPINO        </t>
        </is>
      </c>
      <c r="H3303" t="inlineStr">
        <is>
          <t xml:space="preserve">UNIDAD              </t>
        </is>
      </c>
      <c r="I3303" t="n">
        <v>30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30</v>
      </c>
      <c r="P3303" s="96">
        <f>_xlfn.XLOOKUP(Tabla5[[#This Row],[EAN CORREGIDO]],'Tabla Articulos'!B:B,'Tabla Articulos'!D:D)</f>
        <v/>
      </c>
      <c r="Q3303" s="96">
        <f>_xlfn.XLOOKUP(S3303,'Tabla Articulos'!B:B,'Tabla Articulos'!E:E)</f>
        <v/>
      </c>
      <c r="R3303" s="96">
        <f>O3303*Q3303</f>
        <v/>
      </c>
      <c r="S3303" s="97">
        <f>TRIM(E3303)</f>
        <v/>
      </c>
    </row>
    <row r="3304" hidden="1">
      <c r="A3304" s="22" t="n">
        <v>2</v>
      </c>
      <c r="B3304" t="inlineStr">
        <is>
          <t xml:space="preserve">CD CIUDADELA                  </t>
        </is>
      </c>
      <c r="C3304" t="inlineStr">
        <is>
          <t xml:space="preserve">GRUPO L.                      </t>
        </is>
      </c>
      <c r="D3304" t="inlineStr">
        <is>
          <t>FILM STREECH</t>
        </is>
      </c>
      <c r="E3304" t="inlineStr">
        <is>
          <t xml:space="preserve">16110000A           </t>
        </is>
      </c>
      <c r="F3304" t="n">
        <v>2006443</v>
      </c>
      <c r="G3304" t="inlineStr">
        <is>
          <t xml:space="preserve">FILM STREECH X ROLLO               </t>
        </is>
      </c>
      <c r="H3304" t="inlineStr">
        <is>
          <t xml:space="preserve">UNIDAD              </t>
        </is>
      </c>
      <c r="I3304" t="n">
        <v>335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335</v>
      </c>
      <c r="P3304" s="96">
        <f>_xlfn.XLOOKUP(Tabla5[[#This Row],[EAN CORREGIDO]],'Tabla Articulos'!B:B,'Tabla Articulos'!D:D)</f>
        <v/>
      </c>
      <c r="Q3304" s="96">
        <f>_xlfn.XLOOKUP(S3304,'Tabla Articulos'!B:B,'Tabla Articulos'!E:E)</f>
        <v/>
      </c>
      <c r="R3304" s="96">
        <f>O3304*Q3304</f>
        <v/>
      </c>
      <c r="S3304" s="97">
        <f>TRIM(E3304)</f>
        <v/>
      </c>
    </row>
    <row r="3305" hidden="1">
      <c r="A3305" s="22" t="n">
        <v>2</v>
      </c>
      <c r="B3305" t="inlineStr">
        <is>
          <t xml:space="preserve">CD CIUDADELA                  </t>
        </is>
      </c>
      <c r="C3305" t="inlineStr">
        <is>
          <t xml:space="preserve">GRUPO L.                      </t>
        </is>
      </c>
      <c r="D3305" t="inlineStr">
        <is>
          <t>AGUA SAB POMELO IND</t>
        </is>
      </c>
      <c r="E3305" t="inlineStr">
        <is>
          <t xml:space="preserve">7790895009228       </t>
        </is>
      </c>
      <c r="F3305" t="n">
        <v>4017195</v>
      </c>
      <c r="G3305" t="inlineStr">
        <is>
          <t xml:space="preserve">AGUA SAB X 600 CC POMEL AQUARI     </t>
        </is>
      </c>
      <c r="H3305" t="inlineStr">
        <is>
          <t xml:space="preserve">UNIDAD              </t>
        </is>
      </c>
      <c r="I3305" t="n">
        <v>4095</v>
      </c>
      <c r="J3305" t="n">
        <v>0</v>
      </c>
      <c r="K3305" t="n">
        <v>0</v>
      </c>
      <c r="L3305" t="n">
        <v>230</v>
      </c>
      <c r="M3305" t="n">
        <v>230</v>
      </c>
      <c r="N3305" t="n">
        <v>0</v>
      </c>
      <c r="O3305" t="n">
        <v>3635</v>
      </c>
      <c r="P3305" s="96">
        <f>_xlfn.XLOOKUP(Tabla5[[#This Row],[EAN CORREGIDO]],'Tabla Articulos'!B:B,'Tabla Articulos'!D:D)</f>
        <v/>
      </c>
      <c r="Q3305" s="96">
        <f>_xlfn.XLOOKUP(S3305,'Tabla Articulos'!B:B,'Tabla Articulos'!E:E)</f>
        <v/>
      </c>
      <c r="R3305" s="96">
        <f>O3305*Q3305</f>
        <v/>
      </c>
      <c r="S3305" s="97">
        <f>TRIM(E3305)</f>
        <v/>
      </c>
    </row>
    <row r="3306" hidden="1">
      <c r="A3306" s="22" t="n">
        <v>2</v>
      </c>
      <c r="B3306" t="inlineStr">
        <is>
          <t xml:space="preserve">CD CIUDADELA                  </t>
        </is>
      </c>
      <c r="C3306" t="inlineStr">
        <is>
          <t xml:space="preserve">GRUPO L.                      </t>
        </is>
      </c>
      <c r="D3306" t="inlineStr">
        <is>
          <t>HARINA INTEGRAL</t>
        </is>
      </c>
      <c r="E3306" t="inlineStr">
        <is>
          <t xml:space="preserve">7792612000730       </t>
        </is>
      </c>
      <c r="F3306" t="n">
        <v>4022375</v>
      </c>
      <c r="G3306" t="inlineStr">
        <is>
          <t xml:space="preserve">HARINA INTEGRAL TASSARA X1KG       </t>
        </is>
      </c>
      <c r="H3306" t="inlineStr">
        <is>
          <t xml:space="preserve">UNIDAD              </t>
        </is>
      </c>
      <c r="I3306" t="n">
        <v>686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686</v>
      </c>
      <c r="P3306" s="96">
        <f>_xlfn.XLOOKUP(Tabla5[[#This Row],[EAN CORREGIDO]],'Tabla Articulos'!B:B,'Tabla Articulos'!D:D)</f>
        <v/>
      </c>
      <c r="Q3306" s="96">
        <f>_xlfn.XLOOKUP(S3306,'Tabla Articulos'!B:B,'Tabla Articulos'!E:E)</f>
        <v/>
      </c>
      <c r="R3306" s="96">
        <f>O3306*Q3306</f>
        <v/>
      </c>
      <c r="S3306" s="97">
        <f>TRIM(E3306)</f>
        <v/>
      </c>
    </row>
    <row r="3307" hidden="1">
      <c r="A3307" s="22" t="n">
        <v>2</v>
      </c>
      <c r="B3307" t="inlineStr">
        <is>
          <t xml:space="preserve">CD CIUDADELA                  </t>
        </is>
      </c>
      <c r="C3307" t="inlineStr">
        <is>
          <t xml:space="preserve">GRUPO L.                      </t>
        </is>
      </c>
      <c r="D3307" t="inlineStr">
        <is>
          <t>PAN CONGELADO</t>
        </is>
      </c>
      <c r="E3307" t="inlineStr">
        <is>
          <t xml:space="preserve">17792180005813      </t>
        </is>
      </c>
      <c r="F3307" t="n">
        <v>4077145</v>
      </c>
      <c r="G3307" t="inlineStr">
        <is>
          <t xml:space="preserve">MEDIA BAGUETTE CONG X125G CANUELAS </t>
        </is>
      </c>
      <c r="H3307" t="inlineStr">
        <is>
          <t xml:space="preserve">UNIDAD              </t>
        </is>
      </c>
      <c r="I3307" t="n">
        <v>10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10</v>
      </c>
      <c r="P3307" s="96">
        <f>_xlfn.XLOOKUP(Tabla5[[#This Row],[EAN CORREGIDO]],'Tabla Articulos'!B:B,'Tabla Articulos'!D:D)</f>
        <v/>
      </c>
      <c r="Q3307" s="96">
        <f>_xlfn.XLOOKUP(S3307,'Tabla Articulos'!B:B,'Tabla Articulos'!E:E)</f>
        <v/>
      </c>
      <c r="R3307" s="96">
        <f>O3307*Q3307</f>
        <v/>
      </c>
      <c r="S3307" s="97">
        <f>TRIM(E3307)</f>
        <v/>
      </c>
    </row>
    <row r="3308" hidden="1">
      <c r="A3308" s="22" t="n">
        <v>2</v>
      </c>
      <c r="B3308" t="inlineStr">
        <is>
          <t xml:space="preserve">CD CIUDADELA                  </t>
        </is>
      </c>
      <c r="C3308" t="inlineStr">
        <is>
          <t xml:space="preserve">GRUPO L.                      </t>
        </is>
      </c>
      <c r="D3308" t="inlineStr">
        <is>
          <t>CHAUCHA</t>
        </is>
      </c>
      <c r="E3308" t="inlineStr">
        <is>
          <t xml:space="preserve">7790216012619       </t>
        </is>
      </c>
      <c r="F3308" t="n">
        <v>4018073</v>
      </c>
      <c r="G3308" t="inlineStr">
        <is>
          <t xml:space="preserve">CHAUCHA X KG                       </t>
        </is>
      </c>
      <c r="H3308" t="inlineStr">
        <is>
          <t xml:space="preserve">Kgs                 </t>
        </is>
      </c>
      <c r="I3308" t="n">
        <v>256.405</v>
      </c>
      <c r="J3308" t="n">
        <v>0</v>
      </c>
      <c r="K3308" t="n">
        <v>30</v>
      </c>
      <c r="L3308" t="n">
        <v>14</v>
      </c>
      <c r="M3308" t="n">
        <v>31.25</v>
      </c>
      <c r="N3308" t="n">
        <v>0</v>
      </c>
      <c r="O3308" t="n">
        <v>181.155</v>
      </c>
      <c r="P3308" s="96">
        <f>_xlfn.XLOOKUP(Tabla5[[#This Row],[EAN CORREGIDO]],'Tabla Articulos'!B:B,'Tabla Articulos'!D:D)</f>
        <v/>
      </c>
      <c r="Q3308" s="96">
        <f>_xlfn.XLOOKUP(S3308,'Tabla Articulos'!B:B,'Tabla Articulos'!E:E)</f>
        <v/>
      </c>
      <c r="R3308" s="96">
        <f>O3308*Q3308</f>
        <v/>
      </c>
      <c r="S3308" s="97">
        <f>TRIM(E3308)</f>
        <v/>
      </c>
    </row>
    <row r="3309" hidden="1">
      <c r="A3309" s="22" t="n">
        <v>2</v>
      </c>
      <c r="B3309" t="inlineStr">
        <is>
          <t xml:space="preserve">CD CIUDADELA                  </t>
        </is>
      </c>
      <c r="C3309" t="inlineStr">
        <is>
          <t xml:space="preserve">GRUPO L.                      </t>
        </is>
      </c>
      <c r="D3309" t="inlineStr">
        <is>
          <t>GELATINA CEREZA</t>
        </is>
      </c>
      <c r="E3309" t="inlineStr">
        <is>
          <t xml:space="preserve">7790971000903       </t>
        </is>
      </c>
      <c r="F3309" t="n">
        <v>4019601</v>
      </c>
      <c r="G3309" t="inlineStr">
        <is>
          <t xml:space="preserve">GELATINA CEREZA X 5KG ORLOC        </t>
        </is>
      </c>
      <c r="H3309" t="inlineStr">
        <is>
          <t xml:space="preserve">UNIDAD              </t>
        </is>
      </c>
      <c r="I3309" t="n">
        <v>32</v>
      </c>
      <c r="J3309" t="n">
        <v>0</v>
      </c>
      <c r="K3309" t="n">
        <v>0</v>
      </c>
      <c r="L3309" t="n">
        <v>2</v>
      </c>
      <c r="M3309" t="n">
        <v>2</v>
      </c>
      <c r="N3309" t="n">
        <v>0</v>
      </c>
      <c r="O3309" t="n">
        <v>28</v>
      </c>
      <c r="P3309" s="96">
        <f>_xlfn.XLOOKUP(Tabla5[[#This Row],[EAN CORREGIDO]],'Tabla Articulos'!B:B,'Tabla Articulos'!D:D)</f>
        <v/>
      </c>
      <c r="Q3309" s="96">
        <f>_xlfn.XLOOKUP(S3309,'Tabla Articulos'!B:B,'Tabla Articulos'!E:E)</f>
        <v/>
      </c>
      <c r="R3309" s="96">
        <f>O3309*Q3309</f>
        <v/>
      </c>
      <c r="S3309" s="97">
        <f>TRIM(E3309)</f>
        <v/>
      </c>
    </row>
    <row r="3310" hidden="1">
      <c r="A3310" s="22" t="n">
        <v>2</v>
      </c>
      <c r="B3310" t="inlineStr">
        <is>
          <t xml:space="preserve">CD CIUDADELA                  </t>
        </is>
      </c>
      <c r="C3310" t="inlineStr">
        <is>
          <t xml:space="preserve">GRUPO L.                      </t>
        </is>
      </c>
      <c r="D3310" t="inlineStr">
        <is>
          <t>LOCRO</t>
        </is>
      </c>
      <c r="E3310" t="inlineStr">
        <is>
          <t xml:space="preserve">7798156760994       </t>
        </is>
      </c>
      <c r="F3310" t="n">
        <v>4020809</v>
      </c>
      <c r="G3310" t="inlineStr">
        <is>
          <t xml:space="preserve">CARBONADA X500GR SABORES DEL VALLE </t>
        </is>
      </c>
      <c r="H3310" t="inlineStr">
        <is>
          <t xml:space="preserve">UNIDAD              </t>
        </is>
      </c>
      <c r="I3310" t="n">
        <v>4584</v>
      </c>
      <c r="J3310" t="n">
        <v>0</v>
      </c>
      <c r="K3310" t="n">
        <v>0</v>
      </c>
      <c r="L3310" t="n">
        <v>25</v>
      </c>
      <c r="M3310" t="n">
        <v>25</v>
      </c>
      <c r="N3310" t="n">
        <v>0</v>
      </c>
      <c r="O3310" t="n">
        <v>4534</v>
      </c>
      <c r="P3310" s="96">
        <f>_xlfn.XLOOKUP(Tabla5[[#This Row],[EAN CORREGIDO]],'Tabla Articulos'!B:B,'Tabla Articulos'!D:D)</f>
        <v/>
      </c>
      <c r="Q3310" s="96">
        <f>_xlfn.XLOOKUP(S3310,'Tabla Articulos'!B:B,'Tabla Articulos'!E:E)</f>
        <v/>
      </c>
      <c r="R3310" s="96">
        <f>O3310*Q3310</f>
        <v/>
      </c>
      <c r="S3310" s="97">
        <f>TRIM(E3310)</f>
        <v/>
      </c>
    </row>
    <row r="3311" hidden="1">
      <c r="A3311" s="22" t="n">
        <v>2</v>
      </c>
      <c r="B3311" t="inlineStr">
        <is>
          <t xml:space="preserve">CD CIUDADELA                  </t>
        </is>
      </c>
      <c r="C3311" t="inlineStr">
        <is>
          <t xml:space="preserve">GRUPO L.                      </t>
        </is>
      </c>
      <c r="D3311" t="inlineStr">
        <is>
          <t>ZANAHORIA</t>
        </is>
      </c>
      <c r="E3311" t="inlineStr">
        <is>
          <t xml:space="preserve">7790216010122       </t>
        </is>
      </c>
      <c r="F3311" t="n">
        <v>4018042</v>
      </c>
      <c r="G3311" t="inlineStr">
        <is>
          <t xml:space="preserve">ZANAHORIA X KG                     </t>
        </is>
      </c>
      <c r="H3311" t="inlineStr">
        <is>
          <t xml:space="preserve">Kgs                 </t>
        </is>
      </c>
      <c r="I3311" t="n">
        <v>5444.305</v>
      </c>
      <c r="J3311" t="n">
        <v>0</v>
      </c>
      <c r="K3311" t="n">
        <v>0</v>
      </c>
      <c r="L3311" t="n">
        <v>1710.42</v>
      </c>
      <c r="M3311" t="n">
        <v>2308.275</v>
      </c>
      <c r="N3311" t="n">
        <v>0</v>
      </c>
      <c r="O3311" t="n">
        <v>1425.61</v>
      </c>
      <c r="P3311" s="96">
        <f>_xlfn.XLOOKUP(Tabla5[[#This Row],[EAN CORREGIDO]],'Tabla Articulos'!B:B,'Tabla Articulos'!D:D)</f>
        <v/>
      </c>
      <c r="Q3311" s="96">
        <f>_xlfn.XLOOKUP(S3311,'Tabla Articulos'!B:B,'Tabla Articulos'!E:E)</f>
        <v/>
      </c>
      <c r="R3311" s="96">
        <f>O3311*Q3311</f>
        <v/>
      </c>
      <c r="S3311" s="97">
        <f>TRIM(E3311)</f>
        <v/>
      </c>
    </row>
    <row r="3312" hidden="1">
      <c r="A3312" s="22" t="n">
        <v>2</v>
      </c>
      <c r="B3312" t="inlineStr">
        <is>
          <t xml:space="preserve">CD CIUDADELA                  </t>
        </is>
      </c>
      <c r="C3312" t="inlineStr">
        <is>
          <t xml:space="preserve">GRUPO L.                      </t>
        </is>
      </c>
      <c r="D3312" t="inlineStr">
        <is>
          <t>QUESO RALLADO IND</t>
        </is>
      </c>
      <c r="E3312" t="inlineStr">
        <is>
          <t xml:space="preserve">7798107181601       </t>
        </is>
      </c>
      <c r="F3312" t="n">
        <v>4023521</v>
      </c>
      <c r="G3312" t="inlineStr">
        <is>
          <t xml:space="preserve">QUESO RALLADO INDIV X100U SNCARL   </t>
        </is>
      </c>
      <c r="H3312" t="inlineStr">
        <is>
          <t xml:space="preserve">UNIDAD              </t>
        </is>
      </c>
      <c r="I3312" t="n">
        <v>234</v>
      </c>
      <c r="J3312" t="n">
        <v>0</v>
      </c>
      <c r="K3312" t="n">
        <v>0</v>
      </c>
      <c r="L3312" t="n">
        <v>11</v>
      </c>
      <c r="M3312" t="n">
        <v>11</v>
      </c>
      <c r="N3312" t="n">
        <v>0</v>
      </c>
      <c r="O3312" t="n">
        <v>212</v>
      </c>
      <c r="P3312" s="96">
        <f>_xlfn.XLOOKUP(Tabla5[[#This Row],[EAN CORREGIDO]],'Tabla Articulos'!B:B,'Tabla Articulos'!D:D)</f>
        <v/>
      </c>
      <c r="Q3312" s="96">
        <f>_xlfn.XLOOKUP(S3312,'Tabla Articulos'!B:B,'Tabla Articulos'!E:E)</f>
        <v/>
      </c>
      <c r="R3312" s="96">
        <f>O3312*Q3312</f>
        <v/>
      </c>
      <c r="S3312" s="97">
        <f>TRIM(E3312)</f>
        <v/>
      </c>
    </row>
    <row r="3313" hidden="1">
      <c r="A3313" s="22" t="n">
        <v>2</v>
      </c>
      <c r="B3313" t="inlineStr">
        <is>
          <t xml:space="preserve">CD CIUDADELA                  </t>
        </is>
      </c>
      <c r="C3313" t="inlineStr">
        <is>
          <t xml:space="preserve">GRUPO L.                      </t>
        </is>
      </c>
      <c r="D3313" t="inlineStr">
        <is>
          <t>MERMELADA LIGHT INDIV</t>
        </is>
      </c>
      <c r="E3313" t="inlineStr">
        <is>
          <t xml:space="preserve">7798011977000       </t>
        </is>
      </c>
      <c r="F3313" t="n">
        <v>4020555</v>
      </c>
      <c r="G3313" t="inlineStr">
        <is>
          <t xml:space="preserve">MERM IND DIET DUZ X17GX108U AB     </t>
        </is>
      </c>
      <c r="H3313" t="inlineStr">
        <is>
          <t xml:space="preserve">UNIDAD              </t>
        </is>
      </c>
      <c r="I3313" t="n">
        <v>180</v>
      </c>
      <c r="J3313" t="n">
        <v>0</v>
      </c>
      <c r="K3313" t="n">
        <v>0</v>
      </c>
      <c r="L3313" t="n">
        <v>20</v>
      </c>
      <c r="M3313" t="n">
        <v>21</v>
      </c>
      <c r="N3313" t="n">
        <v>0</v>
      </c>
      <c r="O3313" t="n">
        <v>139</v>
      </c>
      <c r="P3313" s="96">
        <f>_xlfn.XLOOKUP(Tabla5[[#This Row],[EAN CORREGIDO]],'Tabla Articulos'!B:B,'Tabla Articulos'!D:D)</f>
        <v/>
      </c>
      <c r="Q3313" s="96">
        <f>_xlfn.XLOOKUP(S3313,'Tabla Articulos'!B:B,'Tabla Articulos'!E:E)</f>
        <v/>
      </c>
      <c r="R3313" s="96">
        <f>O3313*Q3313</f>
        <v/>
      </c>
      <c r="S3313" s="97">
        <f>TRIM(E3313)</f>
        <v/>
      </c>
    </row>
    <row r="3314" hidden="1">
      <c r="A3314" s="22" t="n">
        <v>2</v>
      </c>
      <c r="B3314" t="inlineStr">
        <is>
          <t xml:space="preserve">CD CIUDADELA                  </t>
        </is>
      </c>
      <c r="C3314" t="inlineStr">
        <is>
          <t xml:space="preserve">GRUPO L.                      </t>
        </is>
      </c>
      <c r="D3314" t="inlineStr">
        <is>
          <t>GASEOSA NARANJA INDIVIDUAL</t>
        </is>
      </c>
      <c r="E3314" t="inlineStr">
        <is>
          <t xml:space="preserve">7790895650888       </t>
        </is>
      </c>
      <c r="F3314" t="n">
        <v>4023915</v>
      </c>
      <c r="G3314" t="inlineStr">
        <is>
          <t xml:space="preserve">GAS FANTA 600CC                    </t>
        </is>
      </c>
      <c r="H3314" t="inlineStr">
        <is>
          <t xml:space="preserve">UNIDAD              </t>
        </is>
      </c>
      <c r="I3314" t="n">
        <v>1947</v>
      </c>
      <c r="J3314" t="n">
        <v>0</v>
      </c>
      <c r="K3314" t="n">
        <v>0</v>
      </c>
      <c r="L3314" t="n">
        <v>306</v>
      </c>
      <c r="M3314" t="n">
        <v>306</v>
      </c>
      <c r="N3314" t="n">
        <v>0</v>
      </c>
      <c r="O3314" t="n">
        <v>1335</v>
      </c>
      <c r="P3314" s="96">
        <f>_xlfn.XLOOKUP(Tabla5[[#This Row],[EAN CORREGIDO]],'Tabla Articulos'!B:B,'Tabla Articulos'!D:D)</f>
        <v/>
      </c>
      <c r="Q3314" s="96">
        <f>_xlfn.XLOOKUP(S3314,'Tabla Articulos'!B:B,'Tabla Articulos'!E:E)</f>
        <v/>
      </c>
      <c r="R3314" s="96">
        <f>O3314*Q3314</f>
        <v/>
      </c>
      <c r="S3314" s="97">
        <f>TRIM(E3314)</f>
        <v/>
      </c>
    </row>
    <row r="3315" hidden="1">
      <c r="A3315" s="22" t="n">
        <v>2</v>
      </c>
      <c r="B3315" t="inlineStr">
        <is>
          <t xml:space="preserve">CD CIUDADELA                  </t>
        </is>
      </c>
      <c r="C3315" t="inlineStr">
        <is>
          <t xml:space="preserve">GRUPO L.                      </t>
        </is>
      </c>
      <c r="D3315" t="inlineStr">
        <is>
          <t>OREGANO S/TACC</t>
        </is>
      </c>
      <c r="E3315" t="inlineStr">
        <is>
          <t xml:space="preserve">7790150540183       </t>
        </is>
      </c>
      <c r="F3315" t="n">
        <v>4019338</v>
      </c>
      <c r="G3315" t="inlineStr">
        <is>
          <t xml:space="preserve">OREGANO X25G ALICANTE              </t>
        </is>
      </c>
      <c r="H3315" t="inlineStr">
        <is>
          <t xml:space="preserve">UNIDAD              </t>
        </is>
      </c>
      <c r="I3315" t="n">
        <v>115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115</v>
      </c>
      <c r="P3315" s="96">
        <f>_xlfn.XLOOKUP(Tabla5[[#This Row],[EAN CORREGIDO]],'Tabla Articulos'!B:B,'Tabla Articulos'!D:D)</f>
        <v/>
      </c>
      <c r="Q3315" s="96">
        <f>_xlfn.XLOOKUP(S3315,'Tabla Articulos'!B:B,'Tabla Articulos'!E:E)</f>
        <v/>
      </c>
      <c r="R3315" s="96">
        <f>O3315*Q3315</f>
        <v/>
      </c>
      <c r="S3315" s="97">
        <f>TRIM(E3315)</f>
        <v/>
      </c>
    </row>
    <row r="3316" hidden="1">
      <c r="A3316" s="22" t="n">
        <v>2</v>
      </c>
      <c r="B3316" s="11" t="inlineStr">
        <is>
          <t xml:space="preserve">CD CIUDADELA                  </t>
        </is>
      </c>
      <c r="C3316" s="11" t="inlineStr">
        <is>
          <t xml:space="preserve">GRUPO L.                      </t>
        </is>
      </c>
      <c r="D3316" t="inlineStr">
        <is>
          <t>EDULCORANTE LIQUIDO</t>
        </is>
      </c>
      <c r="E3316" s="11" t="inlineStr">
        <is>
          <t xml:space="preserve">7792180141859       </t>
        </is>
      </c>
      <c r="F3316" s="11" t="n">
        <v>4019976</v>
      </c>
      <c r="G3316" s="11" t="inlineStr">
        <is>
          <t xml:space="preserve">EDULCORANTE LIQ X200CC CAÑUELAS	   </t>
        </is>
      </c>
      <c r="H3316" s="11" t="inlineStr">
        <is>
          <t xml:space="preserve">UNIDAD              </t>
        </is>
      </c>
      <c r="I3316" s="11" t="n">
        <v>167</v>
      </c>
      <c r="J3316" s="11" t="n">
        <v>0</v>
      </c>
      <c r="K3316" s="11" t="n">
        <v>0</v>
      </c>
      <c r="L3316" s="11" t="n">
        <v>5</v>
      </c>
      <c r="M3316" s="11" t="n">
        <v>5</v>
      </c>
      <c r="N3316" s="11" t="n">
        <v>0</v>
      </c>
      <c r="O3316" s="11" t="n">
        <v>157</v>
      </c>
      <c r="P3316" s="96">
        <f>_xlfn.XLOOKUP(Tabla5[[#This Row],[EAN CORREGIDO]],'Tabla Articulos'!B:B,'Tabla Articulos'!D:D)</f>
        <v/>
      </c>
      <c r="Q3316" s="96">
        <f>_xlfn.XLOOKUP(S3316,'Tabla Articulos'!B:B,'Tabla Articulos'!E:E)</f>
        <v/>
      </c>
      <c r="R3316" s="96">
        <f>O3316*Q3316</f>
        <v/>
      </c>
      <c r="S3316" s="97">
        <f>TRIM(E3316)</f>
        <v/>
      </c>
    </row>
    <row r="3317" hidden="1">
      <c r="A3317" s="22" t="n">
        <v>2</v>
      </c>
      <c r="B3317" s="11" t="inlineStr">
        <is>
          <t xml:space="preserve">CD CIUDADELA                  </t>
        </is>
      </c>
      <c r="C3317" s="11" t="inlineStr">
        <is>
          <t xml:space="preserve">GRUPO L.                      </t>
        </is>
      </c>
      <c r="D3317" s="11" t="inlineStr">
        <is>
          <t>LATA DE CERVEZA</t>
        </is>
      </c>
      <c r="E3317" s="11" t="inlineStr">
        <is>
          <t xml:space="preserve">7792798012923       </t>
        </is>
      </c>
      <c r="F3317" s="11" t="n">
        <v>4017299</v>
      </c>
      <c r="G3317" s="11" t="inlineStr">
        <is>
          <t xml:space="preserve">CERVEZA X 473CC QUILMES	           </t>
        </is>
      </c>
      <c r="H3317" s="11" t="inlineStr">
        <is>
          <t xml:space="preserve">UNIDAD              </t>
        </is>
      </c>
      <c r="I3317" s="11" t="n">
        <v>8</v>
      </c>
      <c r="J3317" s="11" t="n">
        <v>0</v>
      </c>
      <c r="K3317" s="11" t="n">
        <v>0</v>
      </c>
      <c r="L3317" s="11" t="n">
        <v>0</v>
      </c>
      <c r="M3317" s="11" t="n">
        <v>0</v>
      </c>
      <c r="N3317" s="11" t="n">
        <v>0</v>
      </c>
      <c r="O3317" s="11" t="n">
        <v>8</v>
      </c>
      <c r="P3317" s="96">
        <f>_xlfn.XLOOKUP(Tabla5[[#This Row],[EAN CORREGIDO]],'Tabla Articulos'!B:B,'Tabla Articulos'!D:D)</f>
        <v/>
      </c>
      <c r="Q3317" s="96">
        <f>_xlfn.XLOOKUP(S3317,'Tabla Articulos'!B:B,'Tabla Articulos'!E:E)</f>
        <v/>
      </c>
      <c r="R3317" s="96">
        <f>O3317*Q3317</f>
        <v/>
      </c>
      <c r="S3317" s="97">
        <f>TRIM(E3317)</f>
        <v/>
      </c>
    </row>
    <row r="3318" hidden="1">
      <c r="A3318" s="22" t="n">
        <v>2</v>
      </c>
      <c r="B3318" s="11" t="inlineStr">
        <is>
          <t xml:space="preserve">CD CIUDADELA                  </t>
        </is>
      </c>
      <c r="C3318" s="11" t="inlineStr">
        <is>
          <t xml:space="preserve">GRUPO L.                      </t>
        </is>
      </c>
      <c r="D3318" s="11" t="inlineStr">
        <is>
          <t>LECHE POLVO ENTERA</t>
        </is>
      </c>
      <c r="E3318" s="11" t="inlineStr">
        <is>
          <t xml:space="preserve">7798001562964       </t>
        </is>
      </c>
      <c r="F3318" s="11" t="n">
        <v>4022674</v>
      </c>
      <c r="G3318" s="11" t="inlineStr">
        <is>
          <t xml:space="preserve">LECHE POLVO ENT 400G CREMIGA       </t>
        </is>
      </c>
      <c r="H3318" s="11" t="inlineStr">
        <is>
          <t xml:space="preserve">UNIDAD              </t>
        </is>
      </c>
      <c r="I3318" s="11" t="n">
        <v>235</v>
      </c>
      <c r="J3318" s="11" t="n">
        <v>0</v>
      </c>
      <c r="K3318" s="11" t="n">
        <v>0</v>
      </c>
      <c r="L3318" s="11" t="n">
        <v>0</v>
      </c>
      <c r="M3318" s="11" t="n">
        <v>0</v>
      </c>
      <c r="N3318" s="11" t="n">
        <v>0</v>
      </c>
      <c r="O3318" s="11" t="n">
        <v>235</v>
      </c>
      <c r="P3318" s="96">
        <f>_xlfn.XLOOKUP(Tabla5[[#This Row],[EAN CORREGIDO]],'Tabla Articulos'!B:B,'Tabla Articulos'!D:D)</f>
        <v/>
      </c>
      <c r="Q3318" s="96">
        <f>_xlfn.XLOOKUP(S3318,'Tabla Articulos'!B:B,'Tabla Articulos'!E:E)</f>
        <v/>
      </c>
      <c r="R3318" s="96">
        <f>O3318*Q3318</f>
        <v/>
      </c>
      <c r="S3318" s="97">
        <f>TRIM(E3318)</f>
        <v/>
      </c>
    </row>
    <row r="3319" hidden="1">
      <c r="A3319" s="22" t="n">
        <v>2</v>
      </c>
      <c r="B3319" s="11" t="inlineStr">
        <is>
          <t xml:space="preserve">CD CIUDADELA                  </t>
        </is>
      </c>
      <c r="C3319" s="11" t="inlineStr">
        <is>
          <t xml:space="preserve">GRUPO L.                      </t>
        </is>
      </c>
      <c r="D3319" s="11" t="inlineStr">
        <is>
          <t>AZUCAR NEGRA</t>
        </is>
      </c>
      <c r="E3319" s="11" t="inlineStr">
        <is>
          <t xml:space="preserve">7798104880286       </t>
        </is>
      </c>
      <c r="F3319" s="11" t="n">
        <v>4020567</v>
      </c>
      <c r="G3319" s="11" t="inlineStr">
        <is>
          <t xml:space="preserve">AZUCAR NEGRA X1KG DEWEY            </t>
        </is>
      </c>
      <c r="H3319" s="11" t="inlineStr">
        <is>
          <t xml:space="preserve">UNIDAD              </t>
        </is>
      </c>
      <c r="I3319" s="11" t="n">
        <v>23</v>
      </c>
      <c r="J3319" s="11" t="n">
        <v>0</v>
      </c>
      <c r="K3319" s="11" t="n">
        <v>0</v>
      </c>
      <c r="L3319" s="11" t="n">
        <v>2</v>
      </c>
      <c r="M3319" s="11" t="n">
        <v>2</v>
      </c>
      <c r="N3319" s="11" t="n">
        <v>0</v>
      </c>
      <c r="O3319" s="11" t="n">
        <v>19</v>
      </c>
      <c r="P3319" s="96">
        <f>_xlfn.XLOOKUP(Tabla5[[#This Row],[EAN CORREGIDO]],'Tabla Articulos'!B:B,'Tabla Articulos'!D:D)</f>
        <v/>
      </c>
      <c r="Q3319" s="96">
        <f>_xlfn.XLOOKUP(S3319,'Tabla Articulos'!B:B,'Tabla Articulos'!E:E)</f>
        <v/>
      </c>
      <c r="R3319" s="96">
        <f>O3319*Q3319</f>
        <v/>
      </c>
      <c r="S3319" s="97">
        <f>TRIM(E3319)</f>
        <v/>
      </c>
    </row>
    <row r="3320" hidden="1">
      <c r="A3320" s="22" t="n">
        <v>2</v>
      </c>
      <c r="B3320" s="11" t="inlineStr">
        <is>
          <t xml:space="preserve">CD CIUDADELA                  </t>
        </is>
      </c>
      <c r="C3320" s="11" t="inlineStr">
        <is>
          <t xml:space="preserve">GRUPO L.                      </t>
        </is>
      </c>
      <c r="D3320" s="11" t="inlineStr">
        <is>
          <t>MADALENA IND RELL</t>
        </is>
      </c>
      <c r="E3320" s="11" t="inlineStr">
        <is>
          <t xml:space="preserve">47790726000408      </t>
        </is>
      </c>
      <c r="F3320" s="11" t="n">
        <v>4019501</v>
      </c>
      <c r="G3320" s="11" t="inlineStr">
        <is>
          <t xml:space="preserve">MADALENAS X 32 G DULCYPAS RELL     </t>
        </is>
      </c>
      <c r="H3320" s="11" t="inlineStr">
        <is>
          <t xml:space="preserve">UNIDAD              </t>
        </is>
      </c>
      <c r="I3320" s="11" t="n">
        <v>6087</v>
      </c>
      <c r="J3320" s="11" t="n">
        <v>0</v>
      </c>
      <c r="K3320" s="11" t="n">
        <v>0</v>
      </c>
      <c r="L3320" s="11" t="n">
        <v>0</v>
      </c>
      <c r="M3320" s="11" t="n">
        <v>0</v>
      </c>
      <c r="N3320" s="11" t="n">
        <v>0</v>
      </c>
      <c r="O3320" s="11" t="n">
        <v>6087</v>
      </c>
      <c r="P3320" s="96">
        <f>_xlfn.XLOOKUP(Tabla5[[#This Row],[EAN CORREGIDO]],'Tabla Articulos'!B:B,'Tabla Articulos'!D:D)</f>
        <v/>
      </c>
      <c r="Q3320" s="96">
        <f>_xlfn.XLOOKUP(S3320,'Tabla Articulos'!B:B,'Tabla Articulos'!E:E)</f>
        <v/>
      </c>
      <c r="R3320" s="96">
        <f>O3320*Q3320</f>
        <v/>
      </c>
      <c r="S3320" s="97">
        <f>TRIM(E3320)</f>
        <v/>
      </c>
    </row>
    <row r="3321" hidden="1">
      <c r="A3321" s="22" t="n">
        <v>2</v>
      </c>
      <c r="B3321" s="11" t="inlineStr">
        <is>
          <t xml:space="preserve">CD CIUDADELA                  </t>
        </is>
      </c>
      <c r="C3321" s="11" t="inlineStr">
        <is>
          <t xml:space="preserve">GRUPO L.                      </t>
        </is>
      </c>
      <c r="D3321" s="11" t="inlineStr">
        <is>
          <t>CARNE ENTERA</t>
        </is>
      </c>
      <c r="E3321" s="11" t="inlineStr">
        <is>
          <t xml:space="preserve">7790212031242       </t>
        </is>
      </c>
      <c r="F3321" s="11" t="n">
        <v>4017782</v>
      </c>
      <c r="G3321" s="11" t="inlineStr">
        <is>
          <t xml:space="preserve">CUADRADA X KG                      </t>
        </is>
      </c>
      <c r="H3321" s="11" t="inlineStr">
        <is>
          <t xml:space="preserve">Kgs                 </t>
        </is>
      </c>
      <c r="I3321" s="11" t="n">
        <v>543.84</v>
      </c>
      <c r="J3321" s="11" t="n">
        <v>523.12</v>
      </c>
      <c r="K3321" s="11" t="n">
        <v>523.12</v>
      </c>
      <c r="L3321" s="11" t="n">
        <v>63.65</v>
      </c>
      <c r="M3321" s="11" t="n">
        <v>63.65</v>
      </c>
      <c r="N3321" s="11" t="n">
        <v>0</v>
      </c>
      <c r="O3321" s="11" t="n">
        <v>416.54</v>
      </c>
      <c r="P3321" s="96">
        <f>_xlfn.XLOOKUP(Tabla5[[#This Row],[EAN CORREGIDO]],'Tabla Articulos'!B:B,'Tabla Articulos'!D:D)</f>
        <v/>
      </c>
      <c r="Q3321" s="96">
        <f>_xlfn.XLOOKUP(S3321,'Tabla Articulos'!B:B,'Tabla Articulos'!E:E)</f>
        <v/>
      </c>
      <c r="R3321" s="96">
        <f>O3321*Q3321</f>
        <v/>
      </c>
      <c r="S3321" s="97">
        <f>TRIM(E3321)</f>
        <v/>
      </c>
    </row>
    <row r="3322" hidden="1">
      <c r="A3322" s="22" t="n">
        <v>2</v>
      </c>
      <c r="B3322" s="11" t="inlineStr">
        <is>
          <t xml:space="preserve">CD CIUDADELA                  </t>
        </is>
      </c>
      <c r="C3322" s="11" t="inlineStr">
        <is>
          <t xml:space="preserve">GRUPO L.                      </t>
        </is>
      </c>
      <c r="D3322" t="inlineStr">
        <is>
          <t>TORTILLA TRIGO</t>
        </is>
      </c>
      <c r="E3322" s="11" t="inlineStr">
        <is>
          <t xml:space="preserve">7791218123799       </t>
        </is>
      </c>
      <c r="F3322" s="11" t="n">
        <v>4019945</v>
      </c>
      <c r="G3322" s="11" t="inlineStr">
        <is>
          <t xml:space="preserve">TORTILLAS TRIGO X 6U ORALI         </t>
        </is>
      </c>
      <c r="H3322" s="11" t="inlineStr">
        <is>
          <t xml:space="preserve">BULTOS              </t>
        </is>
      </c>
      <c r="I3322" s="11" t="n">
        <v>1053</v>
      </c>
      <c r="J3322" s="11" t="n">
        <v>0</v>
      </c>
      <c r="K3322" s="11" t="n">
        <v>0</v>
      </c>
      <c r="L3322" s="11" t="n">
        <v>119</v>
      </c>
      <c r="M3322" s="11" t="n">
        <v>119</v>
      </c>
      <c r="N3322" s="11" t="n">
        <v>0</v>
      </c>
      <c r="O3322" s="11" t="n">
        <v>815</v>
      </c>
      <c r="P3322" s="96">
        <f>_xlfn.XLOOKUP(Tabla5[[#This Row],[EAN CORREGIDO]],'Tabla Articulos'!B:B,'Tabla Articulos'!D:D)</f>
        <v/>
      </c>
      <c r="Q3322" s="96">
        <f>_xlfn.XLOOKUP(S3322,'Tabla Articulos'!B:B,'Tabla Articulos'!E:E)</f>
        <v/>
      </c>
      <c r="R3322" s="96">
        <f>O3322*Q3322</f>
        <v/>
      </c>
      <c r="S3322" s="97">
        <f>TRIM(E3322)</f>
        <v/>
      </c>
    </row>
    <row r="3323" hidden="1">
      <c r="A3323" s="22" t="n">
        <v>2</v>
      </c>
      <c r="B3323" s="11" t="inlineStr">
        <is>
          <t xml:space="preserve">CD CIUDADELA                  </t>
        </is>
      </c>
      <c r="C3323" s="11" t="inlineStr">
        <is>
          <t xml:space="preserve">GRUPO L.                      </t>
        </is>
      </c>
      <c r="D3323" s="11" t="inlineStr">
        <is>
          <t xml:space="preserve">AJO </t>
        </is>
      </c>
      <c r="E3323" s="11" t="inlineStr">
        <is>
          <t xml:space="preserve">7790314152882       </t>
        </is>
      </c>
      <c r="F3323" s="11" t="n">
        <v>4018035</v>
      </c>
      <c r="G3323" s="11" t="inlineStr">
        <is>
          <t xml:space="preserve">AJO X KG.                          </t>
        </is>
      </c>
      <c r="H3323" s="11" t="inlineStr">
        <is>
          <t xml:space="preserve">Kgs                 </t>
        </is>
      </c>
      <c r="I3323" s="11" t="n">
        <v>10.1</v>
      </c>
      <c r="J3323" s="11" t="n">
        <v>0</v>
      </c>
      <c r="K3323" s="11" t="n">
        <v>0</v>
      </c>
      <c r="L3323" s="11" t="n">
        <v>0</v>
      </c>
      <c r="M3323" s="11" t="n">
        <v>0.5</v>
      </c>
      <c r="N3323" s="11" t="n">
        <v>0</v>
      </c>
      <c r="O3323" s="11" t="n">
        <v>9.6</v>
      </c>
      <c r="P3323" s="96">
        <f>_xlfn.XLOOKUP(Tabla5[[#This Row],[EAN CORREGIDO]],'Tabla Articulos'!B:B,'Tabla Articulos'!D:D)</f>
        <v/>
      </c>
      <c r="Q3323" s="96">
        <f>_xlfn.XLOOKUP(S3323,'Tabla Articulos'!B:B,'Tabla Articulos'!E:E)</f>
        <v/>
      </c>
      <c r="R3323" s="96">
        <f>O3323*Q3323</f>
        <v/>
      </c>
      <c r="S3323" s="97">
        <f>TRIM(E3323)</f>
        <v/>
      </c>
    </row>
    <row r="3324" hidden="1">
      <c r="A3324" s="22" t="n">
        <v>2</v>
      </c>
      <c r="B3324" s="11" t="inlineStr">
        <is>
          <t xml:space="preserve">CD CIUDADELA                  </t>
        </is>
      </c>
      <c r="C3324" s="11" t="inlineStr">
        <is>
          <t xml:space="preserve">GRUPO L.                      </t>
        </is>
      </c>
      <c r="D3324" s="11" t="inlineStr">
        <is>
          <t>UVA</t>
        </is>
      </c>
      <c r="E3324" s="11" t="inlineStr">
        <is>
          <t xml:space="preserve">7798662008447       </t>
        </is>
      </c>
      <c r="F3324" s="11" t="n">
        <v>4018007</v>
      </c>
      <c r="G3324" s="11" t="inlineStr">
        <is>
          <t xml:space="preserve">UVA NEGRA XKG                      </t>
        </is>
      </c>
      <c r="H3324" s="11" t="inlineStr">
        <is>
          <t xml:space="preserve">Kgs                 </t>
        </is>
      </c>
      <c r="I3324" s="11" t="n">
        <v>70</v>
      </c>
      <c r="J3324" s="11" t="n">
        <v>0</v>
      </c>
      <c r="K3324" s="11" t="n">
        <v>0</v>
      </c>
      <c r="L3324" s="11" t="n">
        <v>20</v>
      </c>
      <c r="M3324" s="11" t="n">
        <v>20</v>
      </c>
      <c r="N3324" s="11" t="n">
        <v>0</v>
      </c>
      <c r="O3324" s="11" t="n">
        <v>30</v>
      </c>
      <c r="P3324" s="96">
        <f>_xlfn.XLOOKUP(Tabla5[[#This Row],[EAN CORREGIDO]],'Tabla Articulos'!B:B,'Tabla Articulos'!D:D)</f>
        <v/>
      </c>
      <c r="Q3324" s="96">
        <f>_xlfn.XLOOKUP(S3324,'Tabla Articulos'!B:B,'Tabla Articulos'!E:E)</f>
        <v/>
      </c>
      <c r="R3324" s="96">
        <f>O3324*Q3324</f>
        <v/>
      </c>
      <c r="S3324" s="97">
        <f>TRIM(E3324)</f>
        <v/>
      </c>
    </row>
    <row r="3325" hidden="1">
      <c r="A3325" s="22" t="n">
        <v>2</v>
      </c>
      <c r="B3325" s="11" t="inlineStr">
        <is>
          <t xml:space="preserve">CD CIUDADELA                  </t>
        </is>
      </c>
      <c r="C3325" s="11" t="inlineStr">
        <is>
          <t xml:space="preserve">GRUPO L.                      </t>
        </is>
      </c>
      <c r="D3325" s="11" t="inlineStr">
        <is>
          <t>TAPA 103</t>
        </is>
      </c>
      <c r="E3325" s="11" t="inlineStr">
        <is>
          <t xml:space="preserve">7798011210060       </t>
        </is>
      </c>
      <c r="F3325" s="11" t="n">
        <v>2011503</v>
      </c>
      <c r="G3325" s="11" t="inlineStr">
        <is>
          <t xml:space="preserve">TAPA BAND 103 MICRO COTNYL X50UN   </t>
        </is>
      </c>
      <c r="H3325" s="11" t="inlineStr">
        <is>
          <t xml:space="preserve">UNIDAD              </t>
        </is>
      </c>
      <c r="I3325" s="11" t="n">
        <v>275</v>
      </c>
      <c r="J3325" s="11" t="n">
        <v>0</v>
      </c>
      <c r="K3325" s="11" t="n">
        <v>0</v>
      </c>
      <c r="L3325" s="11" t="n">
        <v>0</v>
      </c>
      <c r="M3325" s="11" t="n">
        <v>0</v>
      </c>
      <c r="N3325" s="11" t="n">
        <v>0</v>
      </c>
      <c r="O3325" s="11" t="n">
        <v>275</v>
      </c>
      <c r="P3325" s="96">
        <f>_xlfn.XLOOKUP(Tabla5[[#This Row],[EAN CORREGIDO]],'Tabla Articulos'!B:B,'Tabla Articulos'!D:D)</f>
        <v/>
      </c>
      <c r="Q3325" s="96">
        <f>_xlfn.XLOOKUP(S3325,'Tabla Articulos'!B:B,'Tabla Articulos'!E:E)</f>
        <v/>
      </c>
      <c r="R3325" s="96">
        <f>O3325*Q3325</f>
        <v/>
      </c>
      <c r="S3325" s="97">
        <f>TRIM(E3325)</f>
        <v/>
      </c>
    </row>
    <row r="3326" hidden="1">
      <c r="A3326" s="22" t="n">
        <v>2</v>
      </c>
      <c r="B3326" s="11" t="inlineStr">
        <is>
          <t xml:space="preserve">CD CIUDADELA                  </t>
        </is>
      </c>
      <c r="C3326" s="11" t="inlineStr">
        <is>
          <t xml:space="preserve">GRUPO L.                      </t>
        </is>
      </c>
      <c r="D3326" t="inlineStr">
        <is>
          <t>TE ENSOB S/TACC</t>
        </is>
      </c>
      <c r="E3326" s="11" t="inlineStr">
        <is>
          <t xml:space="preserve">7792198006713       </t>
        </is>
      </c>
      <c r="F3326" s="11" t="n">
        <v>4019835</v>
      </c>
      <c r="G3326" s="11" t="inlineStr">
        <is>
          <t xml:space="preserve">TE EN SOB X100U HURLINGHAM         </t>
        </is>
      </c>
      <c r="H3326" s="11" t="inlineStr">
        <is>
          <t xml:space="preserve">UNIDAD              </t>
        </is>
      </c>
      <c r="I3326" s="11" t="n">
        <v>2055</v>
      </c>
      <c r="J3326" s="11" t="n">
        <v>0</v>
      </c>
      <c r="K3326" s="11" t="n">
        <v>0</v>
      </c>
      <c r="L3326" s="11" t="n">
        <v>23</v>
      </c>
      <c r="M3326" s="11" t="n">
        <v>23</v>
      </c>
      <c r="N3326" s="11" t="n">
        <v>0</v>
      </c>
      <c r="O3326" s="11" t="n">
        <v>2009</v>
      </c>
      <c r="P3326" s="96">
        <f>_xlfn.XLOOKUP(Tabla5[[#This Row],[EAN CORREGIDO]],'Tabla Articulos'!B:B,'Tabla Articulos'!D:D)</f>
        <v/>
      </c>
      <c r="Q3326" s="96">
        <f>_xlfn.XLOOKUP(S3326,'Tabla Articulos'!B:B,'Tabla Articulos'!E:E)</f>
        <v/>
      </c>
      <c r="R3326" s="96">
        <f>O3326*Q3326</f>
        <v/>
      </c>
      <c r="S3326" s="97">
        <f>TRIM(E3326)</f>
        <v/>
      </c>
    </row>
    <row r="3327" hidden="1">
      <c r="A3327" s="22" t="n">
        <v>2</v>
      </c>
      <c r="B3327" s="11" t="inlineStr">
        <is>
          <t xml:space="preserve">CD CIUDADELA                  </t>
        </is>
      </c>
      <c r="C3327" s="11" t="inlineStr">
        <is>
          <t xml:space="preserve">GRUPO L.                      </t>
        </is>
      </c>
      <c r="D3327" t="inlineStr">
        <is>
          <t>BAND ALUMINIO R3</t>
        </is>
      </c>
      <c r="E3327" s="11" t="inlineStr">
        <is>
          <t xml:space="preserve">610000108746        </t>
        </is>
      </c>
      <c r="F3327" s="11" t="n">
        <v>2006822</v>
      </c>
      <c r="G3327" s="11" t="inlineStr">
        <is>
          <t xml:space="preserve">BANDEJA ALUM R3/F275 X500U         </t>
        </is>
      </c>
      <c r="H3327" s="11" t="inlineStr">
        <is>
          <t xml:space="preserve">UNIDAD              </t>
        </is>
      </c>
      <c r="I3327" s="11" t="n">
        <v>120</v>
      </c>
      <c r="J3327" s="11" t="n">
        <v>0</v>
      </c>
      <c r="K3327" s="11" t="n">
        <v>40</v>
      </c>
      <c r="L3327" s="11" t="n">
        <v>0</v>
      </c>
      <c r="M3327" s="11" t="n">
        <v>0</v>
      </c>
      <c r="N3327" s="11" t="n">
        <v>0</v>
      </c>
      <c r="O3327" s="11" t="n">
        <v>80</v>
      </c>
      <c r="P3327" s="96">
        <f>_xlfn.XLOOKUP(Tabla5[[#This Row],[EAN CORREGIDO]],'Tabla Articulos'!B:B,'Tabla Articulos'!D:D)</f>
        <v/>
      </c>
      <c r="Q3327" s="96">
        <f>_xlfn.XLOOKUP(S3327,'Tabla Articulos'!B:B,'Tabla Articulos'!E:E)</f>
        <v/>
      </c>
      <c r="R3327" s="96">
        <f>O3327*Q3327</f>
        <v/>
      </c>
      <c r="S3327" s="97">
        <f>TRIM(E3327)</f>
        <v/>
      </c>
    </row>
    <row r="3328" hidden="1">
      <c r="A3328" s="22" t="n">
        <v>2</v>
      </c>
      <c r="B3328" s="11" t="inlineStr">
        <is>
          <t xml:space="preserve">CD CIUDADELA                  </t>
        </is>
      </c>
      <c r="C3328" s="11" t="inlineStr">
        <is>
          <t xml:space="preserve">GRUPO L.                      </t>
        </is>
      </c>
      <c r="D3328" s="11" t="inlineStr">
        <is>
          <t>PREMEZCLA BIZCOCHUELO CHOCO</t>
        </is>
      </c>
      <c r="E3328" s="11" t="inlineStr">
        <is>
          <t xml:space="preserve">7790971000194       </t>
        </is>
      </c>
      <c r="F3328" s="11" t="n">
        <v>4023611</v>
      </c>
      <c r="G3328" s="11" t="inlineStr">
        <is>
          <t xml:space="preserve">BIZCOCHUELO CHOC 540G RAVANA       </t>
        </is>
      </c>
      <c r="H3328" s="11" t="inlineStr">
        <is>
          <t xml:space="preserve">UNIDAD              </t>
        </is>
      </c>
      <c r="I3328" s="11" t="n">
        <v>220</v>
      </c>
      <c r="J3328" s="11" t="n">
        <v>0</v>
      </c>
      <c r="K3328" s="11" t="n">
        <v>0</v>
      </c>
      <c r="L3328" s="11" t="n">
        <v>0</v>
      </c>
      <c r="M3328" s="11" t="n">
        <v>0</v>
      </c>
      <c r="N3328" s="11" t="n">
        <v>0</v>
      </c>
      <c r="O3328" s="11" t="n">
        <v>220</v>
      </c>
      <c r="P3328" s="96">
        <f>_xlfn.XLOOKUP(Tabla5[[#This Row],[EAN CORREGIDO]],'Tabla Articulos'!B:B,'Tabla Articulos'!D:D)</f>
        <v/>
      </c>
      <c r="Q3328" s="96">
        <f>_xlfn.XLOOKUP(S3328,'Tabla Articulos'!B:B,'Tabla Articulos'!E:E)</f>
        <v/>
      </c>
      <c r="R3328" s="96">
        <f>O3328*Q3328</f>
        <v/>
      </c>
      <c r="S3328" s="97">
        <f>TRIM(E3328)</f>
        <v/>
      </c>
    </row>
    <row r="3329" hidden="1">
      <c r="A3329" s="22" t="n">
        <v>2</v>
      </c>
      <c r="B3329" s="11" t="inlineStr">
        <is>
          <t xml:space="preserve">CD CIUDADELA                  </t>
        </is>
      </c>
      <c r="C3329" s="11" t="inlineStr">
        <is>
          <t xml:space="preserve">GRUPO L.                      </t>
        </is>
      </c>
      <c r="D3329" s="11" t="inlineStr">
        <is>
          <t>MANTECA</t>
        </is>
      </c>
      <c r="E3329" s="11" t="inlineStr">
        <is>
          <t xml:space="preserve">7790398100088       </t>
        </is>
      </c>
      <c r="F3329" s="11" t="n">
        <v>4018182</v>
      </c>
      <c r="G3329" s="11" t="inlineStr">
        <is>
          <t xml:space="preserve">MANTECA X 200GR PAULINA            </t>
        </is>
      </c>
      <c r="H3329" s="11" t="inlineStr">
        <is>
          <t xml:space="preserve">UNIDAD              </t>
        </is>
      </c>
      <c r="I3329" s="11" t="n">
        <v>1176</v>
      </c>
      <c r="J3329" s="11" t="n">
        <v>0</v>
      </c>
      <c r="K3329" s="11" t="n">
        <v>0</v>
      </c>
      <c r="L3329" s="11" t="n">
        <v>0</v>
      </c>
      <c r="M3329" s="11" t="n">
        <v>0</v>
      </c>
      <c r="N3329" s="11" t="n">
        <v>0</v>
      </c>
      <c r="O3329" s="11" t="n">
        <v>1176</v>
      </c>
      <c r="P3329" s="96">
        <f>_xlfn.XLOOKUP(Tabla5[[#This Row],[EAN CORREGIDO]],'Tabla Articulos'!B:B,'Tabla Articulos'!D:D)</f>
        <v/>
      </c>
      <c r="Q3329" s="96">
        <f>_xlfn.XLOOKUP(S3329,'Tabla Articulos'!B:B,'Tabla Articulos'!E:E)</f>
        <v/>
      </c>
      <c r="R3329" s="96">
        <f>O3329*Q3329</f>
        <v/>
      </c>
      <c r="S3329" s="97">
        <f>TRIM(E3329)</f>
        <v/>
      </c>
    </row>
    <row r="3330" hidden="1">
      <c r="A3330" s="22" t="n">
        <v>2</v>
      </c>
      <c r="B3330" s="11" t="inlineStr">
        <is>
          <t xml:space="preserve">CD CIUDADELA                  </t>
        </is>
      </c>
      <c r="C3330" s="11" t="inlineStr">
        <is>
          <t xml:space="preserve">GRUPO L.                      </t>
        </is>
      </c>
      <c r="D3330" s="11" t="inlineStr">
        <is>
          <t>COLITA DE CUADRIL</t>
        </is>
      </c>
      <c r="E3330" s="11" t="inlineStr">
        <is>
          <t xml:space="preserve">7798558162146       </t>
        </is>
      </c>
      <c r="F3330" s="11" t="n">
        <v>4021180</v>
      </c>
      <c r="G3330" s="11" t="inlineStr">
        <is>
          <t xml:space="preserve">COLITA DE CUADRIL TECNOCAR X KG    </t>
        </is>
      </c>
      <c r="H3330" s="11" t="inlineStr">
        <is>
          <t xml:space="preserve">Kgs                 </t>
        </is>
      </c>
      <c r="I3330" s="11" t="n">
        <v>762.48</v>
      </c>
      <c r="J3330" s="11" t="n">
        <v>0</v>
      </c>
      <c r="K3330" s="11" t="n">
        <v>85.09999999999999</v>
      </c>
      <c r="L3330" s="11" t="n">
        <v>0</v>
      </c>
      <c r="M3330" s="11" t="n">
        <v>0</v>
      </c>
      <c r="N3330" s="11" t="n">
        <v>0</v>
      </c>
      <c r="O3330" s="11" t="n">
        <v>677.38</v>
      </c>
      <c r="P3330" s="96">
        <f>_xlfn.XLOOKUP(Tabla5[[#This Row],[EAN CORREGIDO]],'Tabla Articulos'!B:B,'Tabla Articulos'!D:D)</f>
        <v/>
      </c>
      <c r="Q3330" s="96">
        <f>_xlfn.XLOOKUP(S3330,'Tabla Articulos'!B:B,'Tabla Articulos'!E:E)</f>
        <v/>
      </c>
      <c r="R3330" s="96">
        <f>O3330*Q3330</f>
        <v/>
      </c>
      <c r="S3330" s="97">
        <f>TRIM(E3330)</f>
        <v/>
      </c>
    </row>
    <row r="3331" hidden="1">
      <c r="A3331" s="22" t="n">
        <v>2</v>
      </c>
      <c r="B3331" s="11" t="inlineStr">
        <is>
          <t xml:space="preserve">CD CIUDADELA                  </t>
        </is>
      </c>
      <c r="C3331" s="11" t="inlineStr">
        <is>
          <t xml:space="preserve">GRUPO L.                      </t>
        </is>
      </c>
      <c r="D3331" s="11" t="inlineStr">
        <is>
          <t>BARRAS CEREAL LIGHT</t>
        </is>
      </c>
      <c r="E3331" s="11" t="inlineStr">
        <is>
          <t xml:space="preserve">77915818            </t>
        </is>
      </c>
      <c r="F3331" s="11" t="n">
        <v>4019067</v>
      </c>
      <c r="G3331" s="11" t="inlineStr">
        <is>
          <t xml:space="preserve">BARRA CEREAL MIX LIGHT MANZANA 2   </t>
        </is>
      </c>
      <c r="H3331" s="11" t="inlineStr">
        <is>
          <t xml:space="preserve">UNIDAD              </t>
        </is>
      </c>
      <c r="I3331" s="11" t="n">
        <v>4390</v>
      </c>
      <c r="J3331" s="11" t="n">
        <v>0</v>
      </c>
      <c r="K3331" s="11" t="n">
        <v>0</v>
      </c>
      <c r="L3331" s="11" t="n">
        <v>220</v>
      </c>
      <c r="M3331" s="11" t="n">
        <v>220</v>
      </c>
      <c r="N3331" s="11" t="n">
        <v>0</v>
      </c>
      <c r="O3331" s="11" t="n">
        <v>3950</v>
      </c>
      <c r="P3331" s="96">
        <f>_xlfn.XLOOKUP(Tabla5[[#This Row],[EAN CORREGIDO]],'Tabla Articulos'!B:B,'Tabla Articulos'!D:D)</f>
        <v/>
      </c>
      <c r="Q3331" s="96">
        <f>_xlfn.XLOOKUP(S3331,'Tabla Articulos'!B:B,'Tabla Articulos'!E:E)</f>
        <v/>
      </c>
      <c r="R3331" s="96">
        <f>O3331*Q3331</f>
        <v/>
      </c>
      <c r="S3331" s="97">
        <f>TRIM(E3331)</f>
        <v/>
      </c>
    </row>
    <row r="3332" hidden="1">
      <c r="A3332" s="22" t="n">
        <v>2</v>
      </c>
      <c r="B3332" s="11" t="inlineStr">
        <is>
          <t xml:space="preserve">CD CIUDADELA                  </t>
        </is>
      </c>
      <c r="C3332" s="11" t="inlineStr">
        <is>
          <t xml:space="preserve">GRUPO L.                      </t>
        </is>
      </c>
      <c r="D3332" s="11" t="inlineStr">
        <is>
          <t>BAND 103</t>
        </is>
      </c>
      <c r="E3332" s="11" t="inlineStr">
        <is>
          <t xml:space="preserve">7798011210053       </t>
        </is>
      </c>
      <c r="F3332" s="11" t="n">
        <v>2011502</v>
      </c>
      <c r="G3332" s="11" t="inlineStr">
        <is>
          <t xml:space="preserve">BANDEJA 103 MICRO COTNYL X100U     </t>
        </is>
      </c>
      <c r="H3332" s="11" t="inlineStr">
        <is>
          <t xml:space="preserve">UNIDAD              </t>
        </is>
      </c>
      <c r="I3332" s="11" t="n">
        <v>373</v>
      </c>
      <c r="J3332" s="11" t="n">
        <v>0</v>
      </c>
      <c r="K3332" s="11" t="n">
        <v>0</v>
      </c>
      <c r="L3332" s="11" t="n">
        <v>12</v>
      </c>
      <c r="M3332" s="11" t="n">
        <v>12</v>
      </c>
      <c r="N3332" s="11" t="n">
        <v>0</v>
      </c>
      <c r="O3332" s="11" t="n">
        <v>349</v>
      </c>
      <c r="P3332" s="96">
        <f>_xlfn.XLOOKUP(Tabla5[[#This Row],[EAN CORREGIDO]],'Tabla Articulos'!B:B,'Tabla Articulos'!D:D)</f>
        <v/>
      </c>
      <c r="Q3332" s="96">
        <f>_xlfn.XLOOKUP(S3332,'Tabla Articulos'!B:B,'Tabla Articulos'!E:E)</f>
        <v/>
      </c>
      <c r="R3332" s="96">
        <f>O3332*Q3332</f>
        <v/>
      </c>
      <c r="S3332" s="97">
        <f>TRIM(E3332)</f>
        <v/>
      </c>
    </row>
    <row r="3333" hidden="1">
      <c r="A3333" s="22" t="n">
        <v>2</v>
      </c>
      <c r="B3333" s="11" t="inlineStr">
        <is>
          <t xml:space="preserve">CD CIUDADELA                  </t>
        </is>
      </c>
      <c r="C3333" s="11" t="inlineStr">
        <is>
          <t xml:space="preserve">GRUPO L.                      </t>
        </is>
      </c>
      <c r="D3333" t="inlineStr">
        <is>
          <t>MILA POLLO CONGELADA</t>
        </is>
      </c>
      <c r="E3333" s="11" t="inlineStr">
        <is>
          <t xml:space="preserve">7798132273166       </t>
        </is>
      </c>
      <c r="F3333" s="11" t="n">
        <v>4021194</v>
      </c>
      <c r="G3333" s="11" t="inlineStr">
        <is>
          <t xml:space="preserve">MILANESA DE POLLO XKG ALIMAX       </t>
        </is>
      </c>
      <c r="H3333" s="11" t="inlineStr">
        <is>
          <t xml:space="preserve">Kgs                 </t>
        </is>
      </c>
      <c r="I3333" s="11" t="n">
        <v>8</v>
      </c>
      <c r="J3333" s="11" t="n">
        <v>0</v>
      </c>
      <c r="K3333" s="11" t="n">
        <v>0</v>
      </c>
      <c r="L3333" s="11" t="n">
        <v>0</v>
      </c>
      <c r="M3333" s="11" t="n">
        <v>0</v>
      </c>
      <c r="N3333" s="11" t="n">
        <v>0</v>
      </c>
      <c r="O3333" s="11" t="n">
        <v>8</v>
      </c>
      <c r="P3333" s="96">
        <f>_xlfn.XLOOKUP(Tabla5[[#This Row],[EAN CORREGIDO]],'Tabla Articulos'!B:B,'Tabla Articulos'!D:D)</f>
        <v/>
      </c>
      <c r="Q3333" s="96">
        <f>_xlfn.XLOOKUP(S3333,'Tabla Articulos'!B:B,'Tabla Articulos'!E:E)</f>
        <v/>
      </c>
      <c r="R3333" s="96">
        <f>O3333*Q3333</f>
        <v/>
      </c>
      <c r="S3333" s="97">
        <f>TRIM(E3333)</f>
        <v/>
      </c>
    </row>
    <row r="3334" hidden="1">
      <c r="A3334" s="22" t="n">
        <v>2</v>
      </c>
      <c r="B3334" s="11" t="inlineStr">
        <is>
          <t xml:space="preserve">CD CIUDADELA                  </t>
        </is>
      </c>
      <c r="C3334" s="11" t="inlineStr">
        <is>
          <t xml:space="preserve">GRUPO L.                      </t>
        </is>
      </c>
      <c r="D3334" s="11" t="inlineStr">
        <is>
          <t>BARBACOA</t>
        </is>
      </c>
      <c r="E3334" s="11" t="inlineStr">
        <is>
          <t xml:space="preserve">7794000007826       </t>
        </is>
      </c>
      <c r="F3334" s="11" t="n">
        <v>4022436</v>
      </c>
      <c r="G3334" s="11" t="inlineStr">
        <is>
          <t xml:space="preserve">SALSA BBQ 1KG HELLMANS             </t>
        </is>
      </c>
      <c r="H3334" s="11" t="inlineStr">
        <is>
          <t xml:space="preserve">UNIDAD              </t>
        </is>
      </c>
      <c r="I3334" s="11" t="n">
        <v>210</v>
      </c>
      <c r="J3334" s="11" t="n">
        <v>0</v>
      </c>
      <c r="K3334" s="11" t="n">
        <v>0</v>
      </c>
      <c r="L3334" s="11" t="n">
        <v>0</v>
      </c>
      <c r="M3334" s="11" t="n">
        <v>0</v>
      </c>
      <c r="N3334" s="11" t="n">
        <v>0</v>
      </c>
      <c r="O3334" s="11" t="n">
        <v>210</v>
      </c>
      <c r="P3334" s="96">
        <f>_xlfn.XLOOKUP(Tabla5[[#This Row],[EAN CORREGIDO]],'Tabla Articulos'!B:B,'Tabla Articulos'!D:D)</f>
        <v/>
      </c>
      <c r="Q3334" s="96">
        <f>_xlfn.XLOOKUP(S3334,'Tabla Articulos'!B:B,'Tabla Articulos'!E:E)</f>
        <v/>
      </c>
      <c r="R3334" s="96">
        <f>O3334*Q3334</f>
        <v/>
      </c>
      <c r="S3334" s="97">
        <f>TRIM(E3334)</f>
        <v/>
      </c>
    </row>
    <row r="3335" hidden="1">
      <c r="A3335" s="22" t="n">
        <v>2</v>
      </c>
      <c r="B3335" s="11" t="inlineStr">
        <is>
          <t xml:space="preserve">CD CIUDADELA                  </t>
        </is>
      </c>
      <c r="C3335" s="11" t="inlineStr">
        <is>
          <t xml:space="preserve">GRUPO L.                      </t>
        </is>
      </c>
      <c r="D3335" t="inlineStr">
        <is>
          <t>GALLE GRANOLA Y ALMENDR</t>
        </is>
      </c>
      <c r="E3335" s="11" t="inlineStr">
        <is>
          <t xml:space="preserve">7798128000707       </t>
        </is>
      </c>
      <c r="F3335" s="11" t="n">
        <v>4076855</v>
      </c>
      <c r="G3335" s="11" t="inlineStr">
        <is>
          <t xml:space="preserve">GALLE GRAN Y ALM X225G CACHAFAZ    </t>
        </is>
      </c>
      <c r="H3335" s="11" t="inlineStr">
        <is>
          <t xml:space="preserve">UNIDAD              </t>
        </is>
      </c>
      <c r="I3335" s="11" t="n">
        <v>8</v>
      </c>
      <c r="J3335" s="11" t="n">
        <v>0</v>
      </c>
      <c r="K3335" s="11" t="n">
        <v>0</v>
      </c>
      <c r="L3335" s="11" t="n">
        <v>0</v>
      </c>
      <c r="M3335" s="11" t="n">
        <v>0</v>
      </c>
      <c r="N3335" s="11" t="n">
        <v>0</v>
      </c>
      <c r="O3335" s="11" t="n">
        <v>8</v>
      </c>
      <c r="P3335" s="96">
        <f>_xlfn.XLOOKUP(Tabla5[[#This Row],[EAN CORREGIDO]],'Tabla Articulos'!B:B,'Tabla Articulos'!D:D)</f>
        <v/>
      </c>
      <c r="Q3335" s="96">
        <f>_xlfn.XLOOKUP(S3335,'Tabla Articulos'!B:B,'Tabla Articulos'!E:E)</f>
        <v/>
      </c>
      <c r="R3335" s="96">
        <f>O3335*Q3335</f>
        <v/>
      </c>
      <c r="S3335" s="97">
        <f>TRIM(E3335)</f>
        <v/>
      </c>
    </row>
    <row r="3336" hidden="1">
      <c r="A3336" s="22" t="n">
        <v>2</v>
      </c>
      <c r="B3336" s="11" t="inlineStr">
        <is>
          <t xml:space="preserve">CD CIUDADELA                  </t>
        </is>
      </c>
      <c r="C3336" s="11" t="inlineStr">
        <is>
          <t xml:space="preserve">GRUPO L.                      </t>
        </is>
      </c>
      <c r="D3336" s="11" t="inlineStr">
        <is>
          <t>AZUCAR INDIV BLUE CATERING</t>
        </is>
      </c>
      <c r="E3336" s="11" t="inlineStr">
        <is>
          <t xml:space="preserve">7798011977765       </t>
        </is>
      </c>
      <c r="F3336" s="11" t="n">
        <v>4076543</v>
      </c>
      <c r="G3336" s="11" t="inlineStr">
        <is>
          <t>AZUCAR IND SOBRE X800U BLUE CATERIN</t>
        </is>
      </c>
      <c r="H3336" s="11" t="inlineStr">
        <is>
          <t xml:space="preserve">UNIDAD              </t>
        </is>
      </c>
      <c r="I3336" s="11" t="n">
        <v>1781</v>
      </c>
      <c r="J3336" s="11" t="n">
        <v>0</v>
      </c>
      <c r="K3336" s="11" t="n">
        <v>0</v>
      </c>
      <c r="L3336" s="11" t="n">
        <v>0</v>
      </c>
      <c r="M3336" s="11" t="n">
        <v>0</v>
      </c>
      <c r="N3336" s="11" t="n">
        <v>0</v>
      </c>
      <c r="O3336" s="11" t="n">
        <v>1781</v>
      </c>
      <c r="P3336" s="96">
        <f>_xlfn.XLOOKUP(Tabla5[[#This Row],[EAN CORREGIDO]],'Tabla Articulos'!B:B,'Tabla Articulos'!D:D)</f>
        <v/>
      </c>
      <c r="Q3336" s="96">
        <f>_xlfn.XLOOKUP(S3336,'Tabla Articulos'!B:B,'Tabla Articulos'!E:E)</f>
        <v/>
      </c>
      <c r="R3336" s="96">
        <f>O3336*Q3336</f>
        <v/>
      </c>
      <c r="S3336" s="97">
        <f>TRIM(E3336)</f>
        <v/>
      </c>
    </row>
    <row r="3337" hidden="1">
      <c r="A3337" s="22" t="n">
        <v>2</v>
      </c>
      <c r="B3337" s="11" t="inlineStr">
        <is>
          <t xml:space="preserve">CD CIUDADELA                  </t>
        </is>
      </c>
      <c r="C3337" s="11" t="inlineStr">
        <is>
          <t xml:space="preserve">GRUPO L.                      </t>
        </is>
      </c>
      <c r="D3337" s="11" t="inlineStr">
        <is>
          <t>MERMELADA DURAZNO</t>
        </is>
      </c>
      <c r="E3337" s="11" t="inlineStr">
        <is>
          <t xml:space="preserve">7792260640203       </t>
        </is>
      </c>
      <c r="F3337" s="11" t="n">
        <v>4023828</v>
      </c>
      <c r="G3337" s="11" t="inlineStr">
        <is>
          <t xml:space="preserve">MERME DURAZ 420G ORIETA            </t>
        </is>
      </c>
      <c r="H3337" s="11" t="inlineStr">
        <is>
          <t xml:space="preserve">UNIDAD              </t>
        </is>
      </c>
      <c r="I3337" s="11" t="n">
        <v>11542</v>
      </c>
      <c r="J3337" s="11" t="n">
        <v>0</v>
      </c>
      <c r="K3337" s="11" t="n">
        <v>0</v>
      </c>
      <c r="L3337" s="11" t="n">
        <v>933</v>
      </c>
      <c r="M3337" s="11" t="n">
        <v>933</v>
      </c>
      <c r="N3337" s="11" t="n">
        <v>0</v>
      </c>
      <c r="O3337" s="11" t="n">
        <v>9676</v>
      </c>
      <c r="P3337" s="96">
        <f>_xlfn.XLOOKUP(Tabla5[[#This Row],[EAN CORREGIDO]],'Tabla Articulos'!B:B,'Tabla Articulos'!D:D)</f>
        <v/>
      </c>
      <c r="Q3337" s="96">
        <f>_xlfn.XLOOKUP(S3337,'Tabla Articulos'!B:B,'Tabla Articulos'!E:E)</f>
        <v/>
      </c>
      <c r="R3337" s="96">
        <f>O3337*Q3337</f>
        <v/>
      </c>
      <c r="S3337" s="97">
        <f>TRIM(E3337)</f>
        <v/>
      </c>
    </row>
    <row r="3338" hidden="1">
      <c r="A3338" s="22" t="n">
        <v>2</v>
      </c>
      <c r="B3338" s="11" t="inlineStr">
        <is>
          <t xml:space="preserve">CD CIUDADELA                  </t>
        </is>
      </c>
      <c r="C3338" s="11" t="inlineStr">
        <is>
          <t xml:space="preserve">GRUPO L.                      </t>
        </is>
      </c>
      <c r="D3338" s="11" t="inlineStr">
        <is>
          <t>RUCULA</t>
        </is>
      </c>
      <c r="E3338" s="11" t="inlineStr">
        <is>
          <t xml:space="preserve">7790216012657       </t>
        </is>
      </c>
      <c r="F3338" s="11" t="n">
        <v>4018046</v>
      </c>
      <c r="G3338" s="11" t="inlineStr">
        <is>
          <t xml:space="preserve">RUCULA X KG                        </t>
        </is>
      </c>
      <c r="H3338" s="11" t="inlineStr">
        <is>
          <t xml:space="preserve">Kgs                 </t>
        </is>
      </c>
      <c r="I3338" s="11" t="n">
        <v>11.8</v>
      </c>
      <c r="J3338" s="11" t="n">
        <v>0</v>
      </c>
      <c r="K3338" s="11" t="n">
        <v>0</v>
      </c>
      <c r="L3338" s="11" t="n">
        <v>0</v>
      </c>
      <c r="M3338" s="11" t="n">
        <v>1.2</v>
      </c>
      <c r="N3338" s="11" t="n">
        <v>0</v>
      </c>
      <c r="O3338" s="11" t="n">
        <v>10.6</v>
      </c>
      <c r="P3338" s="96">
        <f>_xlfn.XLOOKUP(Tabla5[[#This Row],[EAN CORREGIDO]],'Tabla Articulos'!B:B,'Tabla Articulos'!D:D)</f>
        <v/>
      </c>
      <c r="Q3338" s="96">
        <f>_xlfn.XLOOKUP(S3338,'Tabla Articulos'!B:B,'Tabla Articulos'!E:E)</f>
        <v/>
      </c>
      <c r="R3338" s="96">
        <f>O3338*Q3338</f>
        <v/>
      </c>
      <c r="S3338" s="97">
        <f>TRIM(E3338)</f>
        <v/>
      </c>
    </row>
    <row r="3339" hidden="1">
      <c r="A3339" s="22" t="n">
        <v>2</v>
      </c>
      <c r="B3339" s="11" t="inlineStr">
        <is>
          <t xml:space="preserve">CD CIUDADELA                  </t>
        </is>
      </c>
      <c r="C3339" s="11" t="inlineStr">
        <is>
          <t xml:space="preserve">GRUPO L.                      </t>
        </is>
      </c>
      <c r="D3339" t="inlineStr">
        <is>
          <t>SALSA TABASCO</t>
        </is>
      </c>
      <c r="E3339" s="11" t="inlineStr">
        <is>
          <t xml:space="preserve">8410422407011       </t>
        </is>
      </c>
      <c r="F3339" s="11" t="n">
        <v>4024377</v>
      </c>
      <c r="G3339" s="11" t="inlineStr">
        <is>
          <t xml:space="preserve">SALSA PIM RJO CHOVI X60G TABASCO   </t>
        </is>
      </c>
      <c r="H3339" s="11" t="inlineStr">
        <is>
          <t xml:space="preserve">UNIDAD              </t>
        </is>
      </c>
      <c r="I3339" s="11" t="n">
        <v>151</v>
      </c>
      <c r="J3339" s="11" t="n">
        <v>0</v>
      </c>
      <c r="K3339" s="11" t="n">
        <v>0</v>
      </c>
      <c r="L3339" s="11" t="n">
        <v>0</v>
      </c>
      <c r="M3339" s="11" t="n">
        <v>0</v>
      </c>
      <c r="N3339" s="11" t="n">
        <v>0</v>
      </c>
      <c r="O3339" s="11" t="n">
        <v>151</v>
      </c>
      <c r="P3339" s="96">
        <f>_xlfn.XLOOKUP(Tabla5[[#This Row],[EAN CORREGIDO]],'Tabla Articulos'!B:B,'Tabla Articulos'!D:D)</f>
        <v/>
      </c>
      <c r="Q3339" s="96">
        <f>_xlfn.XLOOKUP(S3339,'Tabla Articulos'!B:B,'Tabla Articulos'!E:E)</f>
        <v/>
      </c>
      <c r="R3339" s="96">
        <f>O3339*Q3339</f>
        <v/>
      </c>
      <c r="S3339" s="97">
        <f>TRIM(E3339)</f>
        <v/>
      </c>
    </row>
    <row r="3340" hidden="1">
      <c r="A3340" s="22" t="n">
        <v>2</v>
      </c>
      <c r="B3340" s="11" t="inlineStr">
        <is>
          <t xml:space="preserve">CD CIUDADELA                  </t>
        </is>
      </c>
      <c r="C3340" s="11" t="inlineStr">
        <is>
          <t xml:space="preserve">GRUPO L.                      </t>
        </is>
      </c>
      <c r="D3340" s="11" t="inlineStr">
        <is>
          <t>FLAN CHOCOLATE</t>
        </is>
      </c>
      <c r="E3340" s="11" t="inlineStr">
        <is>
          <t xml:space="preserve">7790530850109       </t>
        </is>
      </c>
      <c r="F3340" s="11" t="n">
        <v>4019875</v>
      </c>
      <c r="G3340" s="11" t="inlineStr">
        <is>
          <t xml:space="preserve">FLAN CHOCOLATE X5KG BEDIAL         </t>
        </is>
      </c>
      <c r="H3340" s="11" t="inlineStr">
        <is>
          <t xml:space="preserve">UNIDAD              </t>
        </is>
      </c>
      <c r="I3340" s="11" t="n">
        <v>5</v>
      </c>
      <c r="J3340" s="11" t="n">
        <v>0</v>
      </c>
      <c r="K3340" s="11" t="n">
        <v>0</v>
      </c>
      <c r="L3340" s="11" t="n">
        <v>0</v>
      </c>
      <c r="M3340" s="11" t="n">
        <v>0</v>
      </c>
      <c r="N3340" s="11" t="n">
        <v>0</v>
      </c>
      <c r="O3340" s="11" t="n">
        <v>5</v>
      </c>
      <c r="P3340" s="96">
        <f>_xlfn.XLOOKUP(Tabla5[[#This Row],[EAN CORREGIDO]],'Tabla Articulos'!B:B,'Tabla Articulos'!D:D)</f>
        <v/>
      </c>
      <c r="Q3340" s="96">
        <f>_xlfn.XLOOKUP(S3340,'Tabla Articulos'!B:B,'Tabla Articulos'!E:E)</f>
        <v/>
      </c>
      <c r="R3340" s="96">
        <f>O3340*Q3340</f>
        <v/>
      </c>
      <c r="S3340" s="97">
        <f>TRIM(E3340)</f>
        <v/>
      </c>
    </row>
    <row r="3341" hidden="1">
      <c r="A3341" s="22" t="n"/>
      <c r="B3341" s="11" t="n"/>
      <c r="C3341" s="11" t="n"/>
      <c r="D3341" s="11" t="n"/>
      <c r="E3341" s="11" t="n"/>
      <c r="F3341" s="11" t="n"/>
      <c r="G3341" s="11" t="n"/>
      <c r="H3341" s="11" t="n"/>
      <c r="I3341" s="11" t="n"/>
      <c r="J3341" s="11" t="n"/>
      <c r="K3341" s="11" t="n"/>
      <c r="L3341" s="11" t="n"/>
      <c r="M3341" s="11" t="n"/>
      <c r="N3341" s="11" t="n"/>
      <c r="O3341" s="11" t="n"/>
      <c r="P3341" s="96">
        <f>_xlfn.XLOOKUP(Tabla5[[#This Row],[EAN CORREGIDO]],'Tabla Articulos'!B:B,'Tabla Articulos'!D:D)</f>
        <v/>
      </c>
      <c r="Q3341" s="96">
        <f>_xlfn.XLOOKUP(S3341,'Tabla Articulos'!B:B,'Tabla Articulos'!E:E)</f>
        <v/>
      </c>
      <c r="R3341" s="96">
        <f>O3341*Q3341</f>
        <v/>
      </c>
      <c r="S3341" s="97">
        <f>TRIM(E3341)</f>
        <v/>
      </c>
    </row>
    <row r="3342" hidden="1">
      <c r="A3342" s="22" t="n"/>
      <c r="B3342" s="11" t="n"/>
      <c r="C3342" s="11" t="n"/>
      <c r="E3342" s="11" t="n"/>
      <c r="F3342" s="11" t="n"/>
      <c r="G3342" s="11" t="n"/>
      <c r="H3342" s="11" t="n"/>
      <c r="I3342" s="11" t="n"/>
      <c r="J3342" s="11" t="n"/>
      <c r="K3342" s="11" t="n"/>
      <c r="L3342" s="11" t="n"/>
      <c r="M3342" s="11" t="n"/>
      <c r="N3342" s="11" t="n"/>
      <c r="O3342" s="11" t="n"/>
      <c r="P3342" s="96">
        <f>_xlfn.XLOOKUP(Tabla5[[#This Row],[EAN CORREGIDO]],'Tabla Articulos'!B:B,'Tabla Articulos'!D:D)</f>
        <v/>
      </c>
      <c r="Q3342" s="96">
        <f>_xlfn.XLOOKUP(S3342,'Tabla Articulos'!B:B,'Tabla Articulos'!E:E)</f>
        <v/>
      </c>
      <c r="R3342" s="96">
        <f>O3342*Q3342</f>
        <v/>
      </c>
      <c r="S3342" s="97">
        <f>TRIM(E3342)</f>
        <v/>
      </c>
    </row>
    <row r="3343" hidden="1">
      <c r="A3343" s="22" t="n"/>
      <c r="B3343" s="11" t="n"/>
      <c r="C3343" s="11" t="n"/>
      <c r="E3343" s="11" t="n"/>
      <c r="F3343" s="11" t="n"/>
      <c r="G3343" s="11" t="n"/>
      <c r="H3343" s="11" t="n"/>
      <c r="I3343" s="11" t="n"/>
      <c r="J3343" s="11" t="n"/>
      <c r="K3343" s="11" t="n"/>
      <c r="L3343" s="11" t="n"/>
      <c r="M3343" s="11" t="n"/>
      <c r="N3343" s="11" t="n"/>
      <c r="O3343" s="11" t="n"/>
      <c r="P3343" s="96">
        <f>_xlfn.XLOOKUP(Tabla5[[#This Row],[EAN CORREGIDO]],'Tabla Articulos'!B:B,'Tabla Articulos'!D:D)</f>
        <v/>
      </c>
      <c r="Q3343" s="96">
        <f>_xlfn.XLOOKUP(S3343,'Tabla Articulos'!B:B,'Tabla Articulos'!E:E)</f>
        <v/>
      </c>
      <c r="R3343" s="96">
        <f>O3343*Q3343</f>
        <v/>
      </c>
      <c r="S3343" s="97">
        <f>TRIM(E3343)</f>
        <v/>
      </c>
    </row>
    <row r="3344" hidden="1">
      <c r="A3344" s="22" t="n"/>
      <c r="B3344" s="11" t="n"/>
      <c r="C3344" s="11" t="n"/>
      <c r="E3344" s="11" t="n"/>
      <c r="F3344" s="11" t="n"/>
      <c r="G3344" s="11" t="n"/>
      <c r="H3344" s="11" t="n"/>
      <c r="I3344" s="11" t="n"/>
      <c r="J3344" s="11" t="n"/>
      <c r="K3344" s="11" t="n"/>
      <c r="L3344" s="11" t="n"/>
      <c r="M3344" s="11" t="n"/>
      <c r="N3344" s="11" t="n"/>
      <c r="O3344" s="11" t="n"/>
      <c r="P3344" s="96">
        <f>_xlfn.XLOOKUP(Tabla5[[#This Row],[EAN CORREGIDO]],'Tabla Articulos'!B:B,'Tabla Articulos'!D:D)</f>
        <v/>
      </c>
      <c r="Q3344" s="96">
        <f>_xlfn.XLOOKUP(S3344,'Tabla Articulos'!B:B,'Tabla Articulos'!E:E)</f>
        <v/>
      </c>
      <c r="R3344" s="96">
        <f>O3344*Q3344</f>
        <v/>
      </c>
      <c r="S3344" s="97">
        <f>TRIM(E3344)</f>
        <v/>
      </c>
    </row>
    <row r="3345" hidden="1">
      <c r="A3345" s="22" t="n"/>
      <c r="B3345" s="11" t="n"/>
      <c r="C3345" s="11" t="n"/>
      <c r="E3345" s="11" t="n"/>
      <c r="F3345" s="11" t="n"/>
      <c r="G3345" s="11" t="n"/>
      <c r="H3345" s="11" t="n"/>
      <c r="I3345" s="11" t="n"/>
      <c r="J3345" s="11" t="n"/>
      <c r="K3345" s="11" t="n"/>
      <c r="L3345" s="11" t="n"/>
      <c r="M3345" s="11" t="n"/>
      <c r="N3345" s="11" t="n"/>
      <c r="O3345" s="11" t="n"/>
      <c r="P3345" s="96">
        <f>_xlfn.XLOOKUP(Tabla5[[#This Row],[EAN CORREGIDO]],'Tabla Articulos'!B:B,'Tabla Articulos'!D:D)</f>
        <v/>
      </c>
      <c r="Q3345" s="96">
        <f>_xlfn.XLOOKUP(S3345,'Tabla Articulos'!B:B,'Tabla Articulos'!E:E)</f>
        <v/>
      </c>
      <c r="R3345" s="96">
        <f>O3345*Q3345</f>
        <v/>
      </c>
      <c r="S3345" s="97">
        <f>TRIM(E3345)</f>
        <v/>
      </c>
    </row>
    <row r="3346" hidden="1">
      <c r="A3346" s="22" t="n"/>
      <c r="B3346" s="11" t="n"/>
      <c r="C3346" s="11" t="n"/>
      <c r="D3346" s="11" t="n"/>
      <c r="E3346" s="11" t="n"/>
      <c r="F3346" s="11" t="n"/>
      <c r="G3346" s="11" t="n"/>
      <c r="H3346" s="11" t="n"/>
      <c r="I3346" s="11" t="n"/>
      <c r="J3346" s="11" t="n"/>
      <c r="K3346" s="11" t="n"/>
      <c r="L3346" s="11" t="n"/>
      <c r="M3346" s="11" t="n"/>
      <c r="N3346" s="11" t="n"/>
      <c r="O3346" s="11" t="n"/>
      <c r="P3346" s="96">
        <f>_xlfn.XLOOKUP(Tabla5[[#This Row],[EAN CORREGIDO]],'Tabla Articulos'!B:B,'Tabla Articulos'!D:D)</f>
        <v/>
      </c>
      <c r="Q3346" s="96">
        <f>_xlfn.XLOOKUP(S3346,'Tabla Articulos'!B:B,'Tabla Articulos'!E:E)</f>
        <v/>
      </c>
      <c r="R3346" s="96">
        <f>O3346*Q3346</f>
        <v/>
      </c>
      <c r="S3346" s="97">
        <f>TRIM(E3346)</f>
        <v/>
      </c>
    </row>
    <row r="3347" hidden="1">
      <c r="A3347" s="22" t="n"/>
      <c r="B3347" s="11" t="n"/>
      <c r="C3347" s="11" t="n"/>
      <c r="D3347" s="11" t="n"/>
      <c r="E3347" s="11" t="n"/>
      <c r="F3347" s="11" t="n"/>
      <c r="G3347" s="11" t="n"/>
      <c r="H3347" s="11" t="n"/>
      <c r="I3347" s="11" t="n"/>
      <c r="J3347" s="11" t="n"/>
      <c r="K3347" s="11" t="n"/>
      <c r="L3347" s="11" t="n"/>
      <c r="M3347" s="11" t="n"/>
      <c r="N3347" s="11" t="n"/>
      <c r="O3347" s="11" t="n"/>
      <c r="P3347" s="96">
        <f>_xlfn.XLOOKUP(Tabla5[[#This Row],[EAN CORREGIDO]],'Tabla Articulos'!B:B,'Tabla Articulos'!D:D)</f>
        <v/>
      </c>
      <c r="Q3347" s="96">
        <f>_xlfn.XLOOKUP(S3347,'Tabla Articulos'!B:B,'Tabla Articulos'!E:E)</f>
        <v/>
      </c>
      <c r="R3347" s="96">
        <f>O3347*Q3347</f>
        <v/>
      </c>
      <c r="S3347" s="97">
        <f>TRIM(E3347)</f>
        <v/>
      </c>
    </row>
    <row r="3348" hidden="1">
      <c r="A3348" s="22" t="n"/>
      <c r="B3348" s="11" t="n"/>
      <c r="C3348" s="11" t="n"/>
      <c r="D3348" s="11" t="n"/>
      <c r="E3348" s="11" t="n"/>
      <c r="F3348" s="11" t="n"/>
      <c r="G3348" s="11" t="n"/>
      <c r="H3348" s="11" t="n"/>
      <c r="I3348" s="11" t="n"/>
      <c r="J3348" s="11" t="n"/>
      <c r="K3348" s="11" t="n"/>
      <c r="L3348" s="11" t="n"/>
      <c r="M3348" s="11" t="n"/>
      <c r="N3348" s="11" t="n"/>
      <c r="O3348" s="11" t="n"/>
      <c r="P3348" s="96">
        <f>_xlfn.XLOOKUP(Tabla5[[#This Row],[EAN CORREGIDO]],'Tabla Articulos'!B:B,'Tabla Articulos'!D:D)</f>
        <v/>
      </c>
      <c r="Q3348" s="96">
        <f>_xlfn.XLOOKUP(S3348,'Tabla Articulos'!B:B,'Tabla Articulos'!E:E)</f>
        <v/>
      </c>
      <c r="R3348" s="96">
        <f>O3348*Q3348</f>
        <v/>
      </c>
      <c r="S3348" s="97">
        <f>TRIM(E3348)</f>
        <v/>
      </c>
    </row>
    <row r="3349" hidden="1">
      <c r="A3349" s="22" t="n"/>
      <c r="B3349" s="11" t="n"/>
      <c r="C3349" s="11" t="n"/>
      <c r="E3349" s="11" t="n"/>
      <c r="F3349" s="11" t="n"/>
      <c r="G3349" s="11" t="n"/>
      <c r="H3349" s="11" t="n"/>
      <c r="I3349" s="11" t="n"/>
      <c r="J3349" s="11" t="n"/>
      <c r="K3349" s="11" t="n"/>
      <c r="L3349" s="11" t="n"/>
      <c r="M3349" s="11" t="n"/>
      <c r="N3349" s="11" t="n"/>
      <c r="O3349" s="11" t="n"/>
      <c r="P3349" s="96">
        <f>_xlfn.XLOOKUP(Tabla5[[#This Row],[EAN CORREGIDO]],'Tabla Articulos'!B:B,'Tabla Articulos'!D:D)</f>
        <v/>
      </c>
      <c r="Q3349" s="96">
        <f>_xlfn.XLOOKUP(S3349,'Tabla Articulos'!B:B,'Tabla Articulos'!E:E)</f>
        <v/>
      </c>
      <c r="R3349" s="96">
        <f>O3349*Q3349</f>
        <v/>
      </c>
      <c r="S3349" s="97">
        <f>TRIM(E3349)</f>
        <v/>
      </c>
    </row>
    <row r="3350" hidden="1">
      <c r="A3350" s="22" t="n"/>
      <c r="B3350" s="11" t="n"/>
      <c r="C3350" s="11" t="n"/>
      <c r="D3350" s="11" t="n"/>
      <c r="E3350" s="11" t="n"/>
      <c r="F3350" s="11" t="n"/>
      <c r="G3350" s="11" t="n"/>
      <c r="H3350" s="11" t="n"/>
      <c r="I3350" s="11" t="n"/>
      <c r="J3350" s="11" t="n"/>
      <c r="K3350" s="11" t="n"/>
      <c r="L3350" s="11" t="n"/>
      <c r="M3350" s="11" t="n"/>
      <c r="N3350" s="11" t="n"/>
      <c r="O3350" s="11" t="n"/>
      <c r="P3350" s="96">
        <f>_xlfn.XLOOKUP(Tabla5[[#This Row],[EAN CORREGIDO]],'Tabla Articulos'!B:B,'Tabla Articulos'!D:D)</f>
        <v/>
      </c>
      <c r="Q3350" s="96">
        <f>_xlfn.XLOOKUP(S3350,'Tabla Articulos'!B:B,'Tabla Articulos'!E:E)</f>
        <v/>
      </c>
      <c r="R3350" s="96">
        <f>O3350*Q3350</f>
        <v/>
      </c>
      <c r="S3350" s="97">
        <f>TRIM(E3350)</f>
        <v/>
      </c>
    </row>
    <row r="3351" hidden="1">
      <c r="A3351" s="22" t="n"/>
      <c r="B3351" s="11" t="n"/>
      <c r="C3351" s="11" t="n"/>
      <c r="D3351" s="11" t="n"/>
      <c r="E3351" s="11" t="n"/>
      <c r="F3351" s="11" t="n"/>
      <c r="G3351" s="11" t="n"/>
      <c r="H3351" s="11" t="n"/>
      <c r="I3351" s="11" t="n"/>
      <c r="J3351" s="11" t="n"/>
      <c r="K3351" s="11" t="n"/>
      <c r="L3351" s="11" t="n"/>
      <c r="M3351" s="11" t="n"/>
      <c r="N3351" s="11" t="n"/>
      <c r="O3351" s="11" t="n"/>
      <c r="P3351" s="96">
        <f>_xlfn.XLOOKUP(Tabla5[[#This Row],[EAN CORREGIDO]],'Tabla Articulos'!B:B,'Tabla Articulos'!D:D)</f>
        <v/>
      </c>
      <c r="Q3351" s="96">
        <f>_xlfn.XLOOKUP(S3351,'Tabla Articulos'!B:B,'Tabla Articulos'!E:E)</f>
        <v/>
      </c>
      <c r="R3351" s="96">
        <f>O3351*Q3351</f>
        <v/>
      </c>
      <c r="S3351" s="97">
        <f>TRIM(E3351)</f>
        <v/>
      </c>
    </row>
    <row r="3352" hidden="1">
      <c r="A3352" s="22" t="n"/>
      <c r="B3352" s="11" t="n"/>
      <c r="C3352" s="11" t="n"/>
      <c r="E3352" s="11" t="n"/>
      <c r="F3352" s="11" t="n"/>
      <c r="G3352" s="11" t="n"/>
      <c r="H3352" s="11" t="n"/>
      <c r="I3352" s="11" t="n"/>
      <c r="J3352" s="11" t="n"/>
      <c r="K3352" s="11" t="n"/>
      <c r="L3352" s="11" t="n"/>
      <c r="M3352" s="11" t="n"/>
      <c r="N3352" s="11" t="n"/>
      <c r="O3352" s="11" t="n"/>
      <c r="P3352" s="96">
        <f>_xlfn.XLOOKUP(Tabla5[[#This Row],[EAN CORREGIDO]],'Tabla Articulos'!B:B,'Tabla Articulos'!D:D)</f>
        <v/>
      </c>
      <c r="Q3352" s="96">
        <f>_xlfn.XLOOKUP(S3352,'Tabla Articulos'!B:B,'Tabla Articulos'!E:E)</f>
        <v/>
      </c>
      <c r="R3352" s="96">
        <f>O3352*Q3352</f>
        <v/>
      </c>
      <c r="S3352" s="97">
        <f>TRIM(E3352)</f>
        <v/>
      </c>
    </row>
    <row r="3353" hidden="1">
      <c r="A3353" s="22" t="n"/>
      <c r="B3353" s="11" t="n"/>
      <c r="C3353" s="11" t="n"/>
      <c r="D3353" s="11" t="n"/>
      <c r="E3353" s="11" t="n"/>
      <c r="F3353" s="11" t="n"/>
      <c r="G3353" s="11" t="n"/>
      <c r="H3353" s="11" t="n"/>
      <c r="I3353" s="11" t="n"/>
      <c r="J3353" s="11" t="n"/>
      <c r="K3353" s="11" t="n"/>
      <c r="L3353" s="11" t="n"/>
      <c r="M3353" s="11" t="n"/>
      <c r="N3353" s="11" t="n"/>
      <c r="O3353" s="11" t="n"/>
      <c r="P3353" s="96">
        <f>_xlfn.XLOOKUP(Tabla5[[#This Row],[EAN CORREGIDO]],'Tabla Articulos'!B:B,'Tabla Articulos'!D:D)</f>
        <v/>
      </c>
      <c r="Q3353" s="96">
        <f>_xlfn.XLOOKUP(S3353,'Tabla Articulos'!B:B,'Tabla Articulos'!E:E)</f>
        <v/>
      </c>
      <c r="R3353" s="96">
        <f>O3353*Q3353</f>
        <v/>
      </c>
      <c r="S3353" s="97">
        <f>TRIM(E3353)</f>
        <v/>
      </c>
    </row>
    <row r="3354" hidden="1">
      <c r="A3354" s="22" t="n"/>
      <c r="B3354" s="11" t="n"/>
      <c r="C3354" s="11" t="n"/>
      <c r="D3354" s="11" t="n"/>
      <c r="E3354" s="11" t="n"/>
      <c r="F3354" s="11" t="n"/>
      <c r="G3354" s="11" t="n"/>
      <c r="H3354" s="11" t="n"/>
      <c r="I3354" s="11" t="n"/>
      <c r="J3354" s="11" t="n"/>
      <c r="K3354" s="11" t="n"/>
      <c r="L3354" s="11" t="n"/>
      <c r="M3354" s="11" t="n"/>
      <c r="N3354" s="11" t="n"/>
      <c r="O3354" s="11" t="n"/>
      <c r="P3354" s="96">
        <f>_xlfn.XLOOKUP(Tabla5[[#This Row],[EAN CORREGIDO]],'Tabla Articulos'!B:B,'Tabla Articulos'!D:D)</f>
        <v/>
      </c>
      <c r="Q3354" s="96">
        <f>_xlfn.XLOOKUP(S3354,'Tabla Articulos'!B:B,'Tabla Articulos'!E:E)</f>
        <v/>
      </c>
      <c r="R3354" s="96">
        <f>O3354*Q3354</f>
        <v/>
      </c>
      <c r="S3354" s="97">
        <f>TRIM(E3354)</f>
        <v/>
      </c>
    </row>
    <row r="3355" hidden="1">
      <c r="A3355" s="22" t="n"/>
      <c r="B3355" s="11" t="n"/>
      <c r="C3355" s="11" t="n"/>
      <c r="D3355" s="11" t="n"/>
      <c r="E3355" s="11" t="n"/>
      <c r="F3355" s="11" t="n"/>
      <c r="G3355" s="11" t="n"/>
      <c r="H3355" s="11" t="n"/>
      <c r="I3355" s="11" t="n"/>
      <c r="J3355" s="11" t="n"/>
      <c r="K3355" s="11" t="n"/>
      <c r="L3355" s="11" t="n"/>
      <c r="M3355" s="11" t="n"/>
      <c r="N3355" s="11" t="n"/>
      <c r="O3355" s="11" t="n"/>
      <c r="P3355" s="96">
        <f>_xlfn.XLOOKUP(Tabla5[[#This Row],[EAN CORREGIDO]],'Tabla Articulos'!B:B,'Tabla Articulos'!D:D)</f>
        <v/>
      </c>
      <c r="Q3355" s="96">
        <f>_xlfn.XLOOKUP(S3355,'Tabla Articulos'!B:B,'Tabla Articulos'!E:E)</f>
        <v/>
      </c>
      <c r="R3355" s="96">
        <f>O3355*Q3355</f>
        <v/>
      </c>
      <c r="S3355" s="97">
        <f>TRIM(E3355)</f>
        <v/>
      </c>
    </row>
    <row r="3356" hidden="1">
      <c r="A3356" s="22" t="n"/>
      <c r="B3356" s="11" t="n"/>
      <c r="C3356" s="11" t="n"/>
      <c r="D3356" s="11" t="n"/>
      <c r="E3356" s="11" t="n"/>
      <c r="F3356" s="11" t="n"/>
      <c r="G3356" s="11" t="n"/>
      <c r="H3356" s="11" t="n"/>
      <c r="I3356" s="11" t="n"/>
      <c r="J3356" s="11" t="n"/>
      <c r="K3356" s="11" t="n"/>
      <c r="L3356" s="11" t="n"/>
      <c r="M3356" s="11" t="n"/>
      <c r="N3356" s="11" t="n"/>
      <c r="O3356" s="11" t="n"/>
      <c r="P3356" s="96">
        <f>_xlfn.XLOOKUP(Tabla5[[#This Row],[EAN CORREGIDO]],'Tabla Articulos'!B:B,'Tabla Articulos'!D:D)</f>
        <v/>
      </c>
      <c r="Q3356" s="96">
        <f>_xlfn.XLOOKUP(S3356,'Tabla Articulos'!B:B,'Tabla Articulos'!E:E)</f>
        <v/>
      </c>
      <c r="R3356" s="96">
        <f>O3356*Q3356</f>
        <v/>
      </c>
      <c r="S3356" s="97">
        <f>TRIM(E3356)</f>
        <v/>
      </c>
    </row>
    <row r="3357" hidden="1">
      <c r="A3357" s="22" t="n"/>
      <c r="B3357" s="11" t="n"/>
      <c r="C3357" s="11" t="n"/>
      <c r="E3357" s="11" t="n"/>
      <c r="F3357" s="11" t="n"/>
      <c r="G3357" s="11" t="n"/>
      <c r="H3357" s="11" t="n"/>
      <c r="I3357" s="11" t="n"/>
      <c r="J3357" s="11" t="n"/>
      <c r="K3357" s="11" t="n"/>
      <c r="L3357" s="11" t="n"/>
      <c r="M3357" s="11" t="n"/>
      <c r="N3357" s="11" t="n"/>
      <c r="O3357" s="11" t="n"/>
      <c r="P3357" s="96">
        <f>_xlfn.XLOOKUP(Tabla5[[#This Row],[EAN CORREGIDO]],'Tabla Articulos'!B:B,'Tabla Articulos'!D:D)</f>
        <v/>
      </c>
      <c r="Q3357" s="96">
        <f>_xlfn.XLOOKUP(S3357,'Tabla Articulos'!B:B,'Tabla Articulos'!E:E)</f>
        <v/>
      </c>
      <c r="R3357" s="96">
        <f>O3357*Q3357</f>
        <v/>
      </c>
      <c r="S3357" s="97">
        <f>TRIM(E3357)</f>
        <v/>
      </c>
    </row>
    <row r="3358" hidden="1">
      <c r="A3358" s="22" t="n"/>
      <c r="B3358" s="11" t="n"/>
      <c r="C3358" s="11" t="n"/>
      <c r="D3358" s="11" t="n"/>
      <c r="E3358" s="11" t="n"/>
      <c r="F3358" s="11" t="n"/>
      <c r="G3358" s="11" t="n"/>
      <c r="H3358" s="11" t="n"/>
      <c r="I3358" s="11" t="n"/>
      <c r="J3358" s="11" t="n"/>
      <c r="K3358" s="11" t="n"/>
      <c r="L3358" s="11" t="n"/>
      <c r="M3358" s="11" t="n"/>
      <c r="N3358" s="11" t="n"/>
      <c r="O3358" s="11" t="n"/>
      <c r="P3358" s="96">
        <f>_xlfn.XLOOKUP(Tabla5[[#This Row],[EAN CORREGIDO]],'Tabla Articulos'!B:B,'Tabla Articulos'!D:D)</f>
        <v/>
      </c>
      <c r="Q3358" s="96">
        <f>_xlfn.XLOOKUP(S3358,'Tabla Articulos'!B:B,'Tabla Articulos'!E:E)</f>
        <v/>
      </c>
      <c r="R3358" s="96">
        <f>O3358*Q3358</f>
        <v/>
      </c>
      <c r="S3358" s="97">
        <f>TRIM(E3358)</f>
        <v/>
      </c>
    </row>
    <row r="3359" hidden="1">
      <c r="A3359" s="22" t="n"/>
      <c r="B3359" s="11" t="n"/>
      <c r="C3359" s="11" t="n"/>
      <c r="D3359" s="11" t="n"/>
      <c r="E3359" s="11" t="n"/>
      <c r="F3359" s="11" t="n"/>
      <c r="G3359" s="11" t="n"/>
      <c r="H3359" s="11" t="n"/>
      <c r="I3359" s="11" t="n"/>
      <c r="J3359" s="11" t="n"/>
      <c r="K3359" s="11" t="n"/>
      <c r="L3359" s="11" t="n"/>
      <c r="M3359" s="11" t="n"/>
      <c r="N3359" s="11" t="n"/>
      <c r="O3359" s="11" t="n"/>
      <c r="P3359" s="96">
        <f>_xlfn.XLOOKUP(Tabla5[[#This Row],[EAN CORREGIDO]],'Tabla Articulos'!B:B,'Tabla Articulos'!D:D)</f>
        <v/>
      </c>
      <c r="Q3359" s="96">
        <f>_xlfn.XLOOKUP(S3359,'Tabla Articulos'!B:B,'Tabla Articulos'!E:E)</f>
        <v/>
      </c>
      <c r="R3359" s="96">
        <f>O3359*Q3359</f>
        <v/>
      </c>
      <c r="S3359" s="97">
        <f>TRIM(E3359)</f>
        <v/>
      </c>
    </row>
    <row r="3360" hidden="1">
      <c r="A3360" s="22" t="n"/>
      <c r="B3360" s="11" t="n"/>
      <c r="C3360" s="11" t="n"/>
      <c r="E3360" s="11" t="n"/>
      <c r="F3360" s="11" t="n"/>
      <c r="G3360" s="11" t="n"/>
      <c r="H3360" s="11" t="n"/>
      <c r="I3360" s="11" t="n"/>
      <c r="J3360" s="11" t="n"/>
      <c r="K3360" s="11" t="n"/>
      <c r="L3360" s="11" t="n"/>
      <c r="M3360" s="11" t="n"/>
      <c r="N3360" s="11" t="n"/>
      <c r="O3360" s="11" t="n"/>
      <c r="P3360" s="96">
        <f>_xlfn.XLOOKUP(Tabla5[[#This Row],[EAN CORREGIDO]],'Tabla Articulos'!B:B,'Tabla Articulos'!D:D)</f>
        <v/>
      </c>
      <c r="Q3360" s="96">
        <f>_xlfn.XLOOKUP(S3360,'Tabla Articulos'!B:B,'Tabla Articulos'!E:E)</f>
        <v/>
      </c>
      <c r="R3360" s="96">
        <f>O3360*Q3360</f>
        <v/>
      </c>
      <c r="S3360" s="97">
        <f>TRIM(E3360)</f>
        <v/>
      </c>
    </row>
    <row r="3361" hidden="1">
      <c r="A3361" s="22" t="n"/>
      <c r="B3361" s="11" t="n"/>
      <c r="C3361" s="11" t="n"/>
      <c r="E3361" s="11" t="n"/>
      <c r="F3361" s="11" t="n"/>
      <c r="G3361" s="11" t="n"/>
      <c r="H3361" s="11" t="n"/>
      <c r="I3361" s="11" t="n"/>
      <c r="J3361" s="11" t="n"/>
      <c r="K3361" s="11" t="n"/>
      <c r="L3361" s="11" t="n"/>
      <c r="M3361" s="11" t="n"/>
      <c r="N3361" s="11" t="n"/>
      <c r="O3361" s="11" t="n"/>
      <c r="P3361" s="96">
        <f>_xlfn.XLOOKUP(Tabla5[[#This Row],[EAN CORREGIDO]],'Tabla Articulos'!B:B,'Tabla Articulos'!D:D)</f>
        <v/>
      </c>
      <c r="Q3361" s="96">
        <f>_xlfn.XLOOKUP(S3361,'Tabla Articulos'!B:B,'Tabla Articulos'!E:E)</f>
        <v/>
      </c>
      <c r="R3361" s="96">
        <f>O3361*Q3361</f>
        <v/>
      </c>
      <c r="S3361" s="97">
        <f>TRIM(E3361)</f>
        <v/>
      </c>
    </row>
    <row r="3362" hidden="1">
      <c r="A3362" s="22" t="n"/>
      <c r="B3362" s="11" t="n"/>
      <c r="C3362" s="11" t="n"/>
      <c r="D3362" s="11" t="n"/>
      <c r="E3362" s="11" t="n"/>
      <c r="F3362" s="11" t="n"/>
      <c r="G3362" s="11" t="n"/>
      <c r="H3362" s="11" t="n"/>
      <c r="I3362" s="11" t="n"/>
      <c r="J3362" s="11" t="n"/>
      <c r="K3362" s="11" t="n"/>
      <c r="L3362" s="11" t="n"/>
      <c r="M3362" s="11" t="n"/>
      <c r="N3362" s="11" t="n"/>
      <c r="O3362" s="11" t="n"/>
      <c r="P3362" s="96">
        <f>_xlfn.XLOOKUP(Tabla5[[#This Row],[EAN CORREGIDO]],'Tabla Articulos'!B:B,'Tabla Articulos'!D:D)</f>
        <v/>
      </c>
      <c r="Q3362" s="96">
        <f>_xlfn.XLOOKUP(S3362,'Tabla Articulos'!B:B,'Tabla Articulos'!E:E)</f>
        <v/>
      </c>
      <c r="R3362" s="96">
        <f>O3362*Q3362</f>
        <v/>
      </c>
      <c r="S3362" s="97">
        <f>TRIM(E3362)</f>
        <v/>
      </c>
    </row>
    <row r="3363" hidden="1">
      <c r="A3363" s="22" t="n"/>
      <c r="B3363" s="11" t="n"/>
      <c r="C3363" s="11" t="n"/>
      <c r="D3363" s="11" t="n"/>
      <c r="E3363" s="11" t="n"/>
      <c r="F3363" s="11" t="n"/>
      <c r="G3363" s="11" t="n"/>
      <c r="H3363" s="11" t="n"/>
      <c r="I3363" s="11" t="n"/>
      <c r="J3363" s="11" t="n"/>
      <c r="K3363" s="11" t="n"/>
      <c r="L3363" s="11" t="n"/>
      <c r="M3363" s="11" t="n"/>
      <c r="N3363" s="11" t="n"/>
      <c r="O3363" s="11" t="n"/>
      <c r="P3363" s="96">
        <f>_xlfn.XLOOKUP(Tabla5[[#This Row],[EAN CORREGIDO]],'Tabla Articulos'!B:B,'Tabla Articulos'!D:D)</f>
        <v/>
      </c>
      <c r="Q3363" s="96">
        <f>_xlfn.XLOOKUP(S3363,'Tabla Articulos'!B:B,'Tabla Articulos'!E:E)</f>
        <v/>
      </c>
      <c r="R3363" s="96">
        <f>O3363*Q3363</f>
        <v/>
      </c>
      <c r="S3363" s="97">
        <f>TRIM(E3363)</f>
        <v/>
      </c>
    </row>
    <row r="3364" hidden="1">
      <c r="A3364" s="22" t="n"/>
      <c r="B3364" s="11" t="n"/>
      <c r="C3364" s="11" t="n"/>
      <c r="D3364" s="11" t="n"/>
      <c r="E3364" s="11" t="n"/>
      <c r="F3364" s="11" t="n"/>
      <c r="G3364" s="11" t="n"/>
      <c r="H3364" s="11" t="n"/>
      <c r="I3364" s="11" t="n"/>
      <c r="J3364" s="11" t="n"/>
      <c r="K3364" s="11" t="n"/>
      <c r="L3364" s="11" t="n"/>
      <c r="M3364" s="11" t="n"/>
      <c r="N3364" s="11" t="n"/>
      <c r="O3364" s="11" t="n"/>
      <c r="P3364" s="96">
        <f>_xlfn.XLOOKUP(Tabla5[[#This Row],[EAN CORREGIDO]],'Tabla Articulos'!B:B,'Tabla Articulos'!D:D)</f>
        <v/>
      </c>
      <c r="Q3364" s="96">
        <f>_xlfn.XLOOKUP(S3364,'Tabla Articulos'!B:B,'Tabla Articulos'!E:E)</f>
        <v/>
      </c>
      <c r="R3364" s="96">
        <f>O3364*Q3364</f>
        <v/>
      </c>
      <c r="S3364" s="97">
        <f>TRIM(E3364)</f>
        <v/>
      </c>
    </row>
    <row r="3365" hidden="1">
      <c r="A3365" s="22" t="n"/>
      <c r="B3365" s="11" t="n"/>
      <c r="C3365" s="11" t="n"/>
      <c r="D3365" s="11" t="n"/>
      <c r="E3365" s="11" t="n"/>
      <c r="F3365" s="11" t="n"/>
      <c r="G3365" s="11" t="n"/>
      <c r="H3365" s="11" t="n"/>
      <c r="I3365" s="11" t="n"/>
      <c r="J3365" s="11" t="n"/>
      <c r="K3365" s="11" t="n"/>
      <c r="L3365" s="11" t="n"/>
      <c r="M3365" s="11" t="n"/>
      <c r="N3365" s="11" t="n"/>
      <c r="O3365" s="11" t="n"/>
      <c r="P3365" s="96">
        <f>_xlfn.XLOOKUP(Tabla5[[#This Row],[EAN CORREGIDO]],'Tabla Articulos'!B:B,'Tabla Articulos'!D:D)</f>
        <v/>
      </c>
      <c r="Q3365" s="96">
        <f>_xlfn.XLOOKUP(S3365,'Tabla Articulos'!B:B,'Tabla Articulos'!E:E)</f>
        <v/>
      </c>
      <c r="R3365" s="96">
        <f>O3365*Q3365</f>
        <v/>
      </c>
      <c r="S3365" s="97">
        <f>TRIM(E3365)</f>
        <v/>
      </c>
    </row>
    <row r="3366" hidden="1">
      <c r="A3366" s="22" t="n"/>
      <c r="B3366" s="11" t="n"/>
      <c r="C3366" s="11" t="n"/>
      <c r="E3366" s="11" t="n"/>
      <c r="F3366" s="11" t="n"/>
      <c r="G3366" s="11" t="n"/>
      <c r="H3366" s="11" t="n"/>
      <c r="I3366" s="11" t="n"/>
      <c r="J3366" s="11" t="n"/>
      <c r="K3366" s="11" t="n"/>
      <c r="L3366" s="11" t="n"/>
      <c r="M3366" s="11" t="n"/>
      <c r="N3366" s="11" t="n"/>
      <c r="O3366" s="11" t="n"/>
      <c r="P3366" s="96">
        <f>_xlfn.XLOOKUP(Tabla5[[#This Row],[EAN CORREGIDO]],'Tabla Articulos'!B:B,'Tabla Articulos'!D:D)</f>
        <v/>
      </c>
      <c r="Q3366" s="96">
        <f>_xlfn.XLOOKUP(S3366,'Tabla Articulos'!B:B,'Tabla Articulos'!E:E)</f>
        <v/>
      </c>
      <c r="R3366" s="96">
        <f>O3366*Q3366</f>
        <v/>
      </c>
      <c r="S3366" s="97">
        <f>TRIM(E3366)</f>
        <v/>
      </c>
    </row>
    <row r="3367" hidden="1">
      <c r="A3367" s="22" t="n"/>
      <c r="B3367" s="11" t="n"/>
      <c r="C3367" s="11" t="n"/>
      <c r="E3367" s="11" t="n"/>
      <c r="G3367" s="11" t="n"/>
      <c r="H3367" s="11" t="n"/>
      <c r="I3367" s="11" t="n"/>
      <c r="J3367" s="11" t="n"/>
      <c r="K3367" s="11" t="n"/>
      <c r="L3367" s="11" t="n"/>
      <c r="M3367" s="11" t="n"/>
      <c r="N3367" s="11" t="n"/>
      <c r="O3367" s="11" t="n"/>
      <c r="P3367" s="96">
        <f>_xlfn.XLOOKUP(Tabla5[[#This Row],[EAN CORREGIDO]],'Tabla Articulos'!B:B,'Tabla Articulos'!D:D)</f>
        <v/>
      </c>
      <c r="Q3367" s="96">
        <f>_xlfn.XLOOKUP(S3367,'Tabla Articulos'!B:B,'Tabla Articulos'!E:E)</f>
        <v/>
      </c>
      <c r="R3367" s="96">
        <f>O3367*Q3367</f>
        <v/>
      </c>
      <c r="S3367" s="97">
        <f>TRIM(E3367)</f>
        <v/>
      </c>
    </row>
    <row r="3368" hidden="1">
      <c r="A3368" s="22" t="n"/>
      <c r="B3368" s="11" t="n"/>
      <c r="C3368" s="11" t="n"/>
      <c r="E3368" s="11" t="n"/>
      <c r="G3368" s="11" t="n"/>
      <c r="H3368" s="11" t="n"/>
      <c r="I3368" s="11" t="n"/>
      <c r="J3368" s="11" t="n"/>
      <c r="K3368" s="11" t="n"/>
      <c r="L3368" s="11" t="n"/>
      <c r="M3368" s="11" t="n"/>
      <c r="N3368" s="11" t="n"/>
      <c r="O3368" s="11" t="n"/>
      <c r="P3368" s="96">
        <f>_xlfn.XLOOKUP(Tabla5[[#This Row],[EAN CORREGIDO]],'Tabla Articulos'!B:B,'Tabla Articulos'!D:D)</f>
        <v/>
      </c>
      <c r="Q3368" s="96">
        <f>_xlfn.XLOOKUP(S3368,'Tabla Articulos'!B:B,'Tabla Articulos'!E:E)</f>
        <v/>
      </c>
      <c r="R3368" s="96">
        <f>O3368*Q3368</f>
        <v/>
      </c>
      <c r="S3368" s="97">
        <f>TRIM(E3368)</f>
        <v/>
      </c>
    </row>
    <row r="3369" hidden="1">
      <c r="A3369" s="22" t="n"/>
      <c r="B3369" s="11" t="n"/>
      <c r="C3369" s="11" t="n"/>
      <c r="E3369" s="11" t="n"/>
      <c r="G3369" s="11" t="n"/>
      <c r="H3369" s="11" t="n"/>
      <c r="I3369" s="11" t="n"/>
      <c r="J3369" s="11" t="n"/>
      <c r="K3369" s="11" t="n"/>
      <c r="L3369" s="11" t="n"/>
      <c r="M3369" s="11" t="n"/>
      <c r="N3369" s="11" t="n"/>
      <c r="O3369" s="11" t="n"/>
      <c r="P3369" s="96">
        <f>_xlfn.XLOOKUP(Tabla5[[#This Row],[EAN CORREGIDO]],'Tabla Articulos'!B:B,'Tabla Articulos'!D:D)</f>
        <v/>
      </c>
      <c r="Q3369" s="96">
        <f>_xlfn.XLOOKUP(S3369,'Tabla Articulos'!B:B,'Tabla Articulos'!E:E)</f>
        <v/>
      </c>
      <c r="R3369" s="96">
        <f>O3369*Q3369</f>
        <v/>
      </c>
      <c r="S3369" s="97">
        <f>TRIM(E3369)</f>
        <v/>
      </c>
    </row>
    <row r="3370" hidden="1">
      <c r="A3370" s="22" t="n"/>
      <c r="B3370" s="11" t="n"/>
      <c r="C3370" s="11" t="n"/>
      <c r="E3370" s="11" t="n"/>
      <c r="G3370" s="11" t="n"/>
      <c r="H3370" s="11" t="n"/>
      <c r="I3370" s="11" t="n"/>
      <c r="J3370" s="11" t="n"/>
      <c r="K3370" s="11" t="n"/>
      <c r="L3370" s="11" t="n"/>
      <c r="M3370" s="11" t="n"/>
      <c r="N3370" s="11" t="n"/>
      <c r="O3370" s="11" t="n"/>
      <c r="P3370" s="96">
        <f>_xlfn.XLOOKUP(Tabla5[[#This Row],[EAN CORREGIDO]],'Tabla Articulos'!B:B,'Tabla Articulos'!D:D)</f>
        <v/>
      </c>
      <c r="Q3370" s="96">
        <f>_xlfn.XLOOKUP(S3370,'Tabla Articulos'!B:B,'Tabla Articulos'!E:E)</f>
        <v/>
      </c>
      <c r="R3370" s="96">
        <f>O3370*Q3370</f>
        <v/>
      </c>
      <c r="S3370" s="97">
        <f>TRIM(E3370)</f>
        <v/>
      </c>
    </row>
    <row r="3371" hidden="1">
      <c r="A3371" s="22" t="n"/>
      <c r="B3371" s="11" t="n"/>
      <c r="C3371" s="11" t="n"/>
      <c r="E3371" s="11" t="n"/>
      <c r="G3371" s="11" t="n"/>
      <c r="H3371" s="11" t="n"/>
      <c r="I3371" s="11" t="n"/>
      <c r="J3371" s="11" t="n"/>
      <c r="K3371" s="11" t="n"/>
      <c r="L3371" s="11" t="n"/>
      <c r="M3371" s="11" t="n"/>
      <c r="N3371" s="11" t="n"/>
      <c r="O3371" s="11" t="n"/>
      <c r="P3371" s="96">
        <f>_xlfn.XLOOKUP(Tabla5[[#This Row],[EAN CORREGIDO]],'Tabla Articulos'!B:B,'Tabla Articulos'!D:D)</f>
        <v/>
      </c>
      <c r="Q3371" s="96">
        <f>_xlfn.XLOOKUP(S3371,'Tabla Articulos'!B:B,'Tabla Articulos'!E:E)</f>
        <v/>
      </c>
      <c r="R3371" s="96">
        <f>O3371*Q3371</f>
        <v/>
      </c>
      <c r="S3371" s="97">
        <f>TRIM(E3371)</f>
        <v/>
      </c>
    </row>
    <row r="3372" hidden="1">
      <c r="A3372" s="22" t="n"/>
      <c r="B3372" s="11" t="n"/>
      <c r="C3372" s="11" t="n"/>
      <c r="E3372" s="11" t="n"/>
      <c r="G3372" s="11" t="n"/>
      <c r="H3372" s="11" t="n"/>
      <c r="I3372" s="11" t="n"/>
      <c r="J3372" s="11" t="n"/>
      <c r="K3372" s="11" t="n"/>
      <c r="L3372" s="11" t="n"/>
      <c r="M3372" s="11" t="n"/>
      <c r="N3372" s="11" t="n"/>
      <c r="O3372" s="11" t="n"/>
      <c r="P3372" s="96">
        <f>_xlfn.XLOOKUP(Tabla5[[#This Row],[EAN CORREGIDO]],'Tabla Articulos'!B:B,'Tabla Articulos'!D:D)</f>
        <v/>
      </c>
      <c r="Q3372" s="96">
        <f>_xlfn.XLOOKUP(S3372,'Tabla Articulos'!B:B,'Tabla Articulos'!E:E)</f>
        <v/>
      </c>
      <c r="R3372" s="96">
        <f>O3372*Q3372</f>
        <v/>
      </c>
      <c r="S3372" s="97">
        <f>TRIM(E3372)</f>
        <v/>
      </c>
    </row>
    <row r="3373" hidden="1">
      <c r="A3373" s="22" t="n"/>
      <c r="B3373" s="11" t="n"/>
      <c r="C3373" s="11" t="n"/>
      <c r="E3373" s="11" t="n"/>
      <c r="G3373" s="11" t="n"/>
      <c r="H3373" s="11" t="n"/>
      <c r="I3373" s="11" t="n"/>
      <c r="J3373" s="11" t="n"/>
      <c r="K3373" s="11" t="n"/>
      <c r="L3373" s="11" t="n"/>
      <c r="M3373" s="11" t="n"/>
      <c r="N3373" s="11" t="n"/>
      <c r="O3373" s="11" t="n"/>
      <c r="P3373" s="96">
        <f>_xlfn.XLOOKUP(Tabla5[[#This Row],[EAN CORREGIDO]],'Tabla Articulos'!B:B,'Tabla Articulos'!D:D)</f>
        <v/>
      </c>
      <c r="Q3373" s="96">
        <f>_xlfn.XLOOKUP(S3373,'Tabla Articulos'!B:B,'Tabla Articulos'!E:E)</f>
        <v/>
      </c>
      <c r="R3373" s="96">
        <f>O3373*Q3373</f>
        <v/>
      </c>
      <c r="S3373" s="97">
        <f>TRIM(E3373)</f>
        <v/>
      </c>
    </row>
    <row r="3374" hidden="1">
      <c r="A3374" s="22" t="n"/>
      <c r="B3374" s="11" t="n"/>
      <c r="C3374" s="11" t="n"/>
      <c r="E3374" s="11" t="n"/>
      <c r="G3374" s="11" t="n"/>
      <c r="H3374" s="11" t="n"/>
      <c r="I3374" s="11" t="n"/>
      <c r="J3374" s="11" t="n"/>
      <c r="K3374" s="11" t="n"/>
      <c r="L3374" s="11" t="n"/>
      <c r="M3374" s="11" t="n"/>
      <c r="N3374" s="11" t="n"/>
      <c r="O3374" s="11" t="n"/>
      <c r="P3374" s="96">
        <f>_xlfn.XLOOKUP(Tabla5[[#This Row],[EAN CORREGIDO]],'Tabla Articulos'!B:B,'Tabla Articulos'!D:D)</f>
        <v/>
      </c>
      <c r="Q3374" s="96">
        <f>_xlfn.XLOOKUP(S3374,'Tabla Articulos'!B:B,'Tabla Articulos'!E:E)</f>
        <v/>
      </c>
      <c r="R3374" s="96">
        <f>O3374*Q3374</f>
        <v/>
      </c>
      <c r="S3374" s="97">
        <f>TRIM(E3374)</f>
        <v/>
      </c>
    </row>
    <row r="3375" hidden="1">
      <c r="A3375" s="22" t="n"/>
      <c r="B3375" s="11" t="n"/>
      <c r="C3375" s="11" t="n"/>
      <c r="E3375" s="11" t="n"/>
      <c r="G3375" s="11" t="n"/>
      <c r="H3375" s="11" t="n"/>
      <c r="I3375" s="11" t="n"/>
      <c r="J3375" s="11" t="n"/>
      <c r="K3375" s="11" t="n"/>
      <c r="L3375" s="11" t="n"/>
      <c r="M3375" s="11" t="n"/>
      <c r="N3375" s="11" t="n"/>
      <c r="O3375" s="11" t="n"/>
      <c r="P3375" s="96">
        <f>_xlfn.XLOOKUP(Tabla5[[#This Row],[EAN CORREGIDO]],'Tabla Articulos'!B:B,'Tabla Articulos'!D:D)</f>
        <v/>
      </c>
      <c r="Q3375" s="96">
        <f>_xlfn.XLOOKUP(S3375,'Tabla Articulos'!B:B,'Tabla Articulos'!E:E)</f>
        <v/>
      </c>
      <c r="R3375" s="96">
        <f>O3375*Q3375</f>
        <v/>
      </c>
      <c r="S3375" s="97">
        <f>TRIM(E3375)</f>
        <v/>
      </c>
    </row>
    <row r="3376" hidden="1">
      <c r="A3376" s="22" t="n"/>
      <c r="B3376" s="11" t="n"/>
      <c r="C3376" s="11" t="n"/>
      <c r="E3376" s="11" t="n"/>
      <c r="G3376" s="11" t="n"/>
      <c r="H3376" s="11" t="n"/>
      <c r="I3376" s="11" t="n"/>
      <c r="J3376" s="11" t="n"/>
      <c r="K3376" s="11" t="n"/>
      <c r="L3376" s="11" t="n"/>
      <c r="M3376" s="11" t="n"/>
      <c r="N3376" s="11" t="n"/>
      <c r="O3376" s="11" t="n"/>
      <c r="P3376" s="96">
        <f>_xlfn.XLOOKUP(Tabla5[[#This Row],[EAN CORREGIDO]],'Tabla Articulos'!B:B,'Tabla Articulos'!D:D)</f>
        <v/>
      </c>
      <c r="Q3376" s="96">
        <f>_xlfn.XLOOKUP(S3376,'Tabla Articulos'!B:B,'Tabla Articulos'!E:E)</f>
        <v/>
      </c>
      <c r="R3376" s="96">
        <f>O3376*Q3376</f>
        <v/>
      </c>
      <c r="S3376" s="97">
        <f>TRIM(E3376)</f>
        <v/>
      </c>
    </row>
    <row r="3377" hidden="1">
      <c r="A3377" s="22" t="n"/>
      <c r="B3377" s="11" t="n"/>
      <c r="C3377" s="11" t="n"/>
      <c r="E3377" s="11" t="n"/>
      <c r="G3377" s="11" t="n"/>
      <c r="H3377" s="11" t="n"/>
      <c r="I3377" s="11" t="n"/>
      <c r="J3377" s="11" t="n"/>
      <c r="K3377" s="11" t="n"/>
      <c r="L3377" s="11" t="n"/>
      <c r="M3377" s="11" t="n"/>
      <c r="N3377" s="11" t="n"/>
      <c r="O3377" s="11" t="n"/>
      <c r="P3377" s="96">
        <f>_xlfn.XLOOKUP(Tabla5[[#This Row],[EAN CORREGIDO]],'Tabla Articulos'!B:B,'Tabla Articulos'!D:D)</f>
        <v/>
      </c>
      <c r="Q3377" s="96">
        <f>_xlfn.XLOOKUP(S3377,'Tabla Articulos'!B:B,'Tabla Articulos'!E:E)</f>
        <v/>
      </c>
      <c r="R3377" s="96">
        <f>O3377*Q3377</f>
        <v/>
      </c>
      <c r="S3377" s="97">
        <f>TRIM(E3377)</f>
        <v/>
      </c>
    </row>
    <row r="3378" hidden="1">
      <c r="A3378" s="22" t="n"/>
      <c r="B3378" s="11" t="n"/>
      <c r="C3378" s="11" t="n"/>
      <c r="E3378" s="11" t="n"/>
      <c r="G3378" s="11" t="n"/>
      <c r="H3378" s="11" t="n"/>
      <c r="I3378" s="11" t="n"/>
      <c r="J3378" s="11" t="n"/>
      <c r="K3378" s="11" t="n"/>
      <c r="L3378" s="11" t="n"/>
      <c r="M3378" s="11" t="n"/>
      <c r="N3378" s="11" t="n"/>
      <c r="O3378" s="11" t="n"/>
      <c r="P3378" s="96">
        <f>_xlfn.XLOOKUP(Tabla5[[#This Row],[EAN CORREGIDO]],'Tabla Articulos'!B:B,'Tabla Articulos'!D:D)</f>
        <v/>
      </c>
      <c r="Q3378" s="96">
        <f>_xlfn.XLOOKUP(S3378,'Tabla Articulos'!B:B,'Tabla Articulos'!E:E)</f>
        <v/>
      </c>
      <c r="R3378" s="96">
        <f>O3378*Q3378</f>
        <v/>
      </c>
      <c r="S3378" s="97">
        <f>TRIM(E3378)</f>
        <v/>
      </c>
    </row>
    <row r="3379" hidden="1">
      <c r="A3379" s="22" t="n"/>
      <c r="B3379" s="11" t="n"/>
      <c r="C3379" s="11" t="n"/>
      <c r="E3379" s="11" t="n"/>
      <c r="G3379" s="11" t="n"/>
      <c r="H3379" s="11" t="n"/>
      <c r="I3379" s="11" t="n"/>
      <c r="J3379" s="11" t="n"/>
      <c r="K3379" s="11" t="n"/>
      <c r="L3379" s="11" t="n"/>
      <c r="M3379" s="11" t="n"/>
      <c r="N3379" s="11" t="n"/>
      <c r="O3379" s="11" t="n"/>
      <c r="P3379" s="96">
        <f>_xlfn.XLOOKUP(Tabla5[[#This Row],[EAN CORREGIDO]],'Tabla Articulos'!B:B,'Tabla Articulos'!D:D)</f>
        <v/>
      </c>
      <c r="Q3379" s="96">
        <f>_xlfn.XLOOKUP(S3379,'Tabla Articulos'!B:B,'Tabla Articulos'!E:E)</f>
        <v/>
      </c>
      <c r="R3379" s="96">
        <f>O3379*Q3379</f>
        <v/>
      </c>
      <c r="S3379" s="97">
        <f>TRIM(E3379)</f>
        <v/>
      </c>
    </row>
    <row r="3380" hidden="1">
      <c r="A3380" s="22" t="n"/>
      <c r="B3380" s="11" t="n"/>
      <c r="C3380" s="11" t="n"/>
      <c r="E3380" s="11" t="n"/>
      <c r="G3380" s="11" t="n"/>
      <c r="H3380" s="11" t="n"/>
      <c r="I3380" s="11" t="n"/>
      <c r="J3380" s="11" t="n"/>
      <c r="K3380" s="11" t="n"/>
      <c r="L3380" s="11" t="n"/>
      <c r="M3380" s="11" t="n"/>
      <c r="N3380" s="11" t="n"/>
      <c r="O3380" s="11" t="n"/>
      <c r="P3380" s="96">
        <f>_xlfn.XLOOKUP(Tabla5[[#This Row],[EAN CORREGIDO]],'Tabla Articulos'!B:B,'Tabla Articulos'!D:D)</f>
        <v/>
      </c>
      <c r="Q3380" s="96">
        <f>_xlfn.XLOOKUP(S3380,'Tabla Articulos'!B:B,'Tabla Articulos'!E:E)</f>
        <v/>
      </c>
      <c r="R3380" s="96">
        <f>O3380*Q3380</f>
        <v/>
      </c>
      <c r="S3380" s="97">
        <f>TRIM(E3380)</f>
        <v/>
      </c>
    </row>
    <row r="3381" hidden="1">
      <c r="A3381" s="22" t="n"/>
      <c r="B3381" s="11" t="n"/>
      <c r="C3381" s="11" t="n"/>
      <c r="E3381" s="11" t="n"/>
      <c r="G3381" s="11" t="n"/>
      <c r="H3381" s="11" t="n"/>
      <c r="I3381" s="11" t="n"/>
      <c r="J3381" s="11" t="n"/>
      <c r="K3381" s="11" t="n"/>
      <c r="L3381" s="11" t="n"/>
      <c r="M3381" s="11" t="n"/>
      <c r="N3381" s="11" t="n"/>
      <c r="O3381" s="11" t="n"/>
      <c r="P3381" s="96">
        <f>_xlfn.XLOOKUP(Tabla5[[#This Row],[EAN CORREGIDO]],'Tabla Articulos'!B:B,'Tabla Articulos'!D:D)</f>
        <v/>
      </c>
      <c r="Q3381" s="96">
        <f>_xlfn.XLOOKUP(S3381,'Tabla Articulos'!B:B,'Tabla Articulos'!E:E)</f>
        <v/>
      </c>
      <c r="R3381" s="96">
        <f>O3381*Q3381</f>
        <v/>
      </c>
      <c r="S3381" s="97">
        <f>TRIM(E3381)</f>
        <v/>
      </c>
    </row>
    <row r="3382" hidden="1">
      <c r="A3382" s="22" t="n"/>
      <c r="B3382" s="11" t="n"/>
      <c r="C3382" s="11" t="n"/>
      <c r="E3382" s="11" t="n"/>
      <c r="G3382" s="11" t="n"/>
      <c r="H3382" s="11" t="n"/>
      <c r="I3382" s="11" t="n"/>
      <c r="J3382" s="11" t="n"/>
      <c r="K3382" s="11" t="n"/>
      <c r="L3382" s="11" t="n"/>
      <c r="M3382" s="11" t="n"/>
      <c r="N3382" s="11" t="n"/>
      <c r="O3382" s="11" t="n"/>
      <c r="P3382" s="96">
        <f>_xlfn.XLOOKUP(Tabla5[[#This Row],[EAN CORREGIDO]],'Tabla Articulos'!B:B,'Tabla Articulos'!D:D)</f>
        <v/>
      </c>
      <c r="Q3382" s="96">
        <f>_xlfn.XLOOKUP(S3382,'Tabla Articulos'!B:B,'Tabla Articulos'!E:E)</f>
        <v/>
      </c>
      <c r="R3382" s="96">
        <f>O3382*Q3382</f>
        <v/>
      </c>
      <c r="S3382" s="97">
        <f>TRIM(E3382)</f>
        <v/>
      </c>
    </row>
    <row r="3383" hidden="1">
      <c r="A3383" s="22" t="n"/>
      <c r="B3383" s="11" t="n"/>
      <c r="C3383" s="11" t="n"/>
      <c r="E3383" s="11" t="n"/>
      <c r="G3383" s="11" t="n"/>
      <c r="H3383" s="11" t="n"/>
      <c r="I3383" s="11" t="n"/>
      <c r="J3383" s="11" t="n"/>
      <c r="K3383" s="11" t="n"/>
      <c r="L3383" s="11" t="n"/>
      <c r="M3383" s="11" t="n"/>
      <c r="N3383" s="11" t="n"/>
      <c r="O3383" s="11" t="n"/>
      <c r="P3383" s="96">
        <f>_xlfn.XLOOKUP(Tabla5[[#This Row],[EAN CORREGIDO]],'Tabla Articulos'!B:B,'Tabla Articulos'!D:D)</f>
        <v/>
      </c>
      <c r="Q3383" s="96">
        <f>_xlfn.XLOOKUP(S3383,'Tabla Articulos'!B:B,'Tabla Articulos'!E:E)</f>
        <v/>
      </c>
      <c r="R3383" s="96">
        <f>O3383*Q3383</f>
        <v/>
      </c>
      <c r="S3383" s="97">
        <f>TRIM(E3383)</f>
        <v/>
      </c>
    </row>
    <row r="3384" hidden="1">
      <c r="A3384" s="22" t="n"/>
      <c r="B3384" s="11" t="n"/>
      <c r="C3384" s="11" t="n"/>
      <c r="E3384" s="11" t="n"/>
      <c r="G3384" s="11" t="n"/>
      <c r="H3384" s="11" t="n"/>
      <c r="I3384" s="11" t="n"/>
      <c r="J3384" s="11" t="n"/>
      <c r="K3384" s="11" t="n"/>
      <c r="L3384" s="11" t="n"/>
      <c r="M3384" s="11" t="n"/>
      <c r="N3384" s="11" t="n"/>
      <c r="O3384" s="11" t="n"/>
      <c r="P3384" s="96">
        <f>_xlfn.XLOOKUP(Tabla5[[#This Row],[EAN CORREGIDO]],'Tabla Articulos'!B:B,'Tabla Articulos'!D:D)</f>
        <v/>
      </c>
      <c r="Q3384" s="96">
        <f>_xlfn.XLOOKUP(S3384,'Tabla Articulos'!B:B,'Tabla Articulos'!E:E)</f>
        <v/>
      </c>
      <c r="R3384" s="96">
        <f>O3384*Q3384</f>
        <v/>
      </c>
      <c r="S3384" s="97">
        <f>TRIM(E3384)</f>
        <v/>
      </c>
    </row>
    <row r="3385" hidden="1">
      <c r="A3385" s="22" t="n"/>
      <c r="P3385" s="96">
        <f>_xlfn.XLOOKUP(Tabla5[[#This Row],[EAN CORREGIDO]],'Tabla Articulos'!B:B,'Tabla Articulos'!D:D)</f>
        <v/>
      </c>
      <c r="Q3385" s="96">
        <f>_xlfn.XLOOKUP(S3385,'Tabla Articulos'!B:B,'Tabla Articulos'!E:E)</f>
        <v/>
      </c>
      <c r="R3385" s="96">
        <f>O3385*Q3385</f>
        <v/>
      </c>
      <c r="S3385" s="97">
        <f>TRIM(E3385)</f>
        <v/>
      </c>
    </row>
    <row r="3386" hidden="1">
      <c r="A3386" s="22" t="n"/>
      <c r="P3386" s="96">
        <f>_xlfn.XLOOKUP(Tabla5[[#This Row],[EAN CORREGIDO]],'Tabla Articulos'!B:B,'Tabla Articulos'!D:D)</f>
        <v/>
      </c>
      <c r="Q3386" s="96">
        <f>_xlfn.XLOOKUP(S3386,'Tabla Articulos'!B:B,'Tabla Articulos'!E:E)</f>
        <v/>
      </c>
      <c r="R3386" s="96">
        <f>O3386*Q3386</f>
        <v/>
      </c>
      <c r="S3386" s="97">
        <f>TRIM(E3386)</f>
        <v/>
      </c>
    </row>
    <row r="3387" hidden="1">
      <c r="A3387" s="22" t="n"/>
      <c r="P3387" s="96">
        <f>_xlfn.XLOOKUP(Tabla5[[#This Row],[EAN CORREGIDO]],'Tabla Articulos'!B:B,'Tabla Articulos'!D:D)</f>
        <v/>
      </c>
      <c r="Q3387" s="96">
        <f>_xlfn.XLOOKUP(S3387,'Tabla Articulos'!B:B,'Tabla Articulos'!E:E)</f>
        <v/>
      </c>
      <c r="R3387" s="96">
        <f>O3387*Q3387</f>
        <v/>
      </c>
      <c r="S3387" s="97">
        <f>TRIM(E3387)</f>
        <v/>
      </c>
    </row>
    <row r="3388" hidden="1">
      <c r="A3388" s="22" t="n"/>
      <c r="P3388" s="96">
        <f>_xlfn.XLOOKUP(Tabla5[[#This Row],[EAN CORREGIDO]],'Tabla Articulos'!B:B,'Tabla Articulos'!D:D)</f>
        <v/>
      </c>
      <c r="Q3388" s="96">
        <f>_xlfn.XLOOKUP(S3388,'Tabla Articulos'!B:B,'Tabla Articulos'!E:E)</f>
        <v/>
      </c>
      <c r="R3388" s="96">
        <f>O3388*Q3388</f>
        <v/>
      </c>
      <c r="S3388" s="97">
        <f>TRIM(E3388)</f>
        <v/>
      </c>
    </row>
    <row r="3389" hidden="1">
      <c r="A3389" s="22" t="n"/>
      <c r="P3389" s="96">
        <f>_xlfn.XLOOKUP(Tabla5[[#This Row],[EAN CORREGIDO]],'Tabla Articulos'!B:B,'Tabla Articulos'!D:D)</f>
        <v/>
      </c>
      <c r="Q3389" s="96">
        <f>_xlfn.XLOOKUP(S3389,'Tabla Articulos'!B:B,'Tabla Articulos'!E:E)</f>
        <v/>
      </c>
      <c r="R3389" s="96">
        <f>O3389*Q3389</f>
        <v/>
      </c>
      <c r="S3389" s="97">
        <f>TRIM(E3389)</f>
        <v/>
      </c>
    </row>
    <row r="3390" hidden="1">
      <c r="A3390" s="22" t="n"/>
      <c r="P3390" s="96">
        <f>_xlfn.XLOOKUP(Tabla5[[#This Row],[EAN CORREGIDO]],'Tabla Articulos'!B:B,'Tabla Articulos'!D:D)</f>
        <v/>
      </c>
      <c r="Q3390" s="96">
        <f>_xlfn.XLOOKUP(S3390,'Tabla Articulos'!B:B,'Tabla Articulos'!E:E)</f>
        <v/>
      </c>
      <c r="R3390" s="96">
        <f>O3390*Q3390</f>
        <v/>
      </c>
      <c r="S3390" s="97">
        <f>TRIM(E3390)</f>
        <v/>
      </c>
    </row>
    <row r="3391" hidden="1">
      <c r="A3391" s="22" t="n"/>
      <c r="P3391" s="96">
        <f>_xlfn.XLOOKUP(Tabla5[[#This Row],[EAN CORREGIDO]],'Tabla Articulos'!B:B,'Tabla Articulos'!D:D)</f>
        <v/>
      </c>
      <c r="Q3391" s="96">
        <f>_xlfn.XLOOKUP(S3391,'Tabla Articulos'!B:B,'Tabla Articulos'!E:E)</f>
        <v/>
      </c>
      <c r="R3391" s="96">
        <f>O3391*Q3391</f>
        <v/>
      </c>
      <c r="S3391" s="97">
        <f>TRIM(E3391)</f>
        <v/>
      </c>
    </row>
    <row r="3392" hidden="1">
      <c r="A3392" s="22" t="n"/>
      <c r="P3392" s="96">
        <f>_xlfn.XLOOKUP(Tabla5[[#This Row],[EAN CORREGIDO]],'Tabla Articulos'!B:B,'Tabla Articulos'!D:D)</f>
        <v/>
      </c>
      <c r="Q3392" s="96">
        <f>_xlfn.XLOOKUP(S3392,'Tabla Articulos'!B:B,'Tabla Articulos'!E:E)</f>
        <v/>
      </c>
      <c r="R3392" s="96">
        <f>O3392*Q3392</f>
        <v/>
      </c>
      <c r="S3392" s="97">
        <f>TRIM(E3392)</f>
        <v/>
      </c>
    </row>
    <row r="3393" hidden="1">
      <c r="A3393" s="22" t="n"/>
      <c r="P3393" s="96">
        <f>_xlfn.XLOOKUP(Tabla5[[#This Row],[EAN CORREGIDO]],'Tabla Articulos'!B:B,'Tabla Articulos'!D:D)</f>
        <v/>
      </c>
      <c r="Q3393" s="96">
        <f>_xlfn.XLOOKUP(S3393,'Tabla Articulos'!B:B,'Tabla Articulos'!E:E)</f>
        <v/>
      </c>
      <c r="R3393" s="96">
        <f>O3393*Q3393</f>
        <v/>
      </c>
      <c r="S3393" s="97">
        <f>TRIM(E3393)</f>
        <v/>
      </c>
    </row>
    <row r="3394" hidden="1">
      <c r="A3394" s="22" t="n"/>
      <c r="P3394" s="96">
        <f>_xlfn.XLOOKUP(Tabla5[[#This Row],[EAN CORREGIDO]],'Tabla Articulos'!B:B,'Tabla Articulos'!D:D)</f>
        <v/>
      </c>
      <c r="Q3394" s="96">
        <f>_xlfn.XLOOKUP(S3394,'Tabla Articulos'!B:B,'Tabla Articulos'!E:E)</f>
        <v/>
      </c>
      <c r="R3394" s="96">
        <f>O3394*Q3394</f>
        <v/>
      </c>
      <c r="S3394" s="97">
        <f>TRIM(E3394)</f>
        <v/>
      </c>
    </row>
    <row r="3395" hidden="1">
      <c r="A3395" s="22" t="n"/>
      <c r="P3395" s="96">
        <f>_xlfn.XLOOKUP(Tabla5[[#This Row],[EAN CORREGIDO]],'Tabla Articulos'!B:B,'Tabla Articulos'!D:D)</f>
        <v/>
      </c>
      <c r="Q3395" s="96">
        <f>_xlfn.XLOOKUP(S3395,'Tabla Articulos'!B:B,'Tabla Articulos'!E:E)</f>
        <v/>
      </c>
      <c r="R3395" s="96">
        <f>O3395*Q3395</f>
        <v/>
      </c>
      <c r="S3395" s="97">
        <f>TRIM(E3395)</f>
        <v/>
      </c>
    </row>
    <row r="3396" hidden="1">
      <c r="A3396" s="22" t="n"/>
      <c r="P3396" s="96">
        <f>_xlfn.XLOOKUP(Tabla5[[#This Row],[EAN CORREGIDO]],'Tabla Articulos'!B:B,'Tabla Articulos'!D:D)</f>
        <v/>
      </c>
      <c r="Q3396" s="96">
        <f>_xlfn.XLOOKUP(S3396,'Tabla Articulos'!B:B,'Tabla Articulos'!E:E)</f>
        <v/>
      </c>
      <c r="R3396" s="96">
        <f>O3396*Q3396</f>
        <v/>
      </c>
      <c r="S3396" s="97">
        <f>TRIM(E3396)</f>
        <v/>
      </c>
    </row>
    <row r="3397" hidden="1">
      <c r="A3397" s="22" t="n"/>
      <c r="P3397" s="96">
        <f>_xlfn.XLOOKUP(Tabla5[[#This Row],[EAN CORREGIDO]],'Tabla Articulos'!B:B,'Tabla Articulos'!D:D)</f>
        <v/>
      </c>
      <c r="Q3397" s="96">
        <f>_xlfn.XLOOKUP(S3397,'Tabla Articulos'!B:B,'Tabla Articulos'!E:E)</f>
        <v/>
      </c>
      <c r="R3397" s="96">
        <f>O3397*Q3397</f>
        <v/>
      </c>
      <c r="S3397" s="97">
        <f>TRIM(E3397)</f>
        <v/>
      </c>
    </row>
    <row r="3398" hidden="1">
      <c r="A3398" s="22" t="n"/>
      <c r="P3398" s="96">
        <f>_xlfn.XLOOKUP(Tabla5[[#This Row],[EAN CORREGIDO]],'Tabla Articulos'!B:B,'Tabla Articulos'!D:D)</f>
        <v/>
      </c>
      <c r="Q3398" s="96">
        <f>_xlfn.XLOOKUP(S3398,'Tabla Articulos'!B:B,'Tabla Articulos'!E:E)</f>
        <v/>
      </c>
      <c r="R3398" s="96">
        <f>O3398*Q3398</f>
        <v/>
      </c>
      <c r="S3398" s="97">
        <f>TRIM(E3398)</f>
        <v/>
      </c>
    </row>
    <row r="3399" hidden="1">
      <c r="A3399" s="22" t="n"/>
      <c r="P3399" s="96">
        <f>_xlfn.XLOOKUP(Tabla5[[#This Row],[EAN CORREGIDO]],'Tabla Articulos'!B:B,'Tabla Articulos'!D:D)</f>
        <v/>
      </c>
      <c r="Q3399" s="96">
        <f>_xlfn.XLOOKUP(S3399,'Tabla Articulos'!B:B,'Tabla Articulos'!E:E)</f>
        <v/>
      </c>
      <c r="R3399" s="96">
        <f>O3399*Q3399</f>
        <v/>
      </c>
      <c r="S3399" s="97">
        <f>TRIM(E3399)</f>
        <v/>
      </c>
    </row>
    <row r="3400" hidden="1">
      <c r="A3400" s="22" t="n"/>
      <c r="P3400" s="96">
        <f>_xlfn.XLOOKUP(Tabla5[[#This Row],[EAN CORREGIDO]],'Tabla Articulos'!B:B,'Tabla Articulos'!D:D)</f>
        <v/>
      </c>
      <c r="Q3400" s="96">
        <f>_xlfn.XLOOKUP(S3400,'Tabla Articulos'!B:B,'Tabla Articulos'!E:E)</f>
        <v/>
      </c>
      <c r="R3400" s="96">
        <f>O3400*Q3400</f>
        <v/>
      </c>
      <c r="S3400" s="97">
        <f>TRIM(E3400)</f>
        <v/>
      </c>
    </row>
    <row r="3401" hidden="1">
      <c r="A3401" s="22" t="n"/>
      <c r="P3401" s="96">
        <f>_xlfn.XLOOKUP(Tabla5[[#This Row],[EAN CORREGIDO]],'Tabla Articulos'!B:B,'Tabla Articulos'!D:D)</f>
        <v/>
      </c>
      <c r="Q3401" s="96">
        <f>_xlfn.XLOOKUP(S3401,'Tabla Articulos'!B:B,'Tabla Articulos'!E:E)</f>
        <v/>
      </c>
      <c r="R3401" s="96">
        <f>O3401*Q3401</f>
        <v/>
      </c>
      <c r="S3401" s="97">
        <f>TRIM(E3401)</f>
        <v/>
      </c>
    </row>
    <row r="3402" hidden="1">
      <c r="A3402" s="22" t="n"/>
      <c r="P3402" s="96">
        <f>_xlfn.XLOOKUP(Tabla5[[#This Row],[EAN CORREGIDO]],'Tabla Articulos'!B:B,'Tabla Articulos'!D:D)</f>
        <v/>
      </c>
      <c r="Q3402" s="96">
        <f>_xlfn.XLOOKUP(S3402,'Tabla Articulos'!B:B,'Tabla Articulos'!E:E)</f>
        <v/>
      </c>
      <c r="R3402" s="96">
        <f>O3402*Q3402</f>
        <v/>
      </c>
      <c r="S3402" s="97">
        <f>TRIM(E3402)</f>
        <v/>
      </c>
    </row>
    <row r="3403" hidden="1">
      <c r="A3403" s="22" t="n"/>
      <c r="P3403" s="96">
        <f>_xlfn.XLOOKUP(Tabla5[[#This Row],[EAN CORREGIDO]],'Tabla Articulos'!B:B,'Tabla Articulos'!D:D)</f>
        <v/>
      </c>
      <c r="Q3403" s="96">
        <f>_xlfn.XLOOKUP(S3403,'Tabla Articulos'!B:B,'Tabla Articulos'!E:E)</f>
        <v/>
      </c>
      <c r="R3403" s="96">
        <f>O3403*Q3403</f>
        <v/>
      </c>
      <c r="S3403" s="97">
        <f>TRIM(E3403)</f>
        <v/>
      </c>
    </row>
    <row r="3404" hidden="1">
      <c r="A3404" s="22" t="n"/>
      <c r="P3404" s="96">
        <f>_xlfn.XLOOKUP(Tabla5[[#This Row],[EAN CORREGIDO]],'Tabla Articulos'!B:B,'Tabla Articulos'!D:D)</f>
        <v/>
      </c>
      <c r="Q3404" s="96">
        <f>_xlfn.XLOOKUP(S3404,'Tabla Articulos'!B:B,'Tabla Articulos'!E:E)</f>
        <v/>
      </c>
      <c r="R3404" s="96">
        <f>O3404*Q3404</f>
        <v/>
      </c>
      <c r="S3404" s="97">
        <f>TRIM(E3404)</f>
        <v/>
      </c>
    </row>
    <row r="3405" hidden="1">
      <c r="A3405" s="22" t="n"/>
      <c r="P3405" s="96">
        <f>_xlfn.XLOOKUP(Tabla5[[#This Row],[EAN CORREGIDO]],'Tabla Articulos'!B:B,'Tabla Articulos'!D:D)</f>
        <v/>
      </c>
      <c r="Q3405" s="96">
        <f>_xlfn.XLOOKUP(S3405,'Tabla Articulos'!B:B,'Tabla Articulos'!E:E)</f>
        <v/>
      </c>
      <c r="R3405" s="96">
        <f>O3405*Q3405</f>
        <v/>
      </c>
      <c r="S3405" s="97">
        <f>TRIM(E3405)</f>
        <v/>
      </c>
    </row>
    <row r="3406" hidden="1">
      <c r="A3406" s="22" t="n"/>
      <c r="P3406" s="96">
        <f>_xlfn.XLOOKUP(Tabla5[[#This Row],[EAN CORREGIDO]],'Tabla Articulos'!B:B,'Tabla Articulos'!D:D)</f>
        <v/>
      </c>
      <c r="Q3406" s="96">
        <f>_xlfn.XLOOKUP(S3406,'Tabla Articulos'!B:B,'Tabla Articulos'!E:E)</f>
        <v/>
      </c>
      <c r="R3406" s="96">
        <f>O3406*Q3406</f>
        <v/>
      </c>
      <c r="S3406" s="97">
        <f>TRIM(E3406)</f>
        <v/>
      </c>
    </row>
    <row r="3407" hidden="1">
      <c r="A3407" s="22" t="n"/>
      <c r="P3407" s="96">
        <f>_xlfn.XLOOKUP(Tabla5[[#This Row],[EAN CORREGIDO]],'Tabla Articulos'!B:B,'Tabla Articulos'!D:D)</f>
        <v/>
      </c>
      <c r="Q3407" s="96">
        <f>_xlfn.XLOOKUP(S3407,'Tabla Articulos'!B:B,'Tabla Articulos'!E:E)</f>
        <v/>
      </c>
      <c r="R3407" s="96">
        <f>O3407*Q3407</f>
        <v/>
      </c>
      <c r="S3407" s="97">
        <f>TRIM(E3407)</f>
        <v/>
      </c>
    </row>
    <row r="3408" hidden="1">
      <c r="A3408" s="22" t="n"/>
      <c r="P3408" s="96">
        <f>_xlfn.XLOOKUP(Tabla5[[#This Row],[EAN CORREGIDO]],'Tabla Articulos'!B:B,'Tabla Articulos'!D:D)</f>
        <v/>
      </c>
      <c r="Q3408" s="96">
        <f>_xlfn.XLOOKUP(S3408,'Tabla Articulos'!B:B,'Tabla Articulos'!E:E)</f>
        <v/>
      </c>
      <c r="R3408" s="96">
        <f>O3408*Q3408</f>
        <v/>
      </c>
      <c r="S3408" s="97">
        <f>TRIM(E3408)</f>
        <v/>
      </c>
    </row>
    <row r="3409" hidden="1">
      <c r="A3409" s="22" t="n"/>
      <c r="P3409" s="96">
        <f>_xlfn.XLOOKUP(Tabla5[[#This Row],[EAN CORREGIDO]],'Tabla Articulos'!B:B,'Tabla Articulos'!D:D)</f>
        <v/>
      </c>
      <c r="Q3409" s="96">
        <f>_xlfn.XLOOKUP(S3409,'Tabla Articulos'!B:B,'Tabla Articulos'!E:E)</f>
        <v/>
      </c>
      <c r="R3409" s="96">
        <f>O3409*Q3409</f>
        <v/>
      </c>
      <c r="S3409" s="97">
        <f>TRIM(E3409)</f>
        <v/>
      </c>
    </row>
    <row r="3410" hidden="1">
      <c r="A3410" s="22" t="n"/>
      <c r="P3410" s="96">
        <f>_xlfn.XLOOKUP(Tabla5[[#This Row],[EAN CORREGIDO]],'Tabla Articulos'!B:B,'Tabla Articulos'!D:D)</f>
        <v/>
      </c>
      <c r="Q3410" s="96">
        <f>_xlfn.XLOOKUP(S3410,'Tabla Articulos'!B:B,'Tabla Articulos'!E:E)</f>
        <v/>
      </c>
      <c r="R3410" s="96">
        <f>O3410*Q3410</f>
        <v/>
      </c>
      <c r="S3410" s="97">
        <f>TRIM(E3410)</f>
        <v/>
      </c>
    </row>
    <row r="3411" hidden="1">
      <c r="A3411" s="22" t="n"/>
      <c r="P3411" s="96">
        <f>_xlfn.XLOOKUP(Tabla5[[#This Row],[EAN CORREGIDO]],'Tabla Articulos'!B:B,'Tabla Articulos'!D:D)</f>
        <v/>
      </c>
      <c r="Q3411" s="96">
        <f>_xlfn.XLOOKUP(S3411,'Tabla Articulos'!B:B,'Tabla Articulos'!E:E)</f>
        <v/>
      </c>
      <c r="R3411" s="96">
        <f>O3411*Q3411</f>
        <v/>
      </c>
      <c r="S3411" s="97">
        <f>TRIM(E3411)</f>
        <v/>
      </c>
    </row>
    <row r="3412" hidden="1">
      <c r="A3412" s="22" t="n"/>
      <c r="P3412" s="96">
        <f>_xlfn.XLOOKUP(Tabla5[[#This Row],[EAN CORREGIDO]],'Tabla Articulos'!B:B,'Tabla Articulos'!D:D)</f>
        <v/>
      </c>
      <c r="Q3412" s="96">
        <f>_xlfn.XLOOKUP(S3412,'Tabla Articulos'!B:B,'Tabla Articulos'!E:E)</f>
        <v/>
      </c>
      <c r="R3412" s="96">
        <f>O3412*Q3412</f>
        <v/>
      </c>
      <c r="S3412" s="97">
        <f>TRIM(E3412)</f>
        <v/>
      </c>
    </row>
    <row r="3413" hidden="1">
      <c r="A3413" s="22" t="n"/>
      <c r="P3413" s="96">
        <f>_xlfn.XLOOKUP(Tabla5[[#This Row],[EAN CORREGIDO]],'Tabla Articulos'!B:B,'Tabla Articulos'!D:D)</f>
        <v/>
      </c>
      <c r="Q3413" s="96">
        <f>_xlfn.XLOOKUP(S3413,'Tabla Articulos'!B:B,'Tabla Articulos'!E:E)</f>
        <v/>
      </c>
      <c r="R3413" s="96">
        <f>O3413*Q3413</f>
        <v/>
      </c>
      <c r="S3413" s="97">
        <f>TRIM(E3413)</f>
        <v/>
      </c>
    </row>
    <row r="3414" hidden="1">
      <c r="A3414" s="22" t="n"/>
      <c r="P3414" s="96">
        <f>_xlfn.XLOOKUP(Tabla5[[#This Row],[EAN CORREGIDO]],'Tabla Articulos'!B:B,'Tabla Articulos'!D:D)</f>
        <v/>
      </c>
      <c r="Q3414" s="96">
        <f>_xlfn.XLOOKUP(S3414,'Tabla Articulos'!B:B,'Tabla Articulos'!E:E)</f>
        <v/>
      </c>
      <c r="R3414" s="96">
        <f>O3414*Q3414</f>
        <v/>
      </c>
      <c r="S3414" s="97">
        <f>TRIM(E3414)</f>
        <v/>
      </c>
    </row>
    <row r="3415" hidden="1">
      <c r="A3415" s="22" t="n"/>
      <c r="P3415" s="96">
        <f>_xlfn.XLOOKUP(Tabla5[[#This Row],[EAN CORREGIDO]],'Tabla Articulos'!B:B,'Tabla Articulos'!D:D)</f>
        <v/>
      </c>
      <c r="Q3415" s="96">
        <f>_xlfn.XLOOKUP(S3415,'Tabla Articulos'!B:B,'Tabla Articulos'!E:E)</f>
        <v/>
      </c>
      <c r="R3415" s="96">
        <f>O3415*Q3415</f>
        <v/>
      </c>
      <c r="S3415" s="97">
        <f>TRIM(E3415)</f>
        <v/>
      </c>
    </row>
    <row r="3416" hidden="1">
      <c r="A3416" s="22" t="n"/>
      <c r="P3416" s="96">
        <f>_xlfn.XLOOKUP(Tabla5[[#This Row],[EAN CORREGIDO]],'Tabla Articulos'!B:B,'Tabla Articulos'!D:D)</f>
        <v/>
      </c>
      <c r="Q3416" s="96">
        <f>_xlfn.XLOOKUP(S3416,'Tabla Articulos'!B:B,'Tabla Articulos'!E:E)</f>
        <v/>
      </c>
      <c r="R3416" s="96">
        <f>O3416*Q3416</f>
        <v/>
      </c>
      <c r="S3416" s="97">
        <f>TRIM(E3416)</f>
        <v/>
      </c>
    </row>
    <row r="3417" hidden="1">
      <c r="A3417" s="22" t="n"/>
      <c r="P3417" s="96">
        <f>_xlfn.XLOOKUP(Tabla5[[#This Row],[EAN CORREGIDO]],'Tabla Articulos'!B:B,'Tabla Articulos'!D:D)</f>
        <v/>
      </c>
      <c r="Q3417" s="96">
        <f>_xlfn.XLOOKUP(S3417,'Tabla Articulos'!B:B,'Tabla Articulos'!E:E)</f>
        <v/>
      </c>
      <c r="R3417" s="96">
        <f>O3417*Q3417</f>
        <v/>
      </c>
      <c r="S3417" s="97">
        <f>TRIM(E3417)</f>
        <v/>
      </c>
    </row>
    <row r="3418" hidden="1">
      <c r="A3418" s="22" t="n"/>
      <c r="P3418" s="96">
        <f>_xlfn.XLOOKUP(Tabla5[[#This Row],[EAN CORREGIDO]],'Tabla Articulos'!B:B,'Tabla Articulos'!D:D)</f>
        <v/>
      </c>
      <c r="Q3418" s="96">
        <f>_xlfn.XLOOKUP(S3418,'Tabla Articulos'!B:B,'Tabla Articulos'!E:E)</f>
        <v/>
      </c>
      <c r="R3418" s="96">
        <f>O3418*Q3418</f>
        <v/>
      </c>
      <c r="S3418" s="97">
        <f>TRIM(E3418)</f>
        <v/>
      </c>
    </row>
    <row r="3419" hidden="1">
      <c r="A3419" s="22" t="n"/>
      <c r="P3419" s="96">
        <f>_xlfn.XLOOKUP(Tabla5[[#This Row],[EAN CORREGIDO]],'Tabla Articulos'!B:B,'Tabla Articulos'!D:D)</f>
        <v/>
      </c>
      <c r="Q3419" s="96">
        <f>_xlfn.XLOOKUP(S3419,'Tabla Articulos'!B:B,'Tabla Articulos'!E:E)</f>
        <v/>
      </c>
      <c r="R3419" s="96">
        <f>O3419*Q3419</f>
        <v/>
      </c>
      <c r="S3419" s="97">
        <f>TRIM(E3419)</f>
        <v/>
      </c>
    </row>
    <row r="3420" hidden="1">
      <c r="A3420" s="22" t="n"/>
      <c r="P3420" s="96">
        <f>_xlfn.XLOOKUP(Tabla5[[#This Row],[EAN CORREGIDO]],'Tabla Articulos'!B:B,'Tabla Articulos'!D:D)</f>
        <v/>
      </c>
      <c r="Q3420" s="96">
        <f>_xlfn.XLOOKUP(S3420,'Tabla Articulos'!B:B,'Tabla Articulos'!E:E)</f>
        <v/>
      </c>
      <c r="R3420" s="96">
        <f>O3420*Q3420</f>
        <v/>
      </c>
      <c r="S3420" s="97">
        <f>TRIM(E3420)</f>
        <v/>
      </c>
    </row>
    <row r="3421" hidden="1">
      <c r="A3421" s="22" t="n"/>
      <c r="P3421" s="96">
        <f>_xlfn.XLOOKUP(Tabla5[[#This Row],[EAN CORREGIDO]],'Tabla Articulos'!B:B,'Tabla Articulos'!D:D)</f>
        <v/>
      </c>
      <c r="Q3421" s="96">
        <f>_xlfn.XLOOKUP(S3421,'Tabla Articulos'!B:B,'Tabla Articulos'!E:E)</f>
        <v/>
      </c>
      <c r="R3421" s="96">
        <f>O3421*Q3421</f>
        <v/>
      </c>
      <c r="S3421" s="97">
        <f>TRIM(E3421)</f>
        <v/>
      </c>
    </row>
    <row r="3422" hidden="1">
      <c r="A3422" s="22" t="n"/>
      <c r="P3422" s="96">
        <f>_xlfn.XLOOKUP(Tabla5[[#This Row],[EAN CORREGIDO]],'Tabla Articulos'!B:B,'Tabla Articulos'!D:D)</f>
        <v/>
      </c>
      <c r="Q3422" s="96">
        <f>_xlfn.XLOOKUP(S3422,'Tabla Articulos'!B:B,'Tabla Articulos'!E:E)</f>
        <v/>
      </c>
      <c r="R3422" s="96">
        <f>O3422*Q3422</f>
        <v/>
      </c>
      <c r="S3422" s="97">
        <f>TRIM(E3422)</f>
        <v/>
      </c>
    </row>
    <row r="3423" hidden="1">
      <c r="A3423" s="22" t="n"/>
      <c r="P3423" s="96">
        <f>_xlfn.XLOOKUP(Tabla5[[#This Row],[EAN CORREGIDO]],'Tabla Articulos'!B:B,'Tabla Articulos'!D:D)</f>
        <v/>
      </c>
      <c r="Q3423" s="96">
        <f>_xlfn.XLOOKUP(S3423,'Tabla Articulos'!B:B,'Tabla Articulos'!E:E)</f>
        <v/>
      </c>
      <c r="R3423" s="96">
        <f>O3423*Q3423</f>
        <v/>
      </c>
      <c r="S3423" s="97">
        <f>TRIM(E3423)</f>
        <v/>
      </c>
    </row>
    <row r="3424" hidden="1">
      <c r="A3424" s="22" t="n"/>
      <c r="P3424" s="96">
        <f>_xlfn.XLOOKUP(Tabla5[[#This Row],[EAN CORREGIDO]],'Tabla Articulos'!B:B,'Tabla Articulos'!D:D)</f>
        <v/>
      </c>
      <c r="Q3424" s="96">
        <f>_xlfn.XLOOKUP(S3424,'Tabla Articulos'!B:B,'Tabla Articulos'!E:E)</f>
        <v/>
      </c>
      <c r="R3424" s="96">
        <f>O3424*Q3424</f>
        <v/>
      </c>
      <c r="S3424" s="97">
        <f>TRIM(E3424)</f>
        <v/>
      </c>
    </row>
    <row r="3425" hidden="1">
      <c r="A3425" s="22" t="n"/>
      <c r="P3425" s="96">
        <f>_xlfn.XLOOKUP(Tabla5[[#This Row],[EAN CORREGIDO]],'Tabla Articulos'!B:B,'Tabla Articulos'!D:D)</f>
        <v/>
      </c>
      <c r="Q3425" s="96">
        <f>_xlfn.XLOOKUP(S3425,'Tabla Articulos'!B:B,'Tabla Articulos'!E:E)</f>
        <v/>
      </c>
      <c r="R3425" s="96">
        <f>O3425*Q3425</f>
        <v/>
      </c>
      <c r="S3425" s="97">
        <f>TRIM(E3425)</f>
        <v/>
      </c>
    </row>
    <row r="3426" hidden="1">
      <c r="A3426" s="22" t="n"/>
      <c r="P3426" s="96">
        <f>_xlfn.XLOOKUP(Tabla5[[#This Row],[EAN CORREGIDO]],'Tabla Articulos'!B:B,'Tabla Articulos'!D:D)</f>
        <v/>
      </c>
      <c r="Q3426" s="96">
        <f>_xlfn.XLOOKUP(S3426,'Tabla Articulos'!B:B,'Tabla Articulos'!E:E)</f>
        <v/>
      </c>
      <c r="R3426" s="96">
        <f>O3426*Q3426</f>
        <v/>
      </c>
      <c r="S3426" s="97">
        <f>TRIM(E3426)</f>
        <v/>
      </c>
    </row>
    <row r="3427" hidden="1">
      <c r="A3427" s="22" t="n"/>
      <c r="P3427" s="96">
        <f>_xlfn.XLOOKUP(Tabla5[[#This Row],[EAN CORREGIDO]],'Tabla Articulos'!B:B,'Tabla Articulos'!D:D)</f>
        <v/>
      </c>
      <c r="Q3427" s="96">
        <f>_xlfn.XLOOKUP(S3427,'Tabla Articulos'!B:B,'Tabla Articulos'!E:E)</f>
        <v/>
      </c>
      <c r="R3427" s="96">
        <f>O3427*Q3427</f>
        <v/>
      </c>
      <c r="S3427" s="97">
        <f>TRIM(E3427)</f>
        <v/>
      </c>
    </row>
    <row r="3428" hidden="1">
      <c r="A3428" s="22" t="n"/>
      <c r="P3428" s="96">
        <f>_xlfn.XLOOKUP(Tabla5[[#This Row],[EAN CORREGIDO]],'Tabla Articulos'!B:B,'Tabla Articulos'!D:D)</f>
        <v/>
      </c>
      <c r="Q3428" s="96">
        <f>_xlfn.XLOOKUP(S3428,'Tabla Articulos'!B:B,'Tabla Articulos'!E:E)</f>
        <v/>
      </c>
      <c r="R3428" s="96">
        <f>O3428*Q3428</f>
        <v/>
      </c>
      <c r="S3428" s="97">
        <f>TRIM(E3428)</f>
        <v/>
      </c>
    </row>
    <row r="3429" hidden="1">
      <c r="A3429" s="22" t="n"/>
      <c r="P3429" s="96">
        <f>_xlfn.XLOOKUP(Tabla5[[#This Row],[EAN CORREGIDO]],'Tabla Articulos'!B:B,'Tabla Articulos'!D:D)</f>
        <v/>
      </c>
      <c r="Q3429" s="96">
        <f>_xlfn.XLOOKUP(S3429,'Tabla Articulos'!B:B,'Tabla Articulos'!E:E)</f>
        <v/>
      </c>
      <c r="R3429" s="96">
        <f>O3429*Q3429</f>
        <v/>
      </c>
      <c r="S3429" s="97">
        <f>TRIM(E3429)</f>
        <v/>
      </c>
    </row>
    <row r="3430" hidden="1">
      <c r="A3430" s="22" t="n"/>
      <c r="P3430" s="96">
        <f>_xlfn.XLOOKUP(Tabla5[[#This Row],[EAN CORREGIDO]],'Tabla Articulos'!B:B,'Tabla Articulos'!D:D)</f>
        <v/>
      </c>
      <c r="Q3430" s="96">
        <f>_xlfn.XLOOKUP(S3430,'Tabla Articulos'!B:B,'Tabla Articulos'!E:E)</f>
        <v/>
      </c>
      <c r="R3430" s="96">
        <f>O3430*Q3430</f>
        <v/>
      </c>
      <c r="S3430" s="97">
        <f>TRIM(E3430)</f>
        <v/>
      </c>
    </row>
    <row r="3431" hidden="1">
      <c r="A3431" s="22" t="n"/>
      <c r="P3431" s="96">
        <f>_xlfn.XLOOKUP(Tabla5[[#This Row],[EAN CORREGIDO]],'Tabla Articulos'!B:B,'Tabla Articulos'!D:D)</f>
        <v/>
      </c>
      <c r="Q3431" s="96">
        <f>_xlfn.XLOOKUP(S3431,'Tabla Articulos'!B:B,'Tabla Articulos'!E:E)</f>
        <v/>
      </c>
      <c r="R3431" s="96">
        <f>O3431*Q3431</f>
        <v/>
      </c>
      <c r="S3431" s="97">
        <f>TRIM(E3431)</f>
        <v/>
      </c>
    </row>
    <row r="3432" hidden="1">
      <c r="A3432" s="22" t="n"/>
      <c r="P3432" s="96">
        <f>_xlfn.XLOOKUP(Tabla5[[#This Row],[EAN CORREGIDO]],'Tabla Articulos'!B:B,'Tabla Articulos'!D:D)</f>
        <v/>
      </c>
      <c r="Q3432" s="96">
        <f>_xlfn.XLOOKUP(S3432,'Tabla Articulos'!B:B,'Tabla Articulos'!E:E)</f>
        <v/>
      </c>
      <c r="R3432" s="96">
        <f>O3432*Q3432</f>
        <v/>
      </c>
      <c r="S3432" s="97">
        <f>TRIM(E3432)</f>
        <v/>
      </c>
    </row>
    <row r="3433" hidden="1">
      <c r="A3433" s="22" t="n"/>
      <c r="P3433" s="96">
        <f>_xlfn.XLOOKUP(Tabla5[[#This Row],[EAN CORREGIDO]],'Tabla Articulos'!B:B,'Tabla Articulos'!D:D)</f>
        <v/>
      </c>
      <c r="Q3433" s="96">
        <f>_xlfn.XLOOKUP(S3433,'Tabla Articulos'!B:B,'Tabla Articulos'!E:E)</f>
        <v/>
      </c>
      <c r="R3433" s="96">
        <f>O3433*Q3433</f>
        <v/>
      </c>
      <c r="S3433" s="97">
        <f>TRIM(E3433)</f>
        <v/>
      </c>
    </row>
    <row r="3434" hidden="1">
      <c r="A3434" s="22" t="n"/>
      <c r="P3434" s="96">
        <f>_xlfn.XLOOKUP(Tabla5[[#This Row],[EAN CORREGIDO]],'Tabla Articulos'!B:B,'Tabla Articulos'!D:D)</f>
        <v/>
      </c>
      <c r="Q3434" s="96">
        <f>_xlfn.XLOOKUP(S3434,'Tabla Articulos'!B:B,'Tabla Articulos'!E:E)</f>
        <v/>
      </c>
      <c r="R3434" s="96">
        <f>O3434*Q3434</f>
        <v/>
      </c>
      <c r="S3434" s="97">
        <f>TRIM(E3434)</f>
        <v/>
      </c>
    </row>
    <row r="3435" hidden="1">
      <c r="A3435" s="22" t="n"/>
      <c r="P3435" s="96">
        <f>_xlfn.XLOOKUP(Tabla5[[#This Row],[EAN CORREGIDO]],'Tabla Articulos'!B:B,'Tabla Articulos'!D:D)</f>
        <v/>
      </c>
      <c r="Q3435" s="96">
        <f>_xlfn.XLOOKUP(S3435,'Tabla Articulos'!B:B,'Tabla Articulos'!E:E)</f>
        <v/>
      </c>
      <c r="R3435" s="96">
        <f>O3435*Q3435</f>
        <v/>
      </c>
      <c r="S3435" s="97">
        <f>TRIM(E3435)</f>
        <v/>
      </c>
    </row>
    <row r="3436" hidden="1">
      <c r="A3436" s="22" t="n"/>
      <c r="P3436" s="96">
        <f>_xlfn.XLOOKUP(Tabla5[[#This Row],[EAN CORREGIDO]],'Tabla Articulos'!B:B,'Tabla Articulos'!D:D)</f>
        <v/>
      </c>
      <c r="Q3436" s="96">
        <f>_xlfn.XLOOKUP(S3436,'Tabla Articulos'!B:B,'Tabla Articulos'!E:E)</f>
        <v/>
      </c>
      <c r="R3436" s="96">
        <f>O3436*Q3436</f>
        <v/>
      </c>
      <c r="S3436" s="97">
        <f>TRIM(E3436)</f>
        <v/>
      </c>
    </row>
    <row r="3437" hidden="1">
      <c r="A3437" s="22" t="n"/>
      <c r="P3437" s="96">
        <f>_xlfn.XLOOKUP(Tabla5[[#This Row],[EAN CORREGIDO]],'Tabla Articulos'!B:B,'Tabla Articulos'!D:D)</f>
        <v/>
      </c>
      <c r="Q3437" s="96">
        <f>_xlfn.XLOOKUP(S3437,'Tabla Articulos'!B:B,'Tabla Articulos'!E:E)</f>
        <v/>
      </c>
      <c r="R3437" s="96">
        <f>O3437*Q3437</f>
        <v/>
      </c>
      <c r="S3437" s="97">
        <f>TRIM(E3437)</f>
        <v/>
      </c>
    </row>
    <row r="3438" hidden="1">
      <c r="A3438" s="22" t="n"/>
      <c r="P3438" s="96">
        <f>_xlfn.XLOOKUP(Tabla5[[#This Row],[EAN CORREGIDO]],'Tabla Articulos'!B:B,'Tabla Articulos'!D:D)</f>
        <v/>
      </c>
      <c r="Q3438" s="96">
        <f>_xlfn.XLOOKUP(S3438,'Tabla Articulos'!B:B,'Tabla Articulos'!E:E)</f>
        <v/>
      </c>
      <c r="R3438" s="96">
        <f>O3438*Q3438</f>
        <v/>
      </c>
      <c r="S3438" s="97">
        <f>TRIM(E3438)</f>
        <v/>
      </c>
    </row>
    <row r="3439" hidden="1">
      <c r="A3439" s="22" t="n"/>
      <c r="P3439" s="96">
        <f>_xlfn.XLOOKUP(Tabla5[[#This Row],[EAN CORREGIDO]],'Tabla Articulos'!B:B,'Tabla Articulos'!D:D)</f>
        <v/>
      </c>
      <c r="Q3439" s="96">
        <f>_xlfn.XLOOKUP(S3439,'Tabla Articulos'!B:B,'Tabla Articulos'!E:E)</f>
        <v/>
      </c>
      <c r="R3439" s="96">
        <f>O3439*Q3439</f>
        <v/>
      </c>
      <c r="S3439" s="97">
        <f>TRIM(E3439)</f>
        <v/>
      </c>
    </row>
    <row r="3440" hidden="1">
      <c r="A3440" s="22" t="n"/>
      <c r="P3440" s="96">
        <f>_xlfn.XLOOKUP(Tabla5[[#This Row],[EAN CORREGIDO]],'Tabla Articulos'!B:B,'Tabla Articulos'!D:D)</f>
        <v/>
      </c>
      <c r="Q3440" s="96">
        <f>_xlfn.XLOOKUP(S3440,'Tabla Articulos'!B:B,'Tabla Articulos'!E:E)</f>
        <v/>
      </c>
      <c r="R3440" s="96">
        <f>O3440*Q3440</f>
        <v/>
      </c>
      <c r="S3440" s="97">
        <f>TRIM(E3440)</f>
        <v/>
      </c>
    </row>
    <row r="3441" hidden="1">
      <c r="A3441" s="22" t="n"/>
      <c r="P3441" s="96">
        <f>_xlfn.XLOOKUP(Tabla5[[#This Row],[EAN CORREGIDO]],'Tabla Articulos'!B:B,'Tabla Articulos'!D:D)</f>
        <v/>
      </c>
      <c r="Q3441" s="96">
        <f>_xlfn.XLOOKUP(S3441,'Tabla Articulos'!B:B,'Tabla Articulos'!E:E)</f>
        <v/>
      </c>
      <c r="R3441" s="96">
        <f>O3441*Q3441</f>
        <v/>
      </c>
      <c r="S3441" s="97">
        <f>TRIM(E3441)</f>
        <v/>
      </c>
    </row>
    <row r="3442" hidden="1">
      <c r="A3442" s="22" t="n"/>
      <c r="P3442" s="96">
        <f>_xlfn.XLOOKUP(Tabla5[[#This Row],[EAN CORREGIDO]],'Tabla Articulos'!B:B,'Tabla Articulos'!D:D)</f>
        <v/>
      </c>
      <c r="Q3442" s="96">
        <f>_xlfn.XLOOKUP(S3442,'Tabla Articulos'!B:B,'Tabla Articulos'!E:E)</f>
        <v/>
      </c>
      <c r="R3442" s="96">
        <f>O3442*Q3442</f>
        <v/>
      </c>
      <c r="S3442" s="97">
        <f>TRIM(E3442)</f>
        <v/>
      </c>
    </row>
    <row r="3443" hidden="1">
      <c r="A3443" s="22" t="n"/>
      <c r="P3443" s="96">
        <f>_xlfn.XLOOKUP(Tabla5[[#This Row],[EAN CORREGIDO]],'Tabla Articulos'!B:B,'Tabla Articulos'!D:D)</f>
        <v/>
      </c>
      <c r="Q3443" s="96">
        <f>_xlfn.XLOOKUP(S3443,'Tabla Articulos'!B:B,'Tabla Articulos'!E:E)</f>
        <v/>
      </c>
      <c r="R3443" s="96">
        <f>O3443*Q3443</f>
        <v/>
      </c>
      <c r="S3443" s="97">
        <f>TRIM(E3443)</f>
        <v/>
      </c>
    </row>
    <row r="3444" hidden="1">
      <c r="A3444" s="22" t="n"/>
      <c r="P3444" s="96">
        <f>_xlfn.XLOOKUP(Tabla5[[#This Row],[EAN CORREGIDO]],'Tabla Articulos'!B:B,'Tabla Articulos'!D:D)</f>
        <v/>
      </c>
      <c r="Q3444" s="96">
        <f>_xlfn.XLOOKUP(S3444,'Tabla Articulos'!B:B,'Tabla Articulos'!E:E)</f>
        <v/>
      </c>
      <c r="R3444" s="96">
        <f>O3444*Q3444</f>
        <v/>
      </c>
      <c r="S3444" s="97">
        <f>TRIM(E3444)</f>
        <v/>
      </c>
    </row>
    <row r="3445" hidden="1">
      <c r="A3445" s="22" t="n"/>
      <c r="P3445" s="96">
        <f>_xlfn.XLOOKUP(Tabla5[[#This Row],[EAN CORREGIDO]],'Tabla Articulos'!B:B,'Tabla Articulos'!D:D)</f>
        <v/>
      </c>
      <c r="Q3445" s="96">
        <f>_xlfn.XLOOKUP(S3445,'Tabla Articulos'!B:B,'Tabla Articulos'!E:E)</f>
        <v/>
      </c>
      <c r="R3445" s="96">
        <f>O3445*Q3445</f>
        <v/>
      </c>
      <c r="S3445" s="97">
        <f>TRIM(E3445)</f>
        <v/>
      </c>
    </row>
    <row r="3446" hidden="1">
      <c r="A3446" s="22" t="n"/>
      <c r="P3446" s="96">
        <f>_xlfn.XLOOKUP(Tabla5[[#This Row],[EAN CORREGIDO]],'Tabla Articulos'!B:B,'Tabla Articulos'!D:D)</f>
        <v/>
      </c>
      <c r="Q3446" s="96">
        <f>_xlfn.XLOOKUP(S3446,'Tabla Articulos'!B:B,'Tabla Articulos'!E:E)</f>
        <v/>
      </c>
      <c r="R3446" s="96">
        <f>O3446*Q3446</f>
        <v/>
      </c>
      <c r="S3446" s="97">
        <f>TRIM(E3446)</f>
        <v/>
      </c>
    </row>
    <row r="3447" hidden="1">
      <c r="A3447" s="22" t="n"/>
      <c r="P3447" s="96">
        <f>_xlfn.XLOOKUP(Tabla5[[#This Row],[EAN CORREGIDO]],'Tabla Articulos'!B:B,'Tabla Articulos'!D:D)</f>
        <v/>
      </c>
      <c r="Q3447" s="96">
        <f>_xlfn.XLOOKUP(S3447,'Tabla Articulos'!B:B,'Tabla Articulos'!E:E)</f>
        <v/>
      </c>
      <c r="R3447" s="96">
        <f>O3447*Q3447</f>
        <v/>
      </c>
      <c r="S3447" s="97">
        <f>TRIM(E3447)</f>
        <v/>
      </c>
    </row>
    <row r="3448" hidden="1">
      <c r="A3448" s="22" t="n"/>
      <c r="P3448" s="96">
        <f>_xlfn.XLOOKUP(Tabla5[[#This Row],[EAN CORREGIDO]],'Tabla Articulos'!B:B,'Tabla Articulos'!D:D)</f>
        <v/>
      </c>
      <c r="Q3448" s="96">
        <f>_xlfn.XLOOKUP(S3448,'Tabla Articulos'!B:B,'Tabla Articulos'!E:E)</f>
        <v/>
      </c>
      <c r="R3448" s="96">
        <f>O3448*Q3448</f>
        <v/>
      </c>
      <c r="S3448" s="97">
        <f>TRIM(E3448)</f>
        <v/>
      </c>
    </row>
    <row r="3449" hidden="1">
      <c r="A3449" s="22" t="n"/>
      <c r="P3449" s="96">
        <f>_xlfn.XLOOKUP(Tabla5[[#This Row],[EAN CORREGIDO]],'Tabla Articulos'!B:B,'Tabla Articulos'!D:D)</f>
        <v/>
      </c>
      <c r="Q3449" s="96">
        <f>_xlfn.XLOOKUP(S3449,'Tabla Articulos'!B:B,'Tabla Articulos'!E:E)</f>
        <v/>
      </c>
      <c r="R3449" s="96">
        <f>O3449*Q3449</f>
        <v/>
      </c>
      <c r="S3449" s="97">
        <f>TRIM(E3449)</f>
        <v/>
      </c>
    </row>
    <row r="3450" hidden="1">
      <c r="A3450" s="22" t="n"/>
      <c r="P3450" s="96">
        <f>_xlfn.XLOOKUP(Tabla5[[#This Row],[EAN CORREGIDO]],'Tabla Articulos'!B:B,'Tabla Articulos'!D:D)</f>
        <v/>
      </c>
      <c r="Q3450" s="96">
        <f>_xlfn.XLOOKUP(S3450,'Tabla Articulos'!B:B,'Tabla Articulos'!E:E)</f>
        <v/>
      </c>
      <c r="R3450" s="96">
        <f>O3450*Q3450</f>
        <v/>
      </c>
      <c r="S3450" s="97">
        <f>TRIM(E3450)</f>
        <v/>
      </c>
    </row>
    <row r="3451" hidden="1">
      <c r="A3451" s="22" t="n"/>
      <c r="P3451" s="96">
        <f>_xlfn.XLOOKUP(Tabla5[[#This Row],[EAN CORREGIDO]],'Tabla Articulos'!B:B,'Tabla Articulos'!D:D)</f>
        <v/>
      </c>
      <c r="Q3451" s="96">
        <f>_xlfn.XLOOKUP(S3451,'Tabla Articulos'!B:B,'Tabla Articulos'!E:E)</f>
        <v/>
      </c>
      <c r="R3451" s="96">
        <f>O3451*Q3451</f>
        <v/>
      </c>
      <c r="S3451" s="97">
        <f>TRIM(E3451)</f>
        <v/>
      </c>
    </row>
    <row r="3452" hidden="1">
      <c r="A3452" s="22" t="n"/>
      <c r="P3452" s="96">
        <f>_xlfn.XLOOKUP(Tabla5[[#This Row],[EAN CORREGIDO]],'Tabla Articulos'!B:B,'Tabla Articulos'!D:D)</f>
        <v/>
      </c>
      <c r="Q3452" s="96">
        <f>_xlfn.XLOOKUP(S3452,'Tabla Articulos'!B:B,'Tabla Articulos'!E:E)</f>
        <v/>
      </c>
      <c r="R3452" s="96">
        <f>O3452*Q3452</f>
        <v/>
      </c>
      <c r="S3452" s="97">
        <f>TRIM(E3452)</f>
        <v/>
      </c>
    </row>
    <row r="3453" hidden="1">
      <c r="A3453" s="22" t="n"/>
      <c r="P3453" s="96">
        <f>_xlfn.XLOOKUP(Tabla5[[#This Row],[EAN CORREGIDO]],'Tabla Articulos'!B:B,'Tabla Articulos'!D:D)</f>
        <v/>
      </c>
      <c r="Q3453" s="96">
        <f>_xlfn.XLOOKUP(S3453,'Tabla Articulos'!B:B,'Tabla Articulos'!E:E)</f>
        <v/>
      </c>
      <c r="R3453" s="96">
        <f>O3453*Q3453</f>
        <v/>
      </c>
      <c r="S3453" s="97">
        <f>TRIM(E3453)</f>
        <v/>
      </c>
    </row>
    <row r="3454" hidden="1">
      <c r="A3454" s="22" t="n"/>
      <c r="P3454" s="96">
        <f>_xlfn.XLOOKUP(Tabla5[[#This Row],[EAN CORREGIDO]],'Tabla Articulos'!B:B,'Tabla Articulos'!D:D)</f>
        <v/>
      </c>
      <c r="Q3454" s="96">
        <f>_xlfn.XLOOKUP(S3454,'Tabla Articulos'!B:B,'Tabla Articulos'!E:E)</f>
        <v/>
      </c>
      <c r="R3454" s="96">
        <f>O3454*Q3454</f>
        <v/>
      </c>
      <c r="S3454" s="97">
        <f>TRIM(E3454)</f>
        <v/>
      </c>
    </row>
    <row r="3455" hidden="1">
      <c r="A3455" s="22" t="n"/>
      <c r="P3455" s="96">
        <f>_xlfn.XLOOKUP(Tabla5[[#This Row],[EAN CORREGIDO]],'Tabla Articulos'!B:B,'Tabla Articulos'!D:D)</f>
        <v/>
      </c>
      <c r="Q3455" s="96">
        <f>_xlfn.XLOOKUP(S3455,'Tabla Articulos'!B:B,'Tabla Articulos'!E:E)</f>
        <v/>
      </c>
      <c r="R3455" s="96">
        <f>O3455*Q3455</f>
        <v/>
      </c>
      <c r="S3455" s="97">
        <f>TRIM(E3455)</f>
        <v/>
      </c>
    </row>
    <row r="3456" hidden="1">
      <c r="A3456" s="22" t="n"/>
      <c r="P3456" s="96">
        <f>_xlfn.XLOOKUP(Tabla5[[#This Row],[EAN CORREGIDO]],'Tabla Articulos'!B:B,'Tabla Articulos'!D:D)</f>
        <v/>
      </c>
      <c r="Q3456" s="96">
        <f>_xlfn.XLOOKUP(S3456,'Tabla Articulos'!B:B,'Tabla Articulos'!E:E)</f>
        <v/>
      </c>
      <c r="R3456" s="96">
        <f>O3456*Q3456</f>
        <v/>
      </c>
      <c r="S3456" s="97">
        <f>TRIM(E3456)</f>
        <v/>
      </c>
    </row>
    <row r="3457" hidden="1">
      <c r="A3457" s="22" t="n"/>
      <c r="P3457" s="96">
        <f>_xlfn.XLOOKUP(Tabla5[[#This Row],[EAN CORREGIDO]],'Tabla Articulos'!B:B,'Tabla Articulos'!D:D)</f>
        <v/>
      </c>
      <c r="Q3457" s="96">
        <f>_xlfn.XLOOKUP(S3457,'Tabla Articulos'!B:B,'Tabla Articulos'!E:E)</f>
        <v/>
      </c>
      <c r="R3457" s="96">
        <f>O3457*Q3457</f>
        <v/>
      </c>
      <c r="S3457" s="97">
        <f>TRIM(E3457)</f>
        <v/>
      </c>
    </row>
    <row r="3458" hidden="1">
      <c r="A3458" s="22" t="n"/>
      <c r="P3458" s="96">
        <f>_xlfn.XLOOKUP(Tabla5[[#This Row],[EAN CORREGIDO]],'Tabla Articulos'!B:B,'Tabla Articulos'!D:D)</f>
        <v/>
      </c>
      <c r="Q3458" s="96">
        <f>_xlfn.XLOOKUP(S3458,'Tabla Articulos'!B:B,'Tabla Articulos'!E:E)</f>
        <v/>
      </c>
      <c r="R3458" s="96">
        <f>O3458*Q3458</f>
        <v/>
      </c>
      <c r="S3458" s="97">
        <f>TRIM(E3458)</f>
        <v/>
      </c>
    </row>
    <row r="3459" hidden="1">
      <c r="A3459" s="22" t="n"/>
      <c r="P3459" s="96">
        <f>_xlfn.XLOOKUP(Tabla5[[#This Row],[EAN CORREGIDO]],'Tabla Articulos'!B:B,'Tabla Articulos'!D:D)</f>
        <v/>
      </c>
      <c r="Q3459" s="96">
        <f>_xlfn.XLOOKUP(S3459,'Tabla Articulos'!B:B,'Tabla Articulos'!E:E)</f>
        <v/>
      </c>
      <c r="R3459" s="96">
        <f>O3459*Q3459</f>
        <v/>
      </c>
      <c r="S3459" s="97">
        <f>TRIM(E3459)</f>
        <v/>
      </c>
    </row>
    <row r="3460" hidden="1">
      <c r="A3460" s="22" t="n"/>
      <c r="P3460" s="96">
        <f>_xlfn.XLOOKUP(Tabla5[[#This Row],[EAN CORREGIDO]],'Tabla Articulos'!B:B,'Tabla Articulos'!D:D)</f>
        <v/>
      </c>
      <c r="Q3460" s="96">
        <f>_xlfn.XLOOKUP(S3460,'Tabla Articulos'!B:B,'Tabla Articulos'!E:E)</f>
        <v/>
      </c>
      <c r="R3460" s="96">
        <f>O3460*Q3460</f>
        <v/>
      </c>
      <c r="S3460" s="97">
        <f>TRIM(E3460)</f>
        <v/>
      </c>
    </row>
    <row r="3461" hidden="1">
      <c r="A3461" s="22" t="n"/>
      <c r="P3461" s="96">
        <f>_xlfn.XLOOKUP(Tabla5[[#This Row],[EAN CORREGIDO]],'Tabla Articulos'!B:B,'Tabla Articulos'!D:D)</f>
        <v/>
      </c>
      <c r="Q3461" s="96">
        <f>_xlfn.XLOOKUP(S3461,'Tabla Articulos'!B:B,'Tabla Articulos'!E:E)</f>
        <v/>
      </c>
      <c r="R3461" s="96">
        <f>O3461*Q3461</f>
        <v/>
      </c>
      <c r="S3461" s="97">
        <f>TRIM(E3461)</f>
        <v/>
      </c>
    </row>
    <row r="3462" hidden="1">
      <c r="A3462" s="22" t="n"/>
      <c r="P3462" s="96">
        <f>_xlfn.XLOOKUP(Tabla5[[#This Row],[EAN CORREGIDO]],'Tabla Articulos'!B:B,'Tabla Articulos'!D:D)</f>
        <v/>
      </c>
      <c r="Q3462" s="96">
        <f>_xlfn.XLOOKUP(S3462,'Tabla Articulos'!B:B,'Tabla Articulos'!E:E)</f>
        <v/>
      </c>
      <c r="R3462" s="96">
        <f>O3462*Q3462</f>
        <v/>
      </c>
      <c r="S3462" s="97">
        <f>TRIM(E3462)</f>
        <v/>
      </c>
    </row>
    <row r="3463" hidden="1">
      <c r="A3463" s="22" t="n"/>
      <c r="P3463" s="96">
        <f>_xlfn.XLOOKUP(Tabla5[[#This Row],[EAN CORREGIDO]],'Tabla Articulos'!B:B,'Tabla Articulos'!D:D)</f>
        <v/>
      </c>
      <c r="Q3463" s="96">
        <f>_xlfn.XLOOKUP(S3463,'Tabla Articulos'!B:B,'Tabla Articulos'!E:E)</f>
        <v/>
      </c>
      <c r="R3463" s="96">
        <f>O3463*Q3463</f>
        <v/>
      </c>
      <c r="S3463" s="97">
        <f>TRIM(E3463)</f>
        <v/>
      </c>
    </row>
    <row r="3464" hidden="1">
      <c r="A3464" s="22" t="n"/>
      <c r="P3464" s="96">
        <f>_xlfn.XLOOKUP(Tabla5[[#This Row],[EAN CORREGIDO]],'Tabla Articulos'!B:B,'Tabla Articulos'!D:D)</f>
        <v/>
      </c>
      <c r="Q3464" s="96">
        <f>_xlfn.XLOOKUP(S3464,'Tabla Articulos'!B:B,'Tabla Articulos'!E:E)</f>
        <v/>
      </c>
      <c r="R3464" s="96">
        <f>O3464*Q3464</f>
        <v/>
      </c>
      <c r="S3464" s="97">
        <f>TRIM(E3464)</f>
        <v/>
      </c>
    </row>
    <row r="3465" hidden="1">
      <c r="A3465" s="22" t="n"/>
      <c r="P3465" s="96">
        <f>_xlfn.XLOOKUP(Tabla5[[#This Row],[EAN CORREGIDO]],'Tabla Articulos'!B:B,'Tabla Articulos'!D:D)</f>
        <v/>
      </c>
      <c r="Q3465" s="96">
        <f>_xlfn.XLOOKUP(S3465,'Tabla Articulos'!B:B,'Tabla Articulos'!E:E)</f>
        <v/>
      </c>
      <c r="R3465" s="96">
        <f>O3465*Q3465</f>
        <v/>
      </c>
      <c r="S3465" s="97">
        <f>TRIM(E3465)</f>
        <v/>
      </c>
    </row>
    <row r="3466" hidden="1">
      <c r="A3466" s="22" t="n"/>
      <c r="P3466" s="96">
        <f>_xlfn.XLOOKUP(Tabla5[[#This Row],[EAN CORREGIDO]],'Tabla Articulos'!B:B,'Tabla Articulos'!D:D)</f>
        <v/>
      </c>
      <c r="Q3466" s="96">
        <f>_xlfn.XLOOKUP(S3466,'Tabla Articulos'!B:B,'Tabla Articulos'!E:E)</f>
        <v/>
      </c>
      <c r="R3466" s="96">
        <f>O3466*Q3466</f>
        <v/>
      </c>
      <c r="S3466" s="97">
        <f>TRIM(E3466)</f>
        <v/>
      </c>
    </row>
    <row r="3467" hidden="1">
      <c r="A3467" s="22" t="n"/>
      <c r="P3467" s="96">
        <f>_xlfn.XLOOKUP(Tabla5[[#This Row],[EAN CORREGIDO]],'Tabla Articulos'!B:B,'Tabla Articulos'!D:D)</f>
        <v/>
      </c>
      <c r="Q3467" s="96">
        <f>_xlfn.XLOOKUP(S3467,'Tabla Articulos'!B:B,'Tabla Articulos'!E:E)</f>
        <v/>
      </c>
      <c r="R3467" s="96">
        <f>O3467*Q3467</f>
        <v/>
      </c>
      <c r="S3467" s="97">
        <f>TRIM(E3467)</f>
        <v/>
      </c>
    </row>
    <row r="3468" hidden="1">
      <c r="A3468" s="22" t="n"/>
      <c r="P3468" s="96">
        <f>_xlfn.XLOOKUP(Tabla5[[#This Row],[EAN CORREGIDO]],'Tabla Articulos'!B:B,'Tabla Articulos'!D:D)</f>
        <v/>
      </c>
      <c r="Q3468" s="96">
        <f>_xlfn.XLOOKUP(S3468,'Tabla Articulos'!B:B,'Tabla Articulos'!E:E)</f>
        <v/>
      </c>
      <c r="R3468" s="96">
        <f>O3468*Q3468</f>
        <v/>
      </c>
      <c r="S3468" s="97">
        <f>TRIM(E3468)</f>
        <v/>
      </c>
    </row>
    <row r="3469" hidden="1">
      <c r="A3469" s="22" t="n"/>
      <c r="P3469" s="96">
        <f>_xlfn.XLOOKUP(Tabla5[[#This Row],[EAN CORREGIDO]],'Tabla Articulos'!B:B,'Tabla Articulos'!D:D)</f>
        <v/>
      </c>
      <c r="Q3469" s="96">
        <f>_xlfn.XLOOKUP(S3469,'Tabla Articulos'!B:B,'Tabla Articulos'!E:E)</f>
        <v/>
      </c>
      <c r="R3469" s="96">
        <f>O3469*Q3469</f>
        <v/>
      </c>
      <c r="S3469" s="97">
        <f>TRIM(E3469)</f>
        <v/>
      </c>
    </row>
    <row r="3470" hidden="1">
      <c r="A3470" s="22" t="n"/>
      <c r="P3470" s="96">
        <f>_xlfn.XLOOKUP(Tabla5[[#This Row],[EAN CORREGIDO]],'Tabla Articulos'!B:B,'Tabla Articulos'!D:D)</f>
        <v/>
      </c>
      <c r="Q3470" s="96">
        <f>_xlfn.XLOOKUP(S3470,'Tabla Articulos'!B:B,'Tabla Articulos'!E:E)</f>
        <v/>
      </c>
      <c r="R3470" s="96">
        <f>O3470*Q3470</f>
        <v/>
      </c>
      <c r="S3470" s="97">
        <f>TRIM(E3470)</f>
        <v/>
      </c>
    </row>
    <row r="3471" hidden="1">
      <c r="A3471" s="22" t="n"/>
      <c r="P3471" s="96">
        <f>_xlfn.XLOOKUP(Tabla5[[#This Row],[EAN CORREGIDO]],'Tabla Articulos'!B:B,'Tabla Articulos'!D:D)</f>
        <v/>
      </c>
      <c r="Q3471" s="96">
        <f>_xlfn.XLOOKUP(S3471,'Tabla Articulos'!B:B,'Tabla Articulos'!E:E)</f>
        <v/>
      </c>
      <c r="R3471" s="96">
        <f>O3471*Q3471</f>
        <v/>
      </c>
      <c r="S3471" s="97">
        <f>TRIM(E3471)</f>
        <v/>
      </c>
    </row>
    <row r="3472" hidden="1">
      <c r="A3472" s="22" t="n"/>
      <c r="P3472" s="96">
        <f>_xlfn.XLOOKUP(Tabla5[[#This Row],[EAN CORREGIDO]],'Tabla Articulos'!B:B,'Tabla Articulos'!D:D)</f>
        <v/>
      </c>
      <c r="Q3472" s="96">
        <f>_xlfn.XLOOKUP(S3472,'Tabla Articulos'!B:B,'Tabla Articulos'!E:E)</f>
        <v/>
      </c>
      <c r="R3472" s="96">
        <f>O3472*Q3472</f>
        <v/>
      </c>
      <c r="S3472" s="97">
        <f>TRIM(E3472)</f>
        <v/>
      </c>
    </row>
    <row r="3473" hidden="1">
      <c r="A3473" s="22" t="n"/>
      <c r="P3473" s="96">
        <f>_xlfn.XLOOKUP(Tabla5[[#This Row],[EAN CORREGIDO]],'Tabla Articulos'!B:B,'Tabla Articulos'!D:D)</f>
        <v/>
      </c>
      <c r="Q3473" s="96">
        <f>_xlfn.XLOOKUP(S3473,'Tabla Articulos'!B:B,'Tabla Articulos'!E:E)</f>
        <v/>
      </c>
      <c r="R3473" s="96">
        <f>O3473*Q3473</f>
        <v/>
      </c>
      <c r="S3473" s="97">
        <f>TRIM(E3473)</f>
        <v/>
      </c>
    </row>
    <row r="3474" hidden="1">
      <c r="A3474" s="22" t="n"/>
      <c r="P3474" s="96">
        <f>_xlfn.XLOOKUP(Tabla5[[#This Row],[EAN CORREGIDO]],'Tabla Articulos'!B:B,'Tabla Articulos'!D:D)</f>
        <v/>
      </c>
      <c r="Q3474" s="96">
        <f>_xlfn.XLOOKUP(S3474,'Tabla Articulos'!B:B,'Tabla Articulos'!E:E)</f>
        <v/>
      </c>
      <c r="R3474" s="96">
        <f>O3474*Q3474</f>
        <v/>
      </c>
      <c r="S3474" s="97">
        <f>TRIM(E3474)</f>
        <v/>
      </c>
    </row>
    <row r="3475" hidden="1">
      <c r="A3475" s="22" t="n"/>
      <c r="P3475" s="96">
        <f>_xlfn.XLOOKUP(Tabla5[[#This Row],[EAN CORREGIDO]],'Tabla Articulos'!B:B,'Tabla Articulos'!D:D)</f>
        <v/>
      </c>
      <c r="Q3475" s="96">
        <f>_xlfn.XLOOKUP(S3475,'Tabla Articulos'!B:B,'Tabla Articulos'!E:E)</f>
        <v/>
      </c>
      <c r="R3475" s="96">
        <f>O3475*Q3475</f>
        <v/>
      </c>
      <c r="S3475" s="97">
        <f>TRIM(E3475)</f>
        <v/>
      </c>
    </row>
    <row r="3476" hidden="1">
      <c r="A3476" s="22" t="n"/>
      <c r="P3476" s="96">
        <f>_xlfn.XLOOKUP(Tabla5[[#This Row],[EAN CORREGIDO]],'Tabla Articulos'!B:B,'Tabla Articulos'!D:D)</f>
        <v/>
      </c>
      <c r="Q3476" s="96">
        <f>_xlfn.XLOOKUP(S3476,'Tabla Articulos'!B:B,'Tabla Articulos'!E:E)</f>
        <v/>
      </c>
      <c r="R3476" s="96">
        <f>O3476*Q3476</f>
        <v/>
      </c>
      <c r="S3476" s="97">
        <f>TRIM(E3476)</f>
        <v/>
      </c>
    </row>
    <row r="3477" hidden="1">
      <c r="A3477" s="22" t="n"/>
      <c r="P3477" s="96">
        <f>_xlfn.XLOOKUP(Tabla5[[#This Row],[EAN CORREGIDO]],'Tabla Articulos'!B:B,'Tabla Articulos'!D:D)</f>
        <v/>
      </c>
      <c r="Q3477" s="96">
        <f>_xlfn.XLOOKUP(S3477,'Tabla Articulos'!B:B,'Tabla Articulos'!E:E)</f>
        <v/>
      </c>
      <c r="R3477" s="96">
        <f>O3477*Q3477</f>
        <v/>
      </c>
      <c r="S3477" s="97">
        <f>TRIM(E3477)</f>
        <v/>
      </c>
    </row>
    <row r="3478" hidden="1">
      <c r="A3478" s="22" t="n"/>
      <c r="P3478" s="96">
        <f>_xlfn.XLOOKUP(Tabla5[[#This Row],[EAN CORREGIDO]],'Tabla Articulos'!B:B,'Tabla Articulos'!D:D)</f>
        <v/>
      </c>
      <c r="Q3478" s="96">
        <f>_xlfn.XLOOKUP(S3478,'Tabla Articulos'!B:B,'Tabla Articulos'!E:E)</f>
        <v/>
      </c>
      <c r="R3478" s="96">
        <f>O3478*Q3478</f>
        <v/>
      </c>
      <c r="S3478" s="97">
        <f>TRIM(E3478)</f>
        <v/>
      </c>
    </row>
    <row r="3479" hidden="1">
      <c r="A3479" s="22" t="n"/>
      <c r="P3479" s="96">
        <f>_xlfn.XLOOKUP(Tabla5[[#This Row],[EAN CORREGIDO]],'Tabla Articulos'!B:B,'Tabla Articulos'!D:D)</f>
        <v/>
      </c>
      <c r="Q3479" s="96">
        <f>_xlfn.XLOOKUP(S3479,'Tabla Articulos'!B:B,'Tabla Articulos'!E:E)</f>
        <v/>
      </c>
      <c r="R3479" s="96">
        <f>O3479*Q3479</f>
        <v/>
      </c>
      <c r="S3479" s="97">
        <f>TRIM(E3479)</f>
        <v/>
      </c>
    </row>
    <row r="3480" hidden="1">
      <c r="A3480" s="22" t="n"/>
      <c r="P3480" s="96">
        <f>_xlfn.XLOOKUP(Tabla5[[#This Row],[EAN CORREGIDO]],'Tabla Articulos'!B:B,'Tabla Articulos'!D:D)</f>
        <v/>
      </c>
      <c r="Q3480" s="96">
        <f>_xlfn.XLOOKUP(S3480,'Tabla Articulos'!B:B,'Tabla Articulos'!E:E)</f>
        <v/>
      </c>
      <c r="R3480" s="96">
        <f>O3480*Q3480</f>
        <v/>
      </c>
      <c r="S3480" s="97">
        <f>TRIM(E3480)</f>
        <v/>
      </c>
    </row>
    <row r="3481" hidden="1">
      <c r="A3481" s="22" t="n"/>
      <c r="P3481" s="96">
        <f>_xlfn.XLOOKUP(Tabla5[[#This Row],[EAN CORREGIDO]],'Tabla Articulos'!B:B,'Tabla Articulos'!D:D)</f>
        <v/>
      </c>
      <c r="Q3481" s="96">
        <f>_xlfn.XLOOKUP(S3481,'Tabla Articulos'!B:B,'Tabla Articulos'!E:E)</f>
        <v/>
      </c>
      <c r="R3481" s="96">
        <f>O3481*Q3481</f>
        <v/>
      </c>
      <c r="S3481" s="97">
        <f>TRIM(E3481)</f>
        <v/>
      </c>
    </row>
    <row r="3482" hidden="1">
      <c r="A3482" s="22" t="n"/>
      <c r="P3482" s="96">
        <f>_xlfn.XLOOKUP(Tabla5[[#This Row],[EAN CORREGIDO]],'Tabla Articulos'!B:B,'Tabla Articulos'!D:D)</f>
        <v/>
      </c>
      <c r="Q3482" s="96">
        <f>_xlfn.XLOOKUP(S3482,'Tabla Articulos'!B:B,'Tabla Articulos'!E:E)</f>
        <v/>
      </c>
      <c r="R3482" s="96">
        <f>O3482*Q3482</f>
        <v/>
      </c>
      <c r="S3482" s="97">
        <f>TRIM(E3482)</f>
        <v/>
      </c>
    </row>
    <row r="3483" hidden="1">
      <c r="A3483" s="22" t="n"/>
      <c r="P3483" s="96">
        <f>_xlfn.XLOOKUP(Tabla5[[#This Row],[EAN CORREGIDO]],'Tabla Articulos'!B:B,'Tabla Articulos'!D:D)</f>
        <v/>
      </c>
      <c r="Q3483" s="96">
        <f>_xlfn.XLOOKUP(S3483,'Tabla Articulos'!B:B,'Tabla Articulos'!E:E)</f>
        <v/>
      </c>
      <c r="R3483" s="96">
        <f>O3483*Q3483</f>
        <v/>
      </c>
      <c r="S3483" s="97">
        <f>TRIM(E3483)</f>
        <v/>
      </c>
    </row>
    <row r="3484" hidden="1">
      <c r="A3484" s="22" t="n"/>
      <c r="P3484" s="96">
        <f>_xlfn.XLOOKUP(Tabla5[[#This Row],[EAN CORREGIDO]],'Tabla Articulos'!B:B,'Tabla Articulos'!D:D)</f>
        <v/>
      </c>
      <c r="Q3484" s="96">
        <f>_xlfn.XLOOKUP(S3484,'Tabla Articulos'!B:B,'Tabla Articulos'!E:E)</f>
        <v/>
      </c>
      <c r="R3484" s="96">
        <f>O3484*Q3484</f>
        <v/>
      </c>
      <c r="S3484" s="97">
        <f>TRIM(E3484)</f>
        <v/>
      </c>
    </row>
    <row r="3485" hidden="1">
      <c r="A3485" s="22" t="n"/>
      <c r="P3485" s="96">
        <f>_xlfn.XLOOKUP(Tabla5[[#This Row],[EAN CORREGIDO]],'Tabla Articulos'!B:B,'Tabla Articulos'!D:D)</f>
        <v/>
      </c>
      <c r="Q3485" s="96">
        <f>_xlfn.XLOOKUP(S3485,'Tabla Articulos'!B:B,'Tabla Articulos'!E:E)</f>
        <v/>
      </c>
      <c r="R3485" s="96">
        <f>O3485*Q3485</f>
        <v/>
      </c>
      <c r="S3485" s="97">
        <f>TRIM(E3485)</f>
        <v/>
      </c>
    </row>
    <row r="3486" hidden="1">
      <c r="A3486" s="22" t="n"/>
      <c r="P3486" s="96">
        <f>_xlfn.XLOOKUP(Tabla5[[#This Row],[EAN CORREGIDO]],'Tabla Articulos'!B:B,'Tabla Articulos'!D:D)</f>
        <v/>
      </c>
      <c r="Q3486" s="96">
        <f>_xlfn.XLOOKUP(S3486,'Tabla Articulos'!B:B,'Tabla Articulos'!E:E)</f>
        <v/>
      </c>
      <c r="R3486" s="96">
        <f>O3486*Q3486</f>
        <v/>
      </c>
      <c r="S3486" s="97">
        <f>TRIM(E3486)</f>
        <v/>
      </c>
    </row>
    <row r="3487" hidden="1">
      <c r="A3487" s="22" t="n"/>
      <c r="P3487" s="96">
        <f>_xlfn.XLOOKUP(Tabla5[[#This Row],[EAN CORREGIDO]],'Tabla Articulos'!B:B,'Tabla Articulos'!D:D)</f>
        <v/>
      </c>
      <c r="Q3487" s="96">
        <f>_xlfn.XLOOKUP(S3487,'Tabla Articulos'!B:B,'Tabla Articulos'!E:E)</f>
        <v/>
      </c>
      <c r="R3487" s="96">
        <f>O3487*Q3487</f>
        <v/>
      </c>
      <c r="S3487" s="97">
        <f>TRIM(E3487)</f>
        <v/>
      </c>
    </row>
    <row r="3488" hidden="1">
      <c r="A3488" s="22" t="n"/>
      <c r="P3488" s="96">
        <f>_xlfn.XLOOKUP(Tabla5[[#This Row],[EAN CORREGIDO]],'Tabla Articulos'!B:B,'Tabla Articulos'!D:D)</f>
        <v/>
      </c>
      <c r="Q3488" s="96">
        <f>_xlfn.XLOOKUP(S3488,'Tabla Articulos'!B:B,'Tabla Articulos'!E:E)</f>
        <v/>
      </c>
      <c r="R3488" s="96">
        <f>O3488*Q3488</f>
        <v/>
      </c>
      <c r="S3488" s="97">
        <f>TRIM(E3488)</f>
        <v/>
      </c>
    </row>
    <row r="3489" hidden="1">
      <c r="A3489" s="22" t="n"/>
      <c r="P3489" s="96">
        <f>_xlfn.XLOOKUP(Tabla5[[#This Row],[EAN CORREGIDO]],'Tabla Articulos'!B:B,'Tabla Articulos'!D:D)</f>
        <v/>
      </c>
      <c r="Q3489" s="96">
        <f>_xlfn.XLOOKUP(S3489,'Tabla Articulos'!B:B,'Tabla Articulos'!E:E)</f>
        <v/>
      </c>
      <c r="R3489" s="96">
        <f>O3489*Q3489</f>
        <v/>
      </c>
      <c r="S3489" s="97">
        <f>TRIM(E3489)</f>
        <v/>
      </c>
    </row>
    <row r="3490" hidden="1">
      <c r="A3490" s="22" t="n"/>
      <c r="P3490" s="96">
        <f>_xlfn.XLOOKUP(Tabla5[[#This Row],[EAN CORREGIDO]],'Tabla Articulos'!B:B,'Tabla Articulos'!D:D)</f>
        <v/>
      </c>
      <c r="Q3490" s="96">
        <f>_xlfn.XLOOKUP(S3490,'Tabla Articulos'!B:B,'Tabla Articulos'!E:E)</f>
        <v/>
      </c>
      <c r="R3490" s="96">
        <f>O3490*Q3490</f>
        <v/>
      </c>
      <c r="S3490" s="97">
        <f>TRIM(E3490)</f>
        <v/>
      </c>
    </row>
    <row r="3491" hidden="1">
      <c r="A3491" s="22" t="n"/>
      <c r="P3491" s="96">
        <f>_xlfn.XLOOKUP(Tabla5[[#This Row],[EAN CORREGIDO]],'Tabla Articulos'!B:B,'Tabla Articulos'!D:D)</f>
        <v/>
      </c>
      <c r="Q3491" s="96">
        <f>_xlfn.XLOOKUP(S3491,'Tabla Articulos'!B:B,'Tabla Articulos'!E:E)</f>
        <v/>
      </c>
      <c r="R3491" s="96">
        <f>O3491*Q3491</f>
        <v/>
      </c>
      <c r="S3491" s="97">
        <f>TRIM(E3491)</f>
        <v/>
      </c>
    </row>
    <row r="3492" hidden="1">
      <c r="A3492" s="22" t="n"/>
      <c r="P3492" s="96">
        <f>_xlfn.XLOOKUP(Tabla5[[#This Row],[EAN CORREGIDO]],'Tabla Articulos'!B:B,'Tabla Articulos'!D:D)</f>
        <v/>
      </c>
      <c r="Q3492" s="96">
        <f>_xlfn.XLOOKUP(S3492,'Tabla Articulos'!B:B,'Tabla Articulos'!E:E)</f>
        <v/>
      </c>
      <c r="R3492" s="96">
        <f>O3492*Q3492</f>
        <v/>
      </c>
      <c r="S3492" s="97">
        <f>TRIM(E3492)</f>
        <v/>
      </c>
    </row>
    <row r="3493" hidden="1">
      <c r="A3493" s="22" t="n"/>
      <c r="P3493" s="96">
        <f>_xlfn.XLOOKUP(Tabla5[[#This Row],[EAN CORREGIDO]],'Tabla Articulos'!B:B,'Tabla Articulos'!D:D)</f>
        <v/>
      </c>
      <c r="Q3493" s="96">
        <f>_xlfn.XLOOKUP(S3493,'Tabla Articulos'!B:B,'Tabla Articulos'!E:E)</f>
        <v/>
      </c>
      <c r="R3493" s="96">
        <f>O3493*Q3493</f>
        <v/>
      </c>
      <c r="S3493" s="97">
        <f>TRIM(E3493)</f>
        <v/>
      </c>
    </row>
    <row r="3494" hidden="1">
      <c r="A3494" s="22" t="n"/>
      <c r="P3494" s="96">
        <f>_xlfn.XLOOKUP(Tabla5[[#This Row],[EAN CORREGIDO]],'Tabla Articulos'!B:B,'Tabla Articulos'!D:D)</f>
        <v/>
      </c>
      <c r="Q3494" s="96">
        <f>_xlfn.XLOOKUP(S3494,'Tabla Articulos'!B:B,'Tabla Articulos'!E:E)</f>
        <v/>
      </c>
      <c r="R3494" s="96">
        <f>O3494*Q3494</f>
        <v/>
      </c>
      <c r="S3494" s="97">
        <f>TRIM(E3494)</f>
        <v/>
      </c>
    </row>
    <row r="3495" hidden="1">
      <c r="A3495" s="22" t="n"/>
      <c r="P3495" s="96">
        <f>_xlfn.XLOOKUP(Tabla5[[#This Row],[EAN CORREGIDO]],'Tabla Articulos'!B:B,'Tabla Articulos'!D:D)</f>
        <v/>
      </c>
      <c r="Q3495" s="96">
        <f>_xlfn.XLOOKUP(S3495,'Tabla Articulos'!B:B,'Tabla Articulos'!E:E)</f>
        <v/>
      </c>
      <c r="R3495" s="96">
        <f>O3495*Q3495</f>
        <v/>
      </c>
      <c r="S3495" s="97">
        <f>TRIM(E3495)</f>
        <v/>
      </c>
    </row>
    <row r="3496" hidden="1">
      <c r="A3496" s="22" t="n"/>
      <c r="P3496" s="96">
        <f>_xlfn.XLOOKUP(Tabla5[[#This Row],[EAN CORREGIDO]],'Tabla Articulos'!B:B,'Tabla Articulos'!D:D)</f>
        <v/>
      </c>
      <c r="Q3496" s="96">
        <f>_xlfn.XLOOKUP(S3496,'Tabla Articulos'!B:B,'Tabla Articulos'!E:E)</f>
        <v/>
      </c>
      <c r="R3496" s="96">
        <f>O3496*Q3496</f>
        <v/>
      </c>
      <c r="S3496" s="97">
        <f>TRIM(E3496)</f>
        <v/>
      </c>
    </row>
    <row r="3497" hidden="1">
      <c r="A3497" s="22" t="n"/>
      <c r="P3497" s="96">
        <f>_xlfn.XLOOKUP(Tabla5[[#This Row],[EAN CORREGIDO]],'Tabla Articulos'!B:B,'Tabla Articulos'!D:D)</f>
        <v/>
      </c>
      <c r="Q3497" s="96">
        <f>_xlfn.XLOOKUP(S3497,'Tabla Articulos'!B:B,'Tabla Articulos'!E:E)</f>
        <v/>
      </c>
      <c r="R3497" s="96">
        <f>O3497*Q3497</f>
        <v/>
      </c>
      <c r="S3497" s="97">
        <f>TRIM(E3497)</f>
        <v/>
      </c>
    </row>
    <row r="3498" hidden="1">
      <c r="A3498" s="22" t="n"/>
      <c r="P3498" s="96">
        <f>_xlfn.XLOOKUP(Tabla5[[#This Row],[EAN CORREGIDO]],'Tabla Articulos'!B:B,'Tabla Articulos'!D:D)</f>
        <v/>
      </c>
      <c r="Q3498" s="96">
        <f>_xlfn.XLOOKUP(S3498,'Tabla Articulos'!B:B,'Tabla Articulos'!E:E)</f>
        <v/>
      </c>
      <c r="R3498" s="96">
        <f>O3498*Q3498</f>
        <v/>
      </c>
      <c r="S3498" s="97">
        <f>TRIM(E3498)</f>
        <v/>
      </c>
    </row>
    <row r="3499" hidden="1">
      <c r="A3499" s="22" t="n"/>
      <c r="P3499" s="96">
        <f>_xlfn.XLOOKUP(Tabla5[[#This Row],[EAN CORREGIDO]],'Tabla Articulos'!B:B,'Tabla Articulos'!D:D)</f>
        <v/>
      </c>
      <c r="Q3499" s="96">
        <f>_xlfn.XLOOKUP(S3499,'Tabla Articulos'!B:B,'Tabla Articulos'!E:E)</f>
        <v/>
      </c>
      <c r="R3499" s="96">
        <f>O3499*Q3499</f>
        <v/>
      </c>
      <c r="S3499" s="97">
        <f>TRIM(E3499)</f>
        <v/>
      </c>
    </row>
    <row r="3500" hidden="1">
      <c r="A3500" s="27" t="n"/>
      <c r="B3500" s="28" t="n"/>
      <c r="C3500" s="28" t="n"/>
      <c r="D3500" s="28" t="n"/>
      <c r="E3500" s="28" t="n"/>
      <c r="F3500" s="28" t="n"/>
      <c r="G3500" s="28" t="n"/>
      <c r="H3500" s="28" t="n"/>
      <c r="I3500" s="28" t="n"/>
      <c r="J3500" s="28" t="n"/>
      <c r="K3500" s="28" t="n"/>
      <c r="L3500" s="28" t="n"/>
      <c r="M3500" s="28" t="n"/>
      <c r="N3500" s="28" t="n"/>
      <c r="O3500" s="28" t="n"/>
      <c r="P3500" s="96">
        <f>_xlfn.XLOOKUP(Tabla5[[#This Row],[EAN CORREGIDO]],'Tabla Articulos'!B:B,'Tabla Articulos'!D:D)</f>
        <v/>
      </c>
      <c r="Q3500" s="96">
        <f>_xlfn.XLOOKUP(S3500,'Tabla Articulos'!B:B,'Tabla Articulos'!E:E)</f>
        <v/>
      </c>
      <c r="R3500" s="96">
        <f>O3500*Q3500</f>
        <v/>
      </c>
      <c r="S3500" s="97">
        <f>TRIM(E3500)</f>
        <v/>
      </c>
    </row>
    <row r="3501">
      <c r="A3501" s="16" t="n"/>
      <c r="B3501" s="16" t="n"/>
      <c r="C3501" s="16" t="n"/>
      <c r="D3501" s="16" t="n"/>
      <c r="E3501" s="16" t="n"/>
      <c r="F3501" s="16" t="n"/>
      <c r="G3501" s="16" t="n"/>
      <c r="H3501" s="16" t="n"/>
      <c r="I3501" s="16" t="n"/>
      <c r="J3501" s="16" t="n"/>
      <c r="K3501" s="16" t="n"/>
      <c r="L3501" s="16" t="n"/>
      <c r="M3501" s="16" t="n"/>
      <c r="N3501" s="16" t="n"/>
      <c r="O3501" s="16" t="n"/>
    </row>
    <row r="3502">
      <c r="A3502" s="16" t="n"/>
      <c r="B3502" s="16" t="n"/>
      <c r="C3502" s="16" t="n"/>
      <c r="D3502" s="16" t="n"/>
      <c r="E3502" s="16" t="n"/>
      <c r="F3502" s="16" t="n"/>
      <c r="G3502" s="16" t="n"/>
      <c r="H3502" s="16" t="n"/>
      <c r="I3502" s="16" t="n"/>
      <c r="J3502" s="16" t="n"/>
      <c r="K3502" s="16" t="n"/>
      <c r="L3502" s="16" t="n"/>
      <c r="M3502" s="16" t="n"/>
      <c r="N3502" s="16" t="n"/>
      <c r="O3502" s="16" t="n"/>
    </row>
    <row r="3503">
      <c r="A3503" s="16" t="n"/>
      <c r="B3503" s="16" t="n"/>
      <c r="C3503" s="16" t="n"/>
      <c r="D3503" s="16" t="n"/>
      <c r="E3503" s="16" t="n"/>
      <c r="F3503" s="16" t="n"/>
      <c r="G3503" s="16" t="n"/>
      <c r="H3503" s="16" t="n"/>
      <c r="I3503" s="16" t="n"/>
      <c r="J3503" s="16" t="n"/>
      <c r="K3503" s="16" t="n"/>
      <c r="L3503" s="16" t="n"/>
      <c r="M3503" s="16" t="n"/>
      <c r="N3503" s="16" t="n"/>
      <c r="O3503" s="16" t="n"/>
    </row>
    <row r="3504">
      <c r="A3504" s="16" t="n"/>
      <c r="B3504" s="16" t="n"/>
      <c r="C3504" s="16" t="n"/>
      <c r="D3504" s="16" t="n"/>
      <c r="E3504" s="16" t="n"/>
      <c r="F3504" s="16" t="n"/>
      <c r="G3504" s="16" t="n"/>
      <c r="H3504" s="16" t="n"/>
      <c r="I3504" s="16" t="n"/>
      <c r="J3504" s="16" t="n"/>
      <c r="K3504" s="16" t="n"/>
      <c r="L3504" s="16" t="n"/>
      <c r="M3504" s="16" t="n"/>
      <c r="N3504" s="16" t="n"/>
      <c r="O3504" s="16" t="n"/>
    </row>
    <row r="3505">
      <c r="A3505" s="16" t="n"/>
      <c r="B3505" s="16" t="n"/>
      <c r="C3505" s="16" t="n"/>
      <c r="D3505" s="16" t="n"/>
      <c r="E3505" s="16" t="n"/>
      <c r="F3505" s="16" t="n"/>
      <c r="G3505" s="16" t="n"/>
      <c r="H3505" s="16" t="n"/>
      <c r="I3505" s="16" t="n"/>
      <c r="J3505" s="16" t="n"/>
      <c r="K3505" s="16" t="n"/>
      <c r="L3505" s="16" t="n"/>
      <c r="M3505" s="16" t="n"/>
      <c r="N3505" s="16" t="n"/>
      <c r="O3505" s="16" t="n"/>
    </row>
    <row r="3506">
      <c r="A3506" s="16" t="n"/>
      <c r="B3506" s="16" t="n"/>
      <c r="C3506" s="16" t="n"/>
      <c r="D3506" s="16" t="n"/>
      <c r="E3506" s="16" t="n"/>
      <c r="F3506" s="16" t="n"/>
      <c r="G3506" s="16" t="n"/>
      <c r="H3506" s="16" t="n"/>
      <c r="I3506" s="16" t="n"/>
      <c r="J3506" s="16" t="n"/>
      <c r="K3506" s="16" t="n"/>
      <c r="L3506" s="16" t="n"/>
      <c r="M3506" s="16" t="n"/>
      <c r="N3506" s="16" t="n"/>
      <c r="O3506" s="16" t="n"/>
    </row>
    <row r="3507">
      <c r="A3507" s="16" t="n"/>
      <c r="B3507" s="16" t="n"/>
      <c r="C3507" s="16" t="n"/>
      <c r="D3507" s="16" t="n"/>
      <c r="E3507" s="16" t="n"/>
      <c r="F3507" s="16" t="n"/>
      <c r="G3507" s="16" t="n"/>
      <c r="H3507" s="16" t="n"/>
      <c r="I3507" s="16" t="n"/>
      <c r="J3507" s="16" t="n"/>
      <c r="K3507" s="16" t="n"/>
      <c r="L3507" s="16" t="n"/>
      <c r="M3507" s="16" t="n"/>
      <c r="N3507" s="16" t="n"/>
      <c r="O3507" s="16" t="n"/>
    </row>
    <row r="3508">
      <c r="A3508" s="16" t="n"/>
      <c r="B3508" s="16" t="n"/>
      <c r="C3508" s="16" t="n"/>
      <c r="D3508" s="16" t="n"/>
      <c r="E3508" s="16" t="n"/>
      <c r="F3508" s="16" t="n"/>
      <c r="G3508" s="16" t="n"/>
      <c r="H3508" s="16" t="n"/>
      <c r="I3508" s="16" t="n"/>
      <c r="J3508" s="16" t="n"/>
      <c r="K3508" s="16" t="n"/>
      <c r="L3508" s="16" t="n"/>
      <c r="M3508" s="16" t="n"/>
      <c r="N3508" s="16" t="n"/>
      <c r="O3508" s="16" t="n"/>
    </row>
    <row r="3509">
      <c r="A3509" s="16" t="n"/>
      <c r="B3509" s="16" t="n"/>
      <c r="C3509" s="16" t="n"/>
      <c r="D3509" s="16" t="n"/>
      <c r="E3509" s="16" t="n"/>
      <c r="F3509" s="16" t="n"/>
      <c r="G3509" s="16" t="n"/>
      <c r="H3509" s="16" t="n"/>
      <c r="I3509" s="16" t="n"/>
      <c r="J3509" s="16" t="n"/>
      <c r="K3509" s="16" t="n"/>
      <c r="L3509" s="16" t="n"/>
      <c r="M3509" s="16" t="n"/>
      <c r="N3509" s="16" t="n"/>
      <c r="O3509" s="16" t="n"/>
    </row>
    <row r="3510">
      <c r="A3510" s="16" t="n"/>
      <c r="B3510" s="16" t="n"/>
      <c r="C3510" s="16" t="n"/>
      <c r="D3510" s="16" t="n"/>
      <c r="E3510" s="16" t="n"/>
      <c r="F3510" s="16" t="n"/>
      <c r="G3510" s="16" t="n"/>
      <c r="H3510" s="16" t="n"/>
      <c r="I3510" s="16" t="n"/>
      <c r="J3510" s="16" t="n"/>
      <c r="K3510" s="16" t="n"/>
      <c r="L3510" s="16" t="n"/>
      <c r="M3510" s="16" t="n"/>
      <c r="N3510" s="16" t="n"/>
      <c r="O3510" s="16" t="n"/>
    </row>
    <row r="3511">
      <c r="A3511" s="16" t="n"/>
      <c r="B3511" s="16" t="n"/>
      <c r="C3511" s="16" t="n"/>
      <c r="D3511" s="16" t="n"/>
      <c r="E3511" s="16" t="n"/>
      <c r="F3511" s="16" t="n"/>
      <c r="G3511" s="16" t="n"/>
      <c r="H3511" s="16" t="n"/>
      <c r="I3511" s="16" t="n"/>
      <c r="J3511" s="16" t="n"/>
      <c r="K3511" s="16" t="n"/>
      <c r="L3511" s="16" t="n"/>
      <c r="M3511" s="16" t="n"/>
      <c r="N3511" s="16" t="n"/>
      <c r="O3511" s="16" t="n"/>
    </row>
    <row r="3512">
      <c r="A3512" s="16" t="n"/>
      <c r="B3512" s="16" t="n"/>
      <c r="C3512" s="16" t="n"/>
      <c r="D3512" s="16" t="n"/>
      <c r="E3512" s="16" t="n"/>
      <c r="F3512" s="16" t="n"/>
      <c r="G3512" s="16" t="n"/>
      <c r="H3512" s="16" t="n"/>
      <c r="I3512" s="16" t="n"/>
      <c r="J3512" s="16" t="n"/>
      <c r="K3512" s="16" t="n"/>
      <c r="L3512" s="16" t="n"/>
      <c r="M3512" s="16" t="n"/>
      <c r="N3512" s="16" t="n"/>
      <c r="O3512" s="16" t="n"/>
    </row>
    <row r="3513">
      <c r="A3513" s="16" t="n"/>
      <c r="B3513" s="16" t="n"/>
      <c r="C3513" s="16" t="n"/>
      <c r="D3513" s="16" t="n"/>
      <c r="E3513" s="16" t="n"/>
      <c r="F3513" s="16" t="n"/>
      <c r="G3513" s="16" t="n"/>
      <c r="H3513" s="16" t="n"/>
      <c r="I3513" s="16" t="n"/>
      <c r="J3513" s="16" t="n"/>
      <c r="K3513" s="16" t="n"/>
      <c r="L3513" s="16" t="n"/>
      <c r="M3513" s="16" t="n"/>
      <c r="N3513" s="16" t="n"/>
      <c r="O3513" s="16" t="n"/>
    </row>
    <row r="3514">
      <c r="A3514" s="16" t="n"/>
      <c r="B3514" s="16" t="n"/>
      <c r="C3514" s="16" t="n"/>
      <c r="D3514" s="16" t="n"/>
      <c r="E3514" s="16" t="n"/>
      <c r="F3514" s="16" t="n"/>
      <c r="G3514" s="16" t="n"/>
      <c r="H3514" s="16" t="n"/>
      <c r="I3514" s="16" t="n"/>
      <c r="J3514" s="16" t="n"/>
      <c r="K3514" s="16" t="n"/>
      <c r="L3514" s="16" t="n"/>
      <c r="M3514" s="16" t="n"/>
      <c r="N3514" s="16" t="n"/>
      <c r="O3514" s="16" t="n"/>
    </row>
    <row r="3515">
      <c r="A3515" s="16" t="n"/>
      <c r="B3515" s="16" t="n"/>
      <c r="C3515" s="16" t="n"/>
      <c r="D3515" s="16" t="n"/>
      <c r="E3515" s="16" t="n"/>
      <c r="F3515" s="16" t="n"/>
      <c r="G3515" s="16" t="n"/>
      <c r="H3515" s="16" t="n"/>
      <c r="I3515" s="16" t="n"/>
      <c r="J3515" s="16" t="n"/>
      <c r="K3515" s="16" t="n"/>
      <c r="L3515" s="16" t="n"/>
      <c r="M3515" s="16" t="n"/>
      <c r="N3515" s="16" t="n"/>
      <c r="O3515" s="16" t="n"/>
    </row>
    <row r="3516">
      <c r="A3516" s="16" t="n"/>
      <c r="B3516" s="16" t="n"/>
      <c r="C3516" s="16" t="n"/>
      <c r="D3516" s="16" t="n"/>
      <c r="E3516" s="16" t="n"/>
      <c r="F3516" s="16" t="n"/>
      <c r="G3516" s="16" t="n"/>
      <c r="H3516" s="16" t="n"/>
      <c r="I3516" s="16" t="n"/>
      <c r="J3516" s="16" t="n"/>
      <c r="K3516" s="16" t="n"/>
      <c r="L3516" s="16" t="n"/>
      <c r="M3516" s="16" t="n"/>
      <c r="N3516" s="16" t="n"/>
      <c r="O3516" s="16" t="n"/>
    </row>
    <row r="3517">
      <c r="A3517" s="16" t="n"/>
      <c r="B3517" s="16" t="n"/>
      <c r="C3517" s="16" t="n"/>
      <c r="D3517" s="16" t="n"/>
      <c r="E3517" s="16" t="n"/>
      <c r="F3517" s="16" t="n"/>
      <c r="G3517" s="16" t="n"/>
      <c r="H3517" s="16" t="n"/>
      <c r="I3517" s="16" t="n"/>
      <c r="J3517" s="16" t="n"/>
      <c r="K3517" s="16" t="n"/>
      <c r="L3517" s="16" t="n"/>
      <c r="M3517" s="16" t="n"/>
      <c r="N3517" s="16" t="n"/>
      <c r="O3517" s="16" t="n"/>
    </row>
    <row r="3518">
      <c r="A3518" s="16" t="n"/>
      <c r="B3518" s="16" t="n"/>
      <c r="C3518" s="16" t="n"/>
      <c r="D3518" s="16" t="n"/>
      <c r="E3518" s="16" t="n"/>
      <c r="F3518" s="16" t="n"/>
      <c r="G3518" s="16" t="n"/>
      <c r="H3518" s="16" t="n"/>
      <c r="I3518" s="16" t="n"/>
      <c r="J3518" s="16" t="n"/>
      <c r="K3518" s="16" t="n"/>
      <c r="L3518" s="16" t="n"/>
      <c r="M3518" s="16" t="n"/>
      <c r="N3518" s="16" t="n"/>
      <c r="O3518" s="16" t="n"/>
    </row>
    <row r="3519">
      <c r="A3519" s="16" t="n"/>
      <c r="B3519" s="16" t="n"/>
      <c r="C3519" s="16" t="n"/>
      <c r="D3519" s="16" t="n"/>
      <c r="E3519" s="16" t="n"/>
      <c r="F3519" s="16" t="n"/>
      <c r="G3519" s="16" t="n"/>
      <c r="H3519" s="16" t="n"/>
      <c r="I3519" s="16" t="n"/>
      <c r="J3519" s="16" t="n"/>
      <c r="K3519" s="16" t="n"/>
      <c r="L3519" s="16" t="n"/>
      <c r="M3519" s="16" t="n"/>
      <c r="N3519" s="16" t="n"/>
      <c r="O3519" s="16" t="n"/>
    </row>
    <row r="3520">
      <c r="A3520" s="16" t="n"/>
      <c r="B3520" s="16" t="n"/>
      <c r="C3520" s="16" t="n"/>
      <c r="D3520" s="16" t="n"/>
      <c r="E3520" s="16" t="n"/>
      <c r="F3520" s="16" t="n"/>
      <c r="G3520" s="16" t="n"/>
      <c r="H3520" s="16" t="n"/>
      <c r="I3520" s="16" t="n"/>
      <c r="J3520" s="16" t="n"/>
      <c r="K3520" s="16" t="n"/>
      <c r="L3520" s="16" t="n"/>
      <c r="M3520" s="16" t="n"/>
      <c r="N3520" s="16" t="n"/>
      <c r="O3520" s="16" t="n"/>
    </row>
    <row r="3521">
      <c r="A3521" s="16" t="n"/>
      <c r="B3521" s="16" t="n"/>
      <c r="C3521" s="16" t="n"/>
      <c r="D3521" s="16" t="n"/>
      <c r="E3521" s="16" t="n"/>
      <c r="F3521" s="16" t="n"/>
      <c r="G3521" s="16" t="n"/>
      <c r="H3521" s="16" t="n"/>
      <c r="I3521" s="16" t="n"/>
      <c r="J3521" s="16" t="n"/>
      <c r="K3521" s="16" t="n"/>
      <c r="L3521" s="16" t="n"/>
      <c r="M3521" s="16" t="n"/>
      <c r="N3521" s="16" t="n"/>
      <c r="O3521" s="16" t="n"/>
    </row>
    <row r="3522">
      <c r="A3522" s="16" t="n"/>
      <c r="B3522" s="16" t="n"/>
      <c r="C3522" s="16" t="n"/>
      <c r="D3522" s="16" t="n"/>
      <c r="E3522" s="16" t="n"/>
      <c r="F3522" s="16" t="n"/>
      <c r="G3522" s="16" t="n"/>
      <c r="H3522" s="16" t="n"/>
      <c r="I3522" s="16" t="n"/>
      <c r="J3522" s="16" t="n"/>
      <c r="K3522" s="16" t="n"/>
      <c r="L3522" s="16" t="n"/>
      <c r="M3522" s="16" t="n"/>
      <c r="N3522" s="16" t="n"/>
      <c r="O3522" s="16" t="n"/>
    </row>
    <row r="3523">
      <c r="A3523" s="16" t="n"/>
      <c r="B3523" s="16" t="n"/>
      <c r="C3523" s="16" t="n"/>
      <c r="D3523" s="16" t="n"/>
      <c r="E3523" s="16" t="n"/>
      <c r="F3523" s="16" t="n"/>
      <c r="G3523" s="16" t="n"/>
      <c r="H3523" s="16" t="n"/>
      <c r="I3523" s="16" t="n"/>
      <c r="J3523" s="16" t="n"/>
      <c r="K3523" s="16" t="n"/>
      <c r="L3523" s="16" t="n"/>
      <c r="M3523" s="16" t="n"/>
      <c r="N3523" s="16" t="n"/>
      <c r="O3523" s="16" t="n"/>
    </row>
    <row r="3524">
      <c r="A3524" s="16" t="n"/>
      <c r="B3524" s="16" t="n"/>
      <c r="C3524" s="16" t="n"/>
      <c r="D3524" s="16" t="n"/>
      <c r="E3524" s="16" t="n"/>
      <c r="F3524" s="16" t="n"/>
      <c r="G3524" s="16" t="n"/>
      <c r="H3524" s="16" t="n"/>
      <c r="I3524" s="16" t="n"/>
      <c r="J3524" s="16" t="n"/>
      <c r="K3524" s="16" t="n"/>
      <c r="L3524" s="16" t="n"/>
      <c r="M3524" s="16" t="n"/>
      <c r="N3524" s="16" t="n"/>
      <c r="O3524" s="16" t="n"/>
    </row>
    <row r="3525">
      <c r="A3525" s="16" t="n"/>
      <c r="B3525" s="16" t="n"/>
      <c r="C3525" s="16" t="n"/>
      <c r="D3525" s="16" t="n"/>
      <c r="E3525" s="16" t="n"/>
      <c r="F3525" s="16" t="n"/>
      <c r="G3525" s="16" t="n"/>
      <c r="H3525" s="16" t="n"/>
      <c r="I3525" s="16" t="n"/>
      <c r="J3525" s="16" t="n"/>
      <c r="K3525" s="16" t="n"/>
      <c r="L3525" s="16" t="n"/>
      <c r="M3525" s="16" t="n"/>
      <c r="N3525" s="16" t="n"/>
      <c r="O3525" s="16" t="n"/>
    </row>
    <row r="3526">
      <c r="A3526" s="16" t="n"/>
      <c r="B3526" s="16" t="n"/>
      <c r="C3526" s="16" t="n"/>
      <c r="D3526" s="16" t="n"/>
      <c r="E3526" s="16" t="n"/>
      <c r="F3526" s="16" t="n"/>
      <c r="G3526" s="16" t="n"/>
      <c r="H3526" s="16" t="n"/>
      <c r="I3526" s="16" t="n"/>
      <c r="J3526" s="16" t="n"/>
      <c r="K3526" s="16" t="n"/>
      <c r="L3526" s="16" t="n"/>
      <c r="M3526" s="16" t="n"/>
      <c r="N3526" s="16" t="n"/>
      <c r="O3526" s="16" t="n"/>
    </row>
    <row r="3527">
      <c r="A3527" s="16" t="n"/>
      <c r="B3527" s="16" t="n"/>
      <c r="C3527" s="16" t="n"/>
      <c r="D3527" s="16" t="n"/>
      <c r="E3527" s="16" t="n"/>
      <c r="F3527" s="16" t="n"/>
      <c r="G3527" s="16" t="n"/>
      <c r="H3527" s="16" t="n"/>
      <c r="I3527" s="16" t="n"/>
      <c r="J3527" s="16" t="n"/>
      <c r="K3527" s="16" t="n"/>
      <c r="L3527" s="16" t="n"/>
      <c r="M3527" s="16" t="n"/>
      <c r="N3527" s="16" t="n"/>
      <c r="O3527" s="16" t="n"/>
    </row>
    <row r="3528">
      <c r="A3528" s="16" t="n"/>
      <c r="B3528" s="16" t="n"/>
      <c r="C3528" s="16" t="n"/>
      <c r="D3528" s="16" t="n"/>
      <c r="E3528" s="16" t="n"/>
      <c r="F3528" s="16" t="n"/>
      <c r="G3528" s="16" t="n"/>
      <c r="H3528" s="16" t="n"/>
      <c r="I3528" s="16" t="n"/>
      <c r="J3528" s="16" t="n"/>
      <c r="K3528" s="16" t="n"/>
      <c r="L3528" s="16" t="n"/>
      <c r="M3528" s="16" t="n"/>
      <c r="N3528" s="16" t="n"/>
      <c r="O3528" s="16" t="n"/>
    </row>
    <row r="3529">
      <c r="A3529" s="16" t="n"/>
      <c r="B3529" s="16" t="n"/>
      <c r="C3529" s="16" t="n"/>
      <c r="D3529" s="16" t="n"/>
      <c r="E3529" s="16" t="n"/>
      <c r="F3529" s="16" t="n"/>
      <c r="G3529" s="16" t="n"/>
      <c r="H3529" s="16" t="n"/>
      <c r="I3529" s="16" t="n"/>
      <c r="J3529" s="16" t="n"/>
      <c r="K3529" s="16" t="n"/>
      <c r="L3529" s="16" t="n"/>
      <c r="M3529" s="16" t="n"/>
      <c r="N3529" s="16" t="n"/>
      <c r="O3529" s="16" t="n"/>
    </row>
    <row r="3530">
      <c r="A3530" s="16" t="n"/>
      <c r="B3530" s="16" t="n"/>
      <c r="C3530" s="16" t="n"/>
      <c r="D3530" s="16" t="n"/>
      <c r="E3530" s="16" t="n"/>
      <c r="F3530" s="16" t="n"/>
      <c r="G3530" s="16" t="n"/>
      <c r="H3530" s="16" t="n"/>
      <c r="I3530" s="16" t="n"/>
      <c r="J3530" s="16" t="n"/>
      <c r="K3530" s="16" t="n"/>
      <c r="L3530" s="16" t="n"/>
      <c r="M3530" s="16" t="n"/>
      <c r="N3530" s="16" t="n"/>
      <c r="O3530" s="16" t="n"/>
    </row>
    <row r="3531">
      <c r="A3531" s="16" t="n"/>
      <c r="B3531" s="16" t="n"/>
      <c r="C3531" s="16" t="n"/>
      <c r="D3531" s="16" t="n"/>
      <c r="E3531" s="16" t="n"/>
      <c r="F3531" s="16" t="n"/>
      <c r="G3531" s="16" t="n"/>
      <c r="H3531" s="16" t="n"/>
      <c r="I3531" s="16" t="n"/>
      <c r="J3531" s="16" t="n"/>
      <c r="K3531" s="16" t="n"/>
      <c r="L3531" s="16" t="n"/>
      <c r="M3531" s="16" t="n"/>
      <c r="N3531" s="16" t="n"/>
      <c r="O3531" s="16" t="n"/>
    </row>
    <row r="3532">
      <c r="A3532" s="16" t="n"/>
      <c r="B3532" s="16" t="n"/>
      <c r="C3532" s="16" t="n"/>
      <c r="D3532" s="16" t="n"/>
      <c r="E3532" s="16" t="n"/>
      <c r="F3532" s="16" t="n"/>
      <c r="G3532" s="16" t="n"/>
      <c r="H3532" s="16" t="n"/>
      <c r="I3532" s="16" t="n"/>
      <c r="J3532" s="16" t="n"/>
      <c r="K3532" s="16" t="n"/>
      <c r="L3532" s="16" t="n"/>
      <c r="M3532" s="16" t="n"/>
      <c r="N3532" s="16" t="n"/>
      <c r="O3532" s="16" t="n"/>
    </row>
    <row r="3533">
      <c r="A3533" s="16" t="n"/>
      <c r="B3533" s="16" t="n"/>
      <c r="C3533" s="16" t="n"/>
      <c r="D3533" s="16" t="n"/>
      <c r="E3533" s="16" t="n"/>
      <c r="F3533" s="16" t="n"/>
      <c r="G3533" s="16" t="n"/>
      <c r="H3533" s="16" t="n"/>
      <c r="I3533" s="16" t="n"/>
      <c r="J3533" s="16" t="n"/>
      <c r="K3533" s="16" t="n"/>
      <c r="L3533" s="16" t="n"/>
      <c r="M3533" s="16" t="n"/>
      <c r="N3533" s="16" t="n"/>
      <c r="O3533" s="16" t="n"/>
    </row>
    <row r="3534">
      <c r="A3534" s="16" t="n"/>
      <c r="B3534" s="16" t="n"/>
      <c r="C3534" s="16" t="n"/>
      <c r="D3534" s="16" t="n"/>
      <c r="E3534" s="16" t="n"/>
      <c r="F3534" s="16" t="n"/>
      <c r="G3534" s="16" t="n"/>
      <c r="H3534" s="16" t="n"/>
      <c r="I3534" s="16" t="n"/>
      <c r="J3534" s="16" t="n"/>
      <c r="K3534" s="16" t="n"/>
      <c r="L3534" s="16" t="n"/>
      <c r="M3534" s="16" t="n"/>
      <c r="N3534" s="16" t="n"/>
      <c r="O3534" s="16" t="n"/>
    </row>
    <row r="3535">
      <c r="A3535" s="16" t="n"/>
      <c r="B3535" s="16" t="n"/>
      <c r="C3535" s="16" t="n"/>
      <c r="D3535" s="16" t="n"/>
      <c r="E3535" s="16" t="n"/>
      <c r="F3535" s="16" t="n"/>
      <c r="G3535" s="16" t="n"/>
      <c r="H3535" s="16" t="n"/>
      <c r="I3535" s="16" t="n"/>
      <c r="J3535" s="16" t="n"/>
      <c r="K3535" s="16" t="n"/>
      <c r="L3535" s="16" t="n"/>
      <c r="M3535" s="16" t="n"/>
      <c r="N3535" s="16" t="n"/>
      <c r="O3535" s="16" t="n"/>
    </row>
    <row r="3536">
      <c r="A3536" s="16" t="n"/>
      <c r="B3536" s="16" t="n"/>
      <c r="C3536" s="16" t="n"/>
      <c r="D3536" s="16" t="n"/>
      <c r="E3536" s="16" t="n"/>
      <c r="F3536" s="16" t="n"/>
      <c r="G3536" s="16" t="n"/>
      <c r="H3536" s="16" t="n"/>
      <c r="I3536" s="16" t="n"/>
      <c r="J3536" s="16" t="n"/>
      <c r="K3536" s="16" t="n"/>
      <c r="L3536" s="16" t="n"/>
      <c r="M3536" s="16" t="n"/>
      <c r="N3536" s="16" t="n"/>
      <c r="O3536" s="16" t="n"/>
    </row>
    <row r="3537">
      <c r="A3537" s="16" t="n"/>
      <c r="B3537" s="16" t="n"/>
      <c r="C3537" s="16" t="n"/>
      <c r="D3537" s="16" t="n"/>
      <c r="E3537" s="16" t="n"/>
      <c r="F3537" s="16" t="n"/>
      <c r="G3537" s="16" t="n"/>
      <c r="H3537" s="16" t="n"/>
      <c r="I3537" s="16" t="n"/>
      <c r="J3537" s="16" t="n"/>
      <c r="K3537" s="16" t="n"/>
      <c r="L3537" s="16" t="n"/>
      <c r="M3537" s="16" t="n"/>
      <c r="N3537" s="16" t="n"/>
      <c r="O3537" s="16" t="n"/>
    </row>
    <row r="3538">
      <c r="A3538" s="16" t="n"/>
      <c r="B3538" s="16" t="n"/>
      <c r="C3538" s="16" t="n"/>
      <c r="D3538" s="16" t="n"/>
      <c r="E3538" s="16" t="n"/>
      <c r="F3538" s="16" t="n"/>
      <c r="G3538" s="16" t="n"/>
      <c r="H3538" s="16" t="n"/>
      <c r="I3538" s="16" t="n"/>
      <c r="J3538" s="16" t="n"/>
      <c r="K3538" s="16" t="n"/>
      <c r="L3538" s="16" t="n"/>
      <c r="M3538" s="16" t="n"/>
      <c r="N3538" s="16" t="n"/>
      <c r="O3538" s="16" t="n"/>
    </row>
    <row r="3539">
      <c r="A3539" s="16" t="n"/>
      <c r="B3539" s="16" t="n"/>
      <c r="C3539" s="16" t="n"/>
      <c r="D3539" s="16" t="n"/>
      <c r="E3539" s="16" t="n"/>
      <c r="F3539" s="16" t="n"/>
      <c r="G3539" s="16" t="n"/>
      <c r="H3539" s="16" t="n"/>
      <c r="I3539" s="16" t="n"/>
      <c r="J3539" s="16" t="n"/>
      <c r="K3539" s="16" t="n"/>
      <c r="L3539" s="16" t="n"/>
      <c r="M3539" s="16" t="n"/>
      <c r="N3539" s="16" t="n"/>
      <c r="O3539" s="16" t="n"/>
    </row>
    <row r="3540">
      <c r="A3540" s="16" t="n"/>
      <c r="B3540" s="16" t="n"/>
      <c r="C3540" s="16" t="n"/>
      <c r="D3540" s="16" t="n"/>
      <c r="E3540" s="16" t="n"/>
      <c r="F3540" s="16" t="n"/>
      <c r="G3540" s="16" t="n"/>
      <c r="H3540" s="16" t="n"/>
      <c r="I3540" s="16" t="n"/>
      <c r="J3540" s="16" t="n"/>
      <c r="K3540" s="16" t="n"/>
      <c r="L3540" s="16" t="n"/>
      <c r="M3540" s="16" t="n"/>
      <c r="N3540" s="16" t="n"/>
      <c r="O3540" s="16" t="n"/>
    </row>
    <row r="3541">
      <c r="A3541" s="16" t="n"/>
      <c r="B3541" s="16" t="n"/>
      <c r="C3541" s="16" t="n"/>
      <c r="D3541" s="16" t="n"/>
      <c r="E3541" s="16" t="n"/>
      <c r="F3541" s="16" t="n"/>
      <c r="G3541" s="16" t="n"/>
      <c r="H3541" s="16" t="n"/>
      <c r="I3541" s="16" t="n"/>
      <c r="J3541" s="16" t="n"/>
      <c r="K3541" s="16" t="n"/>
      <c r="L3541" s="16" t="n"/>
      <c r="M3541" s="16" t="n"/>
      <c r="N3541" s="16" t="n"/>
      <c r="O3541" s="16" t="n"/>
    </row>
    <row r="3542">
      <c r="A3542" s="16" t="n"/>
      <c r="B3542" s="16" t="n"/>
      <c r="C3542" s="16" t="n"/>
      <c r="D3542" s="16" t="n"/>
      <c r="E3542" s="16" t="n"/>
      <c r="F3542" s="16" t="n"/>
      <c r="G3542" s="16" t="n"/>
      <c r="H3542" s="16" t="n"/>
      <c r="I3542" s="16" t="n"/>
      <c r="J3542" s="16" t="n"/>
      <c r="K3542" s="16" t="n"/>
      <c r="L3542" s="16" t="n"/>
      <c r="M3542" s="16" t="n"/>
      <c r="N3542" s="16" t="n"/>
      <c r="O3542" s="16" t="n"/>
    </row>
    <row r="3543">
      <c r="A3543" s="16" t="n"/>
      <c r="B3543" s="16" t="n"/>
      <c r="C3543" s="16" t="n"/>
      <c r="D3543" s="16" t="n"/>
      <c r="E3543" s="16" t="n"/>
      <c r="F3543" s="16" t="n"/>
      <c r="G3543" s="16" t="n"/>
      <c r="H3543" s="16" t="n"/>
      <c r="I3543" s="16" t="n"/>
      <c r="J3543" s="16" t="n"/>
      <c r="K3543" s="16" t="n"/>
      <c r="L3543" s="16" t="n"/>
      <c r="M3543" s="16" t="n"/>
      <c r="N3543" s="16" t="n"/>
      <c r="O3543" s="16" t="n"/>
    </row>
    <row r="3544">
      <c r="A3544" s="16" t="n"/>
      <c r="B3544" s="16" t="n"/>
      <c r="C3544" s="16" t="n"/>
      <c r="D3544" s="16" t="n"/>
      <c r="E3544" s="16" t="n"/>
      <c r="F3544" s="16" t="n"/>
      <c r="G3544" s="16" t="n"/>
      <c r="H3544" s="16" t="n"/>
      <c r="I3544" s="16" t="n"/>
      <c r="J3544" s="16" t="n"/>
      <c r="K3544" s="16" t="n"/>
      <c r="L3544" s="16" t="n"/>
      <c r="M3544" s="16" t="n"/>
      <c r="N3544" s="16" t="n"/>
      <c r="O3544" s="16" t="n"/>
    </row>
    <row r="3545">
      <c r="A3545" s="16" t="n"/>
      <c r="B3545" s="16" t="n"/>
      <c r="C3545" s="16" t="n"/>
      <c r="D3545" s="16" t="n"/>
      <c r="E3545" s="16" t="n"/>
      <c r="F3545" s="16" t="n"/>
      <c r="G3545" s="16" t="n"/>
      <c r="H3545" s="16" t="n"/>
      <c r="I3545" s="16" t="n"/>
      <c r="J3545" s="16" t="n"/>
      <c r="K3545" s="16" t="n"/>
      <c r="L3545" s="16" t="n"/>
      <c r="M3545" s="16" t="n"/>
      <c r="N3545" s="16" t="n"/>
      <c r="O3545" s="16" t="n"/>
    </row>
    <row r="3546">
      <c r="A3546" s="16" t="n"/>
      <c r="B3546" s="16" t="n"/>
      <c r="C3546" s="16" t="n"/>
      <c r="D3546" s="16" t="n"/>
      <c r="E3546" s="16" t="n"/>
      <c r="F3546" s="16" t="n"/>
      <c r="G3546" s="16" t="n"/>
      <c r="H3546" s="16" t="n"/>
      <c r="I3546" s="16" t="n"/>
      <c r="J3546" s="16" t="n"/>
      <c r="K3546" s="16" t="n"/>
      <c r="L3546" s="16" t="n"/>
      <c r="M3546" s="16" t="n"/>
      <c r="N3546" s="16" t="n"/>
      <c r="O3546" s="16" t="n"/>
    </row>
    <row r="3547">
      <c r="A3547" s="16" t="n"/>
      <c r="B3547" s="16" t="n"/>
      <c r="C3547" s="16" t="n"/>
      <c r="D3547" s="16" t="n"/>
      <c r="E3547" s="16" t="n"/>
      <c r="F3547" s="16" t="n"/>
      <c r="G3547" s="16" t="n"/>
      <c r="H3547" s="16" t="n"/>
      <c r="I3547" s="16" t="n"/>
      <c r="J3547" s="16" t="n"/>
      <c r="K3547" s="16" t="n"/>
      <c r="L3547" s="16" t="n"/>
      <c r="M3547" s="16" t="n"/>
      <c r="N3547" s="16" t="n"/>
      <c r="O3547" s="16" t="n"/>
    </row>
    <row r="3548">
      <c r="A3548" s="16" t="n"/>
      <c r="B3548" s="16" t="n"/>
      <c r="C3548" s="16" t="n"/>
      <c r="D3548" s="16" t="n"/>
      <c r="E3548" s="16" t="n"/>
      <c r="F3548" s="16" t="n"/>
      <c r="G3548" s="16" t="n"/>
      <c r="H3548" s="16" t="n"/>
      <c r="I3548" s="16" t="n"/>
      <c r="J3548" s="16" t="n"/>
      <c r="K3548" s="16" t="n"/>
      <c r="L3548" s="16" t="n"/>
      <c r="M3548" s="16" t="n"/>
      <c r="N3548" s="16" t="n"/>
      <c r="O3548" s="16" t="n"/>
    </row>
    <row r="3549">
      <c r="A3549" s="16" t="n"/>
      <c r="B3549" s="16" t="n"/>
      <c r="C3549" s="16" t="n"/>
      <c r="D3549" s="16" t="n"/>
      <c r="E3549" s="16" t="n"/>
      <c r="F3549" s="16" t="n"/>
      <c r="G3549" s="16" t="n"/>
      <c r="H3549" s="16" t="n"/>
      <c r="I3549" s="16" t="n"/>
      <c r="J3549" s="16" t="n"/>
      <c r="K3549" s="16" t="n"/>
      <c r="L3549" s="16" t="n"/>
      <c r="M3549" s="16" t="n"/>
      <c r="N3549" s="16" t="n"/>
      <c r="O3549" s="16" t="n"/>
    </row>
    <row r="3550">
      <c r="A3550" s="16" t="n"/>
      <c r="B3550" s="16" t="n"/>
      <c r="C3550" s="16" t="n"/>
      <c r="D3550" s="16" t="n"/>
      <c r="E3550" s="16" t="n"/>
      <c r="F3550" s="16" t="n"/>
      <c r="G3550" s="16" t="n"/>
      <c r="H3550" s="16" t="n"/>
      <c r="I3550" s="16" t="n"/>
      <c r="J3550" s="16" t="n"/>
      <c r="K3550" s="16" t="n"/>
      <c r="L3550" s="16" t="n"/>
      <c r="M3550" s="16" t="n"/>
      <c r="N3550" s="16" t="n"/>
      <c r="O3550" s="16" t="n"/>
    </row>
    <row r="3551">
      <c r="A3551" s="16" t="n"/>
      <c r="B3551" s="16" t="n"/>
      <c r="C3551" s="16" t="n"/>
      <c r="D3551" s="16" t="n"/>
      <c r="E3551" s="16" t="n"/>
      <c r="F3551" s="16" t="n"/>
      <c r="G3551" s="16" t="n"/>
      <c r="H3551" s="16" t="n"/>
      <c r="I3551" s="16" t="n"/>
      <c r="J3551" s="16" t="n"/>
      <c r="K3551" s="16" t="n"/>
      <c r="L3551" s="16" t="n"/>
      <c r="M3551" s="16" t="n"/>
      <c r="N3551" s="16" t="n"/>
      <c r="O3551" s="16" t="n"/>
    </row>
    <row r="3552">
      <c r="A3552" s="16" t="n"/>
      <c r="B3552" s="16" t="n"/>
      <c r="C3552" s="16" t="n"/>
      <c r="D3552" s="16" t="n"/>
      <c r="E3552" s="16" t="n"/>
      <c r="F3552" s="16" t="n"/>
      <c r="G3552" s="16" t="n"/>
      <c r="H3552" s="16" t="n"/>
      <c r="I3552" s="16" t="n"/>
      <c r="J3552" s="16" t="n"/>
      <c r="K3552" s="16" t="n"/>
      <c r="L3552" s="16" t="n"/>
      <c r="M3552" s="16" t="n"/>
      <c r="N3552" s="16" t="n"/>
      <c r="O3552" s="16" t="n"/>
    </row>
    <row r="3553">
      <c r="A3553" s="16" t="n"/>
      <c r="B3553" s="16" t="n"/>
      <c r="C3553" s="16" t="n"/>
      <c r="D3553" s="16" t="n"/>
      <c r="E3553" s="16" t="n"/>
      <c r="F3553" s="16" t="n"/>
      <c r="G3553" s="16" t="n"/>
      <c r="H3553" s="16" t="n"/>
      <c r="I3553" s="16" t="n"/>
      <c r="J3553" s="16" t="n"/>
      <c r="K3553" s="16" t="n"/>
      <c r="L3553" s="16" t="n"/>
      <c r="M3553" s="16" t="n"/>
      <c r="N3553" s="16" t="n"/>
      <c r="O3553" s="16" t="n"/>
    </row>
    <row r="3554">
      <c r="A3554" s="16" t="n"/>
      <c r="B3554" s="16" t="n"/>
      <c r="C3554" s="16" t="n"/>
      <c r="D3554" s="16" t="n"/>
      <c r="E3554" s="16" t="n"/>
      <c r="F3554" s="16" t="n"/>
      <c r="G3554" s="16" t="n"/>
      <c r="H3554" s="16" t="n"/>
      <c r="I3554" s="16" t="n"/>
      <c r="J3554" s="16" t="n"/>
      <c r="K3554" s="16" t="n"/>
      <c r="L3554" s="16" t="n"/>
      <c r="M3554" s="16" t="n"/>
      <c r="N3554" s="16" t="n"/>
      <c r="O3554" s="16" t="n"/>
    </row>
    <row r="3555">
      <c r="A3555" s="16" t="n"/>
      <c r="B3555" s="16" t="n"/>
      <c r="C3555" s="16" t="n"/>
      <c r="D3555" s="16" t="n"/>
      <c r="E3555" s="16" t="n"/>
      <c r="F3555" s="16" t="n"/>
      <c r="G3555" s="16" t="n"/>
      <c r="H3555" s="16" t="n"/>
      <c r="I3555" s="16" t="n"/>
      <c r="J3555" s="16" t="n"/>
      <c r="K3555" s="16" t="n"/>
      <c r="L3555" s="16" t="n"/>
      <c r="M3555" s="16" t="n"/>
      <c r="N3555" s="16" t="n"/>
      <c r="O3555" s="16" t="n"/>
    </row>
    <row r="3556">
      <c r="A3556" s="16" t="n"/>
      <c r="B3556" s="16" t="n"/>
      <c r="C3556" s="16" t="n"/>
      <c r="D3556" s="16" t="n"/>
      <c r="E3556" s="16" t="n"/>
      <c r="F3556" s="16" t="n"/>
      <c r="G3556" s="16" t="n"/>
      <c r="H3556" s="16" t="n"/>
      <c r="I3556" s="16" t="n"/>
      <c r="J3556" s="16" t="n"/>
      <c r="K3556" s="16" t="n"/>
      <c r="L3556" s="16" t="n"/>
      <c r="M3556" s="16" t="n"/>
      <c r="N3556" s="16" t="n"/>
      <c r="O3556" s="16" t="n"/>
    </row>
    <row r="3557">
      <c r="A3557" s="16" t="n"/>
      <c r="B3557" s="16" t="n"/>
      <c r="C3557" s="16" t="n"/>
      <c r="D3557" s="16" t="n"/>
      <c r="E3557" s="16" t="n"/>
      <c r="F3557" s="16" t="n"/>
      <c r="G3557" s="16" t="n"/>
      <c r="H3557" s="16" t="n"/>
      <c r="I3557" s="16" t="n"/>
      <c r="J3557" s="16" t="n"/>
      <c r="K3557" s="16" t="n"/>
      <c r="L3557" s="16" t="n"/>
      <c r="M3557" s="16" t="n"/>
      <c r="N3557" s="16" t="n"/>
      <c r="O3557" s="16" t="n"/>
    </row>
    <row r="3558">
      <c r="A3558" s="16" t="n"/>
      <c r="B3558" s="16" t="n"/>
      <c r="C3558" s="16" t="n"/>
      <c r="D3558" s="16" t="n"/>
      <c r="E3558" s="16" t="n"/>
      <c r="F3558" s="16" t="n"/>
      <c r="G3558" s="16" t="n"/>
      <c r="H3558" s="16" t="n"/>
      <c r="I3558" s="16" t="n"/>
      <c r="J3558" s="16" t="n"/>
      <c r="K3558" s="16" t="n"/>
      <c r="L3558" s="16" t="n"/>
      <c r="M3558" s="16" t="n"/>
      <c r="N3558" s="16" t="n"/>
      <c r="O3558" s="16" t="n"/>
    </row>
    <row r="3559">
      <c r="A3559" s="16" t="n"/>
      <c r="B3559" s="16" t="n"/>
      <c r="C3559" s="16" t="n"/>
      <c r="D3559" s="16" t="n"/>
      <c r="E3559" s="16" t="n"/>
      <c r="F3559" s="16" t="n"/>
      <c r="G3559" s="16" t="n"/>
      <c r="H3559" s="16" t="n"/>
      <c r="I3559" s="16" t="n"/>
      <c r="J3559" s="16" t="n"/>
      <c r="K3559" s="16" t="n"/>
      <c r="L3559" s="16" t="n"/>
      <c r="M3559" s="16" t="n"/>
      <c r="N3559" s="16" t="n"/>
      <c r="O3559" s="16" t="n"/>
    </row>
    <row r="3560">
      <c r="A3560" s="16" t="n"/>
      <c r="B3560" s="16" t="n"/>
      <c r="C3560" s="16" t="n"/>
      <c r="D3560" s="16" t="n"/>
      <c r="E3560" s="16" t="n"/>
      <c r="F3560" s="16" t="n"/>
      <c r="G3560" s="16" t="n"/>
      <c r="H3560" s="16" t="n"/>
      <c r="I3560" s="16" t="n"/>
      <c r="J3560" s="16" t="n"/>
      <c r="K3560" s="16" t="n"/>
      <c r="L3560" s="16" t="n"/>
      <c r="M3560" s="16" t="n"/>
      <c r="N3560" s="16" t="n"/>
      <c r="O3560" s="16" t="n"/>
    </row>
    <row r="3561">
      <c r="A3561" s="16" t="n"/>
      <c r="B3561" s="16" t="n"/>
      <c r="C3561" s="16" t="n"/>
      <c r="D3561" s="16" t="n"/>
      <c r="E3561" s="16" t="n"/>
      <c r="F3561" s="16" t="n"/>
      <c r="G3561" s="16" t="n"/>
      <c r="H3561" s="16" t="n"/>
      <c r="I3561" s="16" t="n"/>
      <c r="J3561" s="16" t="n"/>
      <c r="K3561" s="16" t="n"/>
      <c r="L3561" s="16" t="n"/>
      <c r="M3561" s="16" t="n"/>
      <c r="N3561" s="16" t="n"/>
      <c r="O3561" s="16" t="n"/>
    </row>
    <row r="3562">
      <c r="A3562" s="16" t="n"/>
      <c r="B3562" s="16" t="n"/>
      <c r="C3562" s="16" t="n"/>
      <c r="D3562" s="16" t="n"/>
      <c r="E3562" s="16" t="n"/>
      <c r="F3562" s="16" t="n"/>
      <c r="G3562" s="16" t="n"/>
      <c r="H3562" s="16" t="n"/>
      <c r="I3562" s="16" t="n"/>
      <c r="J3562" s="16" t="n"/>
      <c r="K3562" s="16" t="n"/>
      <c r="L3562" s="16" t="n"/>
      <c r="M3562" s="16" t="n"/>
      <c r="N3562" s="16" t="n"/>
      <c r="O3562" s="16" t="n"/>
    </row>
    <row r="3563">
      <c r="A3563" s="16" t="n"/>
      <c r="B3563" s="16" t="n"/>
      <c r="C3563" s="16" t="n"/>
      <c r="D3563" s="16" t="n"/>
      <c r="E3563" s="16" t="n"/>
      <c r="F3563" s="16" t="n"/>
      <c r="G3563" s="16" t="n"/>
      <c r="H3563" s="16" t="n"/>
      <c r="I3563" s="16" t="n"/>
      <c r="J3563" s="16" t="n"/>
      <c r="K3563" s="16" t="n"/>
      <c r="L3563" s="16" t="n"/>
      <c r="M3563" s="16" t="n"/>
      <c r="N3563" s="16" t="n"/>
      <c r="O3563" s="16" t="n"/>
    </row>
    <row r="3564">
      <c r="A3564" s="16" t="n"/>
      <c r="B3564" s="16" t="n"/>
      <c r="C3564" s="16" t="n"/>
      <c r="D3564" s="16" t="n"/>
      <c r="E3564" s="16" t="n"/>
      <c r="F3564" s="16" t="n"/>
      <c r="G3564" s="16" t="n"/>
      <c r="H3564" s="16" t="n"/>
      <c r="I3564" s="16" t="n"/>
      <c r="J3564" s="16" t="n"/>
      <c r="K3564" s="16" t="n"/>
      <c r="L3564" s="16" t="n"/>
      <c r="M3564" s="16" t="n"/>
      <c r="N3564" s="16" t="n"/>
      <c r="O3564" s="16" t="n"/>
    </row>
    <row r="3565">
      <c r="A3565" s="16" t="n"/>
      <c r="B3565" s="16" t="n"/>
      <c r="C3565" s="16" t="n"/>
      <c r="D3565" s="16" t="n"/>
      <c r="E3565" s="16" t="n"/>
      <c r="F3565" s="16" t="n"/>
      <c r="G3565" s="16" t="n"/>
      <c r="H3565" s="16" t="n"/>
      <c r="I3565" s="16" t="n"/>
      <c r="J3565" s="16" t="n"/>
      <c r="K3565" s="16" t="n"/>
      <c r="L3565" s="16" t="n"/>
      <c r="M3565" s="16" t="n"/>
      <c r="N3565" s="16" t="n"/>
      <c r="O3565" s="16" t="n"/>
    </row>
    <row r="3566">
      <c r="A3566" s="16" t="n"/>
      <c r="B3566" s="16" t="n"/>
      <c r="C3566" s="16" t="n"/>
      <c r="D3566" s="16" t="n"/>
      <c r="E3566" s="16" t="n"/>
      <c r="F3566" s="16" t="n"/>
      <c r="G3566" s="16" t="n"/>
      <c r="H3566" s="16" t="n"/>
      <c r="I3566" s="16" t="n"/>
      <c r="J3566" s="16" t="n"/>
      <c r="K3566" s="16" t="n"/>
      <c r="L3566" s="16" t="n"/>
      <c r="M3566" s="16" t="n"/>
      <c r="N3566" s="16" t="n"/>
      <c r="O3566" s="16" t="n"/>
    </row>
    <row r="3567">
      <c r="A3567" s="16" t="n"/>
      <c r="B3567" s="16" t="n"/>
      <c r="C3567" s="16" t="n"/>
      <c r="D3567" s="16" t="n"/>
      <c r="E3567" s="16" t="n"/>
      <c r="F3567" s="16" t="n"/>
      <c r="G3567" s="16" t="n"/>
      <c r="H3567" s="16" t="n"/>
      <c r="I3567" s="16" t="n"/>
      <c r="J3567" s="16" t="n"/>
      <c r="K3567" s="16" t="n"/>
      <c r="L3567" s="16" t="n"/>
      <c r="M3567" s="16" t="n"/>
      <c r="N3567" s="16" t="n"/>
      <c r="O3567" s="16" t="n"/>
    </row>
    <row r="3568">
      <c r="A3568" s="16" t="n"/>
      <c r="B3568" s="16" t="n"/>
      <c r="C3568" s="16" t="n"/>
      <c r="D3568" s="16" t="n"/>
      <c r="E3568" s="16" t="n"/>
      <c r="F3568" s="16" t="n"/>
      <c r="G3568" s="16" t="n"/>
      <c r="H3568" s="16" t="n"/>
      <c r="I3568" s="16" t="n"/>
      <c r="J3568" s="16" t="n"/>
      <c r="K3568" s="16" t="n"/>
      <c r="L3568" s="16" t="n"/>
      <c r="M3568" s="16" t="n"/>
      <c r="N3568" s="16" t="n"/>
      <c r="O3568" s="16" t="n"/>
    </row>
    <row r="3569">
      <c r="A3569" s="16" t="n"/>
      <c r="B3569" s="16" t="n"/>
      <c r="C3569" s="16" t="n"/>
      <c r="D3569" s="16" t="n"/>
      <c r="E3569" s="16" t="n"/>
      <c r="F3569" s="16" t="n"/>
      <c r="G3569" s="16" t="n"/>
      <c r="H3569" s="16" t="n"/>
      <c r="I3569" s="16" t="n"/>
      <c r="J3569" s="16" t="n"/>
      <c r="K3569" s="16" t="n"/>
      <c r="L3569" s="16" t="n"/>
      <c r="M3569" s="16" t="n"/>
      <c r="N3569" s="16" t="n"/>
      <c r="O3569" s="16" t="n"/>
    </row>
    <row r="3570">
      <c r="A3570" s="16" t="n"/>
      <c r="B3570" s="16" t="n"/>
      <c r="C3570" s="16" t="n"/>
      <c r="D3570" s="16" t="n"/>
      <c r="E3570" s="16" t="n"/>
      <c r="F3570" s="16" t="n"/>
      <c r="G3570" s="16" t="n"/>
      <c r="H3570" s="16" t="n"/>
      <c r="I3570" s="16" t="n"/>
      <c r="J3570" s="16" t="n"/>
      <c r="K3570" s="16" t="n"/>
      <c r="L3570" s="16" t="n"/>
      <c r="M3570" s="16" t="n"/>
      <c r="N3570" s="16" t="n"/>
      <c r="O3570" s="16" t="n"/>
    </row>
    <row r="3571">
      <c r="A3571" s="16" t="n"/>
      <c r="B3571" s="16" t="n"/>
      <c r="C3571" s="16" t="n"/>
      <c r="D3571" s="16" t="n"/>
      <c r="E3571" s="16" t="n"/>
      <c r="F3571" s="16" t="n"/>
      <c r="G3571" s="16" t="n"/>
      <c r="H3571" s="16" t="n"/>
      <c r="I3571" s="16" t="n"/>
      <c r="J3571" s="16" t="n"/>
      <c r="K3571" s="16" t="n"/>
      <c r="L3571" s="16" t="n"/>
      <c r="M3571" s="16" t="n"/>
      <c r="N3571" s="16" t="n"/>
      <c r="O3571" s="16" t="n"/>
    </row>
    <row r="3572">
      <c r="A3572" s="16" t="n"/>
      <c r="B3572" s="16" t="n"/>
      <c r="C3572" s="16" t="n"/>
      <c r="D3572" s="16" t="n"/>
      <c r="E3572" s="16" t="n"/>
      <c r="F3572" s="16" t="n"/>
      <c r="G3572" s="16" t="n"/>
      <c r="H3572" s="16" t="n"/>
      <c r="I3572" s="16" t="n"/>
      <c r="J3572" s="16" t="n"/>
      <c r="K3572" s="16" t="n"/>
      <c r="L3572" s="16" t="n"/>
      <c r="M3572" s="16" t="n"/>
      <c r="N3572" s="16" t="n"/>
      <c r="O3572" s="16" t="n"/>
    </row>
    <row r="3573">
      <c r="A3573" s="16" t="n"/>
      <c r="B3573" s="16" t="n"/>
      <c r="C3573" s="16" t="n"/>
      <c r="D3573" s="16" t="n"/>
      <c r="E3573" s="16" t="n"/>
      <c r="F3573" s="16" t="n"/>
      <c r="G3573" s="16" t="n"/>
      <c r="H3573" s="16" t="n"/>
      <c r="I3573" s="16" t="n"/>
      <c r="J3573" s="16" t="n"/>
      <c r="K3573" s="16" t="n"/>
      <c r="L3573" s="16" t="n"/>
      <c r="M3573" s="16" t="n"/>
      <c r="N3573" s="16" t="n"/>
      <c r="O3573" s="16" t="n"/>
    </row>
    <row r="3574">
      <c r="A3574" s="16" t="n"/>
      <c r="B3574" s="16" t="n"/>
      <c r="C3574" s="16" t="n"/>
      <c r="D3574" s="16" t="n"/>
      <c r="E3574" s="16" t="n"/>
      <c r="F3574" s="16" t="n"/>
      <c r="G3574" s="16" t="n"/>
      <c r="H3574" s="16" t="n"/>
      <c r="I3574" s="16" t="n"/>
      <c r="J3574" s="16" t="n"/>
      <c r="K3574" s="16" t="n"/>
      <c r="L3574" s="16" t="n"/>
      <c r="M3574" s="16" t="n"/>
      <c r="N3574" s="16" t="n"/>
      <c r="O3574" s="16" t="n"/>
    </row>
    <row r="3575">
      <c r="A3575" s="16" t="n"/>
      <c r="B3575" s="16" t="n"/>
      <c r="C3575" s="16" t="n"/>
      <c r="D3575" s="16" t="n"/>
      <c r="E3575" s="16" t="n"/>
      <c r="F3575" s="16" t="n"/>
      <c r="G3575" s="16" t="n"/>
      <c r="H3575" s="16" t="n"/>
      <c r="I3575" s="16" t="n"/>
      <c r="J3575" s="16" t="n"/>
      <c r="K3575" s="16" t="n"/>
      <c r="L3575" s="16" t="n"/>
      <c r="M3575" s="16" t="n"/>
      <c r="N3575" s="16" t="n"/>
      <c r="O3575" s="16" t="n"/>
    </row>
    <row r="3576">
      <c r="A3576" s="16" t="n"/>
      <c r="B3576" s="16" t="n"/>
      <c r="C3576" s="16" t="n"/>
      <c r="D3576" s="16" t="n"/>
      <c r="E3576" s="16" t="n"/>
      <c r="F3576" s="16" t="n"/>
      <c r="G3576" s="16" t="n"/>
      <c r="H3576" s="16" t="n"/>
      <c r="I3576" s="16" t="n"/>
      <c r="J3576" s="16" t="n"/>
      <c r="K3576" s="16" t="n"/>
      <c r="L3576" s="16" t="n"/>
      <c r="M3576" s="16" t="n"/>
      <c r="N3576" s="16" t="n"/>
      <c r="O3576" s="16" t="n"/>
    </row>
    <row r="3577">
      <c r="A3577" s="16" t="n"/>
      <c r="B3577" s="16" t="n"/>
      <c r="C3577" s="16" t="n"/>
      <c r="D3577" s="16" t="n"/>
      <c r="E3577" s="16" t="n"/>
      <c r="F3577" s="16" t="n"/>
      <c r="G3577" s="16" t="n"/>
      <c r="H3577" s="16" t="n"/>
      <c r="I3577" s="16" t="n"/>
      <c r="J3577" s="16" t="n"/>
      <c r="K3577" s="16" t="n"/>
      <c r="L3577" s="16" t="n"/>
      <c r="M3577" s="16" t="n"/>
      <c r="N3577" s="16" t="n"/>
      <c r="O3577" s="16" t="n"/>
    </row>
    <row r="3578">
      <c r="A3578" s="16" t="n"/>
      <c r="B3578" s="16" t="n"/>
      <c r="C3578" s="16" t="n"/>
      <c r="D3578" s="16" t="n"/>
      <c r="E3578" s="16" t="n"/>
      <c r="F3578" s="16" t="n"/>
      <c r="G3578" s="16" t="n"/>
      <c r="H3578" s="16" t="n"/>
      <c r="I3578" s="16" t="n"/>
      <c r="J3578" s="16" t="n"/>
      <c r="K3578" s="16" t="n"/>
      <c r="L3578" s="16" t="n"/>
      <c r="M3578" s="16" t="n"/>
      <c r="N3578" s="16" t="n"/>
      <c r="O3578" s="16" t="n"/>
    </row>
    <row r="3579">
      <c r="A3579" s="16" t="n"/>
      <c r="B3579" s="16" t="n"/>
      <c r="C3579" s="16" t="n"/>
      <c r="D3579" s="16" t="n"/>
      <c r="E3579" s="16" t="n"/>
      <c r="F3579" s="16" t="n"/>
      <c r="G3579" s="16" t="n"/>
      <c r="H3579" s="16" t="n"/>
      <c r="I3579" s="16" t="n"/>
      <c r="J3579" s="16" t="n"/>
      <c r="K3579" s="16" t="n"/>
      <c r="L3579" s="16" t="n"/>
      <c r="M3579" s="16" t="n"/>
      <c r="N3579" s="16" t="n"/>
      <c r="O3579" s="16" t="n"/>
    </row>
    <row r="3580">
      <c r="A3580" s="16" t="n"/>
      <c r="B3580" s="16" t="n"/>
      <c r="C3580" s="16" t="n"/>
      <c r="D3580" s="16" t="n"/>
      <c r="E3580" s="16" t="n"/>
      <c r="F3580" s="16" t="n"/>
      <c r="G3580" s="16" t="n"/>
      <c r="H3580" s="16" t="n"/>
      <c r="I3580" s="16" t="n"/>
      <c r="J3580" s="16" t="n"/>
      <c r="K3580" s="16" t="n"/>
      <c r="L3580" s="16" t="n"/>
      <c r="M3580" s="16" t="n"/>
      <c r="N3580" s="16" t="n"/>
      <c r="O3580" s="16" t="n"/>
    </row>
    <row r="3581">
      <c r="A3581" s="16" t="n"/>
      <c r="B3581" s="16" t="n"/>
      <c r="C3581" s="16" t="n"/>
      <c r="D3581" s="16" t="n"/>
      <c r="E3581" s="16" t="n"/>
      <c r="F3581" s="16" t="n"/>
      <c r="G3581" s="16" t="n"/>
      <c r="H3581" s="16" t="n"/>
      <c r="I3581" s="16" t="n"/>
      <c r="J3581" s="16" t="n"/>
      <c r="K3581" s="16" t="n"/>
      <c r="L3581" s="16" t="n"/>
      <c r="M3581" s="16" t="n"/>
      <c r="N3581" s="16" t="n"/>
      <c r="O3581" s="16" t="n"/>
    </row>
    <row r="3582">
      <c r="A3582" s="16" t="n"/>
      <c r="B3582" s="16" t="n"/>
      <c r="C3582" s="16" t="n"/>
      <c r="D3582" s="16" t="n"/>
      <c r="E3582" s="16" t="n"/>
      <c r="F3582" s="16" t="n"/>
      <c r="G3582" s="16" t="n"/>
      <c r="H3582" s="16" t="n"/>
      <c r="I3582" s="16" t="n"/>
      <c r="J3582" s="16" t="n"/>
      <c r="K3582" s="16" t="n"/>
      <c r="L3582" s="16" t="n"/>
      <c r="M3582" s="16" t="n"/>
      <c r="N3582" s="16" t="n"/>
      <c r="O3582" s="16" t="n"/>
    </row>
    <row r="3583">
      <c r="A3583" s="16" t="n"/>
      <c r="B3583" s="16" t="n"/>
      <c r="C3583" s="16" t="n"/>
      <c r="D3583" s="16" t="n"/>
      <c r="E3583" s="16" t="n"/>
      <c r="F3583" s="16" t="n"/>
      <c r="G3583" s="16" t="n"/>
      <c r="H3583" s="16" t="n"/>
      <c r="I3583" s="16" t="n"/>
      <c r="J3583" s="16" t="n"/>
      <c r="K3583" s="16" t="n"/>
      <c r="L3583" s="16" t="n"/>
      <c r="M3583" s="16" t="n"/>
      <c r="N3583" s="16" t="n"/>
      <c r="O3583" s="16" t="n"/>
    </row>
    <row r="3584">
      <c r="A3584" s="16" t="n"/>
      <c r="B3584" s="16" t="n"/>
      <c r="C3584" s="16" t="n"/>
      <c r="D3584" s="16" t="n"/>
      <c r="E3584" s="16" t="n"/>
      <c r="F3584" s="16" t="n"/>
      <c r="G3584" s="16" t="n"/>
      <c r="H3584" s="16" t="n"/>
      <c r="I3584" s="16" t="n"/>
      <c r="J3584" s="16" t="n"/>
      <c r="K3584" s="16" t="n"/>
      <c r="L3584" s="16" t="n"/>
      <c r="M3584" s="16" t="n"/>
      <c r="N3584" s="16" t="n"/>
      <c r="O3584" s="16" t="n"/>
    </row>
    <row r="3585">
      <c r="A3585" s="16" t="n"/>
      <c r="B3585" s="16" t="n"/>
      <c r="C3585" s="16" t="n"/>
      <c r="D3585" s="16" t="n"/>
      <c r="E3585" s="16" t="n"/>
      <c r="F3585" s="16" t="n"/>
      <c r="G3585" s="16" t="n"/>
      <c r="H3585" s="16" t="n"/>
      <c r="I3585" s="16" t="n"/>
      <c r="J3585" s="16" t="n"/>
      <c r="K3585" s="16" t="n"/>
      <c r="L3585" s="16" t="n"/>
      <c r="M3585" s="16" t="n"/>
      <c r="N3585" s="16" t="n"/>
      <c r="O3585" s="16" t="n"/>
    </row>
    <row r="3586">
      <c r="A3586" s="16" t="n"/>
      <c r="B3586" s="16" t="n"/>
      <c r="C3586" s="16" t="n"/>
      <c r="D3586" s="16" t="n"/>
      <c r="E3586" s="16" t="n"/>
      <c r="F3586" s="16" t="n"/>
      <c r="G3586" s="16" t="n"/>
      <c r="H3586" s="16" t="n"/>
      <c r="I3586" s="16" t="n"/>
      <c r="J3586" s="16" t="n"/>
      <c r="K3586" s="16" t="n"/>
      <c r="L3586" s="16" t="n"/>
      <c r="M3586" s="16" t="n"/>
      <c r="N3586" s="16" t="n"/>
      <c r="O3586" s="16" t="n"/>
    </row>
    <row r="3587">
      <c r="A3587" s="16" t="n"/>
      <c r="B3587" s="16" t="n"/>
      <c r="C3587" s="16" t="n"/>
      <c r="D3587" s="16" t="n"/>
      <c r="E3587" s="16" t="n"/>
      <c r="F3587" s="16" t="n"/>
      <c r="G3587" s="16" t="n"/>
      <c r="H3587" s="16" t="n"/>
      <c r="I3587" s="16" t="n"/>
      <c r="J3587" s="16" t="n"/>
      <c r="K3587" s="16" t="n"/>
      <c r="L3587" s="16" t="n"/>
      <c r="M3587" s="16" t="n"/>
      <c r="N3587" s="16" t="n"/>
      <c r="O3587" s="16" t="n"/>
    </row>
    <row r="3588">
      <c r="A3588" s="16" t="n"/>
      <c r="B3588" s="16" t="n"/>
      <c r="C3588" s="16" t="n"/>
      <c r="D3588" s="16" t="n"/>
      <c r="E3588" s="16" t="n"/>
      <c r="F3588" s="16" t="n"/>
      <c r="G3588" s="16" t="n"/>
      <c r="H3588" s="16" t="n"/>
      <c r="I3588" s="16" t="n"/>
      <c r="J3588" s="16" t="n"/>
      <c r="K3588" s="16" t="n"/>
      <c r="L3588" s="16" t="n"/>
      <c r="M3588" s="16" t="n"/>
      <c r="N3588" s="16" t="n"/>
      <c r="O3588" s="16" t="n"/>
    </row>
    <row r="3589">
      <c r="A3589" s="16" t="n"/>
      <c r="B3589" s="16" t="n"/>
      <c r="C3589" s="16" t="n"/>
      <c r="D3589" s="16" t="n"/>
      <c r="E3589" s="16" t="n"/>
      <c r="F3589" s="16" t="n"/>
      <c r="G3589" s="16" t="n"/>
      <c r="H3589" s="16" t="n"/>
      <c r="I3589" s="16" t="n"/>
      <c r="J3589" s="16" t="n"/>
      <c r="K3589" s="16" t="n"/>
      <c r="L3589" s="16" t="n"/>
      <c r="M3589" s="16" t="n"/>
      <c r="N3589" s="16" t="n"/>
      <c r="O3589" s="16" t="n"/>
    </row>
    <row r="3590">
      <c r="A3590" s="16" t="n"/>
      <c r="B3590" s="16" t="n"/>
      <c r="C3590" s="16" t="n"/>
      <c r="D3590" s="16" t="n"/>
      <c r="E3590" s="16" t="n"/>
      <c r="F3590" s="16" t="n"/>
      <c r="G3590" s="16" t="n"/>
      <c r="H3590" s="16" t="n"/>
      <c r="I3590" s="16" t="n"/>
      <c r="J3590" s="16" t="n"/>
      <c r="K3590" s="16" t="n"/>
      <c r="L3590" s="16" t="n"/>
      <c r="M3590" s="16" t="n"/>
      <c r="N3590" s="16" t="n"/>
      <c r="O3590" s="16" t="n"/>
    </row>
    <row r="3591">
      <c r="A3591" s="16" t="n"/>
      <c r="B3591" s="16" t="n"/>
      <c r="C3591" s="16" t="n"/>
      <c r="D3591" s="16" t="n"/>
      <c r="E3591" s="16" t="n"/>
      <c r="F3591" s="16" t="n"/>
      <c r="G3591" s="16" t="n"/>
      <c r="H3591" s="16" t="n"/>
      <c r="I3591" s="16" t="n"/>
      <c r="J3591" s="16" t="n"/>
      <c r="K3591" s="16" t="n"/>
      <c r="L3591" s="16" t="n"/>
      <c r="M3591" s="16" t="n"/>
      <c r="N3591" s="16" t="n"/>
      <c r="O3591" s="16" t="n"/>
    </row>
    <row r="3592">
      <c r="A3592" s="16" t="n"/>
      <c r="B3592" s="16" t="n"/>
      <c r="C3592" s="16" t="n"/>
      <c r="D3592" s="16" t="n"/>
      <c r="E3592" s="16" t="n"/>
      <c r="F3592" s="16" t="n"/>
      <c r="G3592" s="16" t="n"/>
      <c r="H3592" s="16" t="n"/>
      <c r="I3592" s="16" t="n"/>
      <c r="J3592" s="16" t="n"/>
      <c r="K3592" s="16" t="n"/>
      <c r="L3592" s="16" t="n"/>
      <c r="M3592" s="16" t="n"/>
      <c r="N3592" s="16" t="n"/>
      <c r="O3592" s="16" t="n"/>
    </row>
    <row r="3593">
      <c r="A3593" s="16" t="n"/>
      <c r="B3593" s="16" t="n"/>
      <c r="C3593" s="16" t="n"/>
      <c r="D3593" s="16" t="n"/>
      <c r="E3593" s="16" t="n"/>
      <c r="F3593" s="16" t="n"/>
      <c r="G3593" s="16" t="n"/>
      <c r="H3593" s="16" t="n"/>
      <c r="I3593" s="16" t="n"/>
      <c r="J3593" s="16" t="n"/>
      <c r="K3593" s="16" t="n"/>
      <c r="L3593" s="16" t="n"/>
      <c r="M3593" s="16" t="n"/>
      <c r="N3593" s="16" t="n"/>
      <c r="O3593" s="16" t="n"/>
    </row>
    <row r="3594">
      <c r="A3594" s="16" t="n"/>
      <c r="B3594" s="16" t="n"/>
      <c r="C3594" s="16" t="n"/>
      <c r="D3594" s="16" t="n"/>
      <c r="E3594" s="16" t="n"/>
      <c r="F3594" s="16" t="n"/>
      <c r="G3594" s="16" t="n"/>
      <c r="H3594" s="16" t="n"/>
      <c r="I3594" s="16" t="n"/>
      <c r="J3594" s="16" t="n"/>
      <c r="K3594" s="16" t="n"/>
      <c r="L3594" s="16" t="n"/>
      <c r="M3594" s="16" t="n"/>
      <c r="N3594" s="16" t="n"/>
      <c r="O3594" s="16" t="n"/>
    </row>
    <row r="3595">
      <c r="A3595" s="16" t="n"/>
      <c r="B3595" s="16" t="n"/>
      <c r="C3595" s="16" t="n"/>
      <c r="D3595" s="16" t="n"/>
      <c r="E3595" s="16" t="n"/>
      <c r="F3595" s="16" t="n"/>
      <c r="G3595" s="16" t="n"/>
      <c r="H3595" s="16" t="n"/>
      <c r="I3595" s="16" t="n"/>
      <c r="J3595" s="16" t="n"/>
      <c r="K3595" s="16" t="n"/>
      <c r="L3595" s="16" t="n"/>
      <c r="M3595" s="16" t="n"/>
      <c r="N3595" s="16" t="n"/>
      <c r="O3595" s="16" t="n"/>
    </row>
    <row r="3596">
      <c r="A3596" s="16" t="n"/>
      <c r="B3596" s="16" t="n"/>
      <c r="C3596" s="16" t="n"/>
      <c r="D3596" s="16" t="n"/>
      <c r="E3596" s="16" t="n"/>
      <c r="F3596" s="16" t="n"/>
      <c r="G3596" s="16" t="n"/>
      <c r="H3596" s="16" t="n"/>
      <c r="I3596" s="16" t="n"/>
      <c r="J3596" s="16" t="n"/>
      <c r="K3596" s="16" t="n"/>
      <c r="L3596" s="16" t="n"/>
      <c r="M3596" s="16" t="n"/>
      <c r="N3596" s="16" t="n"/>
      <c r="O3596" s="16" t="n"/>
    </row>
    <row r="3597">
      <c r="A3597" s="16" t="n"/>
      <c r="B3597" s="16" t="n"/>
      <c r="C3597" s="16" t="n"/>
      <c r="D3597" s="16" t="n"/>
      <c r="E3597" s="16" t="n"/>
      <c r="F3597" s="16" t="n"/>
      <c r="G3597" s="16" t="n"/>
      <c r="H3597" s="16" t="n"/>
      <c r="I3597" s="16" t="n"/>
      <c r="J3597" s="16" t="n"/>
      <c r="K3597" s="16" t="n"/>
      <c r="L3597" s="16" t="n"/>
      <c r="M3597" s="16" t="n"/>
      <c r="N3597" s="16" t="n"/>
      <c r="O3597" s="16" t="n"/>
    </row>
    <row r="3598">
      <c r="A3598" s="16" t="n"/>
      <c r="B3598" s="16" t="n"/>
      <c r="C3598" s="16" t="n"/>
      <c r="D3598" s="16" t="n"/>
      <c r="E3598" s="16" t="n"/>
      <c r="F3598" s="16" t="n"/>
      <c r="G3598" s="16" t="n"/>
      <c r="H3598" s="16" t="n"/>
      <c r="I3598" s="16" t="n"/>
      <c r="J3598" s="16" t="n"/>
      <c r="K3598" s="16" t="n"/>
      <c r="L3598" s="16" t="n"/>
      <c r="M3598" s="16" t="n"/>
      <c r="N3598" s="16" t="n"/>
      <c r="O3598" s="16" t="n"/>
    </row>
    <row r="3599">
      <c r="A3599" s="16" t="n"/>
      <c r="B3599" s="16" t="n"/>
      <c r="C3599" s="16" t="n"/>
      <c r="D3599" s="16" t="n"/>
      <c r="E3599" s="16" t="n"/>
      <c r="F3599" s="16" t="n"/>
      <c r="G3599" s="16" t="n"/>
      <c r="H3599" s="16" t="n"/>
      <c r="I3599" s="16" t="n"/>
      <c r="J3599" s="16" t="n"/>
      <c r="K3599" s="16" t="n"/>
      <c r="L3599" s="16" t="n"/>
      <c r="M3599" s="16" t="n"/>
      <c r="N3599" s="16" t="n"/>
      <c r="O3599" s="16" t="n"/>
    </row>
    <row r="3600">
      <c r="A3600" s="16" t="n"/>
      <c r="B3600" s="16" t="n"/>
      <c r="C3600" s="16" t="n"/>
      <c r="D3600" s="16" t="n"/>
      <c r="E3600" s="16" t="n"/>
      <c r="F3600" s="16" t="n"/>
      <c r="G3600" s="16" t="n"/>
      <c r="H3600" s="16" t="n"/>
      <c r="I3600" s="16" t="n"/>
      <c r="J3600" s="16" t="n"/>
      <c r="K3600" s="16" t="n"/>
      <c r="L3600" s="16" t="n"/>
      <c r="M3600" s="16" t="n"/>
      <c r="N3600" s="16" t="n"/>
      <c r="O3600" s="16" t="n"/>
    </row>
    <row r="3601">
      <c r="A3601" s="16" t="n"/>
      <c r="B3601" s="16" t="n"/>
      <c r="C3601" s="16" t="n"/>
      <c r="D3601" s="16" t="n"/>
      <c r="E3601" s="16" t="n"/>
      <c r="F3601" s="16" t="n"/>
      <c r="G3601" s="16" t="n"/>
      <c r="H3601" s="16" t="n"/>
      <c r="I3601" s="16" t="n"/>
      <c r="J3601" s="16" t="n"/>
      <c r="K3601" s="16" t="n"/>
      <c r="L3601" s="16" t="n"/>
      <c r="M3601" s="16" t="n"/>
      <c r="N3601" s="16" t="n"/>
      <c r="O3601" s="16" t="n"/>
    </row>
    <row r="3602">
      <c r="A3602" s="16" t="n"/>
      <c r="B3602" s="16" t="n"/>
      <c r="C3602" s="16" t="n"/>
      <c r="D3602" s="16" t="n"/>
      <c r="E3602" s="16" t="n"/>
      <c r="F3602" s="16" t="n"/>
      <c r="G3602" s="16" t="n"/>
      <c r="H3602" s="16" t="n"/>
      <c r="I3602" s="16" t="n"/>
      <c r="J3602" s="16" t="n"/>
      <c r="K3602" s="16" t="n"/>
      <c r="L3602" s="16" t="n"/>
      <c r="M3602" s="16" t="n"/>
      <c r="N3602" s="16" t="n"/>
      <c r="O3602" s="16" t="n"/>
    </row>
    <row r="3603">
      <c r="A3603" s="16" t="n"/>
      <c r="B3603" s="16" t="n"/>
      <c r="C3603" s="16" t="n"/>
      <c r="D3603" s="16" t="n"/>
      <c r="E3603" s="16" t="n"/>
      <c r="F3603" s="16" t="n"/>
      <c r="G3603" s="16" t="n"/>
      <c r="H3603" s="16" t="n"/>
      <c r="I3603" s="16" t="n"/>
      <c r="J3603" s="16" t="n"/>
      <c r="K3603" s="16" t="n"/>
      <c r="L3603" s="16" t="n"/>
      <c r="M3603" s="16" t="n"/>
      <c r="N3603" s="16" t="n"/>
      <c r="O3603" s="16" t="n"/>
    </row>
    <row r="3604">
      <c r="A3604" s="16" t="n"/>
      <c r="B3604" s="16" t="n"/>
      <c r="C3604" s="16" t="n"/>
      <c r="D3604" s="16" t="n"/>
      <c r="E3604" s="16" t="n"/>
      <c r="F3604" s="16" t="n"/>
      <c r="G3604" s="16" t="n"/>
      <c r="H3604" s="16" t="n"/>
      <c r="I3604" s="16" t="n"/>
      <c r="J3604" s="16" t="n"/>
      <c r="K3604" s="16" t="n"/>
      <c r="L3604" s="16" t="n"/>
      <c r="M3604" s="16" t="n"/>
      <c r="N3604" s="16" t="n"/>
      <c r="O3604" s="16" t="n"/>
    </row>
    <row r="3605">
      <c r="A3605" s="16" t="n"/>
      <c r="B3605" s="16" t="n"/>
      <c r="C3605" s="16" t="n"/>
      <c r="D3605" s="16" t="n"/>
      <c r="E3605" s="16" t="n"/>
      <c r="F3605" s="16" t="n"/>
      <c r="G3605" s="16" t="n"/>
      <c r="H3605" s="16" t="n"/>
      <c r="I3605" s="16" t="n"/>
      <c r="J3605" s="16" t="n"/>
      <c r="K3605" s="16" t="n"/>
      <c r="L3605" s="16" t="n"/>
      <c r="M3605" s="16" t="n"/>
      <c r="N3605" s="16" t="n"/>
      <c r="O3605" s="16" t="n"/>
    </row>
    <row r="3606">
      <c r="A3606" s="16" t="n"/>
      <c r="B3606" s="16" t="n"/>
      <c r="C3606" s="16" t="n"/>
      <c r="D3606" s="16" t="n"/>
      <c r="E3606" s="16" t="n"/>
      <c r="F3606" s="16" t="n"/>
      <c r="G3606" s="16" t="n"/>
      <c r="H3606" s="16" t="n"/>
      <c r="I3606" s="16" t="n"/>
      <c r="J3606" s="16" t="n"/>
      <c r="K3606" s="16" t="n"/>
      <c r="L3606" s="16" t="n"/>
      <c r="M3606" s="16" t="n"/>
      <c r="N3606" s="16" t="n"/>
      <c r="O3606" s="16" t="n"/>
    </row>
    <row r="3607">
      <c r="A3607" s="16" t="n"/>
      <c r="B3607" s="16" t="n"/>
      <c r="C3607" s="16" t="n"/>
      <c r="D3607" s="16" t="n"/>
      <c r="E3607" s="16" t="n"/>
      <c r="F3607" s="16" t="n"/>
      <c r="G3607" s="16" t="n"/>
      <c r="H3607" s="16" t="n"/>
      <c r="I3607" s="16" t="n"/>
      <c r="J3607" s="16" t="n"/>
      <c r="K3607" s="16" t="n"/>
      <c r="L3607" s="16" t="n"/>
      <c r="M3607" s="16" t="n"/>
      <c r="N3607" s="16" t="n"/>
      <c r="O3607" s="16" t="n"/>
    </row>
    <row r="3608">
      <c r="A3608" s="16" t="n"/>
      <c r="B3608" s="16" t="n"/>
      <c r="C3608" s="16" t="n"/>
      <c r="D3608" s="16" t="n"/>
      <c r="E3608" s="16" t="n"/>
      <c r="F3608" s="16" t="n"/>
      <c r="G3608" s="16" t="n"/>
      <c r="H3608" s="16" t="n"/>
      <c r="I3608" s="16" t="n"/>
      <c r="J3608" s="16" t="n"/>
      <c r="K3608" s="16" t="n"/>
      <c r="L3608" s="16" t="n"/>
      <c r="M3608" s="16" t="n"/>
      <c r="N3608" s="16" t="n"/>
      <c r="O3608" s="16" t="n"/>
    </row>
    <row r="3609">
      <c r="A3609" s="16" t="n"/>
      <c r="B3609" s="16" t="n"/>
      <c r="C3609" s="16" t="n"/>
      <c r="D3609" s="16" t="n"/>
      <c r="E3609" s="16" t="n"/>
      <c r="F3609" s="16" t="n"/>
      <c r="G3609" s="16" t="n"/>
      <c r="H3609" s="16" t="n"/>
      <c r="I3609" s="16" t="n"/>
      <c r="J3609" s="16" t="n"/>
      <c r="K3609" s="16" t="n"/>
      <c r="L3609" s="16" t="n"/>
      <c r="M3609" s="16" t="n"/>
      <c r="N3609" s="16" t="n"/>
      <c r="O3609" s="16" t="n"/>
    </row>
    <row r="3610">
      <c r="A3610" s="16" t="n"/>
      <c r="B3610" s="16" t="n"/>
      <c r="C3610" s="16" t="n"/>
      <c r="D3610" s="16" t="n"/>
      <c r="E3610" s="16" t="n"/>
      <c r="F3610" s="16" t="n"/>
      <c r="G3610" s="16" t="n"/>
      <c r="H3610" s="16" t="n"/>
      <c r="I3610" s="16" t="n"/>
      <c r="J3610" s="16" t="n"/>
      <c r="K3610" s="16" t="n"/>
      <c r="L3610" s="16" t="n"/>
      <c r="M3610" s="16" t="n"/>
      <c r="N3610" s="16" t="n"/>
      <c r="O3610" s="16" t="n"/>
    </row>
    <row r="3611">
      <c r="A3611" s="16" t="n"/>
      <c r="B3611" s="16" t="n"/>
      <c r="C3611" s="16" t="n"/>
      <c r="D3611" s="16" t="n"/>
      <c r="E3611" s="16" t="n"/>
      <c r="F3611" s="16" t="n"/>
      <c r="G3611" s="16" t="n"/>
      <c r="H3611" s="16" t="n"/>
      <c r="I3611" s="16" t="n"/>
      <c r="J3611" s="16" t="n"/>
      <c r="K3611" s="16" t="n"/>
      <c r="L3611" s="16" t="n"/>
      <c r="M3611" s="16" t="n"/>
      <c r="N3611" s="16" t="n"/>
      <c r="O3611" s="16" t="n"/>
    </row>
    <row r="3612">
      <c r="A3612" s="16" t="n"/>
      <c r="B3612" s="16" t="n"/>
      <c r="C3612" s="16" t="n"/>
      <c r="D3612" s="16" t="n"/>
      <c r="E3612" s="16" t="n"/>
      <c r="F3612" s="16" t="n"/>
      <c r="G3612" s="16" t="n"/>
      <c r="H3612" s="16" t="n"/>
      <c r="I3612" s="16" t="n"/>
      <c r="J3612" s="16" t="n"/>
      <c r="K3612" s="16" t="n"/>
      <c r="L3612" s="16" t="n"/>
      <c r="M3612" s="16" t="n"/>
      <c r="N3612" s="16" t="n"/>
      <c r="O3612" s="16" t="n"/>
    </row>
    <row r="3613">
      <c r="A3613" s="16" t="n"/>
      <c r="B3613" s="16" t="n"/>
      <c r="C3613" s="16" t="n"/>
      <c r="D3613" s="16" t="n"/>
      <c r="E3613" s="16" t="n"/>
      <c r="F3613" s="16" t="n"/>
      <c r="G3613" s="16" t="n"/>
      <c r="H3613" s="16" t="n"/>
      <c r="I3613" s="16" t="n"/>
      <c r="J3613" s="16" t="n"/>
      <c r="K3613" s="16" t="n"/>
      <c r="L3613" s="16" t="n"/>
      <c r="M3613" s="16" t="n"/>
      <c r="N3613" s="16" t="n"/>
      <c r="O3613" s="16" t="n"/>
    </row>
    <row r="3614">
      <c r="A3614" s="16" t="n"/>
      <c r="B3614" s="16" t="n"/>
      <c r="C3614" s="16" t="n"/>
      <c r="D3614" s="16" t="n"/>
      <c r="E3614" s="16" t="n"/>
      <c r="F3614" s="16" t="n"/>
      <c r="G3614" s="16" t="n"/>
      <c r="H3614" s="16" t="n"/>
      <c r="I3614" s="16" t="n"/>
      <c r="J3614" s="16" t="n"/>
      <c r="K3614" s="16" t="n"/>
      <c r="L3614" s="16" t="n"/>
      <c r="M3614" s="16" t="n"/>
      <c r="N3614" s="16" t="n"/>
      <c r="O3614" s="16" t="n"/>
    </row>
    <row r="3615">
      <c r="A3615" s="16" t="n"/>
      <c r="B3615" s="16" t="n"/>
      <c r="C3615" s="16" t="n"/>
      <c r="D3615" s="16" t="n"/>
      <c r="E3615" s="16" t="n"/>
      <c r="F3615" s="16" t="n"/>
      <c r="G3615" s="16" t="n"/>
      <c r="H3615" s="16" t="n"/>
      <c r="I3615" s="16" t="n"/>
      <c r="J3615" s="16" t="n"/>
      <c r="K3615" s="16" t="n"/>
      <c r="L3615" s="16" t="n"/>
      <c r="M3615" s="16" t="n"/>
      <c r="N3615" s="16" t="n"/>
      <c r="O3615" s="16" t="n"/>
    </row>
    <row r="3616">
      <c r="A3616" s="16" t="n"/>
      <c r="B3616" s="16" t="n"/>
      <c r="C3616" s="16" t="n"/>
      <c r="D3616" s="16" t="n"/>
      <c r="E3616" s="16" t="n"/>
      <c r="F3616" s="16" t="n"/>
      <c r="G3616" s="16" t="n"/>
      <c r="H3616" s="16" t="n"/>
      <c r="I3616" s="16" t="n"/>
      <c r="J3616" s="16" t="n"/>
      <c r="K3616" s="16" t="n"/>
      <c r="L3616" s="16" t="n"/>
      <c r="M3616" s="16" t="n"/>
      <c r="N3616" s="16" t="n"/>
      <c r="O3616" s="16" t="n"/>
    </row>
    <row r="3617">
      <c r="A3617" s="16" t="n"/>
      <c r="B3617" s="16" t="n"/>
      <c r="C3617" s="16" t="n"/>
      <c r="D3617" s="16" t="n"/>
      <c r="E3617" s="16" t="n"/>
      <c r="F3617" s="16" t="n"/>
      <c r="G3617" s="16" t="n"/>
      <c r="H3617" s="16" t="n"/>
      <c r="I3617" s="16" t="n"/>
      <c r="J3617" s="16" t="n"/>
      <c r="K3617" s="16" t="n"/>
      <c r="L3617" s="16" t="n"/>
      <c r="M3617" s="16" t="n"/>
      <c r="N3617" s="16" t="n"/>
      <c r="O3617" s="16" t="n"/>
    </row>
    <row r="3618">
      <c r="A3618" s="16" t="n"/>
      <c r="B3618" s="16" t="n"/>
      <c r="C3618" s="16" t="n"/>
      <c r="D3618" s="16" t="n"/>
      <c r="E3618" s="16" t="n"/>
      <c r="F3618" s="16" t="n"/>
      <c r="G3618" s="16" t="n"/>
      <c r="H3618" s="16" t="n"/>
      <c r="I3618" s="16" t="n"/>
      <c r="J3618" s="16" t="n"/>
      <c r="K3618" s="16" t="n"/>
      <c r="L3618" s="16" t="n"/>
      <c r="M3618" s="16" t="n"/>
      <c r="N3618" s="16" t="n"/>
      <c r="O3618" s="16" t="n"/>
    </row>
    <row r="3619">
      <c r="A3619" s="16" t="n"/>
      <c r="B3619" s="16" t="n"/>
      <c r="C3619" s="16" t="n"/>
      <c r="D3619" s="16" t="n"/>
      <c r="E3619" s="16" t="n"/>
      <c r="F3619" s="16" t="n"/>
      <c r="G3619" s="16" t="n"/>
      <c r="H3619" s="16" t="n"/>
      <c r="I3619" s="16" t="n"/>
      <c r="J3619" s="16" t="n"/>
      <c r="K3619" s="16" t="n"/>
      <c r="L3619" s="16" t="n"/>
      <c r="M3619" s="16" t="n"/>
      <c r="N3619" s="16" t="n"/>
      <c r="O3619" s="16" t="n"/>
    </row>
    <row r="3620">
      <c r="A3620" s="16" t="n"/>
      <c r="B3620" s="16" t="n"/>
      <c r="C3620" s="16" t="n"/>
      <c r="D3620" s="16" t="n"/>
      <c r="E3620" s="16" t="n"/>
      <c r="F3620" s="16" t="n"/>
      <c r="G3620" s="16" t="n"/>
      <c r="H3620" s="16" t="n"/>
      <c r="I3620" s="16" t="n"/>
      <c r="J3620" s="16" t="n"/>
      <c r="K3620" s="16" t="n"/>
      <c r="L3620" s="16" t="n"/>
      <c r="M3620" s="16" t="n"/>
      <c r="N3620" s="16" t="n"/>
      <c r="O3620" s="16" t="n"/>
    </row>
    <row r="3621">
      <c r="A3621" s="16" t="n"/>
      <c r="B3621" s="16" t="n"/>
      <c r="C3621" s="16" t="n"/>
      <c r="D3621" s="16" t="n"/>
      <c r="E3621" s="16" t="n"/>
      <c r="F3621" s="16" t="n"/>
      <c r="G3621" s="16" t="n"/>
      <c r="H3621" s="16" t="n"/>
      <c r="I3621" s="16" t="n"/>
      <c r="J3621" s="16" t="n"/>
      <c r="K3621" s="16" t="n"/>
      <c r="L3621" s="16" t="n"/>
      <c r="M3621" s="16" t="n"/>
      <c r="N3621" s="16" t="n"/>
      <c r="O3621" s="16" t="n"/>
    </row>
    <row r="3622">
      <c r="A3622" s="16" t="n"/>
      <c r="B3622" s="16" t="n"/>
      <c r="C3622" s="16" t="n"/>
      <c r="D3622" s="16" t="n"/>
      <c r="E3622" s="16" t="n"/>
      <c r="F3622" s="16" t="n"/>
      <c r="G3622" s="16" t="n"/>
      <c r="H3622" s="16" t="n"/>
      <c r="I3622" s="16" t="n"/>
      <c r="J3622" s="16" t="n"/>
      <c r="K3622" s="16" t="n"/>
      <c r="L3622" s="16" t="n"/>
      <c r="M3622" s="16" t="n"/>
      <c r="N3622" s="16" t="n"/>
      <c r="O3622" s="16" t="n"/>
    </row>
    <row r="3623">
      <c r="A3623" s="16" t="n"/>
      <c r="B3623" s="16" t="n"/>
      <c r="C3623" s="16" t="n"/>
      <c r="D3623" s="16" t="n"/>
      <c r="E3623" s="16" t="n"/>
      <c r="F3623" s="16" t="n"/>
      <c r="G3623" s="16" t="n"/>
      <c r="H3623" s="16" t="n"/>
      <c r="I3623" s="16" t="n"/>
      <c r="J3623" s="16" t="n"/>
      <c r="K3623" s="16" t="n"/>
      <c r="L3623" s="16" t="n"/>
      <c r="M3623" s="16" t="n"/>
      <c r="N3623" s="16" t="n"/>
      <c r="O3623" s="16" t="n"/>
    </row>
    <row r="3624">
      <c r="A3624" s="16" t="n"/>
      <c r="B3624" s="16" t="n"/>
      <c r="C3624" s="16" t="n"/>
      <c r="D3624" s="16" t="n"/>
      <c r="E3624" s="16" t="n"/>
      <c r="F3624" s="16" t="n"/>
      <c r="G3624" s="16" t="n"/>
      <c r="H3624" s="16" t="n"/>
      <c r="I3624" s="16" t="n"/>
      <c r="J3624" s="16" t="n"/>
      <c r="K3624" s="16" t="n"/>
      <c r="L3624" s="16" t="n"/>
      <c r="M3624" s="16" t="n"/>
      <c r="N3624" s="16" t="n"/>
      <c r="O3624" s="16" t="n"/>
    </row>
    <row r="3625">
      <c r="A3625" s="16" t="n"/>
      <c r="B3625" s="16" t="n"/>
      <c r="C3625" s="16" t="n"/>
      <c r="D3625" s="16" t="n"/>
      <c r="E3625" s="16" t="n"/>
      <c r="F3625" s="16" t="n"/>
      <c r="G3625" s="16" t="n"/>
      <c r="H3625" s="16" t="n"/>
      <c r="I3625" s="16" t="n"/>
      <c r="J3625" s="16" t="n"/>
      <c r="K3625" s="16" t="n"/>
      <c r="L3625" s="16" t="n"/>
      <c r="M3625" s="16" t="n"/>
      <c r="N3625" s="16" t="n"/>
      <c r="O3625" s="16" t="n"/>
    </row>
    <row r="3626">
      <c r="A3626" s="16" t="n"/>
      <c r="B3626" s="16" t="n"/>
      <c r="C3626" s="16" t="n"/>
      <c r="D3626" s="16" t="n"/>
      <c r="E3626" s="16" t="n"/>
      <c r="F3626" s="16" t="n"/>
      <c r="G3626" s="16" t="n"/>
      <c r="H3626" s="16" t="n"/>
      <c r="I3626" s="16" t="n"/>
      <c r="J3626" s="16" t="n"/>
      <c r="K3626" s="16" t="n"/>
      <c r="L3626" s="16" t="n"/>
      <c r="M3626" s="16" t="n"/>
      <c r="N3626" s="16" t="n"/>
      <c r="O3626" s="16" t="n"/>
    </row>
    <row r="3627">
      <c r="A3627" s="16" t="n"/>
      <c r="B3627" s="16" t="n"/>
      <c r="C3627" s="16" t="n"/>
      <c r="D3627" s="16" t="n"/>
      <c r="E3627" s="16" t="n"/>
      <c r="F3627" s="16" t="n"/>
      <c r="G3627" s="16" t="n"/>
      <c r="H3627" s="16" t="n"/>
      <c r="I3627" s="16" t="n"/>
      <c r="J3627" s="16" t="n"/>
      <c r="K3627" s="16" t="n"/>
      <c r="L3627" s="16" t="n"/>
      <c r="M3627" s="16" t="n"/>
      <c r="N3627" s="16" t="n"/>
      <c r="O3627" s="16" t="n"/>
    </row>
    <row r="3628">
      <c r="A3628" s="16" t="n"/>
      <c r="B3628" s="16" t="n"/>
      <c r="C3628" s="16" t="n"/>
      <c r="D3628" s="16" t="n"/>
      <c r="E3628" s="16" t="n"/>
      <c r="F3628" s="16" t="n"/>
      <c r="G3628" s="16" t="n"/>
      <c r="H3628" s="16" t="n"/>
      <c r="I3628" s="16" t="n"/>
      <c r="J3628" s="16" t="n"/>
      <c r="K3628" s="16" t="n"/>
      <c r="L3628" s="16" t="n"/>
      <c r="M3628" s="16" t="n"/>
      <c r="N3628" s="16" t="n"/>
      <c r="O3628" s="16" t="n"/>
    </row>
    <row r="3629">
      <c r="A3629" s="16" t="n"/>
      <c r="B3629" s="16" t="n"/>
      <c r="C3629" s="16" t="n"/>
      <c r="D3629" s="16" t="n"/>
      <c r="E3629" s="16" t="n"/>
      <c r="F3629" s="16" t="n"/>
      <c r="G3629" s="16" t="n"/>
      <c r="H3629" s="16" t="n"/>
      <c r="I3629" s="16" t="n"/>
      <c r="J3629" s="16" t="n"/>
      <c r="K3629" s="16" t="n"/>
      <c r="L3629" s="16" t="n"/>
      <c r="M3629" s="16" t="n"/>
      <c r="N3629" s="16" t="n"/>
      <c r="O3629" s="16" t="n"/>
    </row>
    <row r="3630">
      <c r="A3630" s="16" t="n"/>
      <c r="B3630" s="16" t="n"/>
      <c r="C3630" s="16" t="n"/>
      <c r="D3630" s="16" t="n"/>
      <c r="E3630" s="16" t="n"/>
      <c r="F3630" s="16" t="n"/>
      <c r="G3630" s="16" t="n"/>
      <c r="H3630" s="16" t="n"/>
      <c r="I3630" s="16" t="n"/>
      <c r="J3630" s="16" t="n"/>
      <c r="K3630" s="16" t="n"/>
      <c r="L3630" s="16" t="n"/>
      <c r="M3630" s="16" t="n"/>
      <c r="N3630" s="16" t="n"/>
      <c r="O3630" s="16" t="n"/>
    </row>
    <row r="3631">
      <c r="A3631" s="16" t="n"/>
      <c r="B3631" s="16" t="n"/>
      <c r="C3631" s="16" t="n"/>
      <c r="D3631" s="16" t="n"/>
      <c r="E3631" s="16" t="n"/>
      <c r="F3631" s="16" t="n"/>
      <c r="G3631" s="16" t="n"/>
      <c r="H3631" s="16" t="n"/>
      <c r="I3631" s="16" t="n"/>
      <c r="J3631" s="16" t="n"/>
      <c r="K3631" s="16" t="n"/>
      <c r="L3631" s="16" t="n"/>
      <c r="M3631" s="16" t="n"/>
      <c r="N3631" s="16" t="n"/>
      <c r="O3631" s="16" t="n"/>
    </row>
    <row r="3632">
      <c r="A3632" s="16" t="n"/>
      <c r="B3632" s="16" t="n"/>
      <c r="C3632" s="16" t="n"/>
      <c r="D3632" s="16" t="n"/>
      <c r="E3632" s="16" t="n"/>
      <c r="F3632" s="16" t="n"/>
      <c r="G3632" s="16" t="n"/>
      <c r="H3632" s="16" t="n"/>
      <c r="I3632" s="16" t="n"/>
      <c r="J3632" s="16" t="n"/>
      <c r="K3632" s="16" t="n"/>
      <c r="L3632" s="16" t="n"/>
      <c r="M3632" s="16" t="n"/>
      <c r="N3632" s="16" t="n"/>
      <c r="O3632" s="16" t="n"/>
    </row>
    <row r="3633">
      <c r="A3633" s="16" t="n"/>
      <c r="B3633" s="16" t="n"/>
      <c r="C3633" s="16" t="n"/>
      <c r="D3633" s="16" t="n"/>
      <c r="E3633" s="16" t="n"/>
      <c r="F3633" s="16" t="n"/>
      <c r="G3633" s="16" t="n"/>
      <c r="H3633" s="16" t="n"/>
      <c r="I3633" s="16" t="n"/>
      <c r="J3633" s="16" t="n"/>
      <c r="K3633" s="16" t="n"/>
      <c r="L3633" s="16" t="n"/>
      <c r="M3633" s="16" t="n"/>
      <c r="N3633" s="16" t="n"/>
      <c r="O3633" s="16" t="n"/>
    </row>
    <row r="3634">
      <c r="A3634" s="16" t="n"/>
      <c r="B3634" s="16" t="n"/>
      <c r="C3634" s="16" t="n"/>
      <c r="D3634" s="16" t="n"/>
      <c r="E3634" s="16" t="n"/>
      <c r="F3634" s="16" t="n"/>
      <c r="G3634" s="16" t="n"/>
      <c r="H3634" s="16" t="n"/>
      <c r="I3634" s="16" t="n"/>
      <c r="J3634" s="16" t="n"/>
      <c r="K3634" s="16" t="n"/>
      <c r="L3634" s="16" t="n"/>
      <c r="M3634" s="16" t="n"/>
      <c r="N3634" s="16" t="n"/>
      <c r="O3634" s="16" t="n"/>
    </row>
    <row r="3635">
      <c r="A3635" s="16" t="n"/>
      <c r="B3635" s="16" t="n"/>
      <c r="C3635" s="16" t="n"/>
      <c r="D3635" s="16" t="n"/>
      <c r="E3635" s="16" t="n"/>
      <c r="F3635" s="16" t="n"/>
      <c r="G3635" s="16" t="n"/>
      <c r="H3635" s="16" t="n"/>
      <c r="I3635" s="16" t="n"/>
      <c r="J3635" s="16" t="n"/>
      <c r="K3635" s="16" t="n"/>
      <c r="L3635" s="16" t="n"/>
      <c r="M3635" s="16" t="n"/>
      <c r="N3635" s="16" t="n"/>
      <c r="O3635" s="16" t="n"/>
    </row>
    <row r="3636">
      <c r="A3636" s="16" t="n"/>
      <c r="B3636" s="16" t="n"/>
      <c r="C3636" s="16" t="n"/>
      <c r="D3636" s="16" t="n"/>
      <c r="E3636" s="16" t="n"/>
      <c r="F3636" s="16" t="n"/>
      <c r="G3636" s="16" t="n"/>
      <c r="H3636" s="16" t="n"/>
      <c r="I3636" s="16" t="n"/>
      <c r="J3636" s="16" t="n"/>
      <c r="K3636" s="16" t="n"/>
      <c r="L3636" s="16" t="n"/>
      <c r="M3636" s="16" t="n"/>
      <c r="N3636" s="16" t="n"/>
      <c r="O3636" s="16" t="n"/>
    </row>
    <row r="3637">
      <c r="A3637" s="16" t="n"/>
      <c r="B3637" s="16" t="n"/>
      <c r="C3637" s="16" t="n"/>
      <c r="D3637" s="16" t="n"/>
      <c r="E3637" s="16" t="n"/>
      <c r="F3637" s="16" t="n"/>
      <c r="G3637" s="16" t="n"/>
      <c r="H3637" s="16" t="n"/>
      <c r="I3637" s="16" t="n"/>
      <c r="J3637" s="16" t="n"/>
      <c r="K3637" s="16" t="n"/>
      <c r="L3637" s="16" t="n"/>
      <c r="M3637" s="16" t="n"/>
      <c r="N3637" s="16" t="n"/>
      <c r="O3637" s="16" t="n"/>
    </row>
    <row r="3638">
      <c r="A3638" s="16" t="n"/>
      <c r="B3638" s="16" t="n"/>
      <c r="C3638" s="16" t="n"/>
      <c r="D3638" s="16" t="n"/>
      <c r="E3638" s="16" t="n"/>
      <c r="F3638" s="16" t="n"/>
      <c r="G3638" s="16" t="n"/>
      <c r="H3638" s="16" t="n"/>
      <c r="I3638" s="16" t="n"/>
      <c r="J3638" s="16" t="n"/>
      <c r="K3638" s="16" t="n"/>
      <c r="L3638" s="16" t="n"/>
      <c r="M3638" s="16" t="n"/>
      <c r="N3638" s="16" t="n"/>
      <c r="O3638" s="16" t="n"/>
    </row>
    <row r="3639">
      <c r="A3639" s="16" t="n"/>
      <c r="B3639" s="16" t="n"/>
      <c r="C3639" s="16" t="n"/>
      <c r="D3639" s="16" t="n"/>
      <c r="E3639" s="16" t="n"/>
      <c r="F3639" s="16" t="n"/>
      <c r="G3639" s="16" t="n"/>
      <c r="H3639" s="16" t="n"/>
      <c r="I3639" s="16" t="n"/>
      <c r="J3639" s="16" t="n"/>
      <c r="K3639" s="16" t="n"/>
      <c r="L3639" s="16" t="n"/>
      <c r="M3639" s="16" t="n"/>
      <c r="N3639" s="16" t="n"/>
      <c r="O3639" s="16" t="n"/>
    </row>
    <row r="3640">
      <c r="A3640" s="16" t="n"/>
      <c r="B3640" s="16" t="n"/>
      <c r="C3640" s="16" t="n"/>
      <c r="D3640" s="16" t="n"/>
      <c r="E3640" s="16" t="n"/>
      <c r="F3640" s="16" t="n"/>
      <c r="G3640" s="16" t="n"/>
      <c r="H3640" s="16" t="n"/>
      <c r="I3640" s="16" t="n"/>
      <c r="J3640" s="16" t="n"/>
      <c r="K3640" s="16" t="n"/>
      <c r="L3640" s="16" t="n"/>
      <c r="M3640" s="16" t="n"/>
      <c r="N3640" s="16" t="n"/>
      <c r="O3640" s="16" t="n"/>
    </row>
    <row r="3641">
      <c r="A3641" s="16" t="n"/>
      <c r="B3641" s="16" t="n"/>
      <c r="C3641" s="16" t="n"/>
      <c r="D3641" s="16" t="n"/>
      <c r="E3641" s="16" t="n"/>
      <c r="F3641" s="16" t="n"/>
      <c r="G3641" s="16" t="n"/>
      <c r="H3641" s="16" t="n"/>
      <c r="I3641" s="16" t="n"/>
      <c r="J3641" s="16" t="n"/>
      <c r="K3641" s="16" t="n"/>
      <c r="L3641" s="16" t="n"/>
      <c r="M3641" s="16" t="n"/>
      <c r="N3641" s="16" t="n"/>
      <c r="O3641" s="16" t="n"/>
    </row>
    <row r="3642">
      <c r="A3642" s="16" t="n"/>
      <c r="B3642" s="16" t="n"/>
      <c r="C3642" s="16" t="n"/>
      <c r="D3642" s="16" t="n"/>
      <c r="E3642" s="16" t="n"/>
      <c r="F3642" s="16" t="n"/>
      <c r="G3642" s="16" t="n"/>
      <c r="H3642" s="16" t="n"/>
      <c r="I3642" s="16" t="n"/>
      <c r="J3642" s="16" t="n"/>
      <c r="K3642" s="16" t="n"/>
      <c r="L3642" s="16" t="n"/>
      <c r="M3642" s="16" t="n"/>
      <c r="N3642" s="16" t="n"/>
      <c r="O3642" s="16" t="n"/>
    </row>
    <row r="3643">
      <c r="A3643" s="16" t="n"/>
      <c r="B3643" s="16" t="n"/>
      <c r="C3643" s="16" t="n"/>
      <c r="D3643" s="16" t="n"/>
      <c r="E3643" s="16" t="n"/>
      <c r="F3643" s="16" t="n"/>
      <c r="G3643" s="16" t="n"/>
      <c r="H3643" s="16" t="n"/>
      <c r="I3643" s="16" t="n"/>
      <c r="J3643" s="16" t="n"/>
      <c r="K3643" s="16" t="n"/>
      <c r="L3643" s="16" t="n"/>
      <c r="M3643" s="16" t="n"/>
      <c r="N3643" s="16" t="n"/>
      <c r="O3643" s="16" t="n"/>
    </row>
    <row r="3644">
      <c r="A3644" s="16" t="n"/>
      <c r="B3644" s="16" t="n"/>
      <c r="C3644" s="16" t="n"/>
      <c r="D3644" s="16" t="n"/>
      <c r="E3644" s="16" t="n"/>
      <c r="F3644" s="16" t="n"/>
      <c r="G3644" s="16" t="n"/>
      <c r="H3644" s="16" t="n"/>
      <c r="I3644" s="16" t="n"/>
      <c r="J3644" s="16" t="n"/>
      <c r="K3644" s="16" t="n"/>
      <c r="L3644" s="16" t="n"/>
      <c r="M3644" s="16" t="n"/>
      <c r="N3644" s="16" t="n"/>
      <c r="O3644" s="16" t="n"/>
    </row>
    <row r="3645">
      <c r="A3645" s="16" t="n"/>
      <c r="B3645" s="16" t="n"/>
      <c r="C3645" s="16" t="n"/>
      <c r="D3645" s="16" t="n"/>
      <c r="E3645" s="16" t="n"/>
      <c r="F3645" s="16" t="n"/>
      <c r="G3645" s="16" t="n"/>
      <c r="H3645" s="16" t="n"/>
      <c r="I3645" s="16" t="n"/>
      <c r="J3645" s="16" t="n"/>
      <c r="K3645" s="16" t="n"/>
      <c r="L3645" s="16" t="n"/>
      <c r="M3645" s="16" t="n"/>
      <c r="N3645" s="16" t="n"/>
      <c r="O3645" s="16" t="n"/>
    </row>
    <row r="3646">
      <c r="A3646" s="16" t="n"/>
      <c r="B3646" s="16" t="n"/>
      <c r="C3646" s="16" t="n"/>
      <c r="D3646" s="16" t="n"/>
      <c r="E3646" s="16" t="n"/>
      <c r="F3646" s="16" t="n"/>
      <c r="G3646" s="16" t="n"/>
      <c r="H3646" s="16" t="n"/>
      <c r="I3646" s="16" t="n"/>
      <c r="J3646" s="16" t="n"/>
      <c r="K3646" s="16" t="n"/>
      <c r="L3646" s="16" t="n"/>
      <c r="M3646" s="16" t="n"/>
      <c r="N3646" s="16" t="n"/>
      <c r="O3646" s="16" t="n"/>
    </row>
    <row r="3647">
      <c r="A3647" s="16" t="n"/>
      <c r="B3647" s="16" t="n"/>
      <c r="C3647" s="16" t="n"/>
      <c r="D3647" s="16" t="n"/>
      <c r="E3647" s="16" t="n"/>
      <c r="F3647" s="16" t="n"/>
      <c r="G3647" s="16" t="n"/>
      <c r="H3647" s="16" t="n"/>
      <c r="I3647" s="16" t="n"/>
      <c r="J3647" s="16" t="n"/>
      <c r="K3647" s="16" t="n"/>
      <c r="L3647" s="16" t="n"/>
      <c r="M3647" s="16" t="n"/>
      <c r="N3647" s="16" t="n"/>
      <c r="O3647" s="16" t="n"/>
    </row>
    <row r="3648">
      <c r="A3648" s="16" t="n"/>
      <c r="B3648" s="16" t="n"/>
      <c r="C3648" s="16" t="n"/>
      <c r="D3648" s="16" t="n"/>
      <c r="E3648" s="16" t="n"/>
      <c r="F3648" s="16" t="n"/>
      <c r="G3648" s="16" t="n"/>
      <c r="H3648" s="16" t="n"/>
      <c r="I3648" s="16" t="n"/>
      <c r="J3648" s="16" t="n"/>
      <c r="K3648" s="16" t="n"/>
      <c r="L3648" s="16" t="n"/>
      <c r="M3648" s="16" t="n"/>
      <c r="N3648" s="16" t="n"/>
      <c r="O3648" s="16" t="n"/>
    </row>
    <row r="3649">
      <c r="A3649" s="16" t="n"/>
      <c r="B3649" s="16" t="n"/>
      <c r="C3649" s="16" t="n"/>
      <c r="D3649" s="16" t="n"/>
      <c r="E3649" s="16" t="n"/>
      <c r="F3649" s="16" t="n"/>
      <c r="G3649" s="16" t="n"/>
      <c r="H3649" s="16" t="n"/>
      <c r="I3649" s="16" t="n"/>
      <c r="J3649" s="16" t="n"/>
      <c r="K3649" s="16" t="n"/>
      <c r="L3649" s="16" t="n"/>
      <c r="M3649" s="16" t="n"/>
      <c r="N3649" s="16" t="n"/>
      <c r="O3649" s="16" t="n"/>
    </row>
    <row r="3650">
      <c r="A3650" s="16" t="n"/>
      <c r="B3650" s="16" t="n"/>
      <c r="C3650" s="16" t="n"/>
      <c r="D3650" s="16" t="n"/>
      <c r="E3650" s="16" t="n"/>
      <c r="F3650" s="16" t="n"/>
      <c r="G3650" s="16" t="n"/>
      <c r="H3650" s="16" t="n"/>
      <c r="I3650" s="16" t="n"/>
      <c r="J3650" s="16" t="n"/>
      <c r="K3650" s="16" t="n"/>
      <c r="L3650" s="16" t="n"/>
      <c r="M3650" s="16" t="n"/>
      <c r="N3650" s="16" t="n"/>
      <c r="O3650" s="16" t="n"/>
    </row>
    <row r="3651">
      <c r="A3651" s="16" t="n"/>
      <c r="B3651" s="16" t="n"/>
      <c r="C3651" s="16" t="n"/>
      <c r="D3651" s="16" t="n"/>
      <c r="E3651" s="16" t="n"/>
      <c r="F3651" s="16" t="n"/>
      <c r="G3651" s="16" t="n"/>
      <c r="H3651" s="16" t="n"/>
      <c r="I3651" s="16" t="n"/>
      <c r="J3651" s="16" t="n"/>
      <c r="K3651" s="16" t="n"/>
      <c r="L3651" s="16" t="n"/>
      <c r="M3651" s="16" t="n"/>
      <c r="N3651" s="16" t="n"/>
      <c r="O3651" s="16" t="n"/>
    </row>
    <row r="3652">
      <c r="A3652" s="16" t="n"/>
      <c r="B3652" s="16" t="n"/>
      <c r="C3652" s="16" t="n"/>
      <c r="D3652" s="16" t="n"/>
      <c r="E3652" s="16" t="n"/>
      <c r="F3652" s="16" t="n"/>
      <c r="G3652" s="16" t="n"/>
      <c r="H3652" s="16" t="n"/>
      <c r="I3652" s="16" t="n"/>
      <c r="J3652" s="16" t="n"/>
      <c r="K3652" s="16" t="n"/>
      <c r="L3652" s="16" t="n"/>
      <c r="M3652" s="16" t="n"/>
      <c r="N3652" s="16" t="n"/>
      <c r="O3652" s="16" t="n"/>
    </row>
    <row r="3653">
      <c r="A3653" s="16" t="n"/>
      <c r="B3653" s="16" t="n"/>
      <c r="C3653" s="16" t="n"/>
      <c r="D3653" s="16" t="n"/>
      <c r="E3653" s="16" t="n"/>
      <c r="F3653" s="16" t="n"/>
      <c r="G3653" s="16" t="n"/>
      <c r="H3653" s="16" t="n"/>
      <c r="I3653" s="16" t="n"/>
      <c r="J3653" s="16" t="n"/>
      <c r="K3653" s="16" t="n"/>
      <c r="L3653" s="16" t="n"/>
      <c r="M3653" s="16" t="n"/>
      <c r="N3653" s="16" t="n"/>
      <c r="O3653" s="16" t="n"/>
    </row>
    <row r="3654">
      <c r="A3654" s="16" t="n"/>
      <c r="B3654" s="16" t="n"/>
      <c r="C3654" s="16" t="n"/>
      <c r="D3654" s="16" t="n"/>
      <c r="E3654" s="16" t="n"/>
      <c r="F3654" s="16" t="n"/>
      <c r="G3654" s="16" t="n"/>
      <c r="H3654" s="16" t="n"/>
      <c r="I3654" s="16" t="n"/>
      <c r="J3654" s="16" t="n"/>
      <c r="K3654" s="16" t="n"/>
      <c r="L3654" s="16" t="n"/>
      <c r="M3654" s="16" t="n"/>
      <c r="N3654" s="16" t="n"/>
      <c r="O3654" s="16" t="n"/>
    </row>
    <row r="3655">
      <c r="A3655" s="16" t="n"/>
      <c r="B3655" s="16" t="n"/>
      <c r="C3655" s="16" t="n"/>
      <c r="D3655" s="16" t="n"/>
      <c r="E3655" s="16" t="n"/>
      <c r="F3655" s="16" t="n"/>
      <c r="G3655" s="16" t="n"/>
      <c r="H3655" s="16" t="n"/>
      <c r="I3655" s="16" t="n"/>
      <c r="J3655" s="16" t="n"/>
      <c r="K3655" s="16" t="n"/>
      <c r="L3655" s="16" t="n"/>
      <c r="M3655" s="16" t="n"/>
      <c r="N3655" s="16" t="n"/>
      <c r="O3655" s="16" t="n"/>
    </row>
    <row r="3656">
      <c r="A3656" s="16" t="n"/>
      <c r="B3656" s="16" t="n"/>
      <c r="C3656" s="16" t="n"/>
      <c r="D3656" s="16" t="n"/>
      <c r="E3656" s="16" t="n"/>
      <c r="F3656" s="16" t="n"/>
      <c r="G3656" s="16" t="n"/>
      <c r="H3656" s="16" t="n"/>
      <c r="I3656" s="16" t="n"/>
      <c r="J3656" s="16" t="n"/>
      <c r="K3656" s="16" t="n"/>
      <c r="L3656" s="16" t="n"/>
      <c r="M3656" s="16" t="n"/>
      <c r="N3656" s="16" t="n"/>
      <c r="O3656" s="16" t="n"/>
    </row>
    <row r="3657">
      <c r="A3657" s="16" t="n"/>
      <c r="B3657" s="16" t="n"/>
      <c r="C3657" s="16" t="n"/>
      <c r="D3657" s="16" t="n"/>
      <c r="E3657" s="16" t="n"/>
      <c r="F3657" s="16" t="n"/>
      <c r="G3657" s="16" t="n"/>
      <c r="H3657" s="16" t="n"/>
      <c r="I3657" s="16" t="n"/>
      <c r="J3657" s="16" t="n"/>
      <c r="K3657" s="16" t="n"/>
      <c r="L3657" s="16" t="n"/>
      <c r="M3657" s="16" t="n"/>
      <c r="N3657" s="16" t="n"/>
      <c r="O3657" s="16" t="n"/>
    </row>
    <row r="3658">
      <c r="A3658" s="16" t="n"/>
      <c r="B3658" s="16" t="n"/>
      <c r="C3658" s="16" t="n"/>
      <c r="D3658" s="16" t="n"/>
      <c r="E3658" s="16" t="n"/>
      <c r="F3658" s="16" t="n"/>
      <c r="G3658" s="16" t="n"/>
      <c r="H3658" s="16" t="n"/>
      <c r="I3658" s="16" t="n"/>
      <c r="J3658" s="16" t="n"/>
      <c r="K3658" s="16" t="n"/>
      <c r="L3658" s="16" t="n"/>
      <c r="M3658" s="16" t="n"/>
      <c r="N3658" s="16" t="n"/>
      <c r="O3658" s="16" t="n"/>
    </row>
    <row r="3659">
      <c r="A3659" s="16" t="n"/>
      <c r="B3659" s="16" t="n"/>
      <c r="C3659" s="16" t="n"/>
      <c r="D3659" s="16" t="n"/>
      <c r="E3659" s="16" t="n"/>
      <c r="F3659" s="16" t="n"/>
      <c r="G3659" s="16" t="n"/>
      <c r="H3659" s="16" t="n"/>
      <c r="I3659" s="16" t="n"/>
      <c r="J3659" s="16" t="n"/>
      <c r="K3659" s="16" t="n"/>
      <c r="L3659" s="16" t="n"/>
      <c r="M3659" s="16" t="n"/>
      <c r="N3659" s="16" t="n"/>
      <c r="O3659" s="16" t="n"/>
    </row>
    <row r="3660">
      <c r="A3660" s="16" t="n"/>
      <c r="B3660" s="16" t="n"/>
      <c r="C3660" s="16" t="n"/>
      <c r="D3660" s="16" t="n"/>
      <c r="E3660" s="16" t="n"/>
      <c r="F3660" s="16" t="n"/>
      <c r="G3660" s="16" t="n"/>
      <c r="H3660" s="16" t="n"/>
      <c r="I3660" s="16" t="n"/>
      <c r="J3660" s="16" t="n"/>
      <c r="K3660" s="16" t="n"/>
      <c r="L3660" s="16" t="n"/>
      <c r="M3660" s="16" t="n"/>
      <c r="N3660" s="16" t="n"/>
      <c r="O3660" s="16" t="n"/>
    </row>
    <row r="3661">
      <c r="A3661" s="16" t="n"/>
      <c r="B3661" s="16" t="n"/>
      <c r="C3661" s="16" t="n"/>
      <c r="D3661" s="16" t="n"/>
      <c r="E3661" s="16" t="n"/>
      <c r="F3661" s="16" t="n"/>
      <c r="G3661" s="16" t="n"/>
      <c r="H3661" s="16" t="n"/>
      <c r="I3661" s="16" t="n"/>
      <c r="J3661" s="16" t="n"/>
      <c r="K3661" s="16" t="n"/>
      <c r="L3661" s="16" t="n"/>
      <c r="M3661" s="16" t="n"/>
      <c r="N3661" s="16" t="n"/>
      <c r="O3661" s="16" t="n"/>
    </row>
    <row r="3662">
      <c r="A3662" s="16" t="n"/>
      <c r="B3662" s="16" t="n"/>
      <c r="C3662" s="16" t="n"/>
      <c r="D3662" s="16" t="n"/>
      <c r="E3662" s="16" t="n"/>
      <c r="F3662" s="16" t="n"/>
      <c r="G3662" s="16" t="n"/>
      <c r="H3662" s="16" t="n"/>
      <c r="I3662" s="16" t="n"/>
      <c r="J3662" s="16" t="n"/>
      <c r="K3662" s="16" t="n"/>
      <c r="L3662" s="16" t="n"/>
      <c r="M3662" s="16" t="n"/>
      <c r="N3662" s="16" t="n"/>
      <c r="O3662" s="16" t="n"/>
    </row>
    <row r="3663">
      <c r="A3663" s="16" t="n"/>
      <c r="B3663" s="16" t="n"/>
      <c r="C3663" s="16" t="n"/>
      <c r="D3663" s="16" t="n"/>
      <c r="E3663" s="16" t="n"/>
      <c r="F3663" s="16" t="n"/>
      <c r="G3663" s="16" t="n"/>
      <c r="H3663" s="16" t="n"/>
      <c r="I3663" s="16" t="n"/>
      <c r="J3663" s="16" t="n"/>
      <c r="K3663" s="16" t="n"/>
      <c r="L3663" s="16" t="n"/>
      <c r="M3663" s="16" t="n"/>
      <c r="N3663" s="16" t="n"/>
      <c r="O3663" s="16" t="n"/>
    </row>
    <row r="3664">
      <c r="A3664" s="16" t="n"/>
      <c r="B3664" s="16" t="n"/>
      <c r="C3664" s="16" t="n"/>
      <c r="D3664" s="16" t="n"/>
      <c r="E3664" s="16" t="n"/>
      <c r="F3664" s="16" t="n"/>
      <c r="G3664" s="16" t="n"/>
      <c r="H3664" s="16" t="n"/>
      <c r="I3664" s="16" t="n"/>
      <c r="J3664" s="16" t="n"/>
      <c r="K3664" s="16" t="n"/>
      <c r="L3664" s="16" t="n"/>
      <c r="M3664" s="16" t="n"/>
      <c r="N3664" s="16" t="n"/>
      <c r="O3664" s="16" t="n"/>
    </row>
    <row r="3665">
      <c r="A3665" s="16" t="n"/>
      <c r="B3665" s="16" t="n"/>
      <c r="C3665" s="16" t="n"/>
      <c r="D3665" s="16" t="n"/>
      <c r="E3665" s="16" t="n"/>
      <c r="F3665" s="16" t="n"/>
      <c r="G3665" s="16" t="n"/>
      <c r="H3665" s="16" t="n"/>
      <c r="I3665" s="16" t="n"/>
      <c r="J3665" s="16" t="n"/>
      <c r="K3665" s="16" t="n"/>
      <c r="L3665" s="16" t="n"/>
      <c r="M3665" s="16" t="n"/>
      <c r="N3665" s="16" t="n"/>
      <c r="O3665" s="16" t="n"/>
    </row>
    <row r="3666">
      <c r="A3666" s="16" t="n"/>
      <c r="B3666" s="16" t="n"/>
      <c r="C3666" s="16" t="n"/>
      <c r="D3666" s="16" t="n"/>
      <c r="E3666" s="16" t="n"/>
      <c r="F3666" s="16" t="n"/>
      <c r="G3666" s="16" t="n"/>
      <c r="H3666" s="16" t="n"/>
      <c r="I3666" s="16" t="n"/>
      <c r="J3666" s="16" t="n"/>
      <c r="K3666" s="16" t="n"/>
      <c r="L3666" s="16" t="n"/>
      <c r="M3666" s="16" t="n"/>
      <c r="N3666" s="16" t="n"/>
      <c r="O3666" s="16" t="n"/>
    </row>
    <row r="3667">
      <c r="A3667" s="16" t="n"/>
      <c r="B3667" s="16" t="n"/>
      <c r="C3667" s="16" t="n"/>
      <c r="D3667" s="16" t="n"/>
      <c r="E3667" s="16" t="n"/>
      <c r="F3667" s="16" t="n"/>
      <c r="G3667" s="16" t="n"/>
      <c r="H3667" s="16" t="n"/>
      <c r="I3667" s="16" t="n"/>
      <c r="J3667" s="16" t="n"/>
      <c r="K3667" s="16" t="n"/>
      <c r="L3667" s="16" t="n"/>
      <c r="M3667" s="16" t="n"/>
      <c r="N3667" s="16" t="n"/>
      <c r="O3667" s="16" t="n"/>
    </row>
    <row r="3668">
      <c r="A3668" s="16" t="n"/>
      <c r="B3668" s="16" t="n"/>
      <c r="C3668" s="16" t="n"/>
      <c r="D3668" s="16" t="n"/>
      <c r="E3668" s="16" t="n"/>
      <c r="F3668" s="16" t="n"/>
      <c r="G3668" s="16" t="n"/>
      <c r="H3668" s="16" t="n"/>
      <c r="I3668" s="16" t="n"/>
      <c r="J3668" s="16" t="n"/>
      <c r="K3668" s="16" t="n"/>
      <c r="L3668" s="16" t="n"/>
      <c r="M3668" s="16" t="n"/>
      <c r="N3668" s="16" t="n"/>
      <c r="O3668" s="16" t="n"/>
    </row>
    <row r="3669">
      <c r="A3669" s="16" t="n"/>
      <c r="B3669" s="16" t="n"/>
      <c r="C3669" s="16" t="n"/>
      <c r="D3669" s="16" t="n"/>
      <c r="E3669" s="16" t="n"/>
      <c r="F3669" s="16" t="n"/>
      <c r="G3669" s="16" t="n"/>
      <c r="H3669" s="16" t="n"/>
      <c r="I3669" s="16" t="n"/>
      <c r="J3669" s="16" t="n"/>
      <c r="K3669" s="16" t="n"/>
      <c r="L3669" s="16" t="n"/>
      <c r="M3669" s="16" t="n"/>
      <c r="N3669" s="16" t="n"/>
      <c r="O3669" s="16" t="n"/>
    </row>
    <row r="3670">
      <c r="A3670" s="16" t="n"/>
      <c r="B3670" s="16" t="n"/>
      <c r="C3670" s="16" t="n"/>
      <c r="D3670" s="16" t="n"/>
      <c r="E3670" s="16" t="n"/>
      <c r="F3670" s="16" t="n"/>
      <c r="G3670" s="16" t="n"/>
      <c r="H3670" s="16" t="n"/>
      <c r="I3670" s="16" t="n"/>
      <c r="J3670" s="16" t="n"/>
      <c r="K3670" s="16" t="n"/>
      <c r="L3670" s="16" t="n"/>
      <c r="M3670" s="16" t="n"/>
      <c r="N3670" s="16" t="n"/>
      <c r="O3670" s="16" t="n"/>
    </row>
    <row r="3671">
      <c r="A3671" s="16" t="n"/>
      <c r="B3671" s="16" t="n"/>
      <c r="C3671" s="16" t="n"/>
      <c r="D3671" s="16" t="n"/>
      <c r="E3671" s="16" t="n"/>
      <c r="F3671" s="16" t="n"/>
      <c r="G3671" s="16" t="n"/>
      <c r="H3671" s="16" t="n"/>
      <c r="I3671" s="16" t="n"/>
      <c r="J3671" s="16" t="n"/>
      <c r="K3671" s="16" t="n"/>
      <c r="L3671" s="16" t="n"/>
      <c r="M3671" s="16" t="n"/>
      <c r="N3671" s="16" t="n"/>
      <c r="O3671" s="16" t="n"/>
    </row>
    <row r="3672">
      <c r="A3672" s="16" t="n"/>
      <c r="B3672" s="16" t="n"/>
      <c r="C3672" s="16" t="n"/>
      <c r="D3672" s="16" t="n"/>
      <c r="E3672" s="16" t="n"/>
      <c r="F3672" s="16" t="n"/>
      <c r="G3672" s="16" t="n"/>
      <c r="H3672" s="16" t="n"/>
      <c r="I3672" s="16" t="n"/>
      <c r="J3672" s="16" t="n"/>
      <c r="K3672" s="16" t="n"/>
      <c r="L3672" s="16" t="n"/>
      <c r="M3672" s="16" t="n"/>
      <c r="N3672" s="16" t="n"/>
      <c r="O3672" s="16" t="n"/>
    </row>
    <row r="3673">
      <c r="A3673" s="16" t="n"/>
      <c r="B3673" s="16" t="n"/>
      <c r="C3673" s="16" t="n"/>
      <c r="D3673" s="16" t="n"/>
      <c r="E3673" s="16" t="n"/>
      <c r="F3673" s="16" t="n"/>
      <c r="G3673" s="16" t="n"/>
      <c r="H3673" s="16" t="n"/>
      <c r="I3673" s="16" t="n"/>
      <c r="J3673" s="16" t="n"/>
      <c r="K3673" s="16" t="n"/>
      <c r="L3673" s="16" t="n"/>
      <c r="M3673" s="16" t="n"/>
      <c r="N3673" s="16" t="n"/>
      <c r="O3673" s="16" t="n"/>
    </row>
    <row r="3674">
      <c r="A3674" s="16" t="n"/>
      <c r="B3674" s="16" t="n"/>
      <c r="C3674" s="16" t="n"/>
      <c r="D3674" s="16" t="n"/>
      <c r="E3674" s="16" t="n"/>
      <c r="F3674" s="16" t="n"/>
      <c r="G3674" s="16" t="n"/>
      <c r="H3674" s="16" t="n"/>
      <c r="I3674" s="16" t="n"/>
      <c r="J3674" s="16" t="n"/>
      <c r="K3674" s="16" t="n"/>
      <c r="L3674" s="16" t="n"/>
      <c r="M3674" s="16" t="n"/>
      <c r="N3674" s="16" t="n"/>
      <c r="O3674" s="16" t="n"/>
    </row>
    <row r="3675">
      <c r="A3675" s="16" t="n"/>
      <c r="B3675" s="16" t="n"/>
      <c r="C3675" s="16" t="n"/>
      <c r="D3675" s="16" t="n"/>
      <c r="E3675" s="16" t="n"/>
      <c r="F3675" s="16" t="n"/>
      <c r="G3675" s="16" t="n"/>
      <c r="H3675" s="16" t="n"/>
      <c r="I3675" s="16" t="n"/>
      <c r="J3675" s="16" t="n"/>
      <c r="K3675" s="16" t="n"/>
      <c r="L3675" s="16" t="n"/>
      <c r="M3675" s="16" t="n"/>
      <c r="N3675" s="16" t="n"/>
      <c r="O3675" s="16" t="n"/>
    </row>
    <row r="3676">
      <c r="A3676" s="16" t="n"/>
      <c r="B3676" s="16" t="n"/>
      <c r="C3676" s="16" t="n"/>
      <c r="D3676" s="16" t="n"/>
      <c r="E3676" s="16" t="n"/>
      <c r="F3676" s="16" t="n"/>
      <c r="G3676" s="16" t="n"/>
      <c r="H3676" s="16" t="n"/>
      <c r="I3676" s="16" t="n"/>
      <c r="J3676" s="16" t="n"/>
      <c r="K3676" s="16" t="n"/>
      <c r="L3676" s="16" t="n"/>
      <c r="M3676" s="16" t="n"/>
      <c r="N3676" s="16" t="n"/>
      <c r="O3676" s="16" t="n"/>
    </row>
    <row r="3677">
      <c r="A3677" s="16" t="n"/>
      <c r="B3677" s="16" t="n"/>
      <c r="C3677" s="16" t="n"/>
      <c r="D3677" s="16" t="n"/>
      <c r="E3677" s="16" t="n"/>
      <c r="F3677" s="16" t="n"/>
      <c r="G3677" s="16" t="n"/>
      <c r="H3677" s="16" t="n"/>
      <c r="I3677" s="16" t="n"/>
      <c r="J3677" s="16" t="n"/>
      <c r="K3677" s="16" t="n"/>
      <c r="L3677" s="16" t="n"/>
      <c r="M3677" s="16" t="n"/>
      <c r="N3677" s="16" t="n"/>
      <c r="O3677" s="16" t="n"/>
    </row>
    <row r="3678">
      <c r="A3678" s="16" t="n"/>
      <c r="B3678" s="16" t="n"/>
      <c r="C3678" s="16" t="n"/>
      <c r="D3678" s="16" t="n"/>
      <c r="E3678" s="16" t="n"/>
      <c r="F3678" s="16" t="n"/>
      <c r="G3678" s="16" t="n"/>
      <c r="H3678" s="16" t="n"/>
      <c r="I3678" s="16" t="n"/>
      <c r="J3678" s="16" t="n"/>
      <c r="K3678" s="16" t="n"/>
      <c r="L3678" s="16" t="n"/>
      <c r="M3678" s="16" t="n"/>
      <c r="N3678" s="16" t="n"/>
      <c r="O3678" s="16" t="n"/>
    </row>
    <row r="3679">
      <c r="A3679" s="16" t="n"/>
      <c r="B3679" s="16" t="n"/>
      <c r="C3679" s="16" t="n"/>
      <c r="D3679" s="16" t="n"/>
      <c r="E3679" s="16" t="n"/>
      <c r="F3679" s="16" t="n"/>
      <c r="G3679" s="16" t="n"/>
      <c r="H3679" s="16" t="n"/>
      <c r="I3679" s="16" t="n"/>
      <c r="J3679" s="16" t="n"/>
      <c r="K3679" s="16" t="n"/>
      <c r="L3679" s="16" t="n"/>
      <c r="M3679" s="16" t="n"/>
      <c r="N3679" s="16" t="n"/>
      <c r="O3679" s="16" t="n"/>
    </row>
    <row r="3680">
      <c r="A3680" s="16" t="n"/>
      <c r="B3680" s="16" t="n"/>
      <c r="C3680" s="16" t="n"/>
      <c r="D3680" s="16" t="n"/>
      <c r="E3680" s="16" t="n"/>
      <c r="F3680" s="16" t="n"/>
      <c r="G3680" s="16" t="n"/>
      <c r="H3680" s="16" t="n"/>
      <c r="I3680" s="16" t="n"/>
      <c r="J3680" s="16" t="n"/>
      <c r="K3680" s="16" t="n"/>
      <c r="L3680" s="16" t="n"/>
      <c r="M3680" s="16" t="n"/>
      <c r="N3680" s="16" t="n"/>
      <c r="O3680" s="16" t="n"/>
    </row>
    <row r="3681">
      <c r="A3681" s="16" t="n"/>
      <c r="B3681" s="16" t="n"/>
      <c r="C3681" s="16" t="n"/>
      <c r="D3681" s="16" t="n"/>
      <c r="E3681" s="16" t="n"/>
      <c r="F3681" s="16" t="n"/>
      <c r="G3681" s="16" t="n"/>
      <c r="H3681" s="16" t="n"/>
      <c r="I3681" s="16" t="n"/>
      <c r="J3681" s="16" t="n"/>
      <c r="K3681" s="16" t="n"/>
      <c r="L3681" s="16" t="n"/>
      <c r="M3681" s="16" t="n"/>
      <c r="N3681" s="16" t="n"/>
      <c r="O3681" s="16" t="n"/>
    </row>
    <row r="3682">
      <c r="A3682" s="16" t="n"/>
      <c r="B3682" s="16" t="n"/>
      <c r="C3682" s="16" t="n"/>
      <c r="D3682" s="16" t="n"/>
      <c r="E3682" s="16" t="n"/>
      <c r="F3682" s="16" t="n"/>
      <c r="G3682" s="16" t="n"/>
      <c r="H3682" s="16" t="n"/>
      <c r="I3682" s="16" t="n"/>
      <c r="J3682" s="16" t="n"/>
      <c r="K3682" s="16" t="n"/>
      <c r="L3682" s="16" t="n"/>
      <c r="M3682" s="16" t="n"/>
      <c r="N3682" s="16" t="n"/>
      <c r="O3682" s="16" t="n"/>
    </row>
    <row r="3683">
      <c r="A3683" s="16" t="n"/>
      <c r="B3683" s="16" t="n"/>
      <c r="C3683" s="16" t="n"/>
      <c r="D3683" s="16" t="n"/>
      <c r="E3683" s="16" t="n"/>
      <c r="F3683" s="16" t="n"/>
      <c r="G3683" s="16" t="n"/>
      <c r="H3683" s="16" t="n"/>
      <c r="I3683" s="16" t="n"/>
      <c r="J3683" s="16" t="n"/>
      <c r="K3683" s="16" t="n"/>
      <c r="L3683" s="16" t="n"/>
      <c r="M3683" s="16" t="n"/>
      <c r="N3683" s="16" t="n"/>
      <c r="O3683" s="16" t="n"/>
    </row>
    <row r="3684">
      <c r="A3684" s="16" t="n"/>
      <c r="B3684" s="16" t="n"/>
      <c r="C3684" s="16" t="n"/>
      <c r="D3684" s="16" t="n"/>
      <c r="E3684" s="16" t="n"/>
      <c r="F3684" s="16" t="n"/>
      <c r="G3684" s="16" t="n"/>
      <c r="H3684" s="16" t="n"/>
      <c r="I3684" s="16" t="n"/>
      <c r="J3684" s="16" t="n"/>
      <c r="K3684" s="16" t="n"/>
      <c r="L3684" s="16" t="n"/>
      <c r="M3684" s="16" t="n"/>
      <c r="N3684" s="16" t="n"/>
      <c r="O3684" s="16" t="n"/>
    </row>
    <row r="3685">
      <c r="A3685" s="16" t="n"/>
      <c r="B3685" s="16" t="n"/>
      <c r="C3685" s="16" t="n"/>
      <c r="D3685" s="16" t="n"/>
      <c r="E3685" s="16" t="n"/>
      <c r="F3685" s="16" t="n"/>
      <c r="G3685" s="16" t="n"/>
      <c r="H3685" s="16" t="n"/>
      <c r="I3685" s="16" t="n"/>
      <c r="J3685" s="16" t="n"/>
      <c r="K3685" s="16" t="n"/>
      <c r="L3685" s="16" t="n"/>
      <c r="M3685" s="16" t="n"/>
      <c r="N3685" s="16" t="n"/>
      <c r="O3685" s="16" t="n"/>
    </row>
    <row r="3686">
      <c r="A3686" s="16" t="n"/>
      <c r="B3686" s="16" t="n"/>
      <c r="C3686" s="16" t="n"/>
      <c r="D3686" s="16" t="n"/>
      <c r="E3686" s="16" t="n"/>
      <c r="F3686" s="16" t="n"/>
      <c r="G3686" s="16" t="n"/>
      <c r="H3686" s="16" t="n"/>
      <c r="I3686" s="16" t="n"/>
      <c r="J3686" s="16" t="n"/>
      <c r="K3686" s="16" t="n"/>
      <c r="L3686" s="16" t="n"/>
      <c r="M3686" s="16" t="n"/>
      <c r="N3686" s="16" t="n"/>
      <c r="O3686" s="16" t="n"/>
    </row>
    <row r="3687">
      <c r="A3687" s="26" t="n"/>
      <c r="B3687" s="26" t="n"/>
      <c r="C3687" s="26" t="n"/>
      <c r="D3687" s="26" t="n"/>
      <c r="E3687" s="26" t="n"/>
      <c r="F3687" s="26" t="n"/>
      <c r="G3687" s="26" t="n"/>
      <c r="H3687" s="26" t="n"/>
      <c r="I3687" s="26" t="n"/>
      <c r="J3687" s="26" t="n"/>
      <c r="K3687" s="26" t="n"/>
      <c r="L3687" s="26" t="n"/>
      <c r="M3687" s="26" t="n"/>
      <c r="N3687" s="26" t="n"/>
      <c r="O3687" s="2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Hoja5">
    <tabColor theme="7" tint="0.3999755851924192"/>
    <outlinePr summaryBelow="1" summaryRight="1"/>
    <pageSetUpPr/>
  </sheetPr>
  <dimension ref="A1:F317"/>
  <sheetViews>
    <sheetView workbookViewId="0">
      <pane ySplit="1" topLeftCell="A297" activePane="bottomLeft" state="frozen"/>
      <selection pane="bottomLeft" activeCell="C1" sqref="C1"/>
    </sheetView>
  </sheetViews>
  <sheetFormatPr baseColWidth="10" defaultColWidth="11.453125" defaultRowHeight="14.5"/>
  <cols>
    <col width="20.1796875" bestFit="1" customWidth="1" style="12" min="1" max="1"/>
    <col width="16.453125" bestFit="1" customWidth="1" style="12" min="2" max="2"/>
    <col width="41.54296875" bestFit="1" customWidth="1" style="12" min="3" max="3"/>
    <col width="29.54296875" bestFit="1" customWidth="1" style="12" min="4" max="4"/>
    <col width="10.81640625" customWidth="1" style="12" min="5" max="5"/>
  </cols>
  <sheetData>
    <row r="1">
      <c r="A1" s="80" t="inlineStr">
        <is>
          <t>COD SAP</t>
        </is>
      </c>
      <c r="B1" s="25" t="inlineStr">
        <is>
          <t>CodInternoArti</t>
        </is>
      </c>
      <c r="C1" s="25" t="inlineStr">
        <is>
          <t>DescripcionArti</t>
        </is>
      </c>
      <c r="D1" s="25" t="inlineStr">
        <is>
          <t>Familia</t>
        </is>
      </c>
      <c r="E1" s="81" t="inlineStr">
        <is>
          <t>UM</t>
        </is>
      </c>
      <c r="F1" s="25" t="inlineStr">
        <is>
          <t>Prov</t>
        </is>
      </c>
    </row>
    <row r="2">
      <c r="A2" s="22" t="n">
        <v>2006153</v>
      </c>
      <c r="B2" s="11" t="inlineStr">
        <is>
          <t>7790321020406</t>
        </is>
      </c>
      <c r="C2" s="11" t="inlineStr">
        <is>
          <t>VASO TERMICO x 300 X 25 U</t>
        </is>
      </c>
      <c r="D2" s="11" t="inlineStr">
        <is>
          <t>VASO TERMICO 300</t>
        </is>
      </c>
      <c r="E2" s="24" t="n">
        <v>25</v>
      </c>
      <c r="F2" s="26" t="n"/>
    </row>
    <row r="3">
      <c r="A3" s="22" t="n"/>
      <c r="B3" s="11" t="inlineStr">
        <is>
          <t>7798934234563</t>
        </is>
      </c>
      <c r="C3" s="11" t="inlineStr">
        <is>
          <t xml:space="preserve">VASO TERMICO 300CCX1000U           </t>
        </is>
      </c>
      <c r="D3" s="11" t="inlineStr">
        <is>
          <t>VASO TERMICO 300</t>
        </is>
      </c>
      <c r="E3" s="24" t="n">
        <v>1000</v>
      </c>
      <c r="F3" s="11" t="n"/>
    </row>
    <row r="4">
      <c r="A4" s="22" t="n">
        <v>2006394</v>
      </c>
      <c r="B4" s="11" t="inlineStr">
        <is>
          <t>7790321020396</t>
        </is>
      </c>
      <c r="C4" s="11" t="inlineStr">
        <is>
          <t>VASO TERMICO X 240 CC X 25 U</t>
        </is>
      </c>
      <c r="D4" s="11" t="inlineStr">
        <is>
          <t>VASO TERMICO 240</t>
        </is>
      </c>
      <c r="E4" s="24" t="n">
        <v>25</v>
      </c>
      <c r="F4" s="11" t="n"/>
    </row>
    <row r="5">
      <c r="A5" s="22" t="n">
        <v>2006479</v>
      </c>
      <c r="B5" s="11" t="inlineStr">
        <is>
          <t>7798662008446</t>
        </is>
      </c>
      <c r="C5" s="11" t="inlineStr">
        <is>
          <t>VASO TERMICO 240CC X100U</t>
        </is>
      </c>
      <c r="D5" s="11" t="inlineStr">
        <is>
          <t>VASO TERMICO 240</t>
        </is>
      </c>
      <c r="E5" s="24" t="n">
        <v>100</v>
      </c>
      <c r="F5" s="11" t="n"/>
    </row>
    <row r="6">
      <c r="A6" s="22" t="n">
        <v>2007498</v>
      </c>
      <c r="B6" s="11" t="inlineStr">
        <is>
          <t>7790000000472</t>
        </is>
      </c>
      <c r="C6" s="11" t="inlineStr">
        <is>
          <t>GL_VASO TERM 240CCX1000UN ETISOL</t>
        </is>
      </c>
      <c r="D6" s="11" t="inlineStr">
        <is>
          <t>VASO TERMICO 240</t>
        </is>
      </c>
      <c r="E6" s="24" t="n">
        <v>1000</v>
      </c>
      <c r="F6" s="11" t="n"/>
    </row>
    <row r="7">
      <c r="A7" s="22" t="n">
        <v>2006655</v>
      </c>
      <c r="B7" s="11" t="inlineStr">
        <is>
          <t>7790321020386</t>
        </is>
      </c>
      <c r="C7" s="11" t="inlineStr">
        <is>
          <t>VASO TERMICO x 180 CC X 25 U</t>
        </is>
      </c>
      <c r="D7" s="11" t="inlineStr">
        <is>
          <t>VASO TERMICO 180</t>
        </is>
      </c>
      <c r="E7" s="24" t="n">
        <v>25</v>
      </c>
      <c r="F7" s="11" t="n"/>
    </row>
    <row r="8">
      <c r="A8" s="22" t="n">
        <v>2006477</v>
      </c>
      <c r="B8" s="11" t="inlineStr">
        <is>
          <t>7790321020387</t>
        </is>
      </c>
      <c r="C8" s="11" t="inlineStr">
        <is>
          <t>VASO TERMICO X180CCX 50U</t>
        </is>
      </c>
      <c r="D8" s="11" t="inlineStr">
        <is>
          <t>VASO TERMICO 180</t>
        </is>
      </c>
      <c r="E8" s="24" t="n">
        <v>50</v>
      </c>
      <c r="F8" s="11" t="n"/>
    </row>
    <row r="9">
      <c r="A9" s="22" t="n"/>
      <c r="B9" s="11" t="inlineStr">
        <is>
          <t>17798038127096</t>
        </is>
      </c>
      <c r="C9" s="11" t="inlineStr">
        <is>
          <t xml:space="preserve">GL_VASO TERMICO 180CCX1000U ETISOL </t>
        </is>
      </c>
      <c r="D9" s="11" t="inlineStr">
        <is>
          <t>VASO TERMICO 180</t>
        </is>
      </c>
      <c r="E9" s="24" t="n">
        <v>1000</v>
      </c>
      <c r="F9" s="11" t="n"/>
    </row>
    <row r="10">
      <c r="A10" s="22" t="n"/>
      <c r="B10" s="11" t="inlineStr">
        <is>
          <t>17798038127096</t>
        </is>
      </c>
      <c r="C10" s="11" t="inlineStr">
        <is>
          <t xml:space="preserve">VASO TERMICO 180CCX1000U ETISOL    </t>
        </is>
      </c>
      <c r="D10" s="11" t="inlineStr">
        <is>
          <t>VASO TERMICO 180</t>
        </is>
      </c>
      <c r="E10" s="24" t="n">
        <v>1000</v>
      </c>
      <c r="F10" s="11" t="n"/>
    </row>
    <row r="11">
      <c r="A11" s="22" t="n">
        <v>2006475</v>
      </c>
      <c r="B11" s="11" t="inlineStr">
        <is>
          <t>7790321020346</t>
        </is>
      </c>
      <c r="C11" s="11" t="inlineStr">
        <is>
          <t>VASO PLASTICO X180CC X100U</t>
        </is>
      </c>
      <c r="D11" s="11" t="inlineStr">
        <is>
          <t>VASO PLASTICO 180</t>
        </is>
      </c>
      <c r="E11" s="24" t="n">
        <v>100</v>
      </c>
      <c r="F11" s="11" t="n"/>
    </row>
    <row r="12">
      <c r="A12" s="22" t="n">
        <v>2006476</v>
      </c>
      <c r="B12" s="11" t="inlineStr">
        <is>
          <t>7790321020356</t>
        </is>
      </c>
      <c r="C12" s="11" t="inlineStr">
        <is>
          <t>VASO PLASTICO x 220 CC X 100 U</t>
        </is>
      </c>
      <c r="D12" s="11" t="inlineStr">
        <is>
          <t>VASO PLASTICO 180</t>
        </is>
      </c>
      <c r="E12" s="24" t="n">
        <v>100</v>
      </c>
      <c r="F12" s="11" t="n"/>
    </row>
    <row r="13">
      <c r="A13" s="22" t="n">
        <v>2006155</v>
      </c>
      <c r="B13" s="11" t="inlineStr">
        <is>
          <t>7790321020905</t>
        </is>
      </c>
      <c r="C13" s="11" t="inlineStr">
        <is>
          <t>VASO PLAST CRIST 110CC X 100U</t>
        </is>
      </c>
      <c r="D13" s="11" t="inlineStr">
        <is>
          <t>VASO PLASTICO 180</t>
        </is>
      </c>
      <c r="E13" s="24" t="n">
        <v>100</v>
      </c>
      <c r="F13" s="11" t="n"/>
    </row>
    <row r="14">
      <c r="A14" s="22" t="n">
        <v>2006180</v>
      </c>
      <c r="B14" s="11" t="inlineStr">
        <is>
          <t>7790321020408</t>
        </is>
      </c>
      <c r="C14" s="11" t="inlineStr">
        <is>
          <t>VASO PLASTICO X180CCX100U</t>
        </is>
      </c>
      <c r="D14" s="11" t="inlineStr">
        <is>
          <t>VASO PLASTICO 180</t>
        </is>
      </c>
      <c r="E14" s="24" t="n">
        <v>100</v>
      </c>
      <c r="F14" s="11" t="n"/>
    </row>
    <row r="15">
      <c r="A15" s="22" t="n">
        <v>2006395</v>
      </c>
      <c r="B15" s="11" t="inlineStr">
        <is>
          <t>7790430132765</t>
        </is>
      </c>
      <c r="C15" s="11" t="inlineStr">
        <is>
          <t>VASO PLASTICO BCO X220CC X50U</t>
        </is>
      </c>
      <c r="D15" s="11" t="inlineStr">
        <is>
          <t>VASO PLASTICO 180</t>
        </is>
      </c>
      <c r="E15" s="24" t="n">
        <v>50</v>
      </c>
      <c r="F15" s="11" t="n"/>
    </row>
    <row r="16">
      <c r="A16" s="22" t="n"/>
      <c r="B16" s="11" t="inlineStr">
        <is>
          <t>7790430132762</t>
        </is>
      </c>
      <c r="C16" s="11" t="inlineStr">
        <is>
          <t>VASO PLASTICO X180CC X50U PROLIX</t>
        </is>
      </c>
      <c r="D16" s="11" t="inlineStr">
        <is>
          <t>VASO PLASTICO 180</t>
        </is>
      </c>
      <c r="E16" s="24" t="n">
        <v>50</v>
      </c>
      <c r="F16" s="11" t="n"/>
    </row>
    <row r="17">
      <c r="A17" s="22" t="n">
        <v>2006206</v>
      </c>
      <c r="B17" s="11" t="inlineStr">
        <is>
          <t>7790321020388</t>
        </is>
      </c>
      <c r="C17" s="11" t="inlineStr">
        <is>
          <t>VASO CRISTAL X325CCX860U</t>
        </is>
      </c>
      <c r="D17" s="11" t="inlineStr">
        <is>
          <t>VASO CRISTAL 325</t>
        </is>
      </c>
      <c r="E17" s="24" t="n">
        <v>860</v>
      </c>
      <c r="F17" s="11" t="n"/>
    </row>
    <row r="18">
      <c r="A18" s="22" t="n">
        <v>2006207</v>
      </c>
      <c r="B18" s="11" t="inlineStr">
        <is>
          <t>7790321020393</t>
        </is>
      </c>
      <c r="C18" s="11" t="inlineStr">
        <is>
          <t>VASO CRISTAL 325CCX800U</t>
        </is>
      </c>
      <c r="D18" s="11" t="inlineStr">
        <is>
          <t>VASO CRISTAL 325</t>
        </is>
      </c>
      <c r="E18" s="24" t="n">
        <v>800</v>
      </c>
      <c r="F18" s="11" t="n"/>
    </row>
    <row r="19">
      <c r="A19" s="22" t="n"/>
      <c r="B19" s="11" t="inlineStr">
        <is>
          <t xml:space="preserve">7790000000676       </t>
        </is>
      </c>
      <c r="C19" s="11" t="inlineStr">
        <is>
          <t xml:space="preserve">VASO 8OZ POLIP BLUE X100U ESTISO   </t>
        </is>
      </c>
      <c r="D19" s="11" t="inlineStr">
        <is>
          <t>VASO 8 OZ BLUE</t>
        </is>
      </c>
      <c r="E19" s="24" t="n">
        <v>100</v>
      </c>
      <c r="F19" s="11" t="n"/>
    </row>
    <row r="20">
      <c r="A20" s="22" t="n">
        <v>2006683</v>
      </c>
      <c r="B20" s="11" t="inlineStr">
        <is>
          <t>7790321020336</t>
        </is>
      </c>
      <c r="C20" s="11" t="inlineStr">
        <is>
          <t>TENEDOR DESCARTABLE x 1000 U</t>
        </is>
      </c>
      <c r="D20" s="11" t="inlineStr">
        <is>
          <t>TENEDOR DESCARTABLE</t>
        </is>
      </c>
      <c r="E20" s="24" t="n">
        <v>1000</v>
      </c>
      <c r="F20" s="11" t="n"/>
    </row>
    <row r="21">
      <c r="A21" s="22" t="n"/>
      <c r="B21" s="11" t="inlineStr">
        <is>
          <t>7790000000523</t>
        </is>
      </c>
      <c r="C21" s="11" t="inlineStr">
        <is>
          <t>GL TENEDOR COMPOST 16CM X100 BIOPAC</t>
        </is>
      </c>
      <c r="D21" s="11" t="inlineStr">
        <is>
          <t>TENEDOR COMPOSTABLE</t>
        </is>
      </c>
      <c r="E21" s="24" t="n">
        <v>100</v>
      </c>
      <c r="F21" s="11" t="n"/>
    </row>
    <row r="22">
      <c r="A22" s="22" t="n">
        <v>2006793</v>
      </c>
      <c r="B22" s="11" t="inlineStr">
        <is>
          <t>7790321020316</t>
        </is>
      </c>
      <c r="C22" s="11" t="inlineStr">
        <is>
          <t>TAPA DE VASO 300 X 100 U</t>
        </is>
      </c>
      <c r="D22" s="11" t="inlineStr">
        <is>
          <t>TAPA VASO TERMICO 300</t>
        </is>
      </c>
      <c r="E22" s="24" t="n">
        <v>100</v>
      </c>
      <c r="F22" s="11" t="n"/>
    </row>
    <row r="23">
      <c r="A23" s="22" t="n">
        <v>2006472</v>
      </c>
      <c r="B23" s="11" t="inlineStr">
        <is>
          <t>7790321020328</t>
        </is>
      </c>
      <c r="C23" s="11" t="inlineStr">
        <is>
          <t xml:space="preserve">TAPA VASO TERMICO 300CC X100U </t>
        </is>
      </c>
      <c r="D23" s="11" t="inlineStr">
        <is>
          <t>TAPA VASO TERMICO 300</t>
        </is>
      </c>
      <c r="E23" s="24" t="n">
        <v>100</v>
      </c>
      <c r="F23" s="11" t="n"/>
    </row>
    <row r="24">
      <c r="A24" s="22" t="n">
        <v>2006474</v>
      </c>
      <c r="B24" s="11" t="inlineStr">
        <is>
          <t>BAZ00012</t>
        </is>
      </c>
      <c r="C24" s="11" t="inlineStr">
        <is>
          <t>TAPA VASO TERMICO 300CC X50U</t>
        </is>
      </c>
      <c r="D24" s="11" t="inlineStr">
        <is>
          <t>TAPA VASO TERMICO 300</t>
        </is>
      </c>
      <c r="E24" s="24" t="n">
        <v>50</v>
      </c>
      <c r="F24" s="11" t="n"/>
    </row>
    <row r="25">
      <c r="A25" s="22" t="n">
        <v>2006152</v>
      </c>
      <c r="B25" s="11" t="inlineStr">
        <is>
          <t>7793253004445</t>
        </is>
      </c>
      <c r="C25" s="11" t="inlineStr">
        <is>
          <t>TAPA VASO TERMICO X300CC X1000U</t>
        </is>
      </c>
      <c r="D25" s="11" t="inlineStr">
        <is>
          <t>TAPA VASO TERMICO 300</t>
        </is>
      </c>
      <c r="E25" s="24" t="n">
        <v>1000</v>
      </c>
      <c r="F25" s="11" t="n"/>
    </row>
    <row r="26">
      <c r="A26" s="22" t="n">
        <v>2006393</v>
      </c>
      <c r="B26" s="11" t="inlineStr">
        <is>
          <t>7790321020326</t>
        </is>
      </c>
      <c r="C26" s="11" t="inlineStr">
        <is>
          <t>TAPA VASO TERM 240 CC x 100 U</t>
        </is>
      </c>
      <c r="D26" s="11" t="inlineStr">
        <is>
          <t>TAPA VASO TERMICO 240</t>
        </is>
      </c>
      <c r="E26" s="24" t="n">
        <v>100</v>
      </c>
      <c r="F26" s="11" t="n"/>
    </row>
    <row r="27">
      <c r="A27" s="22" t="n">
        <v>2006179</v>
      </c>
      <c r="B27" s="11" t="inlineStr">
        <is>
          <t>7790321020329</t>
        </is>
      </c>
      <c r="C27" s="11" t="inlineStr">
        <is>
          <t>TAPA VASO TERMICO 240CCX50</t>
        </is>
      </c>
      <c r="D27" s="11" t="inlineStr">
        <is>
          <t>TAPA VASO TERMICO 240</t>
        </is>
      </c>
      <c r="E27" s="24" t="n">
        <v>50</v>
      </c>
      <c r="F27" s="11" t="n"/>
    </row>
    <row r="28">
      <c r="A28" s="22" t="n">
        <v>2006828</v>
      </c>
      <c r="B28" s="11" t="inlineStr">
        <is>
          <t>7790321020330</t>
        </is>
      </c>
      <c r="C28" s="11" t="inlineStr">
        <is>
          <t>TAPA VASO TERMICO 240CC X80U</t>
        </is>
      </c>
      <c r="D28" s="11" t="inlineStr">
        <is>
          <t>TAPA VASO TERMICO 240</t>
        </is>
      </c>
      <c r="E28" s="24" t="n">
        <v>80</v>
      </c>
      <c r="F28" s="11" t="n"/>
    </row>
    <row r="29">
      <c r="A29" s="22" t="n">
        <v>2006201</v>
      </c>
      <c r="B29" s="11" t="inlineStr">
        <is>
          <t>7790321008512</t>
        </is>
      </c>
      <c r="C29" s="11" t="inlineStr">
        <is>
          <t>TAPA ALUM R5/F2100x600U</t>
        </is>
      </c>
      <c r="D29" s="11" t="inlineStr">
        <is>
          <t>TAPA R5</t>
        </is>
      </c>
      <c r="E29" s="24" t="n">
        <v>600</v>
      </c>
      <c r="F29" s="11" t="n"/>
    </row>
    <row r="30">
      <c r="A30" s="22" t="n">
        <v>2006827</v>
      </c>
      <c r="B30" s="11" t="inlineStr">
        <is>
          <t>7790321020306</t>
        </is>
      </c>
      <c r="C30" s="11" t="inlineStr">
        <is>
          <t>TAPA ALUMINIO R5/F2100 x 400 U</t>
        </is>
      </c>
      <c r="D30" s="11" t="inlineStr">
        <is>
          <t>TAPA R5</t>
        </is>
      </c>
      <c r="E30" s="24" t="n">
        <v>400</v>
      </c>
      <c r="F30" s="11" t="n"/>
    </row>
    <row r="31">
      <c r="A31" s="22" t="n"/>
      <c r="B31" s="42" t="inlineStr">
        <is>
          <t>7790321008513</t>
        </is>
      </c>
      <c r="C31" s="11" t="inlineStr">
        <is>
          <t xml:space="preserve">TAPA BAND. ALUMINIO R5/2100 X	     </t>
        </is>
      </c>
      <c r="D31" s="11" t="inlineStr">
        <is>
          <t>TAPA R5</t>
        </is>
      </c>
      <c r="E31" s="24" t="n">
        <v>1</v>
      </c>
      <c r="F31" s="11" t="n"/>
    </row>
    <row r="32">
      <c r="A32" s="22" t="n"/>
      <c r="B32" s="11" t="inlineStr">
        <is>
          <t>640000108778</t>
        </is>
      </c>
      <c r="C32" s="11" t="inlineStr">
        <is>
          <t xml:space="preserve">TAPA ALUM R5/F2100X600U VASSOI     </t>
        </is>
      </c>
      <c r="D32" s="11" t="inlineStr">
        <is>
          <t>TAPA R5</t>
        </is>
      </c>
      <c r="E32" s="24" t="n">
        <v>600</v>
      </c>
      <c r="F32" s="11" t="n"/>
    </row>
    <row r="33">
      <c r="A33" s="22" t="n">
        <v>2006798</v>
      </c>
      <c r="B33" s="11" t="inlineStr">
        <is>
          <t>7790321020296</t>
        </is>
      </c>
      <c r="C33" s="11" t="inlineStr">
        <is>
          <t>TAPA ALUMINIO R3/F275 x 600 U</t>
        </is>
      </c>
      <c r="D33" s="11" t="inlineStr">
        <is>
          <t>TAPA R3</t>
        </is>
      </c>
      <c r="E33" s="24" t="n">
        <v>600</v>
      </c>
      <c r="F33" s="11" t="n"/>
    </row>
    <row r="34">
      <c r="A34" s="22" t="n">
        <v>2006202</v>
      </c>
      <c r="B34" s="11" t="inlineStr">
        <is>
          <t>7790321009512</t>
        </is>
      </c>
      <c r="C34" s="11" t="inlineStr">
        <is>
          <t>TAPA ALUM R3/F275x1000u W.PLAS</t>
        </is>
      </c>
      <c r="D34" s="11" t="inlineStr">
        <is>
          <t>TAPA R3</t>
        </is>
      </c>
      <c r="E34" s="24" t="n">
        <v>1000</v>
      </c>
      <c r="F34" s="11" t="n"/>
    </row>
    <row r="35">
      <c r="A35" s="22" t="n">
        <v>2007250</v>
      </c>
      <c r="B35" s="11" t="inlineStr">
        <is>
          <t>640000108776</t>
        </is>
      </c>
      <c r="C35" s="11" t="inlineStr">
        <is>
          <t xml:space="preserve">TAPA ALUM R3/F275X1000U VASSOI     </t>
        </is>
      </c>
      <c r="D35" s="11" t="inlineStr">
        <is>
          <t>TAPA R3</t>
        </is>
      </c>
      <c r="E35" s="24" t="n">
        <v>1000</v>
      </c>
      <c r="F35" s="11" t="inlineStr">
        <is>
          <t>Pack Express</t>
        </is>
      </c>
    </row>
    <row r="36">
      <c r="A36" s="22" t="n">
        <v>2006451</v>
      </c>
      <c r="B36" s="11" t="inlineStr">
        <is>
          <t>7790321000063</t>
        </is>
      </c>
      <c r="C36" s="11" t="inlineStr">
        <is>
          <t>ENS. CRISTAL TAPA x100U BANDEX</t>
        </is>
      </c>
      <c r="D36" s="11" t="inlineStr">
        <is>
          <t>TAPA ENSALADERA CRISTAL</t>
        </is>
      </c>
      <c r="E36" s="24" t="n">
        <v>100</v>
      </c>
      <c r="F36" s="11" t="n"/>
    </row>
    <row r="37">
      <c r="A37" s="22" t="inlineStr">
        <is>
          <t>NO SE ENCUENTRA EAN</t>
        </is>
      </c>
      <c r="B37" s="11" t="inlineStr">
        <is>
          <t>779032011155</t>
        </is>
      </c>
      <c r="C37" s="11" t="inlineStr">
        <is>
          <t>ENS CRISTAL TAPA x100U PLASTIV</t>
        </is>
      </c>
      <c r="D37" s="11" t="inlineStr">
        <is>
          <t>TAPA ENSALADERA CRISTAL</t>
        </is>
      </c>
      <c r="E37" s="24" t="n">
        <v>100</v>
      </c>
      <c r="F37" s="11" t="n"/>
    </row>
    <row r="38">
      <c r="A38" s="22" t="n">
        <v>2006204</v>
      </c>
      <c r="B38" s="11" t="inlineStr">
        <is>
          <t>BAZ00011</t>
        </is>
      </c>
      <c r="C38" s="11" t="inlineStr">
        <is>
          <t>ENS. CRISTAL TAPA X600U BANDEX</t>
        </is>
      </c>
      <c r="D38" s="11" t="inlineStr">
        <is>
          <t>TAPA ENSALADERA CRISTAL</t>
        </is>
      </c>
      <c r="E38" s="24" t="n">
        <v>600</v>
      </c>
      <c r="F38" s="11" t="n"/>
    </row>
    <row r="39">
      <c r="A39" s="22" t="n">
        <v>2006453</v>
      </c>
      <c r="B39" s="11" t="inlineStr">
        <is>
          <t>7790321020390</t>
        </is>
      </c>
      <c r="C39" s="11" t="inlineStr">
        <is>
          <t>TAPA DOMO SORBETE X800U</t>
        </is>
      </c>
      <c r="D39" s="11" t="inlineStr">
        <is>
          <t>TAPA DOMO</t>
        </is>
      </c>
      <c r="E39" s="24" t="n">
        <v>800</v>
      </c>
      <c r="F39" s="11" t="n"/>
    </row>
    <row r="40">
      <c r="A40" s="22" t="n">
        <v>2006473</v>
      </c>
      <c r="B40" s="11" t="inlineStr">
        <is>
          <t>7790321020389</t>
        </is>
      </c>
      <c r="C40" s="11" t="inlineStr">
        <is>
          <t>TAPA DOMO CUCHARA X800U</t>
        </is>
      </c>
      <c r="D40" s="11" t="inlineStr">
        <is>
          <t>TAPA DOMO</t>
        </is>
      </c>
      <c r="E40" s="24" t="n">
        <v>800</v>
      </c>
      <c r="F40" s="11" t="n"/>
    </row>
    <row r="41">
      <c r="A41" s="22" t="n">
        <v>2006452</v>
      </c>
      <c r="B41" s="11" t="inlineStr">
        <is>
          <t>7790231050180</t>
        </is>
      </c>
      <c r="C41" s="11" t="inlineStr">
        <is>
          <t>TAPA DEGUSTADOR X 2000U</t>
        </is>
      </c>
      <c r="D41" s="11" t="inlineStr">
        <is>
          <t>TAPA DEGUSTADOR</t>
        </is>
      </c>
      <c r="E41" s="24" t="n">
        <v>2000</v>
      </c>
      <c r="F41" s="11" t="n"/>
    </row>
    <row r="42">
      <c r="A42" s="22" t="n"/>
      <c r="B42" s="11" t="inlineStr">
        <is>
          <t>7790000000736</t>
        </is>
      </c>
      <c r="C42" s="11" t="inlineStr">
        <is>
          <t xml:space="preserve">TAPA POTE 25CC X2000UN             </t>
        </is>
      </c>
      <c r="D42" s="11" t="inlineStr">
        <is>
          <t>TAPA DEGUSTADOR</t>
        </is>
      </c>
      <c r="E42" s="24" t="n">
        <v>2000</v>
      </c>
      <c r="F42" s="11" t="n"/>
    </row>
    <row r="43">
      <c r="A43" s="22" t="n">
        <v>2007579</v>
      </c>
      <c r="B43" s="11" t="inlineStr">
        <is>
          <t>7790000000525</t>
        </is>
      </c>
      <c r="C43" s="11" t="inlineStr">
        <is>
          <t>GL TAPA BOWL COMP 23x16 780CC BIOPAC</t>
        </is>
      </c>
      <c r="D43" s="11" t="inlineStr">
        <is>
          <t>TAPA BOWL COMPOSTABLE 780</t>
        </is>
      </c>
      <c r="E43" s="24" t="n">
        <v>1</v>
      </c>
      <c r="F43" s="11" t="n"/>
    </row>
    <row r="44">
      <c r="A44" s="22" t="n">
        <v>2006684</v>
      </c>
      <c r="B44" s="11" t="inlineStr">
        <is>
          <t>7790321020286</t>
        </is>
      </c>
      <c r="C44" s="11" t="inlineStr">
        <is>
          <t>TAPA 105 RECT X 50 U</t>
        </is>
      </c>
      <c r="D44" s="11" t="inlineStr">
        <is>
          <t>TAPA 105</t>
        </is>
      </c>
      <c r="E44" s="24" t="n">
        <v>50</v>
      </c>
      <c r="F44" s="11" t="n"/>
    </row>
    <row r="45">
      <c r="A45" s="22" t="n">
        <v>2006653</v>
      </c>
      <c r="B45" s="11" t="inlineStr">
        <is>
          <t>7790321020287</t>
        </is>
      </c>
      <c r="C45" s="11" t="inlineStr">
        <is>
          <t>TAPA 105 RECT x 100U</t>
        </is>
      </c>
      <c r="D45" s="11" t="inlineStr">
        <is>
          <t>TAPA 105</t>
        </is>
      </c>
      <c r="E45" s="24" t="n">
        <v>100</v>
      </c>
      <c r="F45" s="11" t="n"/>
    </row>
    <row r="46">
      <c r="A46" s="22" t="n">
        <v>2006391</v>
      </c>
      <c r="B46" s="11" t="inlineStr">
        <is>
          <t>7790321020276</t>
        </is>
      </c>
      <c r="C46" s="11" t="inlineStr">
        <is>
          <t>TAPA 103 x 50 U</t>
        </is>
      </c>
      <c r="D46" s="11" t="inlineStr">
        <is>
          <t>TAPA 103</t>
        </is>
      </c>
      <c r="E46" s="24" t="n">
        <v>50</v>
      </c>
      <c r="F46" s="11" t="n"/>
    </row>
    <row r="47">
      <c r="A47" s="22" t="n">
        <v>2006686</v>
      </c>
      <c r="B47" s="11" t="inlineStr">
        <is>
          <t>7790321020348</t>
        </is>
      </c>
      <c r="C47" s="11" t="inlineStr">
        <is>
          <t>TAPA 103 X50U COTNYL</t>
        </is>
      </c>
      <c r="D47" s="11" t="inlineStr">
        <is>
          <t>TAPA 103</t>
        </is>
      </c>
      <c r="E47" s="24" t="n">
        <v>50</v>
      </c>
      <c r="F47" s="11" t="n"/>
    </row>
    <row r="48">
      <c r="A48" s="22" t="n">
        <v>2006647</v>
      </c>
      <c r="B48" s="11" t="inlineStr">
        <is>
          <t>7798975326413</t>
        </is>
      </c>
      <c r="C48" s="11" t="inlineStr">
        <is>
          <t>TAPA 103 X100U</t>
        </is>
      </c>
      <c r="D48" s="11" t="inlineStr">
        <is>
          <t>TAPA 103</t>
        </is>
      </c>
      <c r="E48" s="24" t="n">
        <v>100</v>
      </c>
      <c r="F48" s="11" t="n"/>
    </row>
    <row r="49">
      <c r="A49" s="22" t="n">
        <v>2006652</v>
      </c>
      <c r="B49" s="11" t="inlineStr">
        <is>
          <t>7790321020266</t>
        </is>
      </c>
      <c r="C49" s="11" t="inlineStr">
        <is>
          <t>TAPA 102 x 50 U</t>
        </is>
      </c>
      <c r="D49" s="11" t="inlineStr">
        <is>
          <t>TAPA 102</t>
        </is>
      </c>
      <c r="E49" s="24" t="n">
        <v>50</v>
      </c>
      <c r="F49" s="11" t="n"/>
    </row>
    <row r="50">
      <c r="A50" s="22" t="n">
        <v>2006471</v>
      </c>
      <c r="B50" s="11" t="inlineStr">
        <is>
          <t>7790321020288</t>
        </is>
      </c>
      <c r="C50" s="11" t="inlineStr">
        <is>
          <t xml:space="preserve">TAPA 102 X 100U </t>
        </is>
      </c>
      <c r="D50" s="11" t="inlineStr">
        <is>
          <t>TAPA 102</t>
        </is>
      </c>
      <c r="E50" s="24" t="n">
        <v>100</v>
      </c>
      <c r="F50" s="11" t="n"/>
    </row>
    <row r="51">
      <c r="A51" s="22" t="n">
        <v>2006651</v>
      </c>
      <c r="B51" s="11" t="inlineStr">
        <is>
          <t>7790321020256</t>
        </is>
      </c>
      <c r="C51" s="11" t="inlineStr">
        <is>
          <t>TAPA 101 x 100 U</t>
        </is>
      </c>
      <c r="D51" s="11" t="inlineStr">
        <is>
          <t>TAPA 101</t>
        </is>
      </c>
      <c r="E51" s="24" t="n">
        <v>100</v>
      </c>
      <c r="F51" s="11" t="n"/>
    </row>
    <row r="52">
      <c r="A52" s="22" t="n">
        <v>2007287</v>
      </c>
      <c r="B52" s="11" t="inlineStr">
        <is>
          <t>7790000000345</t>
        </is>
      </c>
      <c r="C52" s="11" t="inlineStr">
        <is>
          <t>VO TAPA RECTANGULAR 101 X 50UN COTNYL</t>
        </is>
      </c>
      <c r="D52" s="11" t="inlineStr">
        <is>
          <t>TAPA 101</t>
        </is>
      </c>
      <c r="E52" s="24" t="n">
        <v>50</v>
      </c>
      <c r="F52" s="11" t="n"/>
    </row>
    <row r="53">
      <c r="A53" s="22" t="n"/>
      <c r="B53" s="11" t="inlineStr">
        <is>
          <t>7798011210022</t>
        </is>
      </c>
      <c r="C53" s="11" t="inlineStr">
        <is>
          <t xml:space="preserve">BANDEJA 121 MICRO COTNYL X100U     </t>
        </is>
      </c>
      <c r="D53" s="11" t="inlineStr">
        <is>
          <t>TAPA 101</t>
        </is>
      </c>
      <c r="E53" s="24" t="n">
        <v>100</v>
      </c>
      <c r="F53" s="11" t="n"/>
    </row>
    <row r="54">
      <c r="A54" s="22" t="n"/>
      <c r="B54" s="11" t="inlineStr">
        <is>
          <t>7790321020391</t>
        </is>
      </c>
      <c r="C54" s="11" t="inlineStr">
        <is>
          <t>SORBETE CON FUNDA X70U</t>
        </is>
      </c>
      <c r="D54" s="11" t="inlineStr">
        <is>
          <t>SORBETE C/ FUNDA</t>
        </is>
      </c>
      <c r="E54" s="24" t="n">
        <v>70</v>
      </c>
      <c r="F54" s="11" t="n"/>
    </row>
    <row r="55">
      <c r="A55" s="22" t="n">
        <v>2006674</v>
      </c>
      <c r="B55" s="11" t="inlineStr">
        <is>
          <t>7790221010607</t>
        </is>
      </c>
      <c r="C55" s="11" t="inlineStr">
        <is>
          <t>SORBETES ENSOBRADOS X 1000</t>
        </is>
      </c>
      <c r="D55" s="11" t="inlineStr">
        <is>
          <t xml:space="preserve">SORBETE </t>
        </is>
      </c>
      <c r="E55" s="24" t="n">
        <v>1000</v>
      </c>
      <c r="F55" s="11" t="n"/>
    </row>
    <row r="56">
      <c r="A56" s="22" t="n"/>
      <c r="B56" s="11" t="inlineStr">
        <is>
          <t>7790000000524</t>
        </is>
      </c>
      <c r="C56" s="11" t="inlineStr">
        <is>
          <t>GL SERVILLETA ECO 33x33 X500 BIOPAC</t>
        </is>
      </c>
      <c r="D56" s="11" t="inlineStr">
        <is>
          <t>SERVILLETE 33X33 BIO</t>
        </is>
      </c>
      <c r="E56" s="24" t="n">
        <v>500</v>
      </c>
      <c r="F56" s="11" t="n"/>
    </row>
    <row r="57">
      <c r="A57" s="22" t="inlineStr">
        <is>
          <t>NO SE ENCUENTRA EAN</t>
        </is>
      </c>
      <c r="B57" s="11" t="inlineStr">
        <is>
          <t>7790000000690</t>
        </is>
      </c>
      <c r="C57" s="11" t="inlineStr">
        <is>
          <t>SERVILLETA SIMIL TELA X1600U 40X40</t>
        </is>
      </c>
      <c r="D57" s="11" t="inlineStr">
        <is>
          <t>SERVILLETA SIMIL TELA</t>
        </is>
      </c>
      <c r="E57" s="24" t="n">
        <v>1600</v>
      </c>
      <c r="F57" s="11" t="n"/>
    </row>
    <row r="58">
      <c r="A58" s="22" t="n">
        <v>2006232</v>
      </c>
      <c r="B58" s="11" t="inlineStr">
        <is>
          <t>7790321284500</t>
        </is>
      </c>
      <c r="C58" s="11" t="inlineStr">
        <is>
          <t xml:space="preserve">SERVILLETA 30X40X600U AIRLAD </t>
        </is>
      </c>
      <c r="D58" s="11" t="inlineStr">
        <is>
          <t>SERVILLETA SIMIL TELA</t>
        </is>
      </c>
      <c r="E58" s="24" t="n">
        <v>600</v>
      </c>
      <c r="F58" s="11" t="n"/>
    </row>
    <row r="59">
      <c r="A59" s="22" t="n"/>
      <c r="B59" s="11" t="inlineStr">
        <is>
          <t>7790000000713</t>
        </is>
      </c>
      <c r="C59" s="11" t="inlineStr">
        <is>
          <t>SERVI SIMIL TELA S/LOGO X2000U</t>
        </is>
      </c>
      <c r="D59" s="11" t="inlineStr">
        <is>
          <t>SERVILLETA SIMIL TELA</t>
        </is>
      </c>
      <c r="E59" s="24" t="n">
        <v>2000</v>
      </c>
      <c r="F59" s="11" t="n"/>
    </row>
    <row r="60">
      <c r="A60" s="22" t="n">
        <v>2006233</v>
      </c>
      <c r="B60" s="11" t="inlineStr">
        <is>
          <t>PS0241</t>
        </is>
      </c>
      <c r="C60" s="11" t="inlineStr">
        <is>
          <t>SERVILLETA BAR X 10000U BARMAN</t>
        </is>
      </c>
      <c r="D60" s="11" t="inlineStr">
        <is>
          <t>SERVILLETA BAR</t>
        </is>
      </c>
      <c r="E60" s="24" t="n">
        <v>10000</v>
      </c>
      <c r="F60" s="11" t="n"/>
    </row>
    <row r="61">
      <c r="A61" s="22" t="n"/>
      <c r="B61" s="11" t="inlineStr">
        <is>
          <t>PS0241</t>
        </is>
      </c>
      <c r="C61" s="11" t="inlineStr">
        <is>
          <t xml:space="preserve">SERVILLETA BAR X 10000U BARMAN     </t>
        </is>
      </c>
      <c r="D61" s="11" t="inlineStr">
        <is>
          <t>SERVILLETA BAR</t>
        </is>
      </c>
      <c r="E61" s="24" t="n">
        <v>10000</v>
      </c>
      <c r="F61" s="11" t="n"/>
    </row>
    <row r="62">
      <c r="A62" s="22" t="n">
        <v>2006219</v>
      </c>
      <c r="B62" s="11" t="inlineStr">
        <is>
          <t>7790321020533</t>
        </is>
      </c>
      <c r="C62" s="11" t="inlineStr">
        <is>
          <t xml:space="preserve">SERVILLETA BLANCA 33X33X1000U NUTRIRE     </t>
        </is>
      </c>
      <c r="D62" s="11" t="inlineStr">
        <is>
          <t>SERVILLETA 33X33 NUTRIRE</t>
        </is>
      </c>
      <c r="E62" s="24" t="n">
        <v>1000</v>
      </c>
      <c r="F62" s="11" t="n"/>
    </row>
    <row r="63">
      <c r="A63" s="22" t="n">
        <v>2007381</v>
      </c>
      <c r="B63" s="11" t="inlineStr">
        <is>
          <t>7790000000410</t>
        </is>
      </c>
      <c r="C63" s="11" t="inlineStr">
        <is>
          <t>VO SERV BEIGE 33X33X1000U CHEFGOURMET</t>
        </is>
      </c>
      <c r="D63" s="11" t="inlineStr">
        <is>
          <t>SERVILLETA C/ LOGO C. GOURMET 33X21.5</t>
        </is>
      </c>
      <c r="E63" s="24" t="n">
        <v>1000</v>
      </c>
      <c r="F63" s="11" t="n"/>
    </row>
    <row r="64">
      <c r="A64" s="22" t="n">
        <v>2006483</v>
      </c>
      <c r="B64" s="11" t="inlineStr">
        <is>
          <t>7790321020529</t>
        </is>
      </c>
      <c r="C64" s="11" t="inlineStr">
        <is>
          <t>SERVILLE BCA 33X33X1000U BLUE</t>
        </is>
      </c>
      <c r="D64" s="11" t="inlineStr">
        <is>
          <t>SERVILLETA C/ LOGO BLUE 33X21.5</t>
        </is>
      </c>
      <c r="E64" s="24" t="n">
        <v>1000</v>
      </c>
      <c r="F64" s="11" t="n"/>
    </row>
    <row r="65">
      <c r="A65" s="22" t="n"/>
      <c r="B65" s="11" t="inlineStr">
        <is>
          <t>7798044557231</t>
        </is>
      </c>
      <c r="C65" s="11" t="inlineStr">
        <is>
          <t xml:space="preserve">SERVILLE BEIGE 33X33X1000U BLUE    </t>
        </is>
      </c>
      <c r="D65" s="11" t="inlineStr">
        <is>
          <t>SERVILLETA C/ LOGO BLUE 33X21.5</t>
        </is>
      </c>
      <c r="E65" s="24" t="n">
        <v>1000</v>
      </c>
      <c r="F65" s="11" t="n"/>
    </row>
    <row r="66">
      <c r="A66" s="22" t="n">
        <v>2006800</v>
      </c>
      <c r="B66" s="11" t="inlineStr">
        <is>
          <t>14047000A</t>
        </is>
      </c>
      <c r="C66" s="11" t="inlineStr">
        <is>
          <t>SERVILLE BCA 33X32X1000U S/LOGO</t>
        </is>
      </c>
      <c r="D66" s="11" t="inlineStr">
        <is>
          <t>SERVILLETA 30X30 S/LOGO</t>
        </is>
      </c>
      <c r="E66" s="24" t="n">
        <v>1000</v>
      </c>
      <c r="F66" s="11" t="n"/>
    </row>
    <row r="67">
      <c r="A67" s="22" t="n">
        <v>2006461</v>
      </c>
      <c r="B67" s="11" t="inlineStr">
        <is>
          <t>14047013A</t>
        </is>
      </c>
      <c r="C67" s="11" t="inlineStr">
        <is>
          <t>SERVILLE BCA 30X30X1000U S/LOGO</t>
        </is>
      </c>
      <c r="D67" s="11" t="inlineStr">
        <is>
          <t>SERVILLETA 30X30 S/LOGO</t>
        </is>
      </c>
      <c r="E67" s="24" t="n">
        <v>1000</v>
      </c>
      <c r="F67" s="11" t="n"/>
    </row>
    <row r="68">
      <c r="A68" s="22" t="n">
        <v>2006159</v>
      </c>
      <c r="B68" s="11" t="inlineStr">
        <is>
          <t>7790321020535</t>
        </is>
      </c>
      <c r="C68" s="11" t="inlineStr">
        <is>
          <t>SERVILLETA S/LOGO 32X33X1000U</t>
        </is>
      </c>
      <c r="D68" s="11" t="inlineStr">
        <is>
          <t>SERVILLETA 30X30 S/LOGO</t>
        </is>
      </c>
      <c r="E68" s="24" t="n">
        <v>1000</v>
      </c>
      <c r="F68" s="11" t="n"/>
    </row>
    <row r="69">
      <c r="A69" s="22" t="n">
        <v>2006170</v>
      </c>
      <c r="B69" s="11" t="inlineStr">
        <is>
          <t>14047009A</t>
        </is>
      </c>
      <c r="C69" s="11" t="inlineStr">
        <is>
          <t>SERVILLETA BCA 24X24 X1000U S/LOGO</t>
        </is>
      </c>
      <c r="D69" s="11" t="inlineStr">
        <is>
          <t>SERVILLETA 30X30 S/LOGO</t>
        </is>
      </c>
      <c r="E69" s="24" t="n">
        <v>1000</v>
      </c>
      <c r="F69" s="11" t="n"/>
    </row>
    <row r="70">
      <c r="A70" s="22" t="n">
        <v>2006690</v>
      </c>
      <c r="B70" s="11" t="inlineStr">
        <is>
          <t>7790321020526</t>
        </is>
      </c>
      <c r="C70" s="11" t="inlineStr">
        <is>
          <t>SERVILLETA S/ LOGO 18X18X1000U</t>
        </is>
      </c>
      <c r="D70" s="11" t="inlineStr">
        <is>
          <t>SERVILLETA 30X30 S/LOGO</t>
        </is>
      </c>
      <c r="E70" s="24" t="n">
        <v>1000</v>
      </c>
      <c r="F70" s="11" t="n"/>
    </row>
    <row r="71">
      <c r="A71" s="22" t="n">
        <v>2006462</v>
      </c>
      <c r="B71" s="11" t="inlineStr">
        <is>
          <t>7790321020537</t>
        </is>
      </c>
      <c r="C71" s="11" t="inlineStr">
        <is>
          <t>SERVILLE BCA 24X24X2000U S/LOGO</t>
        </is>
      </c>
      <c r="D71" s="11" t="inlineStr">
        <is>
          <t>SERVILLETA 30X30 S/LOGO</t>
        </is>
      </c>
      <c r="E71" s="24" t="n">
        <v>2000</v>
      </c>
      <c r="F71" s="11" t="n"/>
    </row>
    <row r="72">
      <c r="A72" s="22" t="n">
        <v>2007100</v>
      </c>
      <c r="B72" s="11" t="inlineStr">
        <is>
          <t>1404700012</t>
        </is>
      </c>
      <c r="C72" s="11" t="inlineStr">
        <is>
          <t xml:space="preserve">SERVILLETA S/LOGO BCA 14X14   </t>
        </is>
      </c>
      <c r="D72" s="11" t="inlineStr">
        <is>
          <t>SERVILLETA 30X30 S/LOGO</t>
        </is>
      </c>
      <c r="E72" s="24" t="n">
        <v>2000</v>
      </c>
      <c r="F72" s="11" t="n"/>
    </row>
    <row r="73">
      <c r="A73" s="22" t="n">
        <v>2007114</v>
      </c>
      <c r="B73" s="11" t="inlineStr">
        <is>
          <t>9992016801782</t>
        </is>
      </c>
      <c r="C73" s="11" t="inlineStr">
        <is>
          <t xml:space="preserve">SERVILLETAS BARMAN 24X24 CM        </t>
        </is>
      </c>
      <c r="D73" s="11" t="inlineStr">
        <is>
          <t>SERVILLETA 30X30 S/LOGO</t>
        </is>
      </c>
      <c r="E73" s="24" t="n">
        <v>2000</v>
      </c>
      <c r="F73" s="11" t="n"/>
    </row>
    <row r="74">
      <c r="A74" s="22" t="n">
        <v>2006218</v>
      </c>
      <c r="B74" s="11" t="inlineStr">
        <is>
          <t>7790321020532</t>
        </is>
      </c>
      <c r="C74" s="11" t="inlineStr">
        <is>
          <t>SERVILLE BCA 18X18X1000U NUTRIRE</t>
        </is>
      </c>
      <c r="D74" s="11" t="inlineStr">
        <is>
          <t>SERVILLETA 18x18 NUTRIRE</t>
        </is>
      </c>
      <c r="E74" s="24" t="n">
        <v>1000</v>
      </c>
      <c r="F74" s="11" t="n"/>
    </row>
    <row r="75">
      <c r="A75" s="22" t="n">
        <v>2006801</v>
      </c>
      <c r="B75" s="11" t="inlineStr">
        <is>
          <t>7790321284502</t>
        </is>
      </c>
      <c r="C75" s="11" t="inlineStr">
        <is>
          <t>SERVILLETA BCA 18X18X2000U BLUE</t>
        </is>
      </c>
      <c r="D75" s="11" t="inlineStr">
        <is>
          <t>SERVILLETA 18x18 BLUE</t>
        </is>
      </c>
      <c r="E75" s="24" t="n">
        <v>2000</v>
      </c>
      <c r="F75" s="11" t="n"/>
    </row>
    <row r="76">
      <c r="A76" s="22" t="n">
        <v>2006666</v>
      </c>
      <c r="B76" s="11" t="inlineStr">
        <is>
          <t>7790013877012</t>
        </is>
      </c>
      <c r="C76" s="11" t="inlineStr">
        <is>
          <t>SERVILLETA BCA 18X18X1000U BLUE</t>
        </is>
      </c>
      <c r="D76" s="11" t="inlineStr">
        <is>
          <t>SERVILLETA 18x18 BLUE</t>
        </is>
      </c>
      <c r="E76" s="24" t="n">
        <v>1000</v>
      </c>
      <c r="F76" s="11" t="n"/>
    </row>
    <row r="77">
      <c r="A77" s="22" t="n"/>
      <c r="B77" s="11" t="inlineStr">
        <is>
          <t>9992016801751</t>
        </is>
      </c>
      <c r="C77" s="11" t="inlineStr">
        <is>
          <t xml:space="preserve">SERVILLETA 18X18 X1000U BLUE       </t>
        </is>
      </c>
      <c r="D77" s="11" t="inlineStr">
        <is>
          <t>SERVILLETA 18X18 BLUE</t>
        </is>
      </c>
      <c r="E77" s="24" t="n">
        <v>1000</v>
      </c>
      <c r="F77" s="11" t="n"/>
    </row>
    <row r="78">
      <c r="A78" s="22" t="n">
        <v>2006665</v>
      </c>
      <c r="B78" s="11" t="inlineStr">
        <is>
          <t>17790250912825</t>
        </is>
      </c>
      <c r="C78" s="11" t="inlineStr">
        <is>
          <t>SERVILLETA INTERCALADA X250U ELITE</t>
        </is>
      </c>
      <c r="D78" s="11" t="inlineStr">
        <is>
          <t xml:space="preserve">SERVILLETA 16X21 </t>
        </is>
      </c>
      <c r="E78" s="24" t="n">
        <v>8400</v>
      </c>
      <c r="F78" s="11" t="n"/>
    </row>
    <row r="79">
      <c r="A79" s="22" t="n"/>
      <c r="B79" s="11" t="inlineStr">
        <is>
          <t>140470001</t>
        </is>
      </c>
      <c r="C79" s="11" t="inlineStr">
        <is>
          <t>SERVILLETA 21 x 21 x 2000 U</t>
        </is>
      </c>
      <c r="D79" s="11" t="inlineStr">
        <is>
          <t xml:space="preserve">SERVILLETA 16X21 </t>
        </is>
      </c>
      <c r="E79" s="24" t="n">
        <v>2000</v>
      </c>
      <c r="F79" s="11" t="n"/>
    </row>
    <row r="80">
      <c r="A80" s="22" t="n"/>
      <c r="B80" s="11" t="inlineStr">
        <is>
          <t>7790042181189</t>
        </is>
      </c>
      <c r="C80" s="11" t="inlineStr">
        <is>
          <t xml:space="preserve">ROLLO BOBINA FILM X35BOPPXU        </t>
        </is>
      </c>
      <c r="D80" s="11" t="inlineStr">
        <is>
          <t>ROLLO TERMOSELLADO</t>
        </is>
      </c>
      <c r="E80" s="24" t="n">
        <v>1</v>
      </c>
      <c r="F80" s="11" t="n"/>
    </row>
    <row r="81">
      <c r="A81" s="22" t="n">
        <v>2006209</v>
      </c>
      <c r="B81" s="11" t="inlineStr">
        <is>
          <t>14044013A</t>
        </is>
      </c>
      <c r="C81" s="11" t="inlineStr">
        <is>
          <t>ROLLO PAPEL MANTECA</t>
        </is>
      </c>
      <c r="D81" s="11" t="inlineStr">
        <is>
          <t>ROLLO PAPEL MANTECA</t>
        </is>
      </c>
      <c r="E81" s="24" t="n">
        <v>1</v>
      </c>
      <c r="F81" s="11" t="inlineStr">
        <is>
          <t>Pack Express</t>
        </is>
      </c>
    </row>
    <row r="82">
      <c r="A82" s="22" t="n">
        <v>2007343</v>
      </c>
      <c r="B82" s="11" t="inlineStr">
        <is>
          <t>7791156433356</t>
        </is>
      </c>
      <c r="C82" s="11" t="inlineStr">
        <is>
          <t>VO ROLLO PAP MANTECA 38CM -1KG</t>
        </is>
      </c>
      <c r="D82" s="11" t="inlineStr">
        <is>
          <t>ROLLO PAPEL MANTECA</t>
        </is>
      </c>
      <c r="E82" s="24" t="n">
        <v>1</v>
      </c>
      <c r="F82" s="11" t="n"/>
    </row>
    <row r="83">
      <c r="A83" s="22" t="n">
        <v>2006396</v>
      </c>
      <c r="B83" s="11" t="inlineStr">
        <is>
          <t>17146007A</t>
        </is>
      </c>
      <c r="C83" s="11" t="inlineStr">
        <is>
          <t>PAPEL ALUMINIO x 1 KG</t>
        </is>
      </c>
      <c r="D83" s="11" t="inlineStr">
        <is>
          <t>ROLLO ALUMINIO 40</t>
        </is>
      </c>
      <c r="E83" s="24" t="n">
        <v>1</v>
      </c>
      <c r="F83" s="11" t="n"/>
    </row>
    <row r="84">
      <c r="A84" s="22" t="n">
        <v>2006663</v>
      </c>
      <c r="B84" s="11" t="inlineStr">
        <is>
          <t>LIM000155</t>
        </is>
      </c>
      <c r="C84" s="11" t="inlineStr">
        <is>
          <t>ROLLO ALUMINIO 45cm x 10mts</t>
        </is>
      </c>
      <c r="D84" s="11" t="inlineStr">
        <is>
          <t>ROLLO ALUMINIO 40</t>
        </is>
      </c>
      <c r="E84" s="24" t="n">
        <v>1</v>
      </c>
      <c r="F84" s="11" t="n"/>
    </row>
    <row r="85">
      <c r="A85" s="22" t="n">
        <v>2006662</v>
      </c>
      <c r="B85" s="11" t="inlineStr">
        <is>
          <t>EMB000044</t>
        </is>
      </c>
      <c r="C85" s="11" t="inlineStr">
        <is>
          <t>ROLLO PAPEL ALUMINIO X 5 M</t>
        </is>
      </c>
      <c r="D85" s="11" t="inlineStr">
        <is>
          <t>ROLLO ALUMINIO 40</t>
        </is>
      </c>
      <c r="E85" s="24" t="n">
        <v>1</v>
      </c>
      <c r="F85" s="11" t="n"/>
    </row>
    <row r="86">
      <c r="A86" s="22" t="n">
        <v>2006799</v>
      </c>
      <c r="B86" s="11" t="inlineStr">
        <is>
          <t>7791388988495</t>
        </is>
      </c>
      <c r="C86" s="11" t="inlineStr">
        <is>
          <t xml:space="preserve">ROLLO ALUMINIO 40CM X1KG        </t>
        </is>
      </c>
      <c r="D86" s="11" t="inlineStr">
        <is>
          <t>ROLLO ALUMINIO 40</t>
        </is>
      </c>
      <c r="E86" s="24" t="n">
        <v>1</v>
      </c>
      <c r="F86" s="11" t="n"/>
    </row>
    <row r="87">
      <c r="A87" s="22" t="n">
        <v>2007332</v>
      </c>
      <c r="B87" s="11" t="inlineStr">
        <is>
          <t>9992017900507</t>
        </is>
      </c>
      <c r="C87" s="11" t="inlineStr">
        <is>
          <t>GL ROLLO ALUMINIO 38CM  X1UN</t>
        </is>
      </c>
      <c r="D87" s="11" t="inlineStr">
        <is>
          <t>ROLLO ALUMINIO 40</t>
        </is>
      </c>
      <c r="E87" s="24" t="n">
        <v>1</v>
      </c>
      <c r="F87" s="11" t="n"/>
    </row>
    <row r="88">
      <c r="A88" s="22" t="n"/>
      <c r="B88" s="11" t="inlineStr">
        <is>
          <t>736372273444</t>
        </is>
      </c>
      <c r="C88" s="11" t="inlineStr">
        <is>
          <t xml:space="preserve">ROLLO ALUM. 38CM 14MT 20MIC ALUMAX </t>
        </is>
      </c>
      <c r="D88" s="11" t="inlineStr">
        <is>
          <t>ROLLO ALUMINIO 40</t>
        </is>
      </c>
      <c r="E88" s="24" t="n">
        <v>1</v>
      </c>
      <c r="F88" s="11" t="n"/>
    </row>
    <row r="89">
      <c r="A89" s="22" t="n">
        <v>2006847</v>
      </c>
      <c r="B89" s="11" t="inlineStr">
        <is>
          <t>7790321060978</t>
        </is>
      </c>
      <c r="C89" s="11" t="inlineStr">
        <is>
          <t>POTE 230 CC X 1000U</t>
        </is>
      </c>
      <c r="D89" s="11" t="inlineStr">
        <is>
          <t>POTE 230CC</t>
        </is>
      </c>
      <c r="E89" s="24" t="n">
        <v>1000</v>
      </c>
      <c r="F89" s="11" t="n"/>
    </row>
    <row r="90">
      <c r="A90" s="22" t="n">
        <v>2006740</v>
      </c>
      <c r="B90" s="11" t="inlineStr">
        <is>
          <t>7796613305498</t>
        </is>
      </c>
      <c r="C90" s="11" t="inlineStr">
        <is>
          <t>PLATOS DESCARTABLES X 50 UNID</t>
        </is>
      </c>
      <c r="D90" s="11" t="inlineStr">
        <is>
          <t>PLATO DESCARTABLE</t>
        </is>
      </c>
      <c r="E90" s="24" t="n">
        <v>50</v>
      </c>
      <c r="F90" s="11" t="n"/>
    </row>
    <row r="91">
      <c r="A91" s="22" t="n">
        <v>2006419</v>
      </c>
      <c r="B91" s="11" t="inlineStr">
        <is>
          <t>779032060649</t>
        </is>
      </c>
      <c r="C91" s="11" t="inlineStr">
        <is>
          <t>PLATO DESCARTABLE 17CM X 1000U</t>
        </is>
      </c>
      <c r="D91" s="11" t="inlineStr">
        <is>
          <t>PLATO DESCARTABLE</t>
        </is>
      </c>
      <c r="E91" s="24" t="n">
        <v>1000</v>
      </c>
      <c r="F91" s="11" t="n"/>
    </row>
    <row r="92">
      <c r="A92" s="22" t="n">
        <v>2006661</v>
      </c>
      <c r="B92" s="11" t="inlineStr">
        <is>
          <t>7798188651181</t>
        </is>
      </c>
      <c r="C92" s="11" t="inlineStr">
        <is>
          <t>PAPEL HAMBUR ALUMINIO X116U</t>
        </is>
      </c>
      <c r="D92" s="11" t="inlineStr">
        <is>
          <t>PAPEL HAMBURGUESA</t>
        </is>
      </c>
      <c r="E92" s="24" t="n">
        <v>116</v>
      </c>
      <c r="F92" s="11" t="n"/>
    </row>
    <row r="93">
      <c r="A93" s="22" t="inlineStr">
        <is>
          <t>NO SE ENCUENTRA EAN</t>
        </is>
      </c>
      <c r="B93" s="11" t="inlineStr">
        <is>
          <t>7981889753416</t>
        </is>
      </c>
      <c r="C93" s="11" t="inlineStr">
        <is>
          <t>MANGAS DESCARTABLES 27X58CM X50U</t>
        </is>
      </c>
      <c r="D93" s="11" t="inlineStr">
        <is>
          <t>MANGAS DESCARTABLES</t>
        </is>
      </c>
      <c r="E93" s="24" t="n">
        <v>50</v>
      </c>
      <c r="F93" s="11" t="n"/>
    </row>
    <row r="94">
      <c r="A94" s="22" t="inlineStr">
        <is>
          <t>NO SE ENCUENTRA EAN</t>
        </is>
      </c>
      <c r="B94" s="11" t="inlineStr">
        <is>
          <t>BAZ000712</t>
        </is>
      </c>
      <c r="C94" s="11" t="inlineStr">
        <is>
          <t>ROLLO MANGA REPO N5 25*58 X25U RESI</t>
        </is>
      </c>
      <c r="D94" s="11" t="inlineStr">
        <is>
          <t>MANGAS DESCARTABLES</t>
        </is>
      </c>
      <c r="E94" s="24" t="n">
        <v>25</v>
      </c>
      <c r="F94" s="11" t="n"/>
    </row>
    <row r="95">
      <c r="A95" s="22" t="inlineStr">
        <is>
          <t>NO SE ENCUENTRA EAN</t>
        </is>
      </c>
      <c r="B95" s="11" t="inlineStr">
        <is>
          <t>7798934234564</t>
        </is>
      </c>
      <c r="C95" s="11" t="inlineStr">
        <is>
          <t>MANGA REPOS X20ROLLOS X25U</t>
        </is>
      </c>
      <c r="D95" s="11" t="inlineStr">
        <is>
          <t>MANGAS DESCARTABLES</t>
        </is>
      </c>
      <c r="E95" s="24" t="n">
        <v>25</v>
      </c>
      <c r="F95" s="11" t="n"/>
    </row>
    <row r="96">
      <c r="A96" s="22" t="n"/>
      <c r="B96" s="11" t="inlineStr">
        <is>
          <t>BAZ001209</t>
        </is>
      </c>
      <c r="C96" s="11" t="inlineStr">
        <is>
          <t xml:space="preserve">MANGAS DES 20X40CM ROLLO X50UN     </t>
        </is>
      </c>
      <c r="D96" s="11" t="inlineStr">
        <is>
          <t>MANGAS DESCARTABLES</t>
        </is>
      </c>
      <c r="E96" s="24" t="n">
        <v>50</v>
      </c>
      <c r="F96" s="11" t="n"/>
    </row>
    <row r="97">
      <c r="A97" s="22" t="n"/>
      <c r="B97" s="11" t="inlineStr">
        <is>
          <t>7798044557721</t>
        </is>
      </c>
      <c r="C97" s="11" t="inlineStr">
        <is>
          <t xml:space="preserve">ROLLO MANGA REPOS N5 25X28X25U     </t>
        </is>
      </c>
      <c r="D97" s="11" t="inlineStr">
        <is>
          <t>MANGAS DESCARTABLES</t>
        </is>
      </c>
      <c r="E97" s="24" t="n">
        <v>25</v>
      </c>
      <c r="F97" s="11" t="n"/>
    </row>
    <row r="98">
      <c r="A98" s="22" t="n"/>
      <c r="B98" s="11" t="inlineStr">
        <is>
          <t>7790321190588</t>
        </is>
      </c>
      <c r="C98" s="11" t="inlineStr">
        <is>
          <t xml:space="preserve">MANTEL IND 40X30X1000U SLL         </t>
        </is>
      </c>
      <c r="D98" s="11" t="inlineStr">
        <is>
          <t>INDIVIDUAL SLL</t>
        </is>
      </c>
      <c r="E98" s="24" t="n">
        <v>1000</v>
      </c>
      <c r="F98" s="11" t="n"/>
    </row>
    <row r="99">
      <c r="A99" s="22" t="n">
        <v>2006637</v>
      </c>
      <c r="B99" s="11" t="inlineStr">
        <is>
          <t>7790321020530</t>
        </is>
      </c>
      <c r="C99" s="11" t="inlineStr">
        <is>
          <t>MANTEL IND 40X30X1000U NUTRIRE</t>
        </is>
      </c>
      <c r="D99" s="11" t="inlineStr">
        <is>
          <t>INDIVIDUAL NUTRIRE</t>
        </is>
      </c>
      <c r="E99" s="24" t="n">
        <v>1000</v>
      </c>
      <c r="F99" s="11" t="n"/>
    </row>
    <row r="100">
      <c r="A100" s="22" t="n">
        <v>2007004</v>
      </c>
      <c r="B100" s="11" t="inlineStr">
        <is>
          <t>7790000000043</t>
        </is>
      </c>
      <c r="C100" s="11" t="inlineStr">
        <is>
          <t>MANTEL INDIVIDUAL KRAFT LISO X200U</t>
        </is>
      </c>
      <c r="D100" s="11" t="inlineStr">
        <is>
          <t>INDIVIDUAL KRAFT</t>
        </is>
      </c>
      <c r="E100" s="24" t="n">
        <v>200</v>
      </c>
      <c r="F100" s="11" t="n"/>
    </row>
    <row r="101">
      <c r="A101" s="22" t="inlineStr">
        <is>
          <t>NO SE ENCUENTRA EAN</t>
        </is>
      </c>
      <c r="B101" s="11" t="inlineStr">
        <is>
          <t>7790000000235</t>
        </is>
      </c>
      <c r="C101" s="11" t="inlineStr">
        <is>
          <t>INDIVID. CHEF GOURMET HEALTH X1000U</t>
        </is>
      </c>
      <c r="D101" s="11" t="inlineStr">
        <is>
          <t>INDIVIDUAL HEALTH</t>
        </is>
      </c>
      <c r="E101" s="24" t="n">
        <v>1000</v>
      </c>
      <c r="F101" s="11" t="n"/>
    </row>
    <row r="102">
      <c r="A102" s="22" t="n"/>
      <c r="B102" s="11" t="inlineStr">
        <is>
          <t>7790000000231</t>
        </is>
      </c>
      <c r="C102" s="11" t="inlineStr">
        <is>
          <t xml:space="preserve">INDIV GL SUPPORT X1000U            </t>
        </is>
      </c>
      <c r="D102" s="11" t="inlineStr">
        <is>
          <t>INDIVIDUAL GL SUPPORT</t>
        </is>
      </c>
      <c r="E102" s="24" t="n">
        <v>1000</v>
      </c>
      <c r="F102" s="11" t="n"/>
    </row>
    <row r="103">
      <c r="A103" s="22" t="n">
        <v>2007192</v>
      </c>
      <c r="B103" s="11" t="inlineStr">
        <is>
          <t>7790000000236</t>
        </is>
      </c>
      <c r="C103" s="11" t="inlineStr">
        <is>
          <t>NDIVIDUAL CHEF GOURMET FOOD UN X1000</t>
        </is>
      </c>
      <c r="D103" s="11" t="inlineStr">
        <is>
          <t>INDIVIDUAL CHEF GOURMET</t>
        </is>
      </c>
      <c r="E103" s="24" t="n">
        <v>1000</v>
      </c>
      <c r="F103" s="11" t="n"/>
    </row>
    <row r="104">
      <c r="A104" s="22" t="n">
        <v>2007032</v>
      </c>
      <c r="B104" s="11" t="inlineStr">
        <is>
          <t>17030002A</t>
        </is>
      </c>
      <c r="C104" s="11" t="inlineStr">
        <is>
          <t>GUANTES DE POLIPROPILENO x100U</t>
        </is>
      </c>
      <c r="D104" s="11" t="inlineStr">
        <is>
          <t>GUANTE PROPILENO</t>
        </is>
      </c>
      <c r="E104" s="24" t="n">
        <v>100</v>
      </c>
      <c r="F104" s="11" t="n"/>
    </row>
    <row r="105">
      <c r="A105" s="22" t="n"/>
      <c r="B105" s="11" t="inlineStr">
        <is>
          <t>1112017200010</t>
        </is>
      </c>
      <c r="C105" s="11" t="inlineStr">
        <is>
          <t>GUANTES DESC POLIETILENO X100U ALUM</t>
        </is>
      </c>
      <c r="D105" s="11" t="inlineStr">
        <is>
          <t>GUANTE PROPILENO</t>
        </is>
      </c>
      <c r="E105" s="24" t="n">
        <v>100</v>
      </c>
      <c r="F105" s="11" t="n"/>
    </row>
    <row r="106">
      <c r="A106" s="22" t="n">
        <v>2006379</v>
      </c>
      <c r="B106" s="11" t="inlineStr">
        <is>
          <t>LIM000292</t>
        </is>
      </c>
      <c r="C106" s="11" t="inlineStr">
        <is>
          <t>GUANTE NITRILO X100U</t>
        </is>
      </c>
      <c r="D106" s="11" t="inlineStr">
        <is>
          <t>GUANTE NITRILO M</t>
        </is>
      </c>
      <c r="E106" s="24" t="n">
        <v>100</v>
      </c>
      <c r="F106" s="11" t="n"/>
    </row>
    <row r="107">
      <c r="A107" s="22" t="n">
        <v>2006306</v>
      </c>
      <c r="B107" s="11" t="inlineStr">
        <is>
          <t>4968420508543</t>
        </is>
      </c>
      <c r="C107" s="11" t="inlineStr">
        <is>
          <t>GUANTE NITRILO TM X100U NIPRO</t>
        </is>
      </c>
      <c r="D107" s="11" t="inlineStr">
        <is>
          <t>GUANTE NITRILO M</t>
        </is>
      </c>
      <c r="E107" s="24" t="n">
        <v>100</v>
      </c>
      <c r="F107" s="11" t="n"/>
    </row>
    <row r="108">
      <c r="A108" s="22" t="n"/>
      <c r="B108" s="11" t="inlineStr">
        <is>
          <t>7798161676433</t>
        </is>
      </c>
      <c r="C108" s="11" t="inlineStr">
        <is>
          <t xml:space="preserve">GUANTE NITRILO M AZUL X100UN       </t>
        </is>
      </c>
      <c r="D108" s="11" t="inlineStr">
        <is>
          <t>GUANTE NITRILO M</t>
        </is>
      </c>
      <c r="E108" s="24" t="n">
        <v>100</v>
      </c>
      <c r="F108" s="11" t="n"/>
    </row>
    <row r="109">
      <c r="A109" s="22" t="n"/>
      <c r="B109" s="11" t="inlineStr">
        <is>
          <t>7798209711881</t>
        </is>
      </c>
      <c r="C109" s="11" t="inlineStr">
        <is>
          <t>GUANTES DESCART TOPSAL NITRILO NEGR</t>
        </is>
      </c>
      <c r="D109" s="11" t="inlineStr">
        <is>
          <t>GUANTE NITRILO M</t>
        </is>
      </c>
      <c r="E109" s="24" t="n">
        <v>100</v>
      </c>
      <c r="F109" s="11" t="n"/>
    </row>
    <row r="110">
      <c r="A110" s="22" t="n"/>
      <c r="B110" s="11" t="inlineStr">
        <is>
          <t>7790000000702</t>
        </is>
      </c>
      <c r="C110" s="11" t="inlineStr">
        <is>
          <t>GUANTES NITRILO X100U ALUMAX</t>
        </is>
      </c>
      <c r="D110" s="11" t="inlineStr">
        <is>
          <t>GUANTE NITRILO M</t>
        </is>
      </c>
      <c r="E110" s="24" t="n">
        <v>100</v>
      </c>
      <c r="F110" s="11" t="n"/>
    </row>
    <row r="111">
      <c r="A111" s="22" t="n">
        <v>2006353</v>
      </c>
      <c r="B111" s="11" t="inlineStr">
        <is>
          <t>17030001A</t>
        </is>
      </c>
      <c r="C111" s="11" t="inlineStr">
        <is>
          <t>GUANTE DE LATEX x 100 UNID</t>
        </is>
      </c>
      <c r="D111" s="11" t="inlineStr">
        <is>
          <t>GUANTE LATEX M</t>
        </is>
      </c>
      <c r="E111" s="24" t="n">
        <v>100</v>
      </c>
      <c r="F111" s="11" t="n"/>
    </row>
    <row r="112">
      <c r="A112" s="22" t="n">
        <v>2006631</v>
      </c>
      <c r="B112" s="11" t="inlineStr">
        <is>
          <t>7798188570219</t>
        </is>
      </c>
      <c r="C112" s="11" t="inlineStr">
        <is>
          <t xml:space="preserve">GUANTE LATEX M X100U MEDIGLOVE </t>
        </is>
      </c>
      <c r="D112" s="11" t="inlineStr">
        <is>
          <t>GUANTE LATEX M</t>
        </is>
      </c>
      <c r="E112" s="24" t="n">
        <v>100</v>
      </c>
      <c r="F112" s="11" t="n"/>
    </row>
    <row r="113">
      <c r="A113" s="22" t="n">
        <v>2006780</v>
      </c>
      <c r="B113" s="11" t="inlineStr">
        <is>
          <t>7790430132764</t>
        </is>
      </c>
      <c r="C113" s="11" t="inlineStr">
        <is>
          <t>GUANTES LATEX MEDIUM X100U</t>
        </is>
      </c>
      <c r="D113" s="11" t="inlineStr">
        <is>
          <t>GUANTE LATEX M</t>
        </is>
      </c>
      <c r="E113" s="24" t="n">
        <v>100</v>
      </c>
      <c r="F113" s="11" t="n"/>
    </row>
    <row r="114">
      <c r="A114" s="22" t="n">
        <v>2006835</v>
      </c>
      <c r="B114" s="11" t="inlineStr">
        <is>
          <t>7798161675719</t>
        </is>
      </c>
      <c r="C114" s="11" t="inlineStr">
        <is>
          <t>GUANTE LATEX M X 100 EUROMIX</t>
        </is>
      </c>
      <c r="D114" s="11" t="inlineStr">
        <is>
          <t>GUANTE LATEX M</t>
        </is>
      </c>
      <c r="E114" s="24" t="n">
        <v>100</v>
      </c>
      <c r="F114" s="11" t="n"/>
    </row>
    <row r="115">
      <c r="A115" s="22" t="inlineStr">
        <is>
          <t>NO SE ENCUENTRA EAN</t>
        </is>
      </c>
      <c r="B115" s="11" t="inlineStr">
        <is>
          <t xml:space="preserve">7798452810027 </t>
        </is>
      </c>
      <c r="C115" s="11" t="inlineStr">
        <is>
          <t xml:space="preserve">GUANTES LATEX M X1000U ALUMAX  </t>
        </is>
      </c>
      <c r="D115" s="11" t="inlineStr">
        <is>
          <t>GUANTE LATEX M</t>
        </is>
      </c>
      <c r="E115" s="24" t="n">
        <v>100</v>
      </c>
      <c r="F115" s="11" t="n"/>
    </row>
    <row r="116">
      <c r="A116" s="22" t="inlineStr">
        <is>
          <t>NO SE ENCUENTRA EAN</t>
        </is>
      </c>
      <c r="B116" s="11" t="inlineStr">
        <is>
          <t>7798452810027</t>
        </is>
      </c>
      <c r="C116" s="11" t="inlineStr">
        <is>
          <t>GUANTES LATEX M X100U ALUMAX</t>
        </is>
      </c>
      <c r="D116" s="11" t="inlineStr">
        <is>
          <t>GUANTE LATEX M</t>
        </is>
      </c>
      <c r="E116" s="24" t="n">
        <v>100</v>
      </c>
      <c r="F116" s="11" t="n"/>
    </row>
    <row r="117">
      <c r="A117" s="22" t="n">
        <v>2006269</v>
      </c>
      <c r="B117" s="11" t="inlineStr">
        <is>
          <t>7797749103867</t>
        </is>
      </c>
      <c r="C117" s="11" t="inlineStr">
        <is>
          <t>GUANTE LATEX XL X 100U MEDIGLOVE</t>
        </is>
      </c>
      <c r="D117" s="11" t="inlineStr">
        <is>
          <t>GUANTE LATEX L</t>
        </is>
      </c>
      <c r="E117" s="24" t="n">
        <v>100</v>
      </c>
      <c r="F117" s="11" t="n"/>
    </row>
    <row r="118">
      <c r="A118" s="22" t="n">
        <v>2006268</v>
      </c>
      <c r="B118" s="11" t="inlineStr">
        <is>
          <t>7791337118101</t>
        </is>
      </c>
      <c r="C118" s="11" t="inlineStr">
        <is>
          <t>GUANTE LATEX GRANDE X100U NIPRO</t>
        </is>
      </c>
      <c r="D118" s="11" t="inlineStr">
        <is>
          <t>GUANTE LATEX L</t>
        </is>
      </c>
      <c r="E118" s="24" t="n">
        <v>100</v>
      </c>
      <c r="F118" s="11" t="n"/>
    </row>
    <row r="119">
      <c r="A119" s="22" t="n">
        <v>2006356</v>
      </c>
      <c r="B119" s="11" t="inlineStr">
        <is>
          <t>7790430132763</t>
        </is>
      </c>
      <c r="C119" s="11" t="inlineStr">
        <is>
          <t>GUANTES LATEX LARGE X100U</t>
        </is>
      </c>
      <c r="D119" s="11" t="inlineStr">
        <is>
          <t>GUANTE LATEX L</t>
        </is>
      </c>
      <c r="E119" s="24" t="n">
        <v>100</v>
      </c>
      <c r="F119" s="11" t="n"/>
    </row>
    <row r="120">
      <c r="A120" s="22" t="n">
        <v>2006735</v>
      </c>
      <c r="B120" s="11" t="inlineStr">
        <is>
          <t>4968420500356</t>
        </is>
      </c>
      <c r="C120" s="11" t="inlineStr">
        <is>
          <t>GUANTES LATEX TAMAÑO L X100U</t>
        </is>
      </c>
      <c r="D120" s="11" t="inlineStr">
        <is>
          <t>GUANTE LATEX L</t>
        </is>
      </c>
      <c r="E120" s="24" t="n">
        <v>100</v>
      </c>
      <c r="F120" s="11" t="n"/>
    </row>
    <row r="121">
      <c r="A121" s="22" t="n">
        <v>2007090</v>
      </c>
      <c r="B121" s="11" t="inlineStr">
        <is>
          <t>7798161675702</t>
        </is>
      </c>
      <c r="C121" s="11" t="inlineStr">
        <is>
          <t>GL_GUANTE LATEX L X100UN EUROMIX</t>
        </is>
      </c>
      <c r="D121" s="11" t="inlineStr">
        <is>
          <t>GUANTE LATEX L</t>
        </is>
      </c>
      <c r="E121" s="24" t="n">
        <v>100</v>
      </c>
      <c r="F121" s="11" t="n"/>
    </row>
    <row r="122">
      <c r="A122" s="22" t="inlineStr">
        <is>
          <t>NO SE ENCUENTRA EAN</t>
        </is>
      </c>
      <c r="B122" s="11" t="inlineStr">
        <is>
          <t>7798452810034</t>
        </is>
      </c>
      <c r="C122" s="11" t="inlineStr">
        <is>
          <t xml:space="preserve">GUANTES LATEX L X100U ALUMAX </t>
        </is>
      </c>
      <c r="D122" s="11" t="inlineStr">
        <is>
          <t>GUANTE LATEX L</t>
        </is>
      </c>
      <c r="E122" s="24" t="n">
        <v>100</v>
      </c>
      <c r="F122" s="11" t="n"/>
    </row>
    <row r="123">
      <c r="A123" s="22" t="n">
        <v>2007316</v>
      </c>
      <c r="B123" s="11" t="inlineStr">
        <is>
          <t>7790458657255</t>
        </is>
      </c>
      <c r="C123" s="11" t="inlineStr">
        <is>
          <t>VO GUANTES LATEX ANTIDESLIZANTE TIBU</t>
        </is>
      </c>
      <c r="D123" s="11" t="inlineStr">
        <is>
          <t>GUANTE ANTIDESLIZANTE</t>
        </is>
      </c>
      <c r="E123" s="24" t="n">
        <v>2</v>
      </c>
      <c r="F123" s="11" t="n"/>
    </row>
    <row r="124">
      <c r="A124" s="22" t="n">
        <v>2006657</v>
      </c>
      <c r="B124" s="11" t="inlineStr">
        <is>
          <t>13072000A</t>
        </is>
      </c>
      <c r="C124" s="11" t="inlineStr">
        <is>
          <t>FOLEX 20CMX25XCM XKG</t>
        </is>
      </c>
      <c r="D124" s="11" t="inlineStr">
        <is>
          <t>FOLEX</t>
        </is>
      </c>
      <c r="E124" s="24" t="n">
        <v>1</v>
      </c>
      <c r="F124" s="11" t="n"/>
    </row>
    <row r="125">
      <c r="A125" s="22" t="n">
        <v>2007310</v>
      </c>
      <c r="B125" s="11" t="inlineStr">
        <is>
          <t>7791101002132</t>
        </is>
      </c>
      <c r="C125" s="11" t="inlineStr">
        <is>
          <t>VO FOLEX 20CMX25CM XKG MPROPIA</t>
        </is>
      </c>
      <c r="D125" s="11" t="inlineStr">
        <is>
          <t>FOLEX</t>
        </is>
      </c>
      <c r="E125" s="24" t="n">
        <v>1</v>
      </c>
      <c r="F125" s="11" t="n"/>
    </row>
    <row r="126">
      <c r="A126" s="22" t="n"/>
      <c r="B126" s="11" t="inlineStr">
        <is>
          <t>16110000A</t>
        </is>
      </c>
      <c r="C126" s="11" t="inlineStr">
        <is>
          <t xml:space="preserve">FILM STREECH X ROLLO               </t>
        </is>
      </c>
      <c r="D126" s="11" t="inlineStr">
        <is>
          <t>FILM STRECH</t>
        </is>
      </c>
      <c r="E126" s="24" t="n">
        <v>1</v>
      </c>
      <c r="F126" s="11" t="n"/>
    </row>
    <row r="127">
      <c r="A127" s="22" t="n"/>
      <c r="B127" s="11" t="inlineStr">
        <is>
          <t>7790000000657</t>
        </is>
      </c>
      <c r="C127" s="11" t="inlineStr">
        <is>
          <t>FILM STRETCH 50CMX15KG AUTOMATIC</t>
        </is>
      </c>
      <c r="D127" s="11" t="inlineStr">
        <is>
          <t>FILM STRECH</t>
        </is>
      </c>
      <c r="E127" s="24" t="n">
        <v>1</v>
      </c>
      <c r="F127" s="11" t="n"/>
    </row>
    <row r="128">
      <c r="A128" s="22" t="n">
        <v>2006354</v>
      </c>
      <c r="B128" s="11" t="inlineStr">
        <is>
          <t>7790042181191</t>
        </is>
      </c>
      <c r="C128" s="11" t="inlineStr">
        <is>
          <t>ROLLO FILM 45X1000M XU RESIMAX</t>
        </is>
      </c>
      <c r="D128" s="11" t="inlineStr">
        <is>
          <t>FILM PVC 45</t>
        </is>
      </c>
      <c r="E128" s="24" t="n">
        <v>1</v>
      </c>
      <c r="F128" s="11" t="n"/>
    </row>
    <row r="129">
      <c r="A129" s="22" t="n"/>
      <c r="B129" s="11" t="inlineStr">
        <is>
          <t>7790000000229</t>
        </is>
      </c>
      <c r="C129" s="11" t="inlineStr">
        <is>
          <t xml:space="preserve">FILM PVC 45 CM 4,3 KG MPROP X1UN   </t>
        </is>
      </c>
      <c r="D129" s="11" t="inlineStr">
        <is>
          <t>FILM PVC 45</t>
        </is>
      </c>
      <c r="E129" s="24" t="n">
        <v>1</v>
      </c>
      <c r="F129" s="11" t="n"/>
    </row>
    <row r="130">
      <c r="A130" s="22" t="n">
        <v>2006442</v>
      </c>
      <c r="B130" s="11" t="inlineStr">
        <is>
          <t>13044000A</t>
        </is>
      </c>
      <c r="C130" s="11" t="inlineStr">
        <is>
          <t>RESINITE (FILM DE PVC) x ROLLO</t>
        </is>
      </c>
      <c r="D130" s="11" t="inlineStr">
        <is>
          <t>FILM PVC 38</t>
        </is>
      </c>
      <c r="E130" s="24" t="n">
        <v>1</v>
      </c>
      <c r="F130" s="11" t="n"/>
    </row>
    <row r="131">
      <c r="A131" s="22" t="n">
        <v>2006635</v>
      </c>
      <c r="B131" s="11" t="inlineStr">
        <is>
          <t>9992017100464</t>
        </is>
      </c>
      <c r="C131" s="11" t="inlineStr">
        <is>
          <t>FILM APTO TEMP 38X1000M XU RESIMAX</t>
        </is>
      </c>
      <c r="D131" s="11" t="inlineStr">
        <is>
          <t>FILM PVC 38</t>
        </is>
      </c>
      <c r="E131" s="24" t="n">
        <v>1</v>
      </c>
      <c r="F131" s="11" t="n"/>
    </row>
    <row r="132">
      <c r="A132" s="22" t="n">
        <v>2007374</v>
      </c>
      <c r="B132" s="11" t="inlineStr">
        <is>
          <t>7898287715983</t>
        </is>
      </c>
      <c r="C132" s="11" t="inlineStr">
        <is>
          <t xml:space="preserve">GL_FILM PVC 38CM XUN DISPAFILM </t>
        </is>
      </c>
      <c r="D132" s="11" t="inlineStr">
        <is>
          <t>FILM PVC 38</t>
        </is>
      </c>
      <c r="E132" s="24" t="n">
        <v>1</v>
      </c>
      <c r="F132" s="11" t="n"/>
    </row>
    <row r="133">
      <c r="A133" s="22" t="n">
        <v>2007184</v>
      </c>
      <c r="B133" s="11" t="inlineStr">
        <is>
          <t>7790000000228</t>
        </is>
      </c>
      <c r="C133" s="11" t="inlineStr">
        <is>
          <t>GL_FILM PVC 38 CM 3.390KG X1UN</t>
        </is>
      </c>
      <c r="D133" s="11" t="inlineStr">
        <is>
          <t>FILM PVC 38</t>
        </is>
      </c>
      <c r="E133" s="24" t="n">
        <v>1</v>
      </c>
      <c r="F133" s="11" t="n"/>
    </row>
    <row r="134">
      <c r="A134" s="22" t="n">
        <v>2006381</v>
      </c>
      <c r="B134" s="11" t="inlineStr">
        <is>
          <t>756058757297</t>
        </is>
      </c>
      <c r="C134" s="11" t="inlineStr">
        <is>
          <t>FILM APTO TEMP 38X1000M XU CAC</t>
        </is>
      </c>
      <c r="D134" s="11" t="inlineStr">
        <is>
          <t>FILM PVC 38</t>
        </is>
      </c>
      <c r="E134" s="24" t="n">
        <v>1</v>
      </c>
      <c r="F134" s="11" t="n"/>
    </row>
    <row r="135">
      <c r="A135" s="22" t="n"/>
      <c r="B135" s="11" t="inlineStr">
        <is>
          <t>7790000000227</t>
        </is>
      </c>
      <c r="C135" s="11" t="inlineStr">
        <is>
          <t xml:space="preserve">FILM PVC 30 CM  2,645 KG X1UN      </t>
        </is>
      </c>
      <c r="D135" s="11" t="inlineStr">
        <is>
          <t>FILM PVC 30</t>
        </is>
      </c>
      <c r="E135" s="24" t="n">
        <v>1</v>
      </c>
      <c r="F135" s="11" t="n"/>
    </row>
    <row r="136">
      <c r="A136" s="22" t="n">
        <v>2007531</v>
      </c>
      <c r="B136" s="11" t="inlineStr">
        <is>
          <t>7790000000498</t>
        </is>
      </c>
      <c r="C136" s="11" t="inlineStr">
        <is>
          <t>GL_ROLLO FILM STRECH AZUL 50CM</t>
        </is>
      </c>
      <c r="D136" s="11" t="inlineStr">
        <is>
          <t>FILM COLOR AZUL</t>
        </is>
      </c>
      <c r="E136" s="24" t="n">
        <v>1</v>
      </c>
      <c r="F136" s="11" t="n"/>
    </row>
    <row r="137">
      <c r="A137" s="22" t="n">
        <v>2006778</v>
      </c>
      <c r="B137" s="11" t="inlineStr">
        <is>
          <t>13014007A</t>
        </is>
      </c>
      <c r="C137" s="11" t="inlineStr">
        <is>
          <t xml:space="preserve">ESCARBADIENTE EN SOBRE x 1000 </t>
        </is>
      </c>
      <c r="D137" s="11" t="inlineStr">
        <is>
          <t>ESCARBADIENTE</t>
        </is>
      </c>
      <c r="E137" s="24" t="n">
        <v>1000</v>
      </c>
      <c r="F137" s="11" t="n"/>
    </row>
    <row r="138">
      <c r="A138" s="22" t="n">
        <v>2006355</v>
      </c>
      <c r="B138" s="11" t="inlineStr">
        <is>
          <t>7790122000219</t>
        </is>
      </c>
      <c r="C138" s="11" t="inlineStr">
        <is>
          <t xml:space="preserve">ESCARBADIENTES ENSOBRADOS X  1000U </t>
        </is>
      </c>
      <c r="D138" s="11" t="inlineStr">
        <is>
          <t>ESCARBADIENTE</t>
        </is>
      </c>
      <c r="E138" s="24" t="n">
        <v>1000</v>
      </c>
      <c r="F138" s="11" t="n"/>
    </row>
    <row r="139">
      <c r="A139" s="22" t="n">
        <v>2006267</v>
      </c>
      <c r="B139" s="11" t="inlineStr">
        <is>
          <t>7790629589411</t>
        </is>
      </c>
      <c r="C139" s="11" t="inlineStr">
        <is>
          <t>ESCARBADIENTE ENSOBRADO X800U LUSTRAMAX</t>
        </is>
      </c>
      <c r="D139" s="11" t="inlineStr">
        <is>
          <t>ESCARBADIENTE</t>
        </is>
      </c>
      <c r="E139" s="24" t="n">
        <v>800</v>
      </c>
      <c r="F139" s="11" t="n"/>
    </row>
    <row r="140">
      <c r="A140" s="22" t="n">
        <v>2006737</v>
      </c>
      <c r="B140" s="11" t="inlineStr">
        <is>
          <t>7790013877011</t>
        </is>
      </c>
      <c r="C140" s="11" t="inlineStr">
        <is>
          <t>ESCARBADIENTES ENSOBRADOS X500</t>
        </is>
      </c>
      <c r="D140" s="11" t="inlineStr">
        <is>
          <t>ESCARBADIENTE</t>
        </is>
      </c>
      <c r="E140" s="24" t="n">
        <v>500</v>
      </c>
      <c r="F140" s="11" t="n"/>
    </row>
    <row r="141">
      <c r="A141" s="22" t="inlineStr">
        <is>
          <t>NO SE ENCUENTRA EAN</t>
        </is>
      </c>
      <c r="B141" s="11" t="inlineStr">
        <is>
          <t>648260488628</t>
        </is>
      </c>
      <c r="C141" s="11" t="inlineStr">
        <is>
          <t>ESCARBADIENTES X 500 UN</t>
        </is>
      </c>
      <c r="D141" s="11" t="inlineStr">
        <is>
          <t>ESCARBADIENTE</t>
        </is>
      </c>
      <c r="E141" s="24" t="n">
        <v>500</v>
      </c>
      <c r="F141" s="11" t="n"/>
    </row>
    <row r="142">
      <c r="A142" s="22" t="n">
        <v>2006422</v>
      </c>
      <c r="B142" s="11" t="inlineStr">
        <is>
          <t>BAZ000387</t>
        </is>
      </c>
      <c r="C142" s="11" t="inlineStr">
        <is>
          <t>DELANTALES DESCARTABLES X 100</t>
        </is>
      </c>
      <c r="D142" s="11" t="inlineStr">
        <is>
          <t>DELANTAL DESCARTABLE</t>
        </is>
      </c>
      <c r="E142" s="24" t="n">
        <v>100</v>
      </c>
      <c r="F142" s="11" t="n"/>
    </row>
    <row r="143">
      <c r="A143" s="22" t="inlineStr">
        <is>
          <t>NO SE ENCUENTRA EAN</t>
        </is>
      </c>
      <c r="B143" s="11" t="inlineStr">
        <is>
          <t>BAZ000525</t>
        </is>
      </c>
      <c r="C143" s="11" t="inlineStr">
        <is>
          <t>DEGUSTADOR X 2000U</t>
        </is>
      </c>
      <c r="D143" s="11" t="inlineStr">
        <is>
          <t>DEGUSTADOR</t>
        </is>
      </c>
      <c r="E143" s="24" t="n">
        <v>2000</v>
      </c>
      <c r="F143" s="11" t="n"/>
    </row>
    <row r="144">
      <c r="A144" s="22" t="n"/>
      <c r="B144" s="11" t="inlineStr">
        <is>
          <t>BAZ000524</t>
        </is>
      </c>
      <c r="C144" s="11" t="inlineStr">
        <is>
          <t>DEGUSTADOR X 1000 U</t>
        </is>
      </c>
      <c r="D144" s="11" t="inlineStr">
        <is>
          <t>DEGUSTADOR</t>
        </is>
      </c>
      <c r="E144" s="24" t="n">
        <v>1000</v>
      </c>
      <c r="F144" s="11" t="n"/>
    </row>
    <row r="145">
      <c r="A145" s="22" t="n"/>
      <c r="B145" s="11" t="inlineStr">
        <is>
          <t>7790000000735</t>
        </is>
      </c>
      <c r="C145" s="11" t="inlineStr">
        <is>
          <t xml:space="preserve">POTE NATURAL 25CC X2000UN          </t>
        </is>
      </c>
      <c r="D145" s="11" t="inlineStr">
        <is>
          <t>DEGUSTADOR</t>
        </is>
      </c>
      <c r="E145" s="24" t="n">
        <v>2000</v>
      </c>
      <c r="F145" s="11" t="n"/>
    </row>
    <row r="146">
      <c r="A146" s="22" t="n">
        <v>2006176</v>
      </c>
      <c r="B146" s="11" t="inlineStr">
        <is>
          <t>7790321020206</t>
        </is>
      </c>
      <c r="C146" s="11" t="inlineStr">
        <is>
          <t>CUCHILLO PLAST DESCARTABLE x 1000 U</t>
        </is>
      </c>
      <c r="D146" s="11" t="inlineStr">
        <is>
          <t>CUCHILLO DESCARTABLE</t>
        </is>
      </c>
      <c r="E146" s="24" t="n">
        <v>1000</v>
      </c>
      <c r="F146" s="11" t="n"/>
    </row>
    <row r="147">
      <c r="A147" s="22" t="n">
        <v>2007576</v>
      </c>
      <c r="B147" s="11" t="inlineStr">
        <is>
          <t>7790000000522</t>
        </is>
      </c>
      <c r="C147" s="11" t="inlineStr">
        <is>
          <t>GL CUCHILLO COMPOS.16CM X100 BIOPAC</t>
        </is>
      </c>
      <c r="D147" s="11" t="inlineStr">
        <is>
          <t>CUCHILLO COMPOSTABLE</t>
        </is>
      </c>
      <c r="E147" s="24" t="n">
        <v>100</v>
      </c>
      <c r="F147" s="11" t="n"/>
    </row>
    <row r="148">
      <c r="A148" s="22" t="n">
        <v>2006649</v>
      </c>
      <c r="B148" s="11" t="inlineStr">
        <is>
          <t>7790321020176</t>
        </is>
      </c>
      <c r="C148" s="11" t="inlineStr">
        <is>
          <t>CUCHARA PLAST POSTRE x 1000 U</t>
        </is>
      </c>
      <c r="D148" s="11" t="inlineStr">
        <is>
          <t>CUCHARA SUNDAE</t>
        </is>
      </c>
      <c r="E148" s="24" t="n">
        <v>1000</v>
      </c>
      <c r="F148" s="11" t="n"/>
    </row>
    <row r="149">
      <c r="A149" s="22" t="n">
        <v>2006682</v>
      </c>
      <c r="B149" s="11" t="inlineStr">
        <is>
          <t>7790321020196</t>
        </is>
      </c>
      <c r="C149" s="11" t="inlineStr">
        <is>
          <t>CUCHARA SUNDAE DESCARTABLE x 1000 U</t>
        </is>
      </c>
      <c r="D149" s="11" t="inlineStr">
        <is>
          <t>CUCHARA SUNDAE</t>
        </is>
      </c>
      <c r="E149" s="24" t="n">
        <v>1000</v>
      </c>
      <c r="F149" s="11" t="n"/>
    </row>
    <row r="150">
      <c r="A150" s="22" t="n">
        <v>2006449</v>
      </c>
      <c r="B150" s="11" t="inlineStr">
        <is>
          <t>7790321020186</t>
        </is>
      </c>
      <c r="C150" s="11" t="inlineStr">
        <is>
          <t>CUCHARA SOPERA DESCARTABLE x  1000 U</t>
        </is>
      </c>
      <c r="D150" s="11" t="inlineStr">
        <is>
          <t>CUCHARA SOPERA</t>
        </is>
      </c>
      <c r="E150" s="24" t="n">
        <v>1000</v>
      </c>
      <c r="F150" s="11" t="n"/>
    </row>
    <row r="151">
      <c r="A151" s="22" t="n">
        <v>2007571</v>
      </c>
      <c r="B151" s="11" t="inlineStr">
        <is>
          <t>7790000000517</t>
        </is>
      </c>
      <c r="C151" s="11" t="inlineStr">
        <is>
          <t>GL CUCH. COMP.11CM HEL.X100U BIOPAC</t>
        </is>
      </c>
      <c r="D151" s="11" t="inlineStr">
        <is>
          <t>CUCHARA HELADO BIO</t>
        </is>
      </c>
      <c r="E151" s="24" t="n">
        <v>100</v>
      </c>
      <c r="F151" s="11" t="n"/>
    </row>
    <row r="152">
      <c r="A152" s="22" t="n">
        <v>2006846</v>
      </c>
      <c r="B152" s="11" t="inlineStr">
        <is>
          <t>7790321020904</t>
        </is>
      </c>
      <c r="C152" s="11" t="inlineStr">
        <is>
          <t xml:space="preserve">COLLARIN CARTON 8/12 OZ X 100 </t>
        </is>
      </c>
      <c r="D152" s="11" t="inlineStr">
        <is>
          <t>COLLARIN 8/12 OZ</t>
        </is>
      </c>
      <c r="E152" s="24" t="n">
        <v>100</v>
      </c>
      <c r="F152" s="11" t="n"/>
    </row>
    <row r="153">
      <c r="A153" s="22" t="n">
        <v>2006779</v>
      </c>
      <c r="B153" s="11" t="inlineStr">
        <is>
          <t>17018002A</t>
        </is>
      </c>
      <c r="C153" s="11" t="inlineStr">
        <is>
          <t>COFIAS DESCARTABLES X 100</t>
        </is>
      </c>
      <c r="D153" s="11" t="inlineStr">
        <is>
          <t>COFIAS</t>
        </is>
      </c>
      <c r="E153" s="24" t="n">
        <v>100</v>
      </c>
      <c r="F153" s="11" t="n"/>
    </row>
    <row r="154">
      <c r="A154" s="22" t="n">
        <v>2006404</v>
      </c>
      <c r="B154" s="11" t="inlineStr">
        <is>
          <t>14047015A</t>
        </is>
      </c>
      <c r="C154" s="11" t="inlineStr">
        <is>
          <t>SERVILLETA BCA 33X33X1000U GL</t>
        </is>
      </c>
      <c r="D154" s="11" t="inlineStr">
        <is>
          <t>CANCELADO</t>
        </is>
      </c>
      <c r="E154" s="24" t="n">
        <v>1000</v>
      </c>
      <c r="F154" s="11" t="n"/>
    </row>
    <row r="155">
      <c r="A155" s="22" t="n">
        <v>2006739</v>
      </c>
      <c r="B155" s="11" t="inlineStr">
        <is>
          <t>7790321020237</t>
        </is>
      </c>
      <c r="C155" s="11" t="inlineStr">
        <is>
          <t>MANTEL IND 40X30X1000U GL</t>
        </is>
      </c>
      <c r="D155" s="11" t="inlineStr">
        <is>
          <t>CANCELADO</t>
        </is>
      </c>
      <c r="E155" s="24" t="n">
        <v>1000</v>
      </c>
      <c r="F155" s="11" t="n"/>
    </row>
    <row r="156">
      <c r="A156" s="22" t="n">
        <v>2006392</v>
      </c>
      <c r="B156" s="11" t="inlineStr">
        <is>
          <t>7790321020302</t>
        </is>
      </c>
      <c r="C156" s="11" t="inlineStr">
        <is>
          <t>TAPA 105 X100U CELPAK</t>
        </is>
      </c>
      <c r="D156" s="11" t="inlineStr">
        <is>
          <t>CANCELADO</t>
        </is>
      </c>
      <c r="E156" s="24" t="n">
        <v>100</v>
      </c>
      <c r="F156" s="11" t="n"/>
    </row>
    <row r="157">
      <c r="A157" s="22" t="n"/>
      <c r="B157" s="11" t="inlineStr">
        <is>
          <t>14047015A</t>
        </is>
      </c>
      <c r="C157" s="11" t="inlineStr">
        <is>
          <t xml:space="preserve">SERVILLETA 33X33X1000U GL          </t>
        </is>
      </c>
      <c r="D157" s="11" t="inlineStr">
        <is>
          <t>CANCELADO</t>
        </is>
      </c>
      <c r="E157" s="24" t="n">
        <v>1000</v>
      </c>
      <c r="F157" s="11" t="n"/>
    </row>
    <row r="158">
      <c r="A158" s="22" t="n"/>
      <c r="B158" s="11" t="inlineStr">
        <is>
          <t>7790321020307</t>
        </is>
      </c>
      <c r="C158" s="11" t="inlineStr">
        <is>
          <t xml:space="preserve">TAPA 103 PET X100U CELPAK          </t>
        </is>
      </c>
      <c r="D158" s="11" t="inlineStr">
        <is>
          <t>CANCELADO</t>
        </is>
      </c>
      <c r="E158" s="24" t="n">
        <v>100</v>
      </c>
      <c r="F158" s="11" t="n"/>
    </row>
    <row r="159">
      <c r="A159" s="22" t="n">
        <v>2006410</v>
      </c>
      <c r="B159" s="11" t="inlineStr">
        <is>
          <t>7790321020156</t>
        </is>
      </c>
      <c r="C159" s="11" t="inlineStr">
        <is>
          <t>VO BOLSA CAMIS NEG 45X60X100UN</t>
        </is>
      </c>
      <c r="D159" s="11" t="inlineStr">
        <is>
          <t>CAMISETA NEGRA 40X50</t>
        </is>
      </c>
      <c r="E159" s="24" t="n">
        <v>100</v>
      </c>
      <c r="F159" s="11" t="n"/>
    </row>
    <row r="160">
      <c r="A160" s="22" t="n">
        <v>2006224</v>
      </c>
      <c r="B160" s="11" t="inlineStr">
        <is>
          <t>7790321020146</t>
        </is>
      </c>
      <c r="C160" s="11" t="inlineStr">
        <is>
          <t xml:space="preserve">BOLSA CAMISETA NEGRA 40X50X100U     </t>
        </is>
      </c>
      <c r="D160" s="11" t="inlineStr">
        <is>
          <t>CAMISETA NEGRA 40X50</t>
        </is>
      </c>
      <c r="E160" s="24" t="n">
        <v>100</v>
      </c>
      <c r="F160" s="11" t="n"/>
    </row>
    <row r="161">
      <c r="A161" s="22" t="n">
        <v>2006140</v>
      </c>
      <c r="B161" s="11" t="inlineStr">
        <is>
          <t>7790321020147</t>
        </is>
      </c>
      <c r="C161" s="11" t="inlineStr">
        <is>
          <t>BOLSA CAMISETA NEG 40X50X 60U</t>
        </is>
      </c>
      <c r="D161" s="11" t="inlineStr">
        <is>
          <t>CAMISETA NEGRA 40X50</t>
        </is>
      </c>
      <c r="E161" s="24" t="n">
        <v>60</v>
      </c>
      <c r="F161" s="11" t="n"/>
    </row>
    <row r="162">
      <c r="A162" s="22" t="n">
        <v>2007397</v>
      </c>
      <c r="B162" s="11" t="inlineStr">
        <is>
          <t>7790000002198</t>
        </is>
      </c>
      <c r="C162" s="11" t="inlineStr">
        <is>
          <t>GL BOLSA CAMISETA 40X50 X60U</t>
        </is>
      </c>
      <c r="D162" s="11" t="inlineStr">
        <is>
          <t>CAMISETA BLANCA 40X50</t>
        </is>
      </c>
      <c r="E162" s="24" t="n">
        <v>60</v>
      </c>
      <c r="F162" s="11" t="n"/>
    </row>
    <row r="163">
      <c r="A163" s="22" t="n">
        <v>2006953</v>
      </c>
      <c r="B163" s="11" t="inlineStr">
        <is>
          <t>7795618001244</t>
        </is>
      </c>
      <c r="C163" s="11" t="inlineStr">
        <is>
          <t>VO BOLSA CAMISETA BCA 40X50X50UN</t>
        </is>
      </c>
      <c r="D163" s="11" t="inlineStr">
        <is>
          <t>CAMISETA BLANCA 40X50</t>
        </is>
      </c>
      <c r="E163" s="24" t="n">
        <v>50</v>
      </c>
      <c r="F163" s="11" t="n"/>
    </row>
    <row r="164">
      <c r="A164" s="22" t="n">
        <v>2006223</v>
      </c>
      <c r="B164" s="11" t="inlineStr">
        <is>
          <t>7790321020126</t>
        </is>
      </c>
      <c r="C164" s="11" t="inlineStr">
        <is>
          <t>BOLSA CAMISETA 50X60 X 100U RE</t>
        </is>
      </c>
      <c r="D164" s="11" t="inlineStr">
        <is>
          <t>CAMISETA 50X60 REF</t>
        </is>
      </c>
      <c r="E164" s="24" t="n">
        <v>100</v>
      </c>
      <c r="F164" s="11" t="n"/>
    </row>
    <row r="165">
      <c r="A165" s="22" t="n">
        <v>2006468</v>
      </c>
      <c r="B165" s="11" t="inlineStr">
        <is>
          <t>7791165719767</t>
        </is>
      </c>
      <c r="C165" s="11" t="inlineStr">
        <is>
          <t>BOLSA CAMISETA 50X60 X100U REF</t>
        </is>
      </c>
      <c r="D165" s="11" t="inlineStr">
        <is>
          <t>CAMISETA 50X60 REF</t>
        </is>
      </c>
      <c r="E165" s="24" t="n">
        <v>100</v>
      </c>
      <c r="F165" s="11" t="n"/>
    </row>
    <row r="166">
      <c r="A166" s="22" t="n">
        <v>2007329</v>
      </c>
      <c r="B166" s="11" t="inlineStr">
        <is>
          <t>7790000000386</t>
        </is>
      </c>
      <c r="C166" s="11" t="inlineStr">
        <is>
          <t>BOLSA CAM NEGR REF 50X60X100U EVADEC</t>
        </is>
      </c>
      <c r="D166" s="11" t="inlineStr">
        <is>
          <t>CAMISETA 50X60 REF</t>
        </is>
      </c>
      <c r="E166" s="24" t="n">
        <v>100</v>
      </c>
      <c r="F166" s="11" t="n"/>
    </row>
    <row r="167">
      <c r="A167" s="22" t="n"/>
      <c r="B167" s="11" t="inlineStr">
        <is>
          <t>7790321020167</t>
        </is>
      </c>
      <c r="C167" s="11" t="inlineStr">
        <is>
          <t>BOLSA CAMISETA 50X60 X100U REF</t>
        </is>
      </c>
      <c r="D167" s="11" t="inlineStr">
        <is>
          <t>CAMISETA 50X60 REF</t>
        </is>
      </c>
      <c r="E167" s="24" t="n">
        <v>100</v>
      </c>
      <c r="F167" s="11" t="n"/>
    </row>
    <row r="168">
      <c r="A168" s="22" t="n">
        <v>2006671</v>
      </c>
      <c r="B168" s="11" t="inlineStr">
        <is>
          <t>16032005A</t>
        </is>
      </c>
      <c r="C168" s="11" t="inlineStr">
        <is>
          <t>CAJA P/PIZZA GRANDE x U</t>
        </is>
      </c>
      <c r="D168" s="11" t="inlineStr">
        <is>
          <t>CAJA PIZZA GRANDE</t>
        </is>
      </c>
      <c r="E168" s="24" t="n">
        <v>1</v>
      </c>
      <c r="F168" s="11" t="n"/>
    </row>
    <row r="169">
      <c r="A169" s="22" t="n">
        <v>2006280</v>
      </c>
      <c r="B169" s="11" t="inlineStr">
        <is>
          <t>EMB000130</t>
        </is>
      </c>
      <c r="C169" s="11" t="inlineStr">
        <is>
          <t>CAJA DE  PIZZA CHICA  X 100  U</t>
        </is>
      </c>
      <c r="D169" s="11" t="inlineStr">
        <is>
          <t>CAJA PIZZA CHICA</t>
        </is>
      </c>
      <c r="E169" s="24" t="n">
        <v>100</v>
      </c>
      <c r="F169" s="11" t="n"/>
    </row>
    <row r="170">
      <c r="A170" s="22" t="n"/>
      <c r="B170" s="11" t="inlineStr">
        <is>
          <t>7797474512684</t>
        </is>
      </c>
      <c r="C170" s="11" t="inlineStr">
        <is>
          <t xml:space="preserve">CAJA 300X180X280XU MESA M. PAZ     </t>
        </is>
      </c>
      <c r="D170" s="11" t="inlineStr">
        <is>
          <t>CAJA MESA M.PAZ</t>
        </is>
      </c>
      <c r="E170" s="24" t="n">
        <v>1</v>
      </c>
      <c r="F170" s="11" t="n"/>
    </row>
    <row r="171">
      <c r="A171" s="22" t="n"/>
      <c r="B171" s="11" t="inlineStr">
        <is>
          <t>7798072299620</t>
        </is>
      </c>
      <c r="C171" s="11" t="inlineStr">
        <is>
          <t xml:space="preserve">CAJA 300X180X280XU LOGO LANUS 2    </t>
        </is>
      </c>
      <c r="D171" s="11" t="inlineStr">
        <is>
          <t>CAJA MESA LANUS 2</t>
        </is>
      </c>
      <c r="E171" s="24" t="n">
        <v>1</v>
      </c>
      <c r="F171" s="11" t="n"/>
    </row>
    <row r="172">
      <c r="A172" s="22" t="n"/>
      <c r="B172" s="11" t="inlineStr">
        <is>
          <t>7790321626838</t>
        </is>
      </c>
      <c r="C172" s="11" t="inlineStr">
        <is>
          <t xml:space="preserve">CAJA 300X180X280 MESA/LANUS        </t>
        </is>
      </c>
      <c r="D172" s="11" t="inlineStr">
        <is>
          <t>CAJA MESA LANUS 1</t>
        </is>
      </c>
      <c r="E172" s="24" t="n">
        <v>1</v>
      </c>
      <c r="F172" s="11" t="n"/>
    </row>
    <row r="173">
      <c r="A173" s="22" t="n"/>
      <c r="B173" s="11" t="inlineStr">
        <is>
          <t>7790321626938</t>
        </is>
      </c>
      <c r="C173" s="11" t="inlineStr">
        <is>
          <t>CAJA 300X180X280 XU LOGO MESA (intermedia)</t>
        </is>
      </c>
      <c r="D173" s="11" t="inlineStr">
        <is>
          <t>CAJA MESA INTERMEDIA</t>
        </is>
      </c>
      <c r="E173" s="24" t="n">
        <v>1</v>
      </c>
      <c r="F173" s="11" t="n"/>
    </row>
    <row r="174">
      <c r="A174" s="22" t="n"/>
      <c r="B174" s="11" t="inlineStr">
        <is>
          <t>7790321626939</t>
        </is>
      </c>
      <c r="C174" s="11" t="inlineStr">
        <is>
          <t>CAJA  30X26X28  MESA/HURLINGHAM 90 L</t>
        </is>
      </c>
      <c r="D174" s="11" t="inlineStr">
        <is>
          <t>CAJA MESA HURLINGHAM 90L</t>
        </is>
      </c>
      <c r="E174" s="24" t="n">
        <v>1</v>
      </c>
      <c r="F174" s="11" t="n"/>
    </row>
    <row r="175">
      <c r="A175" s="22" t="n"/>
      <c r="B175" s="11" t="inlineStr">
        <is>
          <t>7790321626935</t>
        </is>
      </c>
      <c r="C175" s="11" t="inlineStr">
        <is>
          <t>CAJA  30X26X28  LOGO MESA (grande)</t>
        </is>
      </c>
      <c r="D175" s="11" t="inlineStr">
        <is>
          <t>CAJA MESA GRANDE</t>
        </is>
      </c>
      <c r="E175" s="24" t="n">
        <v>1</v>
      </c>
      <c r="F175" s="11" t="n"/>
    </row>
    <row r="176">
      <c r="A176" s="22" t="n"/>
      <c r="B176" s="11" t="inlineStr">
        <is>
          <t>7790000000150</t>
        </is>
      </c>
      <c r="C176" s="11" t="inlineStr">
        <is>
          <t>CAJA  300x180x210 LOGO MESA (chica)</t>
        </is>
      </c>
      <c r="D176" s="11" t="inlineStr">
        <is>
          <t>CAJA MESA CHICA</t>
        </is>
      </c>
      <c r="E176" s="24" t="n">
        <v>1</v>
      </c>
      <c r="F176" s="11" t="n"/>
    </row>
    <row r="177">
      <c r="A177" s="22" t="n"/>
      <c r="B177" s="11" t="inlineStr">
        <is>
          <t>7790321626929</t>
        </is>
      </c>
      <c r="C177" s="11" t="inlineStr">
        <is>
          <t>CAJA 300X180X280 90LIB S/LOGO  (Herrera)</t>
        </is>
      </c>
      <c r="D177" s="11" t="inlineStr">
        <is>
          <t>CAJA HERRERA</t>
        </is>
      </c>
      <c r="E177" s="24" t="n">
        <v>1</v>
      </c>
      <c r="F177" s="11" t="n"/>
    </row>
    <row r="178">
      <c r="A178" s="22" t="n"/>
      <c r="B178" s="11" t="inlineStr">
        <is>
          <t>7790316030036</t>
        </is>
      </c>
      <c r="C178" s="11" t="inlineStr">
        <is>
          <t xml:space="preserve">CAJA CARTON 500X420X380 ELECCION   </t>
        </is>
      </c>
      <c r="D178" s="11" t="inlineStr">
        <is>
          <t>CAJA ELECCION 500X420X380</t>
        </is>
      </c>
      <c r="E178" s="24" t="n">
        <v>1</v>
      </c>
      <c r="F178" s="11" t="n"/>
    </row>
    <row r="179">
      <c r="A179" s="22" t="n">
        <v>2006165</v>
      </c>
      <c r="B179" s="11" t="inlineStr">
        <is>
          <t>7790316030027</t>
        </is>
      </c>
      <c r="C179" s="11" t="inlineStr">
        <is>
          <t>CAJA DOBLE BASE 40x30x27 MESA LOGO</t>
        </is>
      </c>
      <c r="D179" s="11" t="inlineStr">
        <is>
          <t>CAJA DOBLE BASE 40X30X27 MESA</t>
        </is>
      </c>
      <c r="E179" s="24" t="n">
        <v>1</v>
      </c>
      <c r="F179" s="11" t="n"/>
    </row>
    <row r="180">
      <c r="A180" s="22" t="n"/>
      <c r="B180" s="11" t="inlineStr">
        <is>
          <t>7790316030027</t>
        </is>
      </c>
      <c r="C180" s="11" t="inlineStr">
        <is>
          <t>CAJA  DOBLE BASE 40X30X27 LOGO MESA</t>
        </is>
      </c>
      <c r="D180" s="11" t="inlineStr">
        <is>
          <t>CAJA DOBLE BASE 40X30X27 MESA</t>
        </is>
      </c>
      <c r="E180" s="24" t="n">
        <v>1</v>
      </c>
      <c r="F180" s="11" t="n"/>
    </row>
    <row r="181">
      <c r="A181" s="22" t="n"/>
      <c r="B181" s="11" t="n">
        <v>7790321719168</v>
      </c>
      <c r="C181" s="11" t="inlineStr">
        <is>
          <t>VO CAJA DOBLE BASE 40X30X27 LANUS</t>
        </is>
      </c>
      <c r="D181" s="11" t="inlineStr">
        <is>
          <t>CAJA DOBLE BASE 40X30X27 LANUS</t>
        </is>
      </c>
      <c r="E181" s="24" t="n">
        <v>1</v>
      </c>
      <c r="F181" s="11" t="n"/>
    </row>
    <row r="182">
      <c r="A182" s="22" t="n"/>
      <c r="B182" s="11" t="inlineStr">
        <is>
          <t>7790316030028</t>
        </is>
      </c>
      <c r="C182" s="11" t="inlineStr">
        <is>
          <t xml:space="preserve">CAJA DOBLE BASE 40X30X27 HUR       </t>
        </is>
      </c>
      <c r="D182" s="11" t="inlineStr">
        <is>
          <t>CAJA BASE DOBLE 40X32X27 HUR</t>
        </is>
      </c>
      <c r="E182" s="24" t="n">
        <v>1</v>
      </c>
      <c r="F182" s="11" t="n"/>
    </row>
    <row r="183">
      <c r="A183" s="22" t="n"/>
      <c r="B183" s="11" t="inlineStr">
        <is>
          <t>7790321020914</t>
        </is>
      </c>
      <c r="C183" s="11" t="inlineStr">
        <is>
          <t xml:space="preserve">CAJA CARTON 245X200X90 ELECCION    </t>
        </is>
      </c>
      <c r="D183" s="11" t="inlineStr">
        <is>
          <t>CAJA 245X200X90 ELECCION</t>
        </is>
      </c>
      <c r="E183" s="24" t="n">
        <v>1</v>
      </c>
      <c r="F183" s="11" t="n"/>
    </row>
    <row r="184">
      <c r="A184" s="22" t="n">
        <v>2006633</v>
      </c>
      <c r="B184" s="11" t="inlineStr">
        <is>
          <t>7790321123456</t>
        </is>
      </c>
      <c r="C184" s="11" t="inlineStr">
        <is>
          <t xml:space="preserve">PALITO BROCHETTE 25CM X80U  </t>
        </is>
      </c>
      <c r="D184" s="11" t="inlineStr">
        <is>
          <t>BROCHETTE</t>
        </is>
      </c>
      <c r="E184" s="24" t="n">
        <v>80</v>
      </c>
      <c r="F184" s="11" t="n"/>
    </row>
    <row r="185">
      <c r="A185" s="22" t="n"/>
      <c r="B185" s="11" t="inlineStr">
        <is>
          <t>7790000000218</t>
        </is>
      </c>
      <c r="C185" s="11" t="inlineStr">
        <is>
          <t>BOWL COMPOST.17x7 960CC BIO X600UN</t>
        </is>
      </c>
      <c r="D185" s="11" t="inlineStr">
        <is>
          <t>BOWL COMPOSTABLE 960</t>
        </is>
      </c>
      <c r="E185" s="24" t="n">
        <v>600</v>
      </c>
      <c r="F185" s="11" t="n"/>
    </row>
    <row r="186">
      <c r="A186" s="22" t="n">
        <v>2007580</v>
      </c>
      <c r="B186" s="11" t="inlineStr">
        <is>
          <t>7790000000526</t>
        </is>
      </c>
      <c r="C186" s="11" t="inlineStr">
        <is>
          <t>GL BOWL COMP 23x16CM 780CC BIOPAC</t>
        </is>
      </c>
      <c r="D186" s="11" t="inlineStr">
        <is>
          <t>BOWL COMPOSTABLE 780</t>
        </is>
      </c>
      <c r="E186" s="24" t="n">
        <v>1</v>
      </c>
      <c r="F186" s="11" t="n"/>
    </row>
    <row r="187">
      <c r="A187" s="22" t="n">
        <v>2006644</v>
      </c>
      <c r="B187" s="11" t="inlineStr">
        <is>
          <t>EMB000042</t>
        </is>
      </c>
      <c r="C187" s="11" t="inlineStr">
        <is>
          <t>BOLSA_PAPEL_MADERA_15x35x100U</t>
        </is>
      </c>
      <c r="D187" s="11" t="inlineStr">
        <is>
          <t>BOLSA PAPEL MADERA</t>
        </is>
      </c>
      <c r="E187" s="24" t="n">
        <v>100</v>
      </c>
      <c r="F187" s="11" t="n"/>
    </row>
    <row r="188">
      <c r="A188" s="22" t="n">
        <v>2006490</v>
      </c>
      <c r="B188" s="11" t="inlineStr">
        <is>
          <t>LIM000225</t>
        </is>
      </c>
      <c r="C188" s="11" t="inlineStr">
        <is>
          <t>BOLSA MICROPERFORADA 60x90 x U</t>
        </is>
      </c>
      <c r="D188" s="11" t="inlineStr">
        <is>
          <t>BOLSA MICROPERFORADA 60X90</t>
        </is>
      </c>
      <c r="E188" s="24" t="n">
        <v>1</v>
      </c>
      <c r="F188" s="11" t="n"/>
    </row>
    <row r="189">
      <c r="A189" s="22" t="n">
        <v>2006676</v>
      </c>
      <c r="B189" s="11" t="inlineStr">
        <is>
          <t>7790321020996</t>
        </is>
      </c>
      <c r="C189" s="11" t="inlineStr">
        <is>
          <t>BOLSA POLIPROPILENO 25X35X100U</t>
        </is>
      </c>
      <c r="D189" s="11" t="inlineStr">
        <is>
          <t>BOLSA CUBIERTOS 25X35</t>
        </is>
      </c>
      <c r="E189" s="24" t="n">
        <v>100</v>
      </c>
      <c r="F189" s="11" t="n"/>
    </row>
    <row r="190">
      <c r="A190" s="22" t="n">
        <v>2006692</v>
      </c>
      <c r="B190" s="11" t="inlineStr">
        <is>
          <t>7790321020992</t>
        </is>
      </c>
      <c r="C190" s="11" t="inlineStr">
        <is>
          <t>BOLSA CUBIERTOS 10x 25 x100 U</t>
        </is>
      </c>
      <c r="D190" s="11" t="inlineStr">
        <is>
          <t>BOLSA CUBIERTO 10X25</t>
        </is>
      </c>
      <c r="E190" s="24" t="n">
        <v>100</v>
      </c>
      <c r="F190" s="11" t="n"/>
    </row>
    <row r="191">
      <c r="A191" s="22" t="n">
        <v>2006411</v>
      </c>
      <c r="B191" s="11" t="inlineStr">
        <is>
          <t>7790321020994</t>
        </is>
      </c>
      <c r="C191" s="11" t="inlineStr">
        <is>
          <t>BOLSA CUBIERTO 10X25X200U</t>
        </is>
      </c>
      <c r="D191" s="11" t="inlineStr">
        <is>
          <t>BOLSA CUBIERTO 10X25</t>
        </is>
      </c>
      <c r="E191" s="24" t="n">
        <v>200</v>
      </c>
      <c r="F191" s="11" t="n"/>
    </row>
    <row r="192">
      <c r="A192" s="22" t="n">
        <v>2006796</v>
      </c>
      <c r="B192" s="11" t="inlineStr">
        <is>
          <t>7790321130874</t>
        </is>
      </c>
      <c r="C192" s="11" t="inlineStr">
        <is>
          <t>ENS CRISTAL BASE x100U PLASTIV</t>
        </is>
      </c>
      <c r="D192" s="11" t="inlineStr">
        <is>
          <t>BASE ENSALADERA CRISTAL</t>
        </is>
      </c>
      <c r="E192" s="24" t="n">
        <v>100</v>
      </c>
      <c r="F192" s="11" t="n"/>
    </row>
    <row r="193">
      <c r="A193" s="22" t="n">
        <v>2006390</v>
      </c>
      <c r="B193" s="11" t="inlineStr">
        <is>
          <t>7790321130875</t>
        </is>
      </c>
      <c r="C193" s="11" t="inlineStr">
        <is>
          <t>ENSALADERA CRISTAL X25U PLASTIVAS</t>
        </is>
      </c>
      <c r="D193" s="11" t="inlineStr">
        <is>
          <t>BASE ENSALADERA CRISTAL</t>
        </is>
      </c>
      <c r="E193" s="24" t="n">
        <v>25</v>
      </c>
      <c r="F193" s="11" t="n"/>
    </row>
    <row r="194">
      <c r="A194" s="22" t="n">
        <v>2006432</v>
      </c>
      <c r="B194" s="11" t="inlineStr">
        <is>
          <t>105445B</t>
        </is>
      </c>
      <c r="C194" s="11" t="inlineStr">
        <is>
          <t xml:space="preserve">ENSALADERA CRISTAL X600U BANDEX  </t>
        </is>
      </c>
      <c r="D194" s="11" t="inlineStr">
        <is>
          <t>BASE ENSALADERA CRISTAL</t>
        </is>
      </c>
      <c r="E194" s="24" t="n">
        <v>600</v>
      </c>
      <c r="F194" s="11" t="n"/>
    </row>
    <row r="195">
      <c r="A195" s="22" t="n">
        <v>2006265</v>
      </c>
      <c r="B195" s="11" t="inlineStr">
        <is>
          <t>14004000A</t>
        </is>
      </c>
      <c r="C195" s="11" t="inlineStr">
        <is>
          <t>BARBIJOS x 25 UNID</t>
        </is>
      </c>
      <c r="D195" s="11" t="inlineStr">
        <is>
          <t>BARBIJO QUIRURGICO</t>
        </is>
      </c>
      <c r="E195" s="24" t="n">
        <v>25</v>
      </c>
      <c r="F195" s="11" t="n"/>
    </row>
    <row r="196">
      <c r="A196" s="22" t="n">
        <v>2006383</v>
      </c>
      <c r="B196" s="11" t="inlineStr">
        <is>
          <t>LIM000324</t>
        </is>
      </c>
      <c r="C196" s="11" t="inlineStr">
        <is>
          <t>BARBIJOS X 100 U</t>
        </is>
      </c>
      <c r="D196" s="11" t="inlineStr">
        <is>
          <t>BARBIJO QUIRURGICO</t>
        </is>
      </c>
      <c r="E196" s="24" t="n">
        <v>100</v>
      </c>
      <c r="F196" s="11" t="n"/>
    </row>
    <row r="197">
      <c r="A197" s="22" t="n">
        <v>2006638</v>
      </c>
      <c r="B197" s="11" t="inlineStr">
        <is>
          <t>LIM000462</t>
        </is>
      </c>
      <c r="C197" s="11" t="inlineStr">
        <is>
          <t>BARBIJO QUIRURGICO X 50 U</t>
        </is>
      </c>
      <c r="D197" s="11" t="inlineStr">
        <is>
          <t>BARBIJO QUIRURGICO</t>
        </is>
      </c>
      <c r="E197" s="24" t="n">
        <v>50</v>
      </c>
      <c r="F197" s="11" t="n"/>
    </row>
    <row r="198">
      <c r="A198" s="22" t="n"/>
      <c r="B198" s="11" t="inlineStr">
        <is>
          <t>LIM000393</t>
        </is>
      </c>
      <c r="C198" s="11" t="inlineStr">
        <is>
          <t>BARBIJOS X 50 U</t>
        </is>
      </c>
      <c r="D198" s="11" t="inlineStr">
        <is>
          <t>BARBIJO QUIRURGICO</t>
        </is>
      </c>
      <c r="E198" s="24" t="n">
        <v>50</v>
      </c>
      <c r="F198" s="11" t="n"/>
    </row>
    <row r="199">
      <c r="A199" s="22" t="n"/>
      <c r="B199" s="11" t="inlineStr">
        <is>
          <t>7790000000195</t>
        </is>
      </c>
      <c r="C199" s="11" t="inlineStr">
        <is>
          <t>BARBIJOS TRICAPA PR MARCA PROP X50U</t>
        </is>
      </c>
      <c r="D199" s="11" t="inlineStr">
        <is>
          <t>BARBIJO QUIRURGICO</t>
        </is>
      </c>
      <c r="E199" s="24" t="n">
        <v>50</v>
      </c>
      <c r="F199" s="11" t="n"/>
    </row>
    <row r="200">
      <c r="A200" s="22" t="n">
        <v>2006678</v>
      </c>
      <c r="B200" s="11" t="inlineStr">
        <is>
          <t>LIM000461</t>
        </is>
      </c>
      <c r="C200" s="11" t="inlineStr">
        <is>
          <t>BARBIJO N95 X 100U</t>
        </is>
      </c>
      <c r="D200" s="11" t="inlineStr">
        <is>
          <t>BARBIJO N95</t>
        </is>
      </c>
      <c r="E200" s="24" t="n">
        <v>100</v>
      </c>
      <c r="F200" s="11" t="n"/>
    </row>
    <row r="201">
      <c r="A201" s="22" t="n"/>
      <c r="B201" s="11" t="inlineStr">
        <is>
          <t>5712455070440</t>
        </is>
      </c>
      <c r="C201" s="11" t="inlineStr">
        <is>
          <t xml:space="preserve">BARBIJOS N95 X U MPROPIA           </t>
        </is>
      </c>
      <c r="D201" s="11" t="inlineStr">
        <is>
          <t>BARBIJO N95</t>
        </is>
      </c>
      <c r="E201" s="24" t="n">
        <v>1</v>
      </c>
      <c r="F201" s="11" t="n"/>
    </row>
    <row r="202">
      <c r="A202" s="22" t="n"/>
      <c r="B202" s="11" t="inlineStr">
        <is>
          <t>7790000000162</t>
        </is>
      </c>
      <c r="C202" s="11" t="inlineStr">
        <is>
          <t xml:space="preserve">BARBIJOS N95 MARCA PROPIA 50UN     </t>
        </is>
      </c>
      <c r="D202" s="11" t="inlineStr">
        <is>
          <t>BARBIJO N95</t>
        </is>
      </c>
      <c r="E202" s="24" t="n">
        <v>50</v>
      </c>
      <c r="F202" s="11" t="n"/>
    </row>
    <row r="203">
      <c r="A203" s="22" t="n"/>
      <c r="B203" s="11" t="inlineStr">
        <is>
          <t>BUSAT000375</t>
        </is>
      </c>
      <c r="C203" s="11" t="inlineStr">
        <is>
          <t xml:space="preserve">BARBIJO N95 / KN95                 </t>
        </is>
      </c>
      <c r="D203" s="11" t="inlineStr">
        <is>
          <t>BARBIJO N95</t>
        </is>
      </c>
      <c r="E203" s="24" t="n">
        <v>1</v>
      </c>
      <c r="F203" s="11" t="n"/>
    </row>
    <row r="204">
      <c r="A204" s="22" t="n">
        <v>2006424</v>
      </c>
      <c r="B204" s="11" t="inlineStr">
        <is>
          <t>7790321006512</t>
        </is>
      </c>
      <c r="C204" s="11" t="inlineStr">
        <is>
          <t>BAND. ALUMINIO R5/F2100x600 U</t>
        </is>
      </c>
      <c r="D204" s="11" t="inlineStr">
        <is>
          <t>BANDEJA R5</t>
        </is>
      </c>
      <c r="E204" s="24" t="n">
        <v>600</v>
      </c>
      <c r="F204" s="11" t="n"/>
    </row>
    <row r="205">
      <c r="A205" s="22" t="n">
        <v>2006795</v>
      </c>
      <c r="B205" s="11" t="inlineStr">
        <is>
          <t>7790321020066</t>
        </is>
      </c>
      <c r="C205" s="11" t="inlineStr">
        <is>
          <t>BAND ALUMINIO R5/F2100 x 600 U</t>
        </is>
      </c>
      <c r="D205" s="11" t="inlineStr">
        <is>
          <t>BANDEJA R5</t>
        </is>
      </c>
      <c r="E205" s="24" t="n">
        <v>600</v>
      </c>
      <c r="F205" s="11" t="n"/>
    </row>
    <row r="206">
      <c r="A206" s="22" t="n"/>
      <c r="B206" s="11" t="inlineStr">
        <is>
          <t>610000108738</t>
        </is>
      </c>
      <c r="C206" s="11" t="inlineStr">
        <is>
          <t xml:space="preserve">BANDEJA ALUM R5 X600U VASSOI       </t>
        </is>
      </c>
      <c r="D206" s="11" t="inlineStr">
        <is>
          <t>BANDEJA R5</t>
        </is>
      </c>
      <c r="E206" s="24" t="n">
        <v>600</v>
      </c>
      <c r="F206" s="11" t="n"/>
    </row>
    <row r="207">
      <c r="A207" s="22" t="n">
        <v>2006679</v>
      </c>
      <c r="B207" s="11" t="inlineStr">
        <is>
          <t>7790321007512</t>
        </is>
      </c>
      <c r="C207" s="11" t="inlineStr">
        <is>
          <t>BAND ALUM R3/F2275 X600U</t>
        </is>
      </c>
      <c r="D207" s="11" t="inlineStr">
        <is>
          <t>BANDEJA R3</t>
        </is>
      </c>
      <c r="E207" s="24" t="n">
        <v>600</v>
      </c>
      <c r="F207" s="11" t="n"/>
    </row>
    <row r="208">
      <c r="A208" s="22" t="n">
        <v>2006426</v>
      </c>
      <c r="B208" s="11" t="inlineStr">
        <is>
          <t>7790321020056</t>
        </is>
      </c>
      <c r="C208" s="11" t="inlineStr">
        <is>
          <t>BAND ALUMINIO R3/F275 x 600 U</t>
        </is>
      </c>
      <c r="D208" s="11" t="inlineStr">
        <is>
          <t>BANDEJA R3</t>
        </is>
      </c>
      <c r="E208" s="24" t="n">
        <v>600</v>
      </c>
      <c r="F208" s="11" t="n"/>
    </row>
    <row r="209">
      <c r="A209" s="22" t="n">
        <v>2006822</v>
      </c>
      <c r="B209" s="11" t="inlineStr">
        <is>
          <t>610000108746</t>
        </is>
      </c>
      <c r="C209" s="11" t="inlineStr">
        <is>
          <t xml:space="preserve">BANDEJA ALUM R3/F275 X500U         </t>
        </is>
      </c>
      <c r="D209" s="11" t="inlineStr">
        <is>
          <t>BANDEJA R3</t>
        </is>
      </c>
      <c r="E209" s="24" t="n">
        <v>500</v>
      </c>
      <c r="F209" s="11" t="n"/>
    </row>
    <row r="210">
      <c r="A210" s="22" t="n"/>
      <c r="B210" s="11" t="inlineStr">
        <is>
          <t>13003002A</t>
        </is>
      </c>
      <c r="C210" s="11" t="inlineStr">
        <is>
          <t xml:space="preserve">BANDEJA P/SANDWICH X 75 U BANDEX   </t>
        </is>
      </c>
      <c r="D210" s="11" t="inlineStr">
        <is>
          <t>BANDEJA P/ SANDWICH</t>
        </is>
      </c>
      <c r="E210" s="24" t="n">
        <v>75</v>
      </c>
      <c r="F210" s="11" t="n"/>
    </row>
    <row r="211">
      <c r="A211" s="22" t="n">
        <v>2006849</v>
      </c>
      <c r="B211" s="11" t="inlineStr">
        <is>
          <t>7790221010601</t>
        </is>
      </c>
      <c r="C211" s="11" t="inlineStr">
        <is>
          <t>BANDEJA CARTON N° 1</t>
        </is>
      </c>
      <c r="D211" s="11" t="inlineStr">
        <is>
          <t>BANDEJA CARTON N°1</t>
        </is>
      </c>
      <c r="E211" s="24" t="n">
        <v>1</v>
      </c>
      <c r="F211" s="11" t="n"/>
    </row>
    <row r="212">
      <c r="A212" s="22" t="n"/>
      <c r="B212" s="11" t="inlineStr">
        <is>
          <t>7790321020046</t>
        </is>
      </c>
      <c r="C212" s="11" t="inlineStr">
        <is>
          <t>BANDEJA 105 C/ BISAGRA x 50 U</t>
        </is>
      </c>
      <c r="D212" s="11" t="inlineStr">
        <is>
          <t>BANDEJA 105 C/ BISAGRA</t>
        </is>
      </c>
      <c r="E212" s="24" t="n">
        <v>50</v>
      </c>
      <c r="F212" s="11" t="n"/>
    </row>
    <row r="213">
      <c r="A213" s="22" t="n"/>
      <c r="B213" s="11" t="inlineStr">
        <is>
          <t>7790000000381</t>
        </is>
      </c>
      <c r="C213" s="11" t="inlineStr">
        <is>
          <t>BANDEJA 105 BIODEG. X 700UN MPROPIA</t>
        </is>
      </c>
      <c r="D213" s="11" t="inlineStr">
        <is>
          <t>BANDEJA 105 BIODEGRADABLE</t>
        </is>
      </c>
      <c r="E213" s="24" t="n">
        <v>700</v>
      </c>
      <c r="F213" s="11" t="n"/>
    </row>
    <row r="214">
      <c r="A214" s="22" t="n">
        <v>2006681</v>
      </c>
      <c r="B214" s="11" t="inlineStr">
        <is>
          <t>7790321020096</t>
        </is>
      </c>
      <c r="C214" s="11" t="inlineStr">
        <is>
          <t>BAND PLASTICA 105 X100U COTNYL</t>
        </is>
      </c>
      <c r="D214" s="11" t="inlineStr">
        <is>
          <t>BANDEJA 105</t>
        </is>
      </c>
      <c r="E214" s="24" t="n">
        <v>100</v>
      </c>
      <c r="F214" s="11" t="n"/>
    </row>
    <row r="215">
      <c r="A215" s="22" t="n">
        <v>2006645</v>
      </c>
      <c r="B215" s="11" t="inlineStr">
        <is>
          <t>7790321020047</t>
        </is>
      </c>
      <c r="C215" s="11" t="inlineStr">
        <is>
          <t>BANDEJA 105 CUADRADA x 100 U</t>
        </is>
      </c>
      <c r="D215" s="11" t="inlineStr">
        <is>
          <t>BANDEJA 105</t>
        </is>
      </c>
      <c r="E215" s="24" t="n">
        <v>100</v>
      </c>
      <c r="F215" s="11" t="n"/>
    </row>
    <row r="216">
      <c r="A216" s="22" t="inlineStr">
        <is>
          <t>NO SE ENCUENTRA EAN</t>
        </is>
      </c>
      <c r="B216" s="11" t="inlineStr">
        <is>
          <t>7798068951862</t>
        </is>
      </c>
      <c r="C216" s="11" t="inlineStr">
        <is>
          <t>BANDEJA 105 MICRO X100UN COTNYL</t>
        </is>
      </c>
      <c r="D216" s="11" t="inlineStr">
        <is>
          <t>BANDEJA 105</t>
        </is>
      </c>
      <c r="E216" s="24" t="n">
        <v>100</v>
      </c>
      <c r="F216" s="11" t="n"/>
    </row>
    <row r="217">
      <c r="A217" s="22" t="n">
        <v>2006797</v>
      </c>
      <c r="B217" s="11" t="inlineStr">
        <is>
          <t>7792798664287</t>
        </is>
      </c>
      <c r="C217" s="11" t="inlineStr">
        <is>
          <t>BANDEJA 105 X200U COTNYL</t>
        </is>
      </c>
      <c r="D217" s="11" t="inlineStr">
        <is>
          <t>BANDEJA 105</t>
        </is>
      </c>
      <c r="E217" s="24" t="n">
        <v>200</v>
      </c>
      <c r="F217" s="11" t="n"/>
    </row>
    <row r="218">
      <c r="A218" s="22" t="inlineStr">
        <is>
          <t>NO SE ENCUENTRA EAN</t>
        </is>
      </c>
      <c r="B218" s="11" t="inlineStr">
        <is>
          <t>7798011210077</t>
        </is>
      </c>
      <c r="C218" s="11" t="inlineStr">
        <is>
          <t>BANDEJA 105 X100U COTNYL</t>
        </is>
      </c>
      <c r="D218" s="11" t="inlineStr">
        <is>
          <t>BANDEJA 105</t>
        </is>
      </c>
      <c r="E218" s="24" t="n">
        <v>100</v>
      </c>
      <c r="F218" s="11" t="n"/>
    </row>
    <row r="219">
      <c r="A219" s="22" t="n"/>
      <c r="B219" s="11" t="inlineStr">
        <is>
          <t>798011210077</t>
        </is>
      </c>
      <c r="C219" s="11" t="inlineStr">
        <is>
          <t>BANDEJA 105 X100U COTNYL MICRO</t>
        </is>
      </c>
      <c r="D219" s="11" t="inlineStr">
        <is>
          <t>BANDEJA 105</t>
        </is>
      </c>
      <c r="E219" s="24" t="n">
        <v>100</v>
      </c>
      <c r="F219" s="11" t="n"/>
    </row>
    <row r="220">
      <c r="A220" s="22" t="n"/>
      <c r="B220" s="11" t="inlineStr">
        <is>
          <t>7790000000380</t>
        </is>
      </c>
      <c r="C220" s="11" t="inlineStr">
        <is>
          <t>BANDEJA 103 BIODEG. X 900U MPROPIA</t>
        </is>
      </c>
      <c r="D220" s="11" t="inlineStr">
        <is>
          <t>BANDEJA 103 BIODEGRADABLE</t>
        </is>
      </c>
      <c r="E220" s="24" t="n">
        <v>900</v>
      </c>
      <c r="F220" s="11" t="n"/>
    </row>
    <row r="221">
      <c r="A221" s="22" t="n">
        <v>2006680</v>
      </c>
      <c r="B221" s="11" t="inlineStr">
        <is>
          <t>7790321020086</t>
        </is>
      </c>
      <c r="C221" s="11" t="inlineStr">
        <is>
          <t>BANDEJA PLASTICA 103 x 100 U</t>
        </is>
      </c>
      <c r="D221" s="11" t="inlineStr">
        <is>
          <t>BANDEJA 103</t>
        </is>
      </c>
      <c r="E221" s="24" t="n">
        <v>100</v>
      </c>
      <c r="F221" s="11" t="n"/>
    </row>
    <row r="222">
      <c r="A222" s="22" t="n">
        <v>2006388</v>
      </c>
      <c r="B222" s="11" t="inlineStr">
        <is>
          <t>7790321020291</t>
        </is>
      </c>
      <c r="C222" s="11" t="inlineStr">
        <is>
          <t>BANDEJA 103 X100U CELPAK</t>
        </is>
      </c>
      <c r="D222" s="11" t="inlineStr">
        <is>
          <t>BANDEJA 103</t>
        </is>
      </c>
      <c r="E222" s="24" t="n">
        <v>100</v>
      </c>
      <c r="F222" s="11" t="n"/>
    </row>
    <row r="223">
      <c r="A223" s="22" t="inlineStr">
        <is>
          <t>NO SE ENCUENTRA EAN</t>
        </is>
      </c>
      <c r="B223" s="11" t="inlineStr">
        <is>
          <t>7798068951879</t>
        </is>
      </c>
      <c r="C223" s="11" t="inlineStr">
        <is>
          <t>BANDEJA 103 MICROONDAS COTNYL X100U</t>
        </is>
      </c>
      <c r="D223" s="11" t="inlineStr">
        <is>
          <t>BANDEJA 103</t>
        </is>
      </c>
      <c r="E223" s="24" t="n">
        <v>100</v>
      </c>
      <c r="F223" s="11" t="n"/>
    </row>
    <row r="224">
      <c r="A224" s="22" t="inlineStr">
        <is>
          <t>NO SE ENCUENTRA EAN</t>
        </is>
      </c>
      <c r="B224" s="11" t="inlineStr">
        <is>
          <t>7798011211043</t>
        </is>
      </c>
      <c r="C224" s="11" t="inlineStr">
        <is>
          <t>BANDEJA 103 X100U MICRO COTNYL</t>
        </is>
      </c>
      <c r="D224" s="11" t="inlineStr">
        <is>
          <t>BANDEJA 103</t>
        </is>
      </c>
      <c r="E224" s="24" t="n">
        <v>100</v>
      </c>
      <c r="F224" s="11" t="n"/>
    </row>
    <row r="225">
      <c r="A225" s="22" t="n">
        <v>2006434</v>
      </c>
      <c r="B225" s="11" t="inlineStr">
        <is>
          <t>7790126328513</t>
        </is>
      </c>
      <c r="C225" s="11" t="inlineStr">
        <is>
          <t>BANDEJA 103 X200U CELPAK</t>
        </is>
      </c>
      <c r="D225" s="11" t="inlineStr">
        <is>
          <t>BANDEJA 103</t>
        </is>
      </c>
      <c r="E225" s="24" t="n">
        <v>200</v>
      </c>
      <c r="F225" s="11" t="n"/>
    </row>
    <row r="226">
      <c r="A226" s="22" t="n">
        <v>2011502</v>
      </c>
      <c r="B226" s="11" t="inlineStr">
        <is>
          <t>7798011210053</t>
        </is>
      </c>
      <c r="C226" s="11" t="inlineStr">
        <is>
          <t>BANDEJA 103 MICRO X100U</t>
        </is>
      </c>
      <c r="D226" s="11" t="inlineStr">
        <is>
          <t>BANDEJA 103</t>
        </is>
      </c>
      <c r="E226" s="24" t="n">
        <v>100</v>
      </c>
      <c r="F226" s="11" t="n"/>
    </row>
    <row r="227">
      <c r="A227" s="22" t="n">
        <v>2007321</v>
      </c>
      <c r="B227" s="11" t="inlineStr">
        <is>
          <t>7790000000379</t>
        </is>
      </c>
      <c r="C227" s="11" t="inlineStr">
        <is>
          <t>GL_BANDEJA 102 BIODEG. X 1400U</t>
        </is>
      </c>
      <c r="D227" s="11" t="inlineStr">
        <is>
          <t>BANDEJA 102 BIODEGRADABLE</t>
        </is>
      </c>
      <c r="E227" s="24" t="n">
        <v>1400</v>
      </c>
      <c r="F227" s="11" t="n"/>
    </row>
    <row r="228">
      <c r="A228" s="22" t="n">
        <v>2006175</v>
      </c>
      <c r="B228" s="11" t="inlineStr">
        <is>
          <t>7790321020116</t>
        </is>
      </c>
      <c r="C228" s="11" t="inlineStr">
        <is>
          <t>BANDEJAS PLASTICAS 102 x 100 U</t>
        </is>
      </c>
      <c r="D228" s="11" t="inlineStr">
        <is>
          <t>BANDEJA 102</t>
        </is>
      </c>
      <c r="E228" s="24" t="n">
        <v>100</v>
      </c>
      <c r="F228" s="11" t="n"/>
    </row>
    <row r="229">
      <c r="A229" s="22" t="n">
        <v>2006387</v>
      </c>
      <c r="B229" s="11" t="inlineStr">
        <is>
          <t>7790321020290</t>
        </is>
      </c>
      <c r="C229" s="11" t="inlineStr">
        <is>
          <t>BANDEJA 102  X100U CELPAK</t>
        </is>
      </c>
      <c r="D229" s="11" t="inlineStr">
        <is>
          <t>BANDEJA 102</t>
        </is>
      </c>
      <c r="E229" s="24" t="n">
        <v>100</v>
      </c>
      <c r="F229" s="11" t="n"/>
    </row>
    <row r="230">
      <c r="A230" s="22" t="inlineStr">
        <is>
          <t>NO SE ENCUENTRA EAN</t>
        </is>
      </c>
      <c r="B230" s="11" t="inlineStr">
        <is>
          <t>7798068951855</t>
        </is>
      </c>
      <c r="C230" s="11" t="inlineStr">
        <is>
          <t>BANDEJA 102 LIVI MICROO X100UN</t>
        </is>
      </c>
      <c r="D230" s="11" t="inlineStr">
        <is>
          <t>BANDEJA 102</t>
        </is>
      </c>
      <c r="E230" s="24" t="n">
        <v>100</v>
      </c>
      <c r="F230" s="11" t="n"/>
    </row>
    <row r="231">
      <c r="A231" s="22" t="n">
        <v>2011504</v>
      </c>
      <c r="B231" s="11" t="inlineStr">
        <is>
          <t>7798011210039</t>
        </is>
      </c>
      <c r="C231" s="11" t="inlineStr">
        <is>
          <t>BANDEJA 102 MICRO COTNYL X100U</t>
        </is>
      </c>
      <c r="D231" s="11" t="inlineStr">
        <is>
          <t>BANDEJA 102</t>
        </is>
      </c>
      <c r="E231" s="24" t="n">
        <v>100</v>
      </c>
      <c r="F231" s="11" t="n"/>
    </row>
    <row r="232">
      <c r="A232" s="22" t="n">
        <v>2006427</v>
      </c>
      <c r="B232" s="11" t="inlineStr">
        <is>
          <t>7790321020106</t>
        </is>
      </c>
      <c r="C232" s="11" t="inlineStr">
        <is>
          <t>BANDEJAS PLASTICAS 101 x 100 U RECTANGULAR</t>
        </is>
      </c>
      <c r="D232" s="11" t="inlineStr">
        <is>
          <t>BANDEJA 101</t>
        </is>
      </c>
      <c r="E232" s="24" t="n">
        <v>100</v>
      </c>
      <c r="F232" s="11" t="n"/>
    </row>
    <row r="233">
      <c r="A233" s="22" t="n">
        <v>2006825</v>
      </c>
      <c r="B233" s="11" t="inlineStr">
        <is>
          <t>7790321020289</t>
        </is>
      </c>
      <c r="C233" s="11" t="inlineStr">
        <is>
          <t>BANDEJA 101 X200U CELPAK</t>
        </is>
      </c>
      <c r="D233" s="11" t="inlineStr">
        <is>
          <t>BANDEJA 101</t>
        </is>
      </c>
      <c r="E233" s="24" t="n">
        <v>200</v>
      </c>
      <c r="F233" s="11" t="n"/>
    </row>
    <row r="234">
      <c r="A234" s="22" t="n">
        <v>2006646</v>
      </c>
      <c r="B234" s="11" t="inlineStr">
        <is>
          <t>7790321020283</t>
        </is>
      </c>
      <c r="C234" s="11" t="inlineStr">
        <is>
          <t>BANDEJA PLASTICA 101 X100U REC</t>
        </is>
      </c>
      <c r="D234" s="11" t="inlineStr">
        <is>
          <t>BANDEJA 101</t>
        </is>
      </c>
      <c r="E234" s="24" t="n">
        <v>100</v>
      </c>
      <c r="F234" s="11" t="n"/>
    </row>
    <row r="235">
      <c r="A235" s="22" t="n">
        <v>2006389</v>
      </c>
      <c r="B235" s="11" t="inlineStr">
        <is>
          <t>7790321020293</t>
        </is>
      </c>
      <c r="C235" s="11" t="inlineStr">
        <is>
          <t>BANDEJA 101 PET X100U COTNYL</t>
        </is>
      </c>
      <c r="D235" s="11" t="inlineStr">
        <is>
          <t>BANDEJA 101</t>
        </is>
      </c>
      <c r="E235" s="24" t="n">
        <v>100</v>
      </c>
      <c r="F235" s="11" t="n"/>
    </row>
    <row r="236">
      <c r="A236" s="22" t="inlineStr">
        <is>
          <t>NO SE ENCUENTRA EAN</t>
        </is>
      </c>
      <c r="B236" s="11" t="inlineStr">
        <is>
          <t>7778068951879</t>
        </is>
      </c>
      <c r="C236" s="11" t="inlineStr">
        <is>
          <t>BANDEJA 101 X100UN COTNYL</t>
        </is>
      </c>
      <c r="D236" s="11" t="inlineStr">
        <is>
          <t>BANDEJA 101</t>
        </is>
      </c>
      <c r="E236" s="24" t="n">
        <v>100</v>
      </c>
      <c r="F236" s="11" t="n"/>
    </row>
    <row r="237">
      <c r="A237" s="22" t="inlineStr">
        <is>
          <t>NO SE ENCUENTRA EAN</t>
        </is>
      </c>
      <c r="B237" s="11" t="inlineStr">
        <is>
          <t>7790000000272</t>
        </is>
      </c>
      <c r="C237" s="11" t="inlineStr">
        <is>
          <t>BANDEJA 101 PIM MICRO.COTYL X 100 U</t>
        </is>
      </c>
      <c r="D237" s="11" t="inlineStr">
        <is>
          <t>BANDEJA 101</t>
        </is>
      </c>
      <c r="E237" s="24" t="n">
        <v>100</v>
      </c>
      <c r="F237" s="11" t="n"/>
    </row>
    <row r="238">
      <c r="A238" s="22" t="n">
        <v>2007232</v>
      </c>
      <c r="B238" s="11" t="inlineStr">
        <is>
          <t>7790000000278</t>
        </is>
      </c>
      <c r="C238" s="11" t="inlineStr">
        <is>
          <t>VO BAND PLAST 101 X 50U RECT COTNYL</t>
        </is>
      </c>
      <c r="D238" s="11" t="inlineStr">
        <is>
          <t>BANDEJA 101</t>
        </is>
      </c>
      <c r="E238" s="24" t="n">
        <v>50</v>
      </c>
      <c r="F238" s="11" t="n"/>
    </row>
    <row r="239">
      <c r="A239" s="22" t="n">
        <v>2006850</v>
      </c>
      <c r="B239" s="11" t="inlineStr">
        <is>
          <t>7790991126352</t>
        </is>
      </c>
      <c r="C239" s="11" t="inlineStr">
        <is>
          <t>BANDEJA 101 X200U COTNYL</t>
        </is>
      </c>
      <c r="D239" s="11" t="inlineStr">
        <is>
          <t>BANDEJA 101</t>
        </is>
      </c>
      <c r="E239" s="24" t="n">
        <v>200</v>
      </c>
      <c r="F239" s="11" t="n"/>
    </row>
    <row r="240">
      <c r="A240" s="22" t="n">
        <v>2006407</v>
      </c>
      <c r="B240" s="11" t="inlineStr">
        <is>
          <t>16204006A</t>
        </is>
      </c>
      <c r="C240" s="11" t="inlineStr">
        <is>
          <t xml:space="preserve">ROLLO BOLSA ARRANQUE 60 x 90 </t>
        </is>
      </c>
      <c r="D240" s="11" t="inlineStr">
        <is>
          <t>ARRANQUE 60X90</t>
        </is>
      </c>
      <c r="E240" s="24" t="n">
        <v>1</v>
      </c>
      <c r="F240" s="11" t="n"/>
    </row>
    <row r="241">
      <c r="A241" s="22" t="n">
        <v>2006489</v>
      </c>
      <c r="B241" s="11" t="inlineStr">
        <is>
          <t>EMB000038</t>
        </is>
      </c>
      <c r="C241" s="11" t="inlineStr">
        <is>
          <t>ROLLO_BOLSA_ARRANQUE_60_x_90_</t>
        </is>
      </c>
      <c r="D241" s="11" t="inlineStr">
        <is>
          <t>ARRANQUE 60X90</t>
        </is>
      </c>
      <c r="E241" s="24" t="n">
        <v>1</v>
      </c>
      <c r="F241" s="11" t="n"/>
    </row>
    <row r="242">
      <c r="A242" s="22" t="n"/>
      <c r="B242" s="11" t="inlineStr">
        <is>
          <t>779561800063</t>
        </is>
      </c>
      <c r="C242" s="11" t="inlineStr">
        <is>
          <t xml:space="preserve">ROLLO BOLSA ARRANQUE 60 X 90       </t>
        </is>
      </c>
      <c r="D242" s="11" t="inlineStr">
        <is>
          <t>ARRANQUE 60X90</t>
        </is>
      </c>
      <c r="E242" s="24" t="n">
        <v>1</v>
      </c>
      <c r="F242" s="11" t="n"/>
    </row>
    <row r="243">
      <c r="A243" s="22" t="n">
        <v>2006669</v>
      </c>
      <c r="B243" s="11" t="inlineStr">
        <is>
          <t>7905512648244</t>
        </is>
      </c>
      <c r="C243" s="11" t="inlineStr">
        <is>
          <t>ROLLO BOLSA ARRANQUE 60X70 DISTRIBUCION</t>
        </is>
      </c>
      <c r="D243" s="11" t="inlineStr">
        <is>
          <t>ARRANQUE 60X90</t>
        </is>
      </c>
      <c r="E243" s="24" t="n">
        <v>1</v>
      </c>
      <c r="F243" s="11" t="n"/>
    </row>
    <row r="244">
      <c r="A244" s="22" t="n">
        <v>2006220</v>
      </c>
      <c r="B244" s="11" t="inlineStr">
        <is>
          <t>16208000A</t>
        </is>
      </c>
      <c r="C244" s="11" t="inlineStr">
        <is>
          <t>ROLLO DE BOLSA DE ARRANQUE 50 x 70</t>
        </is>
      </c>
      <c r="D244" s="11" t="inlineStr">
        <is>
          <t>ARRANQUE 50X70</t>
        </is>
      </c>
      <c r="E244" s="24" t="n">
        <v>1</v>
      </c>
      <c r="F244" s="11" t="n"/>
    </row>
    <row r="245">
      <c r="A245" s="22" t="n">
        <v>2006486</v>
      </c>
      <c r="B245" s="11" t="inlineStr">
        <is>
          <t>16204004A</t>
        </is>
      </c>
      <c r="C245" s="11" t="inlineStr">
        <is>
          <t>ROLLO BOLSA ARRANQUE 45 x 60</t>
        </is>
      </c>
      <c r="D245" s="11" t="inlineStr">
        <is>
          <t>ARRANQUE 40X60</t>
        </is>
      </c>
      <c r="E245" s="24" t="n">
        <v>1</v>
      </c>
      <c r="F245" s="11" t="n"/>
    </row>
    <row r="246">
      <c r="A246" s="22" t="n">
        <v>2006406</v>
      </c>
      <c r="B246" s="11" t="inlineStr">
        <is>
          <t>16204003A</t>
        </is>
      </c>
      <c r="C246" s="11" t="inlineStr">
        <is>
          <t>ROLLO BOLSA ARRANQUE 40 x 60</t>
        </is>
      </c>
      <c r="D246" s="11" t="inlineStr">
        <is>
          <t>ARRANQUE 40X60</t>
        </is>
      </c>
      <c r="E246" s="24" t="n">
        <v>1</v>
      </c>
      <c r="F246" s="11" t="n"/>
    </row>
    <row r="247">
      <c r="A247" s="22" t="n">
        <v>2006272</v>
      </c>
      <c r="B247" s="11" t="inlineStr">
        <is>
          <t>EMB000035</t>
        </is>
      </c>
      <c r="C247" s="11" t="inlineStr">
        <is>
          <t>ROLLO_BOLSA_ARRANQUE_35_x_45</t>
        </is>
      </c>
      <c r="D247" s="11" t="inlineStr">
        <is>
          <t>ARRANQUE 40X60</t>
        </is>
      </c>
      <c r="E247" s="24" t="n">
        <v>1</v>
      </c>
      <c r="F247" s="11" t="n"/>
    </row>
    <row r="248">
      <c r="A248" s="22" t="n">
        <v>2006237</v>
      </c>
      <c r="B248" s="11" t="inlineStr">
        <is>
          <t>EMB000036</t>
        </is>
      </c>
      <c r="C248" s="11" t="inlineStr">
        <is>
          <t>ROLLO_BOLSA_ARRANQUE_40_x_60</t>
        </is>
      </c>
      <c r="D248" s="11" t="inlineStr">
        <is>
          <t>ARRANQUE 40X60</t>
        </is>
      </c>
      <c r="E248" s="24" t="n">
        <v>1</v>
      </c>
      <c r="F248" s="11" t="n"/>
    </row>
    <row r="249">
      <c r="A249" s="22" t="n">
        <v>2006238</v>
      </c>
      <c r="B249" s="11" t="inlineStr">
        <is>
          <t>EMB000037</t>
        </is>
      </c>
      <c r="C249" s="11" t="inlineStr">
        <is>
          <t>ROLLO_BOLSA_ARRANQUE_45_x_60</t>
        </is>
      </c>
      <c r="D249" s="11" t="inlineStr">
        <is>
          <t>ARRANQUE 40X60</t>
        </is>
      </c>
      <c r="E249" s="24" t="n">
        <v>1</v>
      </c>
      <c r="F249" s="11" t="n"/>
    </row>
    <row r="250">
      <c r="A250" s="22" t="n">
        <v>2006865</v>
      </c>
      <c r="B250" s="11" t="inlineStr">
        <is>
          <t>EMB000055</t>
        </is>
      </c>
      <c r="C250" s="11" t="inlineStr">
        <is>
          <t>ROLLO BOLSA ARRANQUE 40 x 50</t>
        </is>
      </c>
      <c r="D250" s="11" t="inlineStr">
        <is>
          <t>ARRANQUE 40X60</t>
        </is>
      </c>
      <c r="E250" s="24" t="n">
        <v>1</v>
      </c>
      <c r="F250" s="11" t="n"/>
    </row>
    <row r="251">
      <c r="A251" s="22" t="n">
        <v>2007506</v>
      </c>
      <c r="B251" s="11" t="inlineStr">
        <is>
          <t>7790000000480</t>
        </is>
      </c>
      <c r="C251" s="11" t="inlineStr">
        <is>
          <t xml:space="preserve">GL_ROLLO BOLSA ARRANQ 40X60 MPROP </t>
        </is>
      </c>
      <c r="D251" s="11" t="inlineStr">
        <is>
          <t>ARRANQUE 40X60</t>
        </is>
      </c>
      <c r="E251" s="24" t="n">
        <v>1</v>
      </c>
      <c r="F251" s="11" t="n"/>
    </row>
    <row r="252">
      <c r="A252" s="22" t="n"/>
      <c r="B252" s="11" t="inlineStr">
        <is>
          <t>7790000000222</t>
        </is>
      </c>
      <c r="C252" s="11" t="inlineStr">
        <is>
          <t xml:space="preserve">BSA DE ARRANQUE MD  40X50 A/D X12U </t>
        </is>
      </c>
      <c r="D252" s="11" t="inlineStr">
        <is>
          <t>ARRANQUE 40X60</t>
        </is>
      </c>
      <c r="E252" s="24" t="n">
        <v>12</v>
      </c>
      <c r="F252" s="11" t="n"/>
    </row>
    <row r="253">
      <c r="A253" s="22" t="n">
        <v>2006408</v>
      </c>
      <c r="B253" s="11" t="inlineStr">
        <is>
          <t>16208001A</t>
        </is>
      </c>
      <c r="C253" s="11" t="inlineStr">
        <is>
          <t>ROLLO DE BOLSA DE ARRANQUE 20 x 30</t>
        </is>
      </c>
      <c r="D253" s="11" t="inlineStr">
        <is>
          <t>ARRANQUE 20X30</t>
        </is>
      </c>
      <c r="E253" s="24" t="n">
        <v>1</v>
      </c>
      <c r="F253" s="11" t="n"/>
    </row>
    <row r="254">
      <c r="A254" s="22" t="n">
        <v>2006234</v>
      </c>
      <c r="B254" s="11" t="inlineStr">
        <is>
          <t>16204005A</t>
        </is>
      </c>
      <c r="C254" s="11" t="inlineStr">
        <is>
          <t>ROLLO BOLSA ARRANQUE 25X35</t>
        </is>
      </c>
      <c r="D254" s="11" t="inlineStr">
        <is>
          <t>ARRANQUE 20X30</t>
        </is>
      </c>
      <c r="E254" s="24" t="n">
        <v>1</v>
      </c>
      <c r="F254" s="11" t="n"/>
    </row>
    <row r="255">
      <c r="A255" s="22" t="n">
        <v>2006485</v>
      </c>
      <c r="B255" s="11" t="inlineStr">
        <is>
          <t>16204001A</t>
        </is>
      </c>
      <c r="C255" s="11" t="inlineStr">
        <is>
          <t>ROLLO BOLSA ARRANQUE 20 x 25</t>
        </is>
      </c>
      <c r="D255" s="11" t="inlineStr">
        <is>
          <t>ARRANQUE 20X30</t>
        </is>
      </c>
      <c r="E255" s="24" t="n">
        <v>1</v>
      </c>
      <c r="F255" s="11" t="n"/>
    </row>
    <row r="256">
      <c r="A256" s="22" t="n">
        <v>2006143</v>
      </c>
      <c r="B256" s="11" t="inlineStr">
        <is>
          <t>EMB000034</t>
        </is>
      </c>
      <c r="C256" s="11" t="inlineStr">
        <is>
          <t>ROLLO BOLSA ARRANQUE 20 x 25</t>
        </is>
      </c>
      <c r="D256" s="11" t="inlineStr">
        <is>
          <t>ARRANQUE 20X30</t>
        </is>
      </c>
      <c r="E256" s="24" t="n">
        <v>1</v>
      </c>
      <c r="F256" s="11" t="n"/>
    </row>
    <row r="257">
      <c r="A257" s="22" t="n">
        <v>2006487</v>
      </c>
      <c r="B257" s="11" t="inlineStr">
        <is>
          <t>16204014A</t>
        </is>
      </c>
      <c r="C257" s="11" t="inlineStr">
        <is>
          <t>ROLLO BOLSA ARRANQUE 15x20</t>
        </is>
      </c>
      <c r="D257" s="11" t="inlineStr">
        <is>
          <t>ARRANQUE 15X20</t>
        </is>
      </c>
      <c r="E257" s="24" t="n">
        <v>1</v>
      </c>
      <c r="F257" s="11" t="n"/>
    </row>
    <row r="258">
      <c r="A258" s="22" t="n"/>
      <c r="B258" s="11" t="inlineStr">
        <is>
          <t>16204014A</t>
        </is>
      </c>
      <c r="C258" s="11" t="inlineStr">
        <is>
          <t xml:space="preserve">ROLLO BOLSA ARRANQUE 15X20         </t>
        </is>
      </c>
      <c r="D258" s="11" t="inlineStr">
        <is>
          <t>ARRANQUE 15X20</t>
        </is>
      </c>
      <c r="E258" s="24" t="n">
        <v>1</v>
      </c>
      <c r="F258" s="11" t="n"/>
    </row>
    <row r="259">
      <c r="A259" s="22" t="n"/>
      <c r="B259" s="11" t="inlineStr">
        <is>
          <t>7795618000094</t>
        </is>
      </c>
      <c r="C259" s="11" t="inlineStr">
        <is>
          <t>ROLLO BOLSA ARRAN.15X20 SONBUENAS 2</t>
        </is>
      </c>
      <c r="D259" s="11" t="inlineStr">
        <is>
          <t>ARRANQUE 15X20</t>
        </is>
      </c>
      <c r="E259" s="24" t="n">
        <v>1</v>
      </c>
      <c r="F259" s="11" t="n"/>
    </row>
    <row r="260">
      <c r="A260" s="22" t="n">
        <v>2006441</v>
      </c>
      <c r="B260" s="11" t="inlineStr">
        <is>
          <t>7797390190505</t>
        </is>
      </c>
      <c r="C260" s="11" t="inlineStr">
        <is>
          <t>ANTORCHITAS X24U</t>
        </is>
      </c>
      <c r="D260" s="11" t="inlineStr">
        <is>
          <t>ANTORCHITAS</t>
        </is>
      </c>
      <c r="E260" s="24" t="n">
        <v>24</v>
      </c>
      <c r="F260" s="11" t="inlineStr">
        <is>
          <t>FEPROL</t>
        </is>
      </c>
    </row>
    <row r="261">
      <c r="A261" s="22" t="n">
        <v>2007573</v>
      </c>
      <c r="B261" s="11" t="inlineStr">
        <is>
          <t>7790000000519</t>
        </is>
      </c>
      <c r="C261" s="11" t="inlineStr">
        <is>
          <t>GL AGITAD MADE ECO 15CM X500 BIOPAC</t>
        </is>
      </c>
      <c r="D261" s="11" t="inlineStr">
        <is>
          <t>AGITADOR MADERA</t>
        </is>
      </c>
      <c r="E261" s="24" t="n">
        <v>500</v>
      </c>
      <c r="F261" s="11" t="n"/>
    </row>
    <row r="262">
      <c r="A262" s="22" t="n">
        <v>2006151</v>
      </c>
      <c r="B262" s="11" t="inlineStr">
        <is>
          <t>13069000A</t>
        </is>
      </c>
      <c r="C262" s="11" t="inlineStr">
        <is>
          <t>AGITADOR x 1000 U</t>
        </is>
      </c>
      <c r="D262" s="11" t="inlineStr">
        <is>
          <t>AGITADOR</t>
        </is>
      </c>
      <c r="E262" s="24" t="n">
        <v>1000</v>
      </c>
      <c r="F262" s="11" t="n"/>
    </row>
    <row r="263">
      <c r="A263" s="22" t="n"/>
      <c r="B263" s="11" t="inlineStr">
        <is>
          <t>7790000000191</t>
        </is>
      </c>
      <c r="C263" s="11" t="inlineStr">
        <is>
          <t xml:space="preserve">GL AGITAD. PLAST BCOS 9CM X1000U   </t>
        </is>
      </c>
      <c r="D263" s="11" t="inlineStr">
        <is>
          <t>AGITADOR</t>
        </is>
      </c>
      <c r="E263" s="24" t="n">
        <v>1000</v>
      </c>
      <c r="F263" s="11" t="n"/>
    </row>
    <row r="264">
      <c r="A264" s="22" t="n"/>
      <c r="B264" s="11" t="inlineStr">
        <is>
          <t>714604111788</t>
        </is>
      </c>
      <c r="C264" s="11" t="inlineStr">
        <is>
          <t xml:space="preserve">CUCHILLOS DESCARTABLES X1000U      </t>
        </is>
      </c>
      <c r="D264" s="11" t="inlineStr">
        <is>
          <t>CUCHILLO DESCARTABLE</t>
        </is>
      </c>
      <c r="E264" s="24" t="n">
        <v>1000</v>
      </c>
      <c r="F264" s="11" t="n"/>
    </row>
    <row r="265">
      <c r="A265" s="22" t="n"/>
      <c r="B265" s="11" t="inlineStr">
        <is>
          <t>7794459003530</t>
        </is>
      </c>
      <c r="C265" s="11" t="inlineStr">
        <is>
          <t xml:space="preserve">ROLLO ARRANQUE 20X30 X12U 750GR    </t>
        </is>
      </c>
      <c r="D265" s="11" t="inlineStr">
        <is>
          <t>ARRANQUE 20X30</t>
        </is>
      </c>
      <c r="E265" s="24" t="n">
        <v>12</v>
      </c>
      <c r="F265" s="11" t="n"/>
    </row>
    <row r="266">
      <c r="A266" s="22" t="n"/>
      <c r="B266" s="11" t="inlineStr">
        <is>
          <t>7794459003547</t>
        </is>
      </c>
      <c r="C266" s="11" t="inlineStr">
        <is>
          <t xml:space="preserve">ROLLO ARRANQUE 40X60 X6U 1500GR    </t>
        </is>
      </c>
      <c r="D266" s="11" t="inlineStr">
        <is>
          <t>ARRANQUE 40X60</t>
        </is>
      </c>
      <c r="E266" s="24" t="n">
        <v>6</v>
      </c>
      <c r="F266" s="11" t="n"/>
    </row>
    <row r="267">
      <c r="A267" s="22" t="n"/>
      <c r="B267" s="11" t="inlineStr">
        <is>
          <t>798011214860</t>
        </is>
      </c>
      <c r="C267" s="11" t="inlineStr">
        <is>
          <t xml:space="preserve">BANDEJA 101 X100U COTNYL           </t>
        </is>
      </c>
      <c r="D267" s="11" t="inlineStr">
        <is>
          <t>BANDEJA 101</t>
        </is>
      </c>
      <c r="E267" s="24" t="n">
        <v>100</v>
      </c>
      <c r="F267" s="11" t="n"/>
    </row>
    <row r="268">
      <c r="A268" s="22" t="n"/>
      <c r="B268" s="11" t="n">
        <v>7794459003554</v>
      </c>
      <c r="C268" s="11" t="inlineStr">
        <is>
          <t>GL ROLLO ARRANQUE 60x90 X4U 2000GR</t>
        </is>
      </c>
      <c r="D268" s="11" t="inlineStr">
        <is>
          <t>ARRANQUE 60X90</t>
        </is>
      </c>
      <c r="E268" s="24" t="n">
        <v>4</v>
      </c>
      <c r="F268" s="11" t="n"/>
    </row>
    <row r="269">
      <c r="A269" s="22" t="n"/>
      <c r="B269" s="11" t="n">
        <v>7794459003516</v>
      </c>
      <c r="C269" s="11" t="inlineStr">
        <is>
          <t>GL ROLLO ARRANQUE 20x30 X6U 500GR</t>
        </is>
      </c>
      <c r="D269" s="11" t="inlineStr">
        <is>
          <t>ARRANQUE 20X30</t>
        </is>
      </c>
      <c r="E269" s="24" t="n">
        <v>6</v>
      </c>
      <c r="F269" s="11" t="n"/>
    </row>
    <row r="270">
      <c r="A270" s="22" t="n"/>
      <c r="B270" s="11" t="n">
        <v>7790000000768</v>
      </c>
      <c r="C270" s="11" t="inlineStr">
        <is>
          <t>FILM 38CM 500M DISPAFILM</t>
        </is>
      </c>
      <c r="D270" s="11" t="inlineStr">
        <is>
          <t>FILM PVC 38</t>
        </is>
      </c>
      <c r="E270" s="24" t="n">
        <v>1</v>
      </c>
      <c r="F270" s="11" t="n"/>
    </row>
    <row r="271">
      <c r="A271" s="22" t="n">
        <v>2007560</v>
      </c>
      <c r="B271" s="11" t="n">
        <v>7790250912828</v>
      </c>
      <c r="C271" s="11" t="inlineStr">
        <is>
          <t>GL_SERV FASTFOOD 16X21X8400U ELITE</t>
        </is>
      </c>
      <c r="D271" s="11" t="inlineStr">
        <is>
          <t xml:space="preserve">SERVILLETA 16X21 </t>
        </is>
      </c>
      <c r="E271" s="24" t="n">
        <v>8400</v>
      </c>
      <c r="F271" s="11" t="n"/>
    </row>
    <row r="272">
      <c r="A272" s="22" t="n"/>
      <c r="B272" s="11" t="n">
        <v>7790000000762</v>
      </c>
      <c r="C272" s="11" t="inlineStr">
        <is>
          <t xml:space="preserve">TAPA BOWL COMP 17X7 960C X300U  </t>
        </is>
      </c>
      <c r="D272" s="11" t="inlineStr">
        <is>
          <t>TAPA BOWL COMPOSTABLE 960</t>
        </is>
      </c>
      <c r="E272" s="24" t="n">
        <v>300</v>
      </c>
      <c r="F272" s="11" t="n"/>
    </row>
    <row r="273">
      <c r="A273" s="22" t="n"/>
      <c r="B273" s="11" t="n">
        <v>7790000000250</v>
      </c>
      <c r="C273" s="11" t="inlineStr">
        <is>
          <t>TAPA BOWL COMPOS.17x7 960CC BIO X600UN</t>
        </is>
      </c>
      <c r="D273" s="11" t="inlineStr">
        <is>
          <t>TAPA BOWL COMPOSTABLE 960</t>
        </is>
      </c>
      <c r="E273" s="24" t="n">
        <v>600</v>
      </c>
      <c r="F273" s="11" t="n"/>
    </row>
    <row r="274">
      <c r="A274" s="22" t="n"/>
      <c r="B274" s="11" t="n">
        <v>790757820753</v>
      </c>
      <c r="C274" s="11" t="inlineStr">
        <is>
          <t>GL SERVILLETAS 24x24 X2000U</t>
        </is>
      </c>
      <c r="D274" s="11" t="inlineStr">
        <is>
          <t>SERVILLETA 30X30 S/LOGO</t>
        </is>
      </c>
      <c r="E274" s="24" t="n">
        <v>2000</v>
      </c>
      <c r="F274" s="11" t="n"/>
    </row>
    <row r="275">
      <c r="A275" s="22" t="n"/>
      <c r="B275" s="11" t="inlineStr">
        <is>
          <t>7798188651727</t>
        </is>
      </c>
      <c r="C275" s="11" t="inlineStr">
        <is>
          <t xml:space="preserve">SERVILLETA S/LOGO 30X30X1000U      </t>
        </is>
      </c>
      <c r="D275" s="11" t="inlineStr">
        <is>
          <t>SERVILLETA 30X30 S/LOGO</t>
        </is>
      </c>
      <c r="E275" s="24" t="n">
        <v>1000</v>
      </c>
      <c r="F275" s="11" t="n"/>
    </row>
    <row r="276">
      <c r="A276" s="22" t="n"/>
      <c r="B276" s="11" t="inlineStr">
        <is>
          <t>7790000000705</t>
        </is>
      </c>
      <c r="C276" s="11" t="inlineStr">
        <is>
          <t xml:space="preserve">SERVILLETA 33X21.5 C.GOURMET X1000 </t>
        </is>
      </c>
      <c r="D276" s="11" t="inlineStr">
        <is>
          <t>SERVILLETA C/ LOGO C. GOURMET 33X21.5</t>
        </is>
      </c>
      <c r="E276" s="24" t="n">
        <v>1000</v>
      </c>
      <c r="F276" s="11" t="n"/>
    </row>
    <row r="277">
      <c r="A277" s="22" t="n"/>
      <c r="B277" s="11" t="inlineStr">
        <is>
          <t>7790000000708</t>
        </is>
      </c>
      <c r="C277" s="11" t="inlineStr">
        <is>
          <t>SERV 33X21.5 BLUE CATTERING X1000UN</t>
        </is>
      </c>
      <c r="D277" s="11" t="inlineStr">
        <is>
          <t>SERVILLETA C/ LOGO BLUE 33X21.5</t>
        </is>
      </c>
      <c r="E277" s="24" t="n">
        <v>1000</v>
      </c>
      <c r="F277" s="11" t="n"/>
    </row>
    <row r="278">
      <c r="A278" s="22" t="n"/>
      <c r="B278" s="11" t="inlineStr">
        <is>
          <t>7798353362403</t>
        </is>
      </c>
      <c r="C278" s="11" t="inlineStr">
        <is>
          <t xml:space="preserve">VASO TERMICO 240X1000U WELL CUP    </t>
        </is>
      </c>
      <c r="D278" s="11" t="inlineStr">
        <is>
          <t>VASO TERMICO 240</t>
        </is>
      </c>
      <c r="E278" s="24" t="n">
        <v>1000</v>
      </c>
      <c r="F278" s="11" t="n"/>
    </row>
    <row r="279">
      <c r="A279" s="22" t="n"/>
      <c r="B279" s="11" t="inlineStr">
        <is>
          <t>17798038127102</t>
        </is>
      </c>
      <c r="C279" s="11" t="inlineStr">
        <is>
          <t xml:space="preserve">VASO TERM ESTISOL 0.240LT X1000UN  </t>
        </is>
      </c>
      <c r="D279" s="11" t="inlineStr">
        <is>
          <t>VASO TERMICO 240</t>
        </is>
      </c>
      <c r="E279" s="24" t="n">
        <v>1000</v>
      </c>
      <c r="F279" s="11" t="n"/>
    </row>
    <row r="280">
      <c r="A280" s="22" t="n">
        <v>2011433</v>
      </c>
      <c r="B280" s="11" t="inlineStr">
        <is>
          <t>7790000000675</t>
        </is>
      </c>
      <c r="C280" s="11" t="inlineStr">
        <is>
          <t xml:space="preserve">VASO 12OZ POLIP BLUE X100U ETISO   </t>
        </is>
      </c>
      <c r="D280" s="11" t="inlineStr">
        <is>
          <t>VASO 12OZ BLUE</t>
        </is>
      </c>
      <c r="E280" s="24" t="n">
        <v>100</v>
      </c>
      <c r="F280" s="11" t="n"/>
    </row>
    <row r="281">
      <c r="A281" s="22" t="n">
        <v>2011434</v>
      </c>
      <c r="B281" s="11" t="inlineStr">
        <is>
          <t>7790000000676</t>
        </is>
      </c>
      <c r="C281" s="11" t="inlineStr">
        <is>
          <t xml:space="preserve">VASO 8OZ POLIP BLUE X100U ESTISO   </t>
        </is>
      </c>
      <c r="D281" s="11" t="inlineStr">
        <is>
          <t>VASO 8OZ BLUE</t>
        </is>
      </c>
      <c r="E281" s="24" t="n">
        <v>100</v>
      </c>
      <c r="F281" s="11" t="n"/>
    </row>
    <row r="282">
      <c r="A282" s="22" t="n"/>
      <c r="B282" s="11" t="inlineStr">
        <is>
          <t xml:space="preserve">7790000000707       </t>
        </is>
      </c>
      <c r="C282" s="11" t="inlineStr">
        <is>
          <t xml:space="preserve">SERVILLETA 33X21.5 HEALTH X1000UN  </t>
        </is>
      </c>
      <c r="D282" s="11" t="inlineStr">
        <is>
          <t>SERVILLETA C/ LOGO HEALTH 33X21.5</t>
        </is>
      </c>
      <c r="E282" s="24" t="n">
        <v>1000</v>
      </c>
      <c r="F282" s="11" t="n"/>
    </row>
    <row r="283">
      <c r="A283" s="22" t="n"/>
      <c r="B283" s="11" t="inlineStr">
        <is>
          <t>7798353361802</t>
        </is>
      </c>
      <c r="C283" s="11" t="inlineStr">
        <is>
          <t xml:space="preserve">VASO TERMICO  MD ESTISOL 0,18 LT   </t>
        </is>
      </c>
      <c r="D283" s="11" t="inlineStr">
        <is>
          <t>VASO TERMICO 180</t>
        </is>
      </c>
      <c r="E283" s="24" t="n">
        <v>1000</v>
      </c>
      <c r="F283" s="11" t="n"/>
    </row>
    <row r="284">
      <c r="A284" s="22" t="n"/>
      <c r="B284" s="11" t="inlineStr">
        <is>
          <t>7798011210060</t>
        </is>
      </c>
      <c r="C284" s="11" t="inlineStr">
        <is>
          <t xml:space="preserve">TAPA BAND 103 MICRO COTNYL X50UN   </t>
        </is>
      </c>
      <c r="D284" s="11" t="inlineStr">
        <is>
          <t>TAPA 103</t>
        </is>
      </c>
      <c r="E284" s="24" t="n">
        <v>50</v>
      </c>
      <c r="F284" s="11" t="n"/>
    </row>
    <row r="285">
      <c r="A285" s="22" t="n"/>
      <c r="B285" s="11" t="inlineStr">
        <is>
          <t>7790023000196</t>
        </is>
      </c>
      <c r="C285" s="11" t="inlineStr">
        <is>
          <t>GL BOBINA DE ARRANQ 20X30X12U</t>
        </is>
      </c>
      <c r="D285" s="11" t="inlineStr">
        <is>
          <t>ARRANQUE 20X30</t>
        </is>
      </c>
      <c r="E285" s="24" t="n">
        <v>12</v>
      </c>
      <c r="F285" s="11" t="n"/>
    </row>
    <row r="286">
      <c r="A286" s="27" t="n"/>
      <c r="B286" s="28" t="inlineStr">
        <is>
          <t>17798047390047</t>
        </is>
      </c>
      <c r="C286" s="28" t="inlineStr">
        <is>
          <t>BANDEJA TELGOPOR 618 x 600U</t>
        </is>
      </c>
      <c r="D286" s="28" t="inlineStr">
        <is>
          <t>BANDEJA TELGOPOR 618</t>
        </is>
      </c>
      <c r="E286" s="82" t="n">
        <v>600</v>
      </c>
      <c r="F286" s="11" t="n"/>
    </row>
    <row r="287">
      <c r="A287" s="27" t="n"/>
      <c r="B287" s="28" t="inlineStr">
        <is>
          <t>7794459003066</t>
        </is>
      </c>
      <c r="C287" s="28" t="inlineStr">
        <is>
          <t xml:space="preserve">ROLLO ARRANQUE 50X70 X6U 1500GR    </t>
        </is>
      </c>
      <c r="D287" s="28" t="inlineStr">
        <is>
          <t>ARRANQUE 50X70</t>
        </is>
      </c>
      <c r="E287" s="82" t="n">
        <v>6</v>
      </c>
      <c r="F287" s="11" t="n"/>
    </row>
    <row r="288">
      <c r="A288" s="22" t="n"/>
      <c r="B288" s="11" t="inlineStr">
        <is>
          <t>7790000000709</t>
        </is>
      </c>
      <c r="C288" s="11" t="inlineStr">
        <is>
          <t xml:space="preserve">SERVILLETA 33X21.5 NUTRIRE X1000UN </t>
        </is>
      </c>
      <c r="D288" s="11" t="inlineStr">
        <is>
          <t>SERVILLETA 33X33 NUTRIRE</t>
        </is>
      </c>
      <c r="E288" s="24" t="n">
        <v>1000</v>
      </c>
      <c r="F288" s="11" t="n"/>
    </row>
    <row r="289">
      <c r="A289" s="27" t="n"/>
      <c r="B289" s="28" t="inlineStr">
        <is>
          <t>9992015000094</t>
        </is>
      </c>
      <c r="C289" s="28" t="inlineStr">
        <is>
          <t xml:space="preserve">GL ALUMINIO X1KG XU                </t>
        </is>
      </c>
      <c r="D289" s="28" t="inlineStr">
        <is>
          <t>ROLLO ALUMINIO 40</t>
        </is>
      </c>
      <c r="E289" s="82" t="n">
        <v>1</v>
      </c>
      <c r="F289" s="11" t="n"/>
    </row>
    <row r="290">
      <c r="A290" s="27" t="n"/>
      <c r="B290" s="28" t="inlineStr">
        <is>
          <t>714604111849</t>
        </is>
      </c>
      <c r="C290" s="28" t="inlineStr">
        <is>
          <t xml:space="preserve">CUCHARA SUNDAE BCA X1000U OASIS    </t>
        </is>
      </c>
      <c r="D290" s="28" t="inlineStr">
        <is>
          <t>CUCHARA SUNDAE</t>
        </is>
      </c>
      <c r="E290" s="82" t="n">
        <v>1000</v>
      </c>
      <c r="F290" s="28" t="n"/>
    </row>
    <row r="291">
      <c r="A291" s="27" t="n"/>
      <c r="B291" s="28" t="inlineStr">
        <is>
          <t>7790000000833</t>
        </is>
      </c>
      <c r="C291" s="28" t="inlineStr">
        <is>
          <t>BOWL COMPOSTABLE 960CC X800U</t>
        </is>
      </c>
      <c r="D291" s="28" t="inlineStr">
        <is>
          <t>BOWL COMPOSTABLE 960</t>
        </is>
      </c>
      <c r="E291" s="82" t="n">
        <v>800</v>
      </c>
      <c r="F291" s="28" t="n"/>
    </row>
    <row r="292">
      <c r="A292" s="27" t="n"/>
      <c r="B292" s="28" t="inlineStr">
        <is>
          <t>7790900031701</t>
        </is>
      </c>
      <c r="C292" s="28" t="inlineStr">
        <is>
          <t xml:space="preserve"> CUCHILLO 16CM COMPOSTABLE X100U   </t>
        </is>
      </c>
      <c r="D292" s="28" t="inlineStr">
        <is>
          <t>CUCHILLO COMPOSTABLE</t>
        </is>
      </c>
      <c r="E292" s="82" t="n">
        <v>100</v>
      </c>
      <c r="F292" s="28" t="n"/>
    </row>
    <row r="293">
      <c r="A293" s="27" t="n"/>
      <c r="B293" s="28" t="inlineStr">
        <is>
          <t>7790900031725</t>
        </is>
      </c>
      <c r="C293" s="28" t="inlineStr">
        <is>
          <t xml:space="preserve">CUCHARA 16CM COMPOSTABLE X100U     </t>
        </is>
      </c>
      <c r="D293" s="28" t="inlineStr">
        <is>
          <t>CUCHARA HELADO BIO</t>
        </is>
      </c>
      <c r="E293" s="82" t="n">
        <v>100</v>
      </c>
      <c r="F293" s="28" t="n"/>
    </row>
    <row r="294">
      <c r="A294" s="27" t="n"/>
      <c r="B294" s="28" t="inlineStr">
        <is>
          <t>7790000000251</t>
        </is>
      </c>
      <c r="C294" s="28" t="inlineStr">
        <is>
          <t xml:space="preserve">TENEDOR DESC. BLANCO ALUM X1000UN  </t>
        </is>
      </c>
      <c r="D294" s="28" t="inlineStr">
        <is>
          <t>TENEDOR DESCARTABLE</t>
        </is>
      </c>
      <c r="E294" s="82" t="n">
        <v>1000</v>
      </c>
      <c r="F294" s="28" t="inlineStr">
        <is>
          <t>ACHAPLAST</t>
        </is>
      </c>
    </row>
    <row r="295">
      <c r="A295" s="27" t="n"/>
      <c r="B295" s="28" t="inlineStr">
        <is>
          <t>7790000000894</t>
        </is>
      </c>
      <c r="C295" s="28" t="inlineStr">
        <is>
          <t xml:space="preserve">SORBETES ENSOBRADOS X1000U         </t>
        </is>
      </c>
      <c r="D295" s="28" t="inlineStr">
        <is>
          <t>SORBETE C/ FUNDA</t>
        </is>
      </c>
      <c r="E295" s="82" t="n">
        <v>1000</v>
      </c>
      <c r="F295" s="28" t="inlineStr">
        <is>
          <t>PAPELERA COLON</t>
        </is>
      </c>
    </row>
    <row r="296">
      <c r="A296" s="27" t="n"/>
      <c r="B296" s="28" t="inlineStr">
        <is>
          <t>7798188651182</t>
        </is>
      </c>
      <c r="C296" s="28" t="inlineStr">
        <is>
          <t>PAPEL HAMBURGUESA BLANCO X5KG</t>
        </is>
      </c>
      <c r="D296" s="28" t="inlineStr">
        <is>
          <t>PAPEL PARAFINADO</t>
        </is>
      </c>
      <c r="E296" s="82" t="n">
        <v>1</v>
      </c>
      <c r="F296" s="28" t="n"/>
    </row>
    <row r="297">
      <c r="A297" s="27" t="n"/>
      <c r="B297" s="28" t="n">
        <v>7790000000676</v>
      </c>
      <c r="C297" s="28" t="inlineStr">
        <is>
          <t>VASO 8 OZ POLIP BLUE X100U ETISO</t>
        </is>
      </c>
      <c r="D297" s="28" t="inlineStr">
        <is>
          <t>VASO 8OZ BLUE</t>
        </is>
      </c>
      <c r="E297" s="82" t="n">
        <v>100</v>
      </c>
      <c r="F297" s="28" t="n"/>
    </row>
    <row r="298">
      <c r="A298" s="22" t="n"/>
      <c r="B298" s="11" t="n">
        <v>7790000000711</v>
      </c>
      <c r="C298" s="11" t="inlineStr">
        <is>
          <t>INDIV BLUE ESPECIALIDAD X1000UN</t>
        </is>
      </c>
      <c r="D298" s="11" t="inlineStr">
        <is>
          <t>INDIVIDUAL BLUE ESPECIALIDAD</t>
        </is>
      </c>
      <c r="E298" s="24" t="n">
        <v>1000</v>
      </c>
      <c r="F298" s="11" t="n"/>
    </row>
    <row r="299">
      <c r="A299" s="22" t="n"/>
      <c r="B299" s="11" t="n">
        <v>714604111788</v>
      </c>
      <c r="C299" s="11" t="inlineStr">
        <is>
          <t>GL CUCHILLOS DESCARTABLES X1000</t>
        </is>
      </c>
      <c r="D299" s="11" t="inlineStr">
        <is>
          <t>CUCHILLO DESCARTABLE</t>
        </is>
      </c>
      <c r="E299" s="24" t="n">
        <v>1000</v>
      </c>
      <c r="F299" s="11" t="n"/>
    </row>
    <row r="300">
      <c r="A300" s="22" t="n"/>
      <c r="B300" s="11" t="n">
        <v>714604111849</v>
      </c>
      <c r="C300" s="11" t="inlineStr">
        <is>
          <t>CUCHARA SUNDAE BCA X1000U OASIS</t>
        </is>
      </c>
      <c r="D300" s="11" t="inlineStr">
        <is>
          <t>CUCHARA SUNDAE</t>
        </is>
      </c>
      <c r="E300" s="24" t="n">
        <v>1000</v>
      </c>
      <c r="F300" s="11" t="n"/>
    </row>
    <row r="301">
      <c r="A301" s="22" t="n"/>
      <c r="B301" s="11" t="n">
        <v>7790000000904</v>
      </c>
      <c r="C301" s="11" t="inlineStr">
        <is>
          <t>MANGA TERMICA 12 OZ BLUE XUN</t>
        </is>
      </c>
      <c r="D301" s="11" t="inlineStr">
        <is>
          <t>MANGA TERMICA BLUE</t>
        </is>
      </c>
      <c r="E301" s="24" t="n">
        <v>1</v>
      </c>
      <c r="F301" s="11" t="n"/>
    </row>
    <row r="302">
      <c r="A302" s="22" t="n"/>
      <c r="B302" s="11" t="n">
        <v>7790000000897</v>
      </c>
      <c r="C302" s="11" t="inlineStr">
        <is>
          <t>PORTA VASOSC/MANIJABLUEX100U</t>
        </is>
      </c>
      <c r="D302" s="11" t="inlineStr">
        <is>
          <t>PORTA VASOS BLUE</t>
        </is>
      </c>
      <c r="E302" s="24" t="n">
        <v>100</v>
      </c>
      <c r="F302" s="11" t="n"/>
    </row>
    <row r="303">
      <c r="A303" s="22" t="n"/>
      <c r="B303" s="11" t="n">
        <v>7790000000710</v>
      </c>
      <c r="C303" s="11" t="inlineStr">
        <is>
          <t>INDIVIDUAL BLUE PERFECTO X1000UN</t>
        </is>
      </c>
      <c r="D303" s="11" t="inlineStr">
        <is>
          <t>INDIVIDUAL BLUE PERFECTO</t>
        </is>
      </c>
      <c r="E303" s="24" t="n">
        <v>1000</v>
      </c>
      <c r="F303" s="11" t="n"/>
    </row>
    <row r="304">
      <c r="A304" s="22" t="n"/>
      <c r="B304" s="11" t="n">
        <v>7790000000902</v>
      </c>
      <c r="C304" s="11" t="inlineStr">
        <is>
          <t>BOLSA KRAFT FM8 BLUE X100U</t>
        </is>
      </c>
      <c r="D304" s="11" t="inlineStr">
        <is>
          <t>BOLSA KRAFT FM8 BLUE</t>
        </is>
      </c>
      <c r="E304" s="24" t="n">
        <v>100</v>
      </c>
      <c r="F304" s="11" t="n"/>
    </row>
    <row r="305">
      <c r="A305" s="22" t="n"/>
      <c r="B305" s="11" t="n">
        <v>7790000000899</v>
      </c>
      <c r="C305" s="11" t="inlineStr">
        <is>
          <t>TAPA 12 0Z BLUE X UN</t>
        </is>
      </c>
      <c r="D305" s="11" t="inlineStr">
        <is>
          <t>TAPA 12 OZ BLUE</t>
        </is>
      </c>
      <c r="E305" s="24" t="n">
        <v>1</v>
      </c>
      <c r="F305" s="11" t="n"/>
    </row>
    <row r="306">
      <c r="A306" s="22" t="n"/>
      <c r="B306" s="42" t="n">
        <v>7790000000905</v>
      </c>
      <c r="C306" s="11" t="inlineStr">
        <is>
          <t>FILM PVC 2.3KG XUN</t>
        </is>
      </c>
      <c r="D306" s="11" t="inlineStr">
        <is>
          <t>FILM PVC 45</t>
        </is>
      </c>
      <c r="E306" s="24" t="n">
        <v>1</v>
      </c>
      <c r="F306" s="11" t="n"/>
    </row>
    <row r="307">
      <c r="A307" s="22" t="n"/>
      <c r="B307" s="11" t="n">
        <v>7790000000901</v>
      </c>
      <c r="C307" s="11" t="inlineStr">
        <is>
          <t>BOLSA KRAFT FM5 BLUE X 100 U</t>
        </is>
      </c>
      <c r="D307" s="11" t="inlineStr">
        <is>
          <t>BOLSA KRAFT FM5 BLUE</t>
        </is>
      </c>
      <c r="E307" s="24" t="n">
        <v>100</v>
      </c>
      <c r="F307" s="11" t="n"/>
    </row>
    <row r="308">
      <c r="A308" s="22" t="n"/>
      <c r="B308" s="11" t="n">
        <v>7790000000900</v>
      </c>
      <c r="C308" s="11" t="inlineStr">
        <is>
          <t>TAPA 80Z BLUE XUN</t>
        </is>
      </c>
      <c r="D308" s="11" t="inlineStr">
        <is>
          <t>TAPA 8 OZ BLUE</t>
        </is>
      </c>
      <c r="E308" s="24" t="n">
        <v>1</v>
      </c>
      <c r="F308" s="11" t="n"/>
    </row>
    <row r="309">
      <c r="A309" s="22" t="n"/>
      <c r="B309" s="11" t="n">
        <v>7790000000898</v>
      </c>
      <c r="C309" s="11" t="inlineStr">
        <is>
          <t>PAPEL PARAFINADO LOGO BLUE X KG</t>
        </is>
      </c>
      <c r="D309" s="11" t="inlineStr">
        <is>
          <t>PAPEL PARAFINADO BLUE</t>
        </is>
      </c>
      <c r="E309" s="24" t="n">
        <v>1</v>
      </c>
      <c r="F309" s="11" t="n"/>
    </row>
    <row r="310">
      <c r="A310" s="22" t="n"/>
      <c r="B310" s="11" t="inlineStr">
        <is>
          <t>7798188651182</t>
        </is>
      </c>
      <c r="C310" s="11" t="inlineStr">
        <is>
          <t>PAPEL HAMBURGUESA BLANCO X5KG</t>
        </is>
      </c>
      <c r="D310" s="11" t="inlineStr">
        <is>
          <t>PAPEL PARAFINADO</t>
        </is>
      </c>
      <c r="E310" s="24" t="n">
        <v>1</v>
      </c>
      <c r="F310" s="11" t="n"/>
    </row>
    <row r="311">
      <c r="A311" s="27" t="n"/>
      <c r="B311" s="28" t="inlineStr">
        <is>
          <t>888277653934</t>
        </is>
      </c>
      <c r="C311" s="28" t="inlineStr">
        <is>
          <t xml:space="preserve">GUANTE NITRILO M X100U MEDLINE     </t>
        </is>
      </c>
      <c r="D311" s="28" t="inlineStr">
        <is>
          <t>GUANTE NITRILO M</t>
        </is>
      </c>
      <c r="E311" s="82" t="n">
        <v>100</v>
      </c>
      <c r="F311" s="28" t="n"/>
    </row>
    <row r="312">
      <c r="A312" s="27" t="n"/>
      <c r="B312" s="28" t="inlineStr">
        <is>
          <t xml:space="preserve">7790000000162       </t>
        </is>
      </c>
      <c r="C312" s="28" t="inlineStr">
        <is>
          <t xml:space="preserve">BARBIJOS N95 MARCA PROPIA 50UN     </t>
        </is>
      </c>
      <c r="D312" s="28" t="inlineStr">
        <is>
          <t>BARBIJO N95</t>
        </is>
      </c>
      <c r="E312" s="82" t="n">
        <v>50</v>
      </c>
      <c r="F312" s="28" t="n"/>
    </row>
    <row r="313">
      <c r="A313" s="27" t="n"/>
      <c r="B313" s="28" t="inlineStr">
        <is>
          <t>7790000000710</t>
        </is>
      </c>
      <c r="C313" s="28" t="inlineStr">
        <is>
          <t xml:space="preserve"> MANTEL INDIV BLUE PERFECTO X1000UN</t>
        </is>
      </c>
      <c r="D313" s="28" t="inlineStr">
        <is>
          <t>INDIVIDUAL BLUE PERFECTO</t>
        </is>
      </c>
      <c r="E313" s="82" t="n">
        <v>1000</v>
      </c>
      <c r="F313" s="28" t="n"/>
    </row>
    <row r="314">
      <c r="A314" s="27" t="n"/>
      <c r="B314" s="28" t="inlineStr">
        <is>
          <t>7790000000711</t>
        </is>
      </c>
      <c r="C314" s="28" t="inlineStr">
        <is>
          <t xml:space="preserve">MANTEL INDIV BLUE ESPECIAL X1000UN </t>
        </is>
      </c>
      <c r="D314" s="28" t="inlineStr">
        <is>
          <t>INDIVIDUAL BLUE ESPECIALIDAD</t>
        </is>
      </c>
      <c r="E314" s="82" t="n">
        <v>1000</v>
      </c>
      <c r="F314" s="28" t="n"/>
    </row>
    <row r="315">
      <c r="A315" s="27" t="n"/>
      <c r="B315" s="28" t="inlineStr">
        <is>
          <t>9992016801775</t>
        </is>
      </c>
      <c r="C315" s="28" t="inlineStr">
        <is>
          <t xml:space="preserve">SERVILLETAS BLUE 18X18 1.1KGX1450U </t>
        </is>
      </c>
      <c r="D315" s="28" t="inlineStr">
        <is>
          <t>SERVILLETA 18X18 BLUE</t>
        </is>
      </c>
      <c r="E315" s="82" t="n">
        <v>1000</v>
      </c>
      <c r="F315" s="28" t="n"/>
    </row>
    <row r="316">
      <c r="A316" s="27" t="n"/>
      <c r="B316" s="28" t="inlineStr">
        <is>
          <t>7790000000706</t>
        </is>
      </c>
      <c r="C316" s="28" t="inlineStr">
        <is>
          <t xml:space="preserve"> SERVILLETA 33X21.5 GL SUPPORT X100</t>
        </is>
      </c>
      <c r="D316" s="28" t="inlineStr">
        <is>
          <t>SERVILLETA C/ LOGO GL SUPPORT 33X21.5</t>
        </is>
      </c>
      <c r="E316" s="82" t="n">
        <v>1000</v>
      </c>
      <c r="F316" s="28" t="n"/>
    </row>
    <row r="317">
      <c r="A317" s="27" t="n"/>
      <c r="B317" s="28" t="inlineStr">
        <is>
          <t>7790000000707</t>
        </is>
      </c>
      <c r="C317" s="28" t="inlineStr">
        <is>
          <t xml:space="preserve">SERVILLETA 33X21.5 HEALTH X1000UN  </t>
        </is>
      </c>
      <c r="D317" s="28" t="inlineStr">
        <is>
          <t>SERVILLETA C/ LOGO HEALTH 33X21.5</t>
        </is>
      </c>
      <c r="E317" s="82" t="n"/>
      <c r="F317" s="2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Hoja4">
    <tabColor rgb="FFFFFF00"/>
    <outlinePr summaryBelow="1" summaryRight="1"/>
    <pageSetUpPr/>
  </sheetPr>
  <dimension ref="A1:N224"/>
  <sheetViews>
    <sheetView topLeftCell="A25" workbookViewId="0">
      <selection activeCell="C49" sqref="C49"/>
    </sheetView>
  </sheetViews>
  <sheetFormatPr baseColWidth="10" defaultColWidth="0" defaultRowHeight="14.5"/>
  <cols>
    <col width="29.54296875" bestFit="1" customWidth="1" min="1" max="1"/>
    <col width="19.453125" customWidth="1" min="2" max="2"/>
    <col width="18.81640625" customWidth="1" min="3" max="3"/>
    <col width="10.81640625" customWidth="1" min="4" max="4"/>
    <col width="11.453125" customWidth="1" min="5" max="5"/>
    <col width="10.81640625" customWidth="1" min="6" max="6"/>
    <col width="12.453125" customWidth="1" min="7" max="8"/>
    <col width="11.54296875" customWidth="1" min="9" max="10"/>
    <col width="52.453125" bestFit="1" customWidth="1" style="12" min="11" max="11"/>
    <col width="21.81640625" bestFit="1" customWidth="1" min="12" max="12"/>
    <col width="11.54296875" bestFit="1" customWidth="1" min="13" max="13"/>
    <col width="10.81640625" customWidth="1" min="14" max="14"/>
    <col width="32" bestFit="1" customWidth="1" min="15" max="15"/>
    <col width="22.453125" bestFit="1" customWidth="1" min="16" max="16"/>
    <col width="10.81640625" customWidth="1" min="17" max="17"/>
    <col hidden="1" width="13" customWidth="1" min="18" max="19"/>
    <col hidden="1" width="10.81640625" customWidth="1" min="20" max="54"/>
    <col hidden="1" width="10.81640625" customWidth="1" min="55" max="16384"/>
  </cols>
  <sheetData>
    <row r="1">
      <c r="A1" s="11" t="n"/>
      <c r="B1" s="11" t="n"/>
      <c r="C1" s="11" t="n"/>
      <c r="D1" s="18" t="inlineStr">
        <is>
          <t>NECESIDAD</t>
        </is>
      </c>
      <c r="E1" s="18" t="n"/>
      <c r="F1" s="20" t="inlineStr">
        <is>
          <t>STOCK</t>
        </is>
      </c>
      <c r="G1" s="20" t="n"/>
      <c r="H1" s="20" t="n"/>
      <c r="I1" s="13" t="n"/>
      <c r="J1" s="13" t="n"/>
      <c r="K1" s="1" t="n"/>
      <c r="L1" s="16" t="n"/>
      <c r="M1" s="16" t="n"/>
    </row>
    <row r="2">
      <c r="A2" s="47" t="inlineStr">
        <is>
          <t>Familia</t>
        </is>
      </c>
      <c r="B2" s="31" t="inlineStr">
        <is>
          <t>UM (ultima compra)</t>
        </is>
      </c>
      <c r="C2" s="25" t="inlineStr">
        <is>
          <t>Esta en necesidad?</t>
        </is>
      </c>
      <c r="D2" s="48" t="inlineStr">
        <is>
          <t>Moreno</t>
        </is>
      </c>
      <c r="E2" s="48" t="inlineStr">
        <is>
          <t>Ciudadela</t>
        </is>
      </c>
      <c r="F2" s="49" t="inlineStr">
        <is>
          <t>Moreno2</t>
        </is>
      </c>
      <c r="G2" s="49" t="inlineStr">
        <is>
          <t>Ciudadela3</t>
        </is>
      </c>
      <c r="H2" s="49" t="inlineStr">
        <is>
          <t>Stock total</t>
        </is>
      </c>
      <c r="I2" s="14" t="inlineStr">
        <is>
          <t>Diferencia</t>
        </is>
      </c>
      <c r="J2" s="57" t="inlineStr">
        <is>
          <t>Cobertura</t>
        </is>
      </c>
      <c r="K2" s="57" t="inlineStr">
        <is>
          <t>Estado</t>
        </is>
      </c>
      <c r="L2" s="54" t="inlineStr">
        <is>
          <t>Ultima OC</t>
        </is>
      </c>
      <c r="M2" s="91" t="inlineStr">
        <is>
          <t>Proveedor</t>
        </is>
      </c>
    </row>
    <row r="3" hidden="1">
      <c r="A3" s="22" t="inlineStr">
        <is>
          <t>FILM PVC 38</t>
        </is>
      </c>
      <c r="B3" s="11" t="n">
        <v>1</v>
      </c>
      <c r="C3" s="11">
        <f>IF(ISNUMBER(_xlfn.XMATCH(A3,'Calcular necesidad'!E:E,0)),"OK","NO ESTA")</f>
        <v/>
      </c>
      <c r="D3" s="19">
        <f>SUM(
SUMIF('Calcular necesidad'!E:E,'Necesidad por familia'!A3,'Calcular necesidad'!G:G) +
SUMIF('Calcular necesidad'!E:E,'Necesidad por familia'!A3,'Calcular necesidad'!I:I) +
SUMIF('Calcular necesidad'!E:E,'Necesidad por familia'!A3,'Calcular necesidad'!K:K) +
SUMIF('Calcular necesidad'!E:E,'Necesidad por familia'!A3,'Calcular necesidad'!J:J)
)/B3</f>
        <v/>
      </c>
      <c r="E3" s="19">
        <f>SUMIF('Calcular necesidad'!E:E,'Necesidad por familia'!A3,'Calcular necesidad'!$H:$H)/B3</f>
        <v/>
      </c>
      <c r="F3" s="21">
        <f>SUMIFS(Stock!R:R,Stock!B:B,"&lt;&gt;CD CIUDADELA                  ",Stock!P:P,'Necesidad por familia'!A3)/B3</f>
        <v/>
      </c>
      <c r="G3" s="21">
        <f>SUMIFS(Stock!R:R,Stock!B:B,"CD CIUDADELA                  ",Stock!P:P,'Necesidad por familia'!A3)/B3</f>
        <v/>
      </c>
      <c r="H3" s="21">
        <f>Tabla1[[#This Row],[Moreno2]]+Tabla1[[#This Row],[Ciudadela3]]</f>
        <v/>
      </c>
      <c r="I3" s="11">
        <f>IF((D3+E3)=0,"Sin consumo",(F3+G3)-(D3+E3))</f>
        <v/>
      </c>
      <c r="J3" s="58">
        <f>IF(Tabla1[[#This Row],[Diferencia]]="Sin Consumo","100%",Tabla1[[#This Row],[Stock total]]/(Tabla1[[#This Row],[Moreno]]+Tabla1[[#This Row],[Ciudadela]]))</f>
        <v/>
      </c>
      <c r="L3" s="16" t="n"/>
      <c r="M3" s="16" t="n"/>
      <c r="N3" s="16" t="n"/>
    </row>
    <row r="4" hidden="1">
      <c r="A4" s="46" t="inlineStr">
        <is>
          <t>SERVILLETA 30X30 S/LOGO</t>
        </is>
      </c>
      <c r="B4" s="1" t="n">
        <v>1000</v>
      </c>
      <c r="C4" s="11">
        <f>IF(ISNUMBER(_xlfn.XMATCH(A4,'Calcular necesidad'!E:E,0)),"OK","NO ESTA")</f>
        <v/>
      </c>
      <c r="D4" s="50">
        <f>SUM(
SUMIF('Calcular necesidad'!E:E,'Necesidad por familia'!A4,'Calcular necesidad'!G:G) +
SUMIF('Calcular necesidad'!E:E,'Necesidad por familia'!A4,'Calcular necesidad'!I:I) +
SUMIF('Calcular necesidad'!E:E,'Necesidad por familia'!A4,'Calcular necesidad'!K:K) +
SUMIF('Calcular necesidad'!E:E,'Necesidad por familia'!A4,'Calcular necesidad'!J:J)
)/B4</f>
        <v/>
      </c>
      <c r="E4" s="50">
        <f>SUMIF('Calcular necesidad'!E:E,'Necesidad por familia'!A4,'Calcular necesidad'!$H:$H)/B4</f>
        <v/>
      </c>
      <c r="F4" s="51">
        <f>SUMIFS(Stock!R:R,Stock!B:B,"&lt;&gt;CD CIUDADELA                  ",Stock!P:P,'Necesidad por familia'!A4)/B4</f>
        <v/>
      </c>
      <c r="G4" s="51">
        <f>SUMIFS(Stock!R:R,Stock!B:B,"CD CIUDADELA                  ",Stock!P:P,'Necesidad por familia'!A4)/B4</f>
        <v/>
      </c>
      <c r="H4" s="51">
        <f>Tabla1[[#This Row],[Moreno2]]+Tabla1[[#This Row],[Ciudadela3]]</f>
        <v/>
      </c>
      <c r="I4" s="1">
        <f>IF((D4+E4)=0,"Sin consumo",(F4+G4)-(D4+E4))</f>
        <v/>
      </c>
      <c r="J4" s="58">
        <f>IF(Tabla1[[#This Row],[Diferencia]]="Sin Consumo","100%",Tabla1[[#This Row],[Stock total]]/(Tabla1[[#This Row],[Moreno]]+Tabla1[[#This Row],[Ciudadela]]))</f>
        <v/>
      </c>
      <c r="L4" s="16" t="n">
        <v>4600121799</v>
      </c>
      <c r="M4" s="16" t="inlineStr">
        <is>
          <t>CLP</t>
        </is>
      </c>
      <c r="N4" s="16" t="n"/>
    </row>
    <row r="5" hidden="1">
      <c r="A5" s="22" t="inlineStr">
        <is>
          <t>AGITADOR</t>
        </is>
      </c>
      <c r="B5" s="11" t="n">
        <v>1000</v>
      </c>
      <c r="C5" s="11">
        <f>IF(ISNUMBER(_xlfn.XMATCH(A5,'Calcular necesidad'!E:E,0)),"OK","NO ESTA")</f>
        <v/>
      </c>
      <c r="D5" s="19">
        <f>SUM(
SUMIF('Calcular necesidad'!E:E,'Necesidad por familia'!A5,'Calcular necesidad'!G:G) +
SUMIF('Calcular necesidad'!E:E,'Necesidad por familia'!A5,'Calcular necesidad'!I:I) +
SUMIF('Calcular necesidad'!E:E,'Necesidad por familia'!A5,'Calcular necesidad'!K:K) +
SUMIF('Calcular necesidad'!E:E,'Necesidad por familia'!A5,'Calcular necesidad'!J:J)
)/B5</f>
        <v/>
      </c>
      <c r="E5" s="19">
        <f>SUMIF('Calcular necesidad'!E:E,'Necesidad por familia'!A5,'Calcular necesidad'!$H:$H)/B5</f>
        <v/>
      </c>
      <c r="F5" s="21">
        <f>SUMIFS(Stock!R:R,Stock!B:B,"&lt;&gt;CD CIUDADELA                  ",Stock!P:P,'Necesidad por familia'!A5)/B5</f>
        <v/>
      </c>
      <c r="G5" s="21">
        <f>SUMIFS(Stock!R:R,Stock!B:B,"CD CIUDADELA                  ",Stock!P:P,'Necesidad por familia'!A5)/B5</f>
        <v/>
      </c>
      <c r="H5" s="21">
        <f>Tabla1[[#This Row],[Moreno2]]+Tabla1[[#This Row],[Ciudadela3]]</f>
        <v/>
      </c>
      <c r="I5" s="11">
        <f>IF((D5+E5)=0,"Sin consumo",(F5+G5)-(D5+E5))</f>
        <v/>
      </c>
      <c r="J5" s="58">
        <f>IF(Tabla1[[#This Row],[Diferencia]]="Sin Consumo","100%",Tabla1[[#This Row],[Stock total]]/(Tabla1[[#This Row],[Moreno]]+Tabla1[[#This Row],[Ciudadela]]))</f>
        <v/>
      </c>
      <c r="L5" s="16" t="n"/>
      <c r="M5" s="16" t="n"/>
      <c r="N5" s="16" t="n"/>
    </row>
    <row r="6" hidden="1">
      <c r="A6" s="22" t="inlineStr">
        <is>
          <t>ARRANQUE 60X90</t>
        </is>
      </c>
      <c r="B6" s="11" t="n">
        <v>1</v>
      </c>
      <c r="C6" s="11">
        <f>IF(ISNUMBER(_xlfn.XMATCH(A6,'Calcular necesidad'!E:E,0)),"OK","NO ESTA")</f>
        <v/>
      </c>
      <c r="D6" s="19">
        <f>SUM(
SUMIF('Calcular necesidad'!E:E,'Necesidad por familia'!A6,'Calcular necesidad'!G:G) +
SUMIF('Calcular necesidad'!E:E,'Necesidad por familia'!A6,'Calcular necesidad'!I:I) +
SUMIF('Calcular necesidad'!E:E,'Necesidad por familia'!A6,'Calcular necesidad'!K:K) +
SUMIF('Calcular necesidad'!E:E,'Necesidad por familia'!A6,'Calcular necesidad'!J:J)
)/B6</f>
        <v/>
      </c>
      <c r="E6" s="19">
        <f>SUMIF('Calcular necesidad'!E:E,'Necesidad por familia'!A6,'Calcular necesidad'!$H:$H)/B6</f>
        <v/>
      </c>
      <c r="F6" s="21">
        <f>SUMIFS(Stock!R:R,Stock!B:B,"&lt;&gt;CD CIUDADELA                  ",Stock!P:P,'Necesidad por familia'!A6)/B6</f>
        <v/>
      </c>
      <c r="G6" s="21">
        <f>SUMIFS(Stock!R:R,Stock!B:B,"CD CIUDADELA                  ",Stock!P:P,'Necesidad por familia'!A6)/B6</f>
        <v/>
      </c>
      <c r="H6" s="21">
        <f>Tabla1[[#This Row],[Moreno2]]+Tabla1[[#This Row],[Ciudadela3]]</f>
        <v/>
      </c>
      <c r="I6" s="11">
        <f>IF((D6+E6)=0,"Sin consumo",(F6+G6)-(D6+E6))</f>
        <v/>
      </c>
      <c r="J6" s="58">
        <f>IF(Tabla1[[#This Row],[Diferencia]]="Sin Consumo","100%",Tabla1[[#This Row],[Stock total]]/(Tabla1[[#This Row],[Moreno]]+Tabla1[[#This Row],[Ciudadela]]))</f>
        <v/>
      </c>
      <c r="L6" s="16" t="n"/>
      <c r="M6" s="16" t="n"/>
      <c r="N6" s="16" t="n"/>
    </row>
    <row r="7" hidden="1">
      <c r="A7" s="22" t="inlineStr">
        <is>
          <t>ARRANQUE 40X60</t>
        </is>
      </c>
      <c r="B7" s="11" t="n">
        <v>1</v>
      </c>
      <c r="C7" s="11">
        <f>IF(ISNUMBER(_xlfn.XMATCH(A7,'Calcular necesidad'!E:E,0)),"OK","NO ESTA")</f>
        <v/>
      </c>
      <c r="D7" s="19">
        <f>SUM(
SUMIF('Calcular necesidad'!E:E,'Necesidad por familia'!A7,'Calcular necesidad'!G:G) +
SUMIF('Calcular necesidad'!E:E,'Necesidad por familia'!A7,'Calcular necesidad'!I:I) +
SUMIF('Calcular necesidad'!E:E,'Necesidad por familia'!A7,'Calcular necesidad'!K:K) +
SUMIF('Calcular necesidad'!E:E,'Necesidad por familia'!A7,'Calcular necesidad'!J:J)
)/B7</f>
        <v/>
      </c>
      <c r="E7" s="19">
        <f>SUMIF('Calcular necesidad'!E:E,'Necesidad por familia'!A7,'Calcular necesidad'!$H:$H)/B7</f>
        <v/>
      </c>
      <c r="F7" s="21">
        <f>SUMIFS(Stock!R:R,Stock!B:B,"&lt;&gt;CD CIUDADELA                  ",Stock!P:P,'Necesidad por familia'!A7)/B7</f>
        <v/>
      </c>
      <c r="G7" s="21">
        <f>SUMIFS(Stock!R:R,Stock!B:B,"CD CIUDADELA                  ",Stock!P:P,'Necesidad por familia'!A7)/B7</f>
        <v/>
      </c>
      <c r="H7" s="21">
        <f>Tabla1[[#This Row],[Moreno2]]+Tabla1[[#This Row],[Ciudadela3]]</f>
        <v/>
      </c>
      <c r="I7" s="11">
        <f>IF((D7+E7)=0,"Sin consumo",(F7+G7)-(D7+E7))</f>
        <v/>
      </c>
      <c r="J7" s="58">
        <f>IF(Tabla1[[#This Row],[Diferencia]]="Sin Consumo","100%",Tabla1[[#This Row],[Stock total]]/(Tabla1[[#This Row],[Moreno]]+Tabla1[[#This Row],[Ciudadela]]))</f>
        <v/>
      </c>
      <c r="L7" s="16" t="n"/>
      <c r="M7" s="16" t="n"/>
      <c r="N7" s="16" t="n"/>
    </row>
    <row r="8" hidden="1">
      <c r="A8" s="22" t="inlineStr">
        <is>
          <t>ARRANQUE 20X30</t>
        </is>
      </c>
      <c r="B8" s="11" t="n">
        <v>1</v>
      </c>
      <c r="C8" s="11">
        <f>IF(ISNUMBER(_xlfn.XMATCH(A8,'Calcular necesidad'!E:E,0)),"OK","NO ESTA")</f>
        <v/>
      </c>
      <c r="D8" s="19">
        <f>SUM(
SUMIF('Calcular necesidad'!E:E,'Necesidad por familia'!A8,'Calcular necesidad'!G:G) +
SUMIF('Calcular necesidad'!E:E,'Necesidad por familia'!A8,'Calcular necesidad'!I:I) +
SUMIF('Calcular necesidad'!E:E,'Necesidad por familia'!A8,'Calcular necesidad'!K:K) +
SUMIF('Calcular necesidad'!E:E,'Necesidad por familia'!A8,'Calcular necesidad'!J:J)
)/B8</f>
        <v/>
      </c>
      <c r="E8" s="19">
        <f>SUMIF('Calcular necesidad'!E:E,'Necesidad por familia'!A8,'Calcular necesidad'!$H:$H)/B8</f>
        <v/>
      </c>
      <c r="F8" s="21">
        <f>SUMIFS(Stock!R:R,Stock!B:B,"&lt;&gt;CD CIUDADELA                  ",Stock!P:P,'Necesidad por familia'!A8)/B8</f>
        <v/>
      </c>
      <c r="G8" s="21">
        <f>SUMIFS(Stock!R:R,Stock!B:B,"CD CIUDADELA                  ",Stock!P:P,'Necesidad por familia'!A8)/B8</f>
        <v/>
      </c>
      <c r="H8" s="21">
        <f>Tabla1[[#This Row],[Moreno2]]+Tabla1[[#This Row],[Ciudadela3]]</f>
        <v/>
      </c>
      <c r="I8" s="11">
        <f>IF((D8+E8)=0,"Sin consumo",(F8+G8)-(D8+E8))</f>
        <v/>
      </c>
      <c r="J8" s="58">
        <f>IF(Tabla1[[#This Row],[Diferencia]]="Sin Consumo","100%",Tabla1[[#This Row],[Stock total]]/(Tabla1[[#This Row],[Moreno]]+Tabla1[[#This Row],[Ciudadela]]))</f>
        <v/>
      </c>
      <c r="L8" s="16" t="n"/>
      <c r="M8" s="16" t="n"/>
      <c r="N8" s="16" t="n"/>
    </row>
    <row r="9">
      <c r="A9" s="22" t="inlineStr">
        <is>
          <t>GUANTE LATEX M</t>
        </is>
      </c>
      <c r="B9" s="11" t="n">
        <v>100</v>
      </c>
      <c r="C9" s="11">
        <f>IF(ISNUMBER(_xlfn.XMATCH(A9,'Calcular necesidad'!E:E,0)),"OK","NO ESTA")</f>
        <v/>
      </c>
      <c r="D9" s="19">
        <f>SUM(
SUMIF('Calcular necesidad'!E:E,'Necesidad por familia'!A9,'Calcular necesidad'!G:G) +
SUMIF('Calcular necesidad'!E:E,'Necesidad por familia'!A9,'Calcular necesidad'!I:I) +
SUMIF('Calcular necesidad'!E:E,'Necesidad por familia'!A9,'Calcular necesidad'!K:K) +
SUMIF('Calcular necesidad'!E:E,'Necesidad por familia'!A9,'Calcular necesidad'!J:J)
)/B9</f>
        <v/>
      </c>
      <c r="E9" s="19">
        <f>SUMIF('Calcular necesidad'!E:E,'Necesidad por familia'!A9,'Calcular necesidad'!$H:$H)/B9</f>
        <v/>
      </c>
      <c r="F9" s="21">
        <f>SUMIFS(Stock!R:R,Stock!B:B,"&lt;&gt;CD CIUDADELA                  ",Stock!P:P,'Necesidad por familia'!A9)/B9</f>
        <v/>
      </c>
      <c r="G9" s="21">
        <f>SUMIFS(Stock!R:R,Stock!B:B,"CD CIUDADELA                  ",Stock!P:P,'Necesidad por familia'!A9)/B9</f>
        <v/>
      </c>
      <c r="H9" s="21">
        <f>Tabla1[[#This Row],[Moreno2]]+Tabla1[[#This Row],[Ciudadela3]]</f>
        <v/>
      </c>
      <c r="I9" s="11">
        <f>IF((D9+E9)=0,"Sin consumo",(F9+G9)-(D9+E9))</f>
        <v/>
      </c>
      <c r="J9" s="58">
        <f>IF(Tabla1[[#This Row],[Diferencia]]="Sin Consumo","100%",Tabla1[[#This Row],[Stock total]]/(Tabla1[[#This Row],[Moreno]]+Tabla1[[#This Row],[Ciudadela]]))</f>
        <v/>
      </c>
      <c r="L9" s="16" t="n">
        <v>4600122254</v>
      </c>
      <c r="M9" s="16" t="inlineStr">
        <is>
          <t>Mollon</t>
        </is>
      </c>
      <c r="N9" s="16" t="n"/>
    </row>
    <row r="10" hidden="1">
      <c r="A10" s="22" t="inlineStr">
        <is>
          <t>FOLEX</t>
        </is>
      </c>
      <c r="B10" s="11" t="n">
        <v>1</v>
      </c>
      <c r="C10" s="11">
        <f>IF(ISNUMBER(_xlfn.XMATCH(A10,'Calcular necesidad'!E:E,0)),"OK","NO ESTA")</f>
        <v/>
      </c>
      <c r="D10" s="19">
        <f>SUM(
SUMIF('Calcular necesidad'!E:E,'Necesidad por familia'!A10,'Calcular necesidad'!G:G) +
SUMIF('Calcular necesidad'!E:E,'Necesidad por familia'!A10,'Calcular necesidad'!I:I) +
SUMIF('Calcular necesidad'!E:E,'Necesidad por familia'!A10,'Calcular necesidad'!K:K) +
SUMIF('Calcular necesidad'!E:E,'Necesidad por familia'!A10,'Calcular necesidad'!J:J)
)/B10</f>
        <v/>
      </c>
      <c r="E10" s="19">
        <f>SUMIF('Calcular necesidad'!E:E,'Necesidad por familia'!A10,'Calcular necesidad'!$H:$H)/B10</f>
        <v/>
      </c>
      <c r="F10" s="21">
        <f>SUMIFS(Stock!R:R,Stock!B:B,"&lt;&gt;CD CIUDADELA                  ",Stock!P:P,'Necesidad por familia'!A10)/B10</f>
        <v/>
      </c>
      <c r="G10" s="21">
        <f>SUMIFS(Stock!R:R,Stock!B:B,"CD CIUDADELA                  ",Stock!P:P,'Necesidad por familia'!A10)/B10</f>
        <v/>
      </c>
      <c r="H10" s="21">
        <f>Tabla1[[#This Row],[Moreno2]]+Tabla1[[#This Row],[Ciudadela3]]</f>
        <v/>
      </c>
      <c r="I10" s="11">
        <f>IF((D10+E10)=0,"Sin consumo",(F10+G10)-(D10+E10))</f>
        <v/>
      </c>
      <c r="J10" s="58">
        <f>IF(Tabla1[[#This Row],[Diferencia]]="Sin Consumo","100%",Tabla1[[#This Row],[Stock total]]/(Tabla1[[#This Row],[Moreno]]+Tabla1[[#This Row],[Ciudadela]]))</f>
        <v/>
      </c>
      <c r="K10" s="1" t="n"/>
      <c r="L10" s="16" t="n"/>
      <c r="M10" s="16" t="n"/>
      <c r="N10" s="16" t="n"/>
    </row>
    <row r="11" hidden="1">
      <c r="A11" s="22" t="inlineStr">
        <is>
          <t>BARBIJO QUIRURGICO</t>
        </is>
      </c>
      <c r="B11" s="11" t="n">
        <v>50</v>
      </c>
      <c r="C11" s="11">
        <f>IF(ISNUMBER(_xlfn.XMATCH(A11,'Calcular necesidad'!E:E,0)),"OK","NO ESTA")</f>
        <v/>
      </c>
      <c r="D11" s="19">
        <f>SUM(
SUMIF('Calcular necesidad'!E:E,'Necesidad por familia'!A11,'Calcular necesidad'!G:G) +
SUMIF('Calcular necesidad'!E:E,'Necesidad por familia'!A11,'Calcular necesidad'!I:I) +
SUMIF('Calcular necesidad'!E:E,'Necesidad por familia'!A11,'Calcular necesidad'!K:K) +
SUMIF('Calcular necesidad'!E:E,'Necesidad por familia'!A11,'Calcular necesidad'!J:J)
)/B11</f>
        <v/>
      </c>
      <c r="E11" s="19">
        <f>SUMIF('Calcular necesidad'!E:E,'Necesidad por familia'!A11,'Calcular necesidad'!$H:$H)/B11</f>
        <v/>
      </c>
      <c r="F11" s="21">
        <f>SUMIFS(Stock!R:R,Stock!B:B,"&lt;&gt;CD CIUDADELA                  ",Stock!P:P,'Necesidad por familia'!A11)/B11</f>
        <v/>
      </c>
      <c r="G11" s="21">
        <f>SUMIFS(Stock!R:R,Stock!B:B,"CD CIUDADELA                  ",Stock!P:P,'Necesidad por familia'!A11)/B11</f>
        <v/>
      </c>
      <c r="H11" s="21">
        <f>Tabla1[[#This Row],[Moreno2]]+Tabla1[[#This Row],[Ciudadela3]]</f>
        <v/>
      </c>
      <c r="I11" s="11">
        <f>IF((D11+E11)=0,"Sin consumo",(F11+G11)-(D11+E11))</f>
        <v/>
      </c>
      <c r="J11" s="58">
        <f>IF(Tabla1[[#This Row],[Diferencia]]="Sin Consumo","100%",Tabla1[[#This Row],[Stock total]]/(Tabla1[[#This Row],[Moreno]]+Tabla1[[#This Row],[Ciudadela]]))</f>
        <v/>
      </c>
      <c r="L11" s="52" t="n"/>
      <c r="M11" s="16" t="n"/>
      <c r="N11" s="16" t="n"/>
    </row>
    <row r="12" hidden="1">
      <c r="A12" s="22" t="inlineStr">
        <is>
          <t>ARRANQUE 50X70</t>
        </is>
      </c>
      <c r="B12" s="11" t="n">
        <v>6</v>
      </c>
      <c r="C12" s="11">
        <f>IF(ISNUMBER(_xlfn.XMATCH(A12,'Calcular necesidad'!E:E,0)),"OK","NO ESTA")</f>
        <v/>
      </c>
      <c r="D12" s="19">
        <f>SUM(
SUMIF('Calcular necesidad'!E:E,'Necesidad por familia'!A12,'Calcular necesidad'!G:G) +
SUMIF('Calcular necesidad'!E:E,'Necesidad por familia'!A12,'Calcular necesidad'!I:I) +
SUMIF('Calcular necesidad'!E:E,'Necesidad por familia'!A12,'Calcular necesidad'!K:K) +
SUMIF('Calcular necesidad'!E:E,'Necesidad por familia'!A12,'Calcular necesidad'!J:J)
)/B12</f>
        <v/>
      </c>
      <c r="E12" s="19">
        <f>SUMIF('Calcular necesidad'!E:E,'Necesidad por familia'!A12,'Calcular necesidad'!$H:$H)/B12</f>
        <v/>
      </c>
      <c r="F12" s="21">
        <f>SUMIFS(Stock!R:R,Stock!B:B,"&lt;&gt;CD CIUDADELA                  ",Stock!P:P,'Necesidad por familia'!A12)/B12</f>
        <v/>
      </c>
      <c r="G12" s="21">
        <f>SUMIFS(Stock!R:R,Stock!B:B,"CD CIUDADELA                  ",Stock!P:P,'Necesidad por familia'!A12)/B12</f>
        <v/>
      </c>
      <c r="H12" s="21">
        <f>Tabla1[[#This Row],[Moreno2]]+Tabla1[[#This Row],[Ciudadela3]]</f>
        <v/>
      </c>
      <c r="I12" s="11">
        <f>IF((D12+E12)=0,"Sin consumo",(F12+G12)-(D12+E12))</f>
        <v/>
      </c>
      <c r="J12" s="58">
        <f>IF(Tabla1[[#This Row],[Diferencia]]="Sin Consumo","100%",Tabla1[[#This Row],[Stock total]]/(Tabla1[[#This Row],[Moreno]]+Tabla1[[#This Row],[Ciudadela]]))</f>
        <v/>
      </c>
      <c r="L12" s="16" t="n"/>
      <c r="M12" s="16" t="n"/>
      <c r="N12" s="16" t="n"/>
    </row>
    <row r="13" hidden="1">
      <c r="A13" s="22" t="inlineStr">
        <is>
          <t>CAJA PIZZA GRANDE</t>
        </is>
      </c>
      <c r="B13" s="11" t="n">
        <v>1</v>
      </c>
      <c r="C13" s="11">
        <f>IF(ISNUMBER(_xlfn.XMATCH(A13,'Calcular necesidad'!E:E,0)),"OK","NO ESTA")</f>
        <v/>
      </c>
      <c r="D13" s="19">
        <f>SUM(
SUMIF('Calcular necesidad'!E:E,'Necesidad por familia'!A13,'Calcular necesidad'!G:G) +
SUMIF('Calcular necesidad'!E:E,'Necesidad por familia'!A13,'Calcular necesidad'!I:I) +
SUMIF('Calcular necesidad'!E:E,'Necesidad por familia'!A13,'Calcular necesidad'!K:K) +
SUMIF('Calcular necesidad'!E:E,'Necesidad por familia'!A13,'Calcular necesidad'!J:J)
)/B13</f>
        <v/>
      </c>
      <c r="E13" s="19">
        <f>SUMIF('Calcular necesidad'!E:E,'Necesidad por familia'!A13,'Calcular necesidad'!$H:$H)/B13</f>
        <v/>
      </c>
      <c r="F13" s="21">
        <f>SUMIFS(Stock!R:R,Stock!B:B,"&lt;&gt;CD CIUDADELA                  ",Stock!P:P,'Necesidad por familia'!A13)/B13</f>
        <v/>
      </c>
      <c r="G13" s="21">
        <f>SUMIFS(Stock!R:R,Stock!B:B,"CD CIUDADELA                  ",Stock!P:P,'Necesidad por familia'!A13)/B13</f>
        <v/>
      </c>
      <c r="H13" s="21">
        <f>Tabla1[[#This Row],[Moreno2]]+Tabla1[[#This Row],[Ciudadela3]]</f>
        <v/>
      </c>
      <c r="I13" s="11">
        <f>IF((D13+E13)=0,"Sin consumo",(F13+G13)-(D13+E13))</f>
        <v/>
      </c>
      <c r="J13" s="58">
        <f>IF(Tabla1[[#This Row],[Diferencia]]="Sin Consumo","100%",Tabla1[[#This Row],[Stock total]]/(Tabla1[[#This Row],[Moreno]]+Tabla1[[#This Row],[Ciudadela]]))</f>
        <v/>
      </c>
      <c r="K13" s="1" t="n"/>
      <c r="L13" s="16" t="n">
        <v>4600121878</v>
      </c>
      <c r="M13" s="16" t="inlineStr">
        <is>
          <t>Papelera Colon</t>
        </is>
      </c>
      <c r="N13" s="16" t="n"/>
    </row>
    <row r="14">
      <c r="A14" s="22" t="inlineStr">
        <is>
          <t>COFIAS</t>
        </is>
      </c>
      <c r="B14" s="11" t="n">
        <v>100</v>
      </c>
      <c r="C14" s="11">
        <f>IF(ISNUMBER(_xlfn.XMATCH(A14,'Calcular necesidad'!E:E,0)),"OK","NO ESTA")</f>
        <v/>
      </c>
      <c r="D14" s="19">
        <f>SUM(
SUMIF('Calcular necesidad'!E:E,'Necesidad por familia'!A14,'Calcular necesidad'!G:G) +
SUMIF('Calcular necesidad'!E:E,'Necesidad por familia'!A14,'Calcular necesidad'!I:I) +
SUMIF('Calcular necesidad'!E:E,'Necesidad por familia'!A14,'Calcular necesidad'!K:K) +
SUMIF('Calcular necesidad'!E:E,'Necesidad por familia'!A14,'Calcular necesidad'!J:J)
)/B14</f>
        <v/>
      </c>
      <c r="E14" s="19">
        <f>SUMIF('Calcular necesidad'!E:E,'Necesidad por familia'!A14,'Calcular necesidad'!$H:$H)/B14</f>
        <v/>
      </c>
      <c r="F14" s="21">
        <f>SUMIFS(Stock!R:R,Stock!B:B,"&lt;&gt;CD CIUDADELA                  ",Stock!P:P,'Necesidad por familia'!A14)/B14</f>
        <v/>
      </c>
      <c r="G14" s="21">
        <f>SUMIFS(Stock!R:R,Stock!B:B,"CD CIUDADELA                  ",Stock!P:P,'Necesidad por familia'!A14)/B14</f>
        <v/>
      </c>
      <c r="H14" s="21">
        <f>Tabla1[[#This Row],[Moreno2]]+Tabla1[[#This Row],[Ciudadela3]]</f>
        <v/>
      </c>
      <c r="I14" s="11">
        <f>IF((D14+E14)=0,"Sin consumo",(F14+G14)-(D14+E14))</f>
        <v/>
      </c>
      <c r="J14" s="58">
        <f>IF(Tabla1[[#This Row],[Diferencia]]="Sin Consumo","100%",Tabla1[[#This Row],[Stock total]]/(Tabla1[[#This Row],[Moreno]]+Tabla1[[#This Row],[Ciudadela]]))</f>
        <v/>
      </c>
      <c r="L14" s="53" t="n">
        <v>4600121981</v>
      </c>
      <c r="M14" s="16" t="inlineStr">
        <is>
          <t>Mollon</t>
        </is>
      </c>
      <c r="N14" s="16" t="n"/>
    </row>
    <row r="15" hidden="1">
      <c r="A15" s="65" t="inlineStr">
        <is>
          <t>SERVILLETA 24X24 S/ LOGO</t>
        </is>
      </c>
      <c r="B15" s="66" t="n">
        <v>1000</v>
      </c>
      <c r="C15" s="67">
        <f>IF(ISNUMBER(_xlfn.XMATCH(A15,'Calcular necesidad'!E:E,0)),"OK","NO ESTA")</f>
        <v/>
      </c>
      <c r="D15" s="19">
        <f>SUM(
SUMIF('Calcular necesidad'!E:E,'Necesidad por familia'!A15,'Calcular necesidad'!G:G) +
SUMIF('Calcular necesidad'!E:E,'Necesidad por familia'!A15,'Calcular necesidad'!I:I) +
SUMIF('Calcular necesidad'!E:E,'Necesidad por familia'!A15,'Calcular necesidad'!K:K) +
SUMIF('Calcular necesidad'!E:E,'Necesidad por familia'!A15,'Calcular necesidad'!J:J)
)/B15</f>
        <v/>
      </c>
      <c r="E15" s="19">
        <f>SUMIF('Calcular necesidad'!E:E,'Necesidad por familia'!A15,'Calcular necesidad'!$H:$H)/B15</f>
        <v/>
      </c>
      <c r="F15" s="21">
        <f>SUMIFS(Stock!R:R,Stock!B:B,"&lt;&gt;CD CIUDADELA                  ",Stock!P:P,'Necesidad por familia'!A15)/B15</f>
        <v/>
      </c>
      <c r="G15" s="21">
        <f>SUMIFS(Stock!R:R,Stock!B:B,"CD CIUDADELA                  ",Stock!P:P,'Necesidad por familia'!A15)/B15</f>
        <v/>
      </c>
      <c r="H15" s="21">
        <f>Tabla1[[#This Row],[Moreno2]]+Tabla1[[#This Row],[Ciudadela3]]</f>
        <v/>
      </c>
      <c r="I15" s="66">
        <f>IF((D15+E15)=0,"Sin consumo",(F15+G15)-(D15+E15))</f>
        <v/>
      </c>
      <c r="J15" s="68">
        <f>IF(Tabla1[[#This Row],[Diferencia]]="Sin Consumo","100%",Tabla1[[#This Row],[Stock total]]/(Tabla1[[#This Row],[Moreno]]+Tabla1[[#This Row],[Ciudadela]]))</f>
        <v/>
      </c>
      <c r="K15" s="69" t="n"/>
      <c r="L15" s="53" t="n"/>
      <c r="M15" s="16" t="n"/>
      <c r="N15" s="16" t="n"/>
    </row>
    <row r="16" hidden="1">
      <c r="A16" s="22" t="inlineStr">
        <is>
          <t>DELANTAL DESCARTABLE</t>
        </is>
      </c>
      <c r="B16" s="11" t="n">
        <v>100</v>
      </c>
      <c r="C16" s="11">
        <f>IF(ISNUMBER(_xlfn.XMATCH(A16,'Calcular necesidad'!E:E,0)),"OK","NO ESTA")</f>
        <v/>
      </c>
      <c r="D16" s="19">
        <f>SUM(
SUMIF('Calcular necesidad'!E:E,'Necesidad por familia'!A16,'Calcular necesidad'!G:G) +
SUMIF('Calcular necesidad'!E:E,'Necesidad por familia'!A16,'Calcular necesidad'!I:I) +
SUMIF('Calcular necesidad'!E:E,'Necesidad por familia'!A16,'Calcular necesidad'!K:K) +
SUMIF('Calcular necesidad'!E:E,'Necesidad por familia'!A16,'Calcular necesidad'!J:J)
)/B16</f>
        <v/>
      </c>
      <c r="E16" s="19">
        <f>SUMIF('Calcular necesidad'!E:E,'Necesidad por familia'!A16,'Calcular necesidad'!$H:$H)/B16</f>
        <v/>
      </c>
      <c r="F16" s="21">
        <f>SUMIFS(Stock!R:R,Stock!B:B,"&lt;&gt;CD CIUDADELA                  ",Stock!P:P,'Necesidad por familia'!A16)/B16</f>
        <v/>
      </c>
      <c r="G16" s="21">
        <f>SUMIFS(Stock!R:R,Stock!B:B,"CD CIUDADELA                  ",Stock!P:P,'Necesidad por familia'!A16)/B16</f>
        <v/>
      </c>
      <c r="H16" s="21">
        <f>Tabla1[[#This Row],[Moreno2]]+Tabla1[[#This Row],[Ciudadela3]]</f>
        <v/>
      </c>
      <c r="I16" s="11">
        <f>IF((D16+E16)=0,"Sin consumo",(F16+G16)-(D16+E16))</f>
        <v/>
      </c>
      <c r="J16" s="58">
        <f>IF(Tabla1[[#This Row],[Diferencia]]="Sin Consumo","100%",Tabla1[[#This Row],[Stock total]]/(Tabla1[[#This Row],[Moreno]]+Tabla1[[#This Row],[Ciudadela]]))</f>
        <v/>
      </c>
      <c r="L16" s="53" t="n"/>
      <c r="M16" s="16" t="n"/>
      <c r="N16" s="16" t="n"/>
    </row>
    <row r="17" hidden="1">
      <c r="A17" s="22" t="inlineStr">
        <is>
          <t>ROLLO PAPEL MANTECA</t>
        </is>
      </c>
      <c r="B17" s="11" t="n">
        <v>1</v>
      </c>
      <c r="C17" s="11">
        <f>IF(ISNUMBER(_xlfn.XMATCH(A17,'Calcular necesidad'!E:E,0)),"OK","NO ESTA")</f>
        <v/>
      </c>
      <c r="D17" s="19">
        <f>SUM(
SUMIF('Calcular necesidad'!E:E,'Necesidad por familia'!A17,'Calcular necesidad'!G:G) +
SUMIF('Calcular necesidad'!E:E,'Necesidad por familia'!A17,'Calcular necesidad'!I:I) +
SUMIF('Calcular necesidad'!E:E,'Necesidad por familia'!A17,'Calcular necesidad'!K:K) +
SUMIF('Calcular necesidad'!E:E,'Necesidad por familia'!A17,'Calcular necesidad'!J:J)
)/B17</f>
        <v/>
      </c>
      <c r="E17" s="19">
        <f>SUMIF('Calcular necesidad'!E:E,'Necesidad por familia'!A17,'Calcular necesidad'!$H:$H)/B17</f>
        <v/>
      </c>
      <c r="F17" s="21">
        <f>SUMIFS(Stock!R:R,Stock!B:B,"&lt;&gt;CD CIUDADELA                  ",Stock!P:P,'Necesidad por familia'!A17)/B17</f>
        <v/>
      </c>
      <c r="G17" s="21">
        <f>SUMIFS(Stock!R:R,Stock!B:B,"CD CIUDADELA                  ",Stock!P:P,'Necesidad por familia'!A17)/B17</f>
        <v/>
      </c>
      <c r="H17" s="21">
        <f>Tabla1[[#This Row],[Moreno2]]+Tabla1[[#This Row],[Ciudadela3]]</f>
        <v/>
      </c>
      <c r="I17" s="11">
        <f>IF((D17+E17)=0,"Sin consumo",(F17+G17)-(D17+E17))</f>
        <v/>
      </c>
      <c r="J17" s="58">
        <f>IF(Tabla1[[#This Row],[Diferencia]]="Sin Consumo","100%",Tabla1[[#This Row],[Stock total]]/(Tabla1[[#This Row],[Moreno]]+Tabla1[[#This Row],[Ciudadela]]))</f>
        <v/>
      </c>
      <c r="K17" s="1" t="n"/>
      <c r="L17" s="16" t="n">
        <v>4600122003</v>
      </c>
      <c r="M17" s="16" t="inlineStr">
        <is>
          <t>Pack Express</t>
        </is>
      </c>
      <c r="N17" s="16" t="n"/>
    </row>
    <row r="18" hidden="1">
      <c r="A18" s="22" t="inlineStr">
        <is>
          <t>ARRANQUE 15X20</t>
        </is>
      </c>
      <c r="B18" s="11" t="n">
        <v>12</v>
      </c>
      <c r="C18" s="11">
        <f>IF(ISNUMBER(_xlfn.XMATCH(A18,'Calcular necesidad'!E:E,0)),"OK","NO ESTA")</f>
        <v/>
      </c>
      <c r="D18" s="19">
        <f>SUM(
SUMIF('Calcular necesidad'!E:E,'Necesidad por familia'!A18,'Calcular necesidad'!G:G) +
SUMIF('Calcular necesidad'!E:E,'Necesidad por familia'!A18,'Calcular necesidad'!I:I) +
SUMIF('Calcular necesidad'!E:E,'Necesidad por familia'!A18,'Calcular necesidad'!K:K) +
SUMIF('Calcular necesidad'!E:E,'Necesidad por familia'!A18,'Calcular necesidad'!J:J)
)/B18</f>
        <v/>
      </c>
      <c r="E18" s="19">
        <f>SUMIF('Calcular necesidad'!E:E,'Necesidad por familia'!A18,'Calcular necesidad'!$H:$H)/B18</f>
        <v/>
      </c>
      <c r="F18" s="21">
        <f>SUMIFS(Stock!R:R,Stock!B:B,"&lt;&gt;CD CIUDADELA                  ",Stock!P:P,'Necesidad por familia'!A18)/B18</f>
        <v/>
      </c>
      <c r="G18" s="21">
        <f>SUMIFS(Stock!R:R,Stock!B:B,"CD CIUDADELA                  ",Stock!P:P,'Necesidad por familia'!A18)/B18</f>
        <v/>
      </c>
      <c r="H18" s="21">
        <f>Tabla1[[#This Row],[Moreno2]]+Tabla1[[#This Row],[Ciudadela3]]</f>
        <v/>
      </c>
      <c r="I18" s="11">
        <f>IF((D18+E18)=0,"Sin consumo",(F18+G18)-(D18+E18))</f>
        <v/>
      </c>
      <c r="J18" s="58">
        <f>IF(Tabla1[[#This Row],[Diferencia]]="Sin Consumo","100%",Tabla1[[#This Row],[Stock total]]/(Tabla1[[#This Row],[Moreno]]+Tabla1[[#This Row],[Ciudadela]]))</f>
        <v/>
      </c>
      <c r="L18" s="16" t="n"/>
      <c r="M18" s="16" t="n"/>
      <c r="N18" s="16" t="n"/>
    </row>
    <row r="19" hidden="1">
      <c r="A19" s="22" t="inlineStr">
        <is>
          <t>ESCARBADIENTE</t>
        </is>
      </c>
      <c r="B19" s="11" t="n">
        <v>500</v>
      </c>
      <c r="C19" s="11">
        <f>IF(ISNUMBER(_xlfn.XMATCH(A19,'Calcular necesidad'!E:E,0)),"OK","NO ESTA")</f>
        <v/>
      </c>
      <c r="D19" s="19">
        <f>SUM(
SUMIF('Calcular necesidad'!E:E,'Necesidad por familia'!A19,'Calcular necesidad'!G:G) +
SUMIF('Calcular necesidad'!E:E,'Necesidad por familia'!A19,'Calcular necesidad'!I:I) +
SUMIF('Calcular necesidad'!E:E,'Necesidad por familia'!A19,'Calcular necesidad'!K:K) +
SUMIF('Calcular necesidad'!E:E,'Necesidad por familia'!A19,'Calcular necesidad'!J:J)
)/B19</f>
        <v/>
      </c>
      <c r="E19" s="19">
        <f>SUMIF('Calcular necesidad'!E:E,'Necesidad por familia'!A19,'Calcular necesidad'!$H:$H)/B19</f>
        <v/>
      </c>
      <c r="F19" s="21">
        <f>SUMIFS(Stock!R:R,Stock!B:B,"&lt;&gt;CD CIUDADELA                  ",Stock!P:P,'Necesidad por familia'!A19)/B19</f>
        <v/>
      </c>
      <c r="G19" s="21">
        <f>SUMIFS(Stock!R:R,Stock!B:B,"CD CIUDADELA                  ",Stock!P:P,'Necesidad por familia'!A19)/B19</f>
        <v/>
      </c>
      <c r="H19" s="21">
        <f>Tabla1[[#This Row],[Moreno2]]+Tabla1[[#This Row],[Ciudadela3]]</f>
        <v/>
      </c>
      <c r="I19" s="11">
        <f>IF((D19+E19)=0,"Sin consumo",(F19+G19)-(D19+E19))</f>
        <v/>
      </c>
      <c r="J19" s="58">
        <f>IF(Tabla1[[#This Row],[Diferencia]]="Sin Consumo","100%",Tabla1[[#This Row],[Stock total]]/(Tabla1[[#This Row],[Moreno]]+Tabla1[[#This Row],[Ciudadela]]))</f>
        <v/>
      </c>
      <c r="L19" s="16" t="n"/>
      <c r="M19" s="16" t="n"/>
      <c r="N19" s="16" t="n"/>
    </row>
    <row r="20">
      <c r="A20" s="22" t="inlineStr">
        <is>
          <t>ROLLO ALUMINIO 40</t>
        </is>
      </c>
      <c r="B20" s="11" t="n">
        <v>1</v>
      </c>
      <c r="C20" s="11">
        <f>IF(ISNUMBER(_xlfn.XMATCH(A20,'Calcular necesidad'!E:E,0)),"OK","NO ESTA")</f>
        <v/>
      </c>
      <c r="D20" s="19">
        <f>SUM(
SUMIF('Calcular necesidad'!E:E,'Necesidad por familia'!A20,'Calcular necesidad'!G:G) +
SUMIF('Calcular necesidad'!E:E,'Necesidad por familia'!A20,'Calcular necesidad'!I:I) +
SUMIF('Calcular necesidad'!E:E,'Necesidad por familia'!A20,'Calcular necesidad'!K:K) +
SUMIF('Calcular necesidad'!E:E,'Necesidad por familia'!A20,'Calcular necesidad'!J:J)
)/B20</f>
        <v/>
      </c>
      <c r="E20" s="19">
        <f>SUMIF('Calcular necesidad'!E:E,'Necesidad por familia'!A20,'Calcular necesidad'!$H:$H)/B20</f>
        <v/>
      </c>
      <c r="F20" s="21">
        <f>SUMIFS(Stock!R:R,Stock!B:B,"&lt;&gt;CD CIUDADELA                  ",Stock!P:P,'Necesidad por familia'!A20)/B20</f>
        <v/>
      </c>
      <c r="G20" s="21">
        <f>SUMIFS(Stock!R:R,Stock!B:B,"CD CIUDADELA                  ",Stock!P:P,'Necesidad por familia'!A20)/B20</f>
        <v/>
      </c>
      <c r="H20" s="21">
        <f>Tabla1[[#This Row],[Moreno2]]+Tabla1[[#This Row],[Ciudadela3]]</f>
        <v/>
      </c>
      <c r="I20" s="11">
        <f>IF((D20+E20)=0,"Sin consumo",(F20+G20)-(D20+E20))</f>
        <v/>
      </c>
      <c r="J20" s="58">
        <f>IF(Tabla1[[#This Row],[Diferencia]]="Sin Consumo","100%",Tabla1[[#This Row],[Stock total]]/(Tabla1[[#This Row],[Moreno]]+Tabla1[[#This Row],[Ciudadela]]))</f>
        <v/>
      </c>
      <c r="K20" s="1" t="n"/>
      <c r="L20" s="53" t="n">
        <v>4600122478</v>
      </c>
      <c r="M20" s="16" t="inlineStr">
        <is>
          <t>Pack Express</t>
        </is>
      </c>
      <c r="N20" s="16" t="n"/>
    </row>
    <row r="21" hidden="1">
      <c r="A21" s="22" t="inlineStr">
        <is>
          <t>GUANTE PROPILENO</t>
        </is>
      </c>
      <c r="B21" s="11" t="n">
        <v>100</v>
      </c>
      <c r="C21" s="11">
        <f>IF(ISNUMBER(_xlfn.XMATCH(A21,'Calcular necesidad'!E:E,0)),"OK","NO ESTA")</f>
        <v/>
      </c>
      <c r="D21" s="19">
        <f>SUM(
SUMIF('Calcular necesidad'!E:E,'Necesidad por familia'!A21,'Calcular necesidad'!G:G) +
SUMIF('Calcular necesidad'!E:E,'Necesidad por familia'!A21,'Calcular necesidad'!I:I) +
SUMIF('Calcular necesidad'!E:E,'Necesidad por familia'!A21,'Calcular necesidad'!K:K) +
SUMIF('Calcular necesidad'!E:E,'Necesidad por familia'!A21,'Calcular necesidad'!J:J)
)/B21</f>
        <v/>
      </c>
      <c r="E21" s="19">
        <f>SUMIF('Calcular necesidad'!E:E,'Necesidad por familia'!A21,'Calcular necesidad'!$H:$H)/B21</f>
        <v/>
      </c>
      <c r="F21" s="21">
        <f>SUMIFS(Stock!R:R,Stock!B:B,"&lt;&gt;CD CIUDADELA                  ",Stock!P:P,'Necesidad por familia'!A21)/B21</f>
        <v/>
      </c>
      <c r="G21" s="21">
        <f>SUMIFS(Stock!R:R,Stock!B:B,"CD CIUDADELA                  ",Stock!P:P,'Necesidad por familia'!A21)/B21</f>
        <v/>
      </c>
      <c r="H21" s="21">
        <f>Tabla1[[#This Row],[Moreno2]]+Tabla1[[#This Row],[Ciudadela3]]</f>
        <v/>
      </c>
      <c r="I21" s="11">
        <f>IF((D21+E21)=0,"Sin consumo",(F21+G21)-(D21+E21))</f>
        <v/>
      </c>
      <c r="J21" s="58">
        <f>IF(Tabla1[[#This Row],[Diferencia]]="Sin Consumo","100%",Tabla1[[#This Row],[Stock total]]/(Tabla1[[#This Row],[Moreno]]+Tabla1[[#This Row],[Ciudadela]]))</f>
        <v/>
      </c>
      <c r="K21" s="1" t="n"/>
      <c r="L21" s="16" t="n"/>
      <c r="M21" s="16" t="n"/>
      <c r="N21" s="16" t="n"/>
    </row>
    <row r="22" hidden="1">
      <c r="A22" s="22" t="inlineStr">
        <is>
          <t>BOLSA PAPEL MADERA</t>
        </is>
      </c>
      <c r="B22" s="11" t="n">
        <v>100</v>
      </c>
      <c r="C22" s="11">
        <f>IF(ISNUMBER(_xlfn.XMATCH(A22,'Calcular necesidad'!E:E,0)),"OK","NO ESTA")</f>
        <v/>
      </c>
      <c r="D22" s="19">
        <f>SUM(
SUMIF('Calcular necesidad'!E:E,'Necesidad por familia'!A22,'Calcular necesidad'!G:G) +
SUMIF('Calcular necesidad'!E:E,'Necesidad por familia'!A22,'Calcular necesidad'!I:I) +
SUMIF('Calcular necesidad'!E:E,'Necesidad por familia'!A22,'Calcular necesidad'!K:K) +
SUMIF('Calcular necesidad'!E:E,'Necesidad por familia'!A22,'Calcular necesidad'!J:J)
)/B22</f>
        <v/>
      </c>
      <c r="E22" s="19">
        <f>SUMIF('Calcular necesidad'!E:E,'Necesidad por familia'!A22,'Calcular necesidad'!$H:$H)/B22</f>
        <v/>
      </c>
      <c r="F22" s="21">
        <f>SUMIFS(Stock!R:R,Stock!B:B,"&lt;&gt;CD CIUDADELA                  ",Stock!P:P,'Necesidad por familia'!A22)/B22</f>
        <v/>
      </c>
      <c r="G22" s="21">
        <f>SUMIFS(Stock!R:R,Stock!B:B,"CD CIUDADELA                  ",Stock!P:P,'Necesidad por familia'!A22)/B22</f>
        <v/>
      </c>
      <c r="H22" s="21">
        <f>Tabla1[[#This Row],[Moreno2]]+Tabla1[[#This Row],[Ciudadela3]]</f>
        <v/>
      </c>
      <c r="I22" s="11">
        <f>IF((D22+E22)=0,"Sin consumo",(F22+G22)-(D22+E22))</f>
        <v/>
      </c>
      <c r="J22" s="58">
        <f>IF(Tabla1[[#This Row],[Diferencia]]="Sin Consumo","100%",Tabla1[[#This Row],[Stock total]]/(Tabla1[[#This Row],[Moreno]]+Tabla1[[#This Row],[Ciudadela]]))</f>
        <v/>
      </c>
      <c r="K22" s="1" t="n"/>
      <c r="L22" s="16" t="n"/>
      <c r="M22" s="16" t="n"/>
      <c r="N22" s="16" t="n"/>
    </row>
    <row r="23">
      <c r="A23" s="22" t="inlineStr">
        <is>
          <t>VASO PLASTICO 180</t>
        </is>
      </c>
      <c r="B23" s="11" t="n">
        <v>100</v>
      </c>
      <c r="C23" s="11">
        <f>IF(ISNUMBER(_xlfn.XMATCH(A23,'Calcular necesidad'!E:E,0)),"OK","NO ESTA")</f>
        <v/>
      </c>
      <c r="D23" s="19">
        <f>SUM(
SUMIF('Calcular necesidad'!E:E,'Necesidad por familia'!A23,'Calcular necesidad'!G:G) +
SUMIF('Calcular necesidad'!E:E,'Necesidad por familia'!A23,'Calcular necesidad'!I:I) +
SUMIF('Calcular necesidad'!E:E,'Necesidad por familia'!A23,'Calcular necesidad'!K:K) +
SUMIF('Calcular necesidad'!E:E,'Necesidad por familia'!A23,'Calcular necesidad'!J:J)
)/B23</f>
        <v/>
      </c>
      <c r="E23" s="19">
        <f>SUMIF('Calcular necesidad'!E:E,'Necesidad por familia'!A23,'Calcular necesidad'!$H:$H)/B23</f>
        <v/>
      </c>
      <c r="F23" s="21">
        <f>SUMIFS(Stock!R:R,Stock!B:B,"&lt;&gt;CD CIUDADELA                  ",Stock!P:P,'Necesidad por familia'!A23)/B23</f>
        <v/>
      </c>
      <c r="G23" s="21">
        <f>SUMIFS(Stock!R:R,Stock!B:B,"CD CIUDADELA                  ",Stock!P:P,'Necesidad por familia'!A23)/B23</f>
        <v/>
      </c>
      <c r="H23" s="21">
        <f>Tabla1[[#This Row],[Moreno2]]+Tabla1[[#This Row],[Ciudadela3]]</f>
        <v/>
      </c>
      <c r="I23" s="11">
        <f>IF((D23+E23)=0,"Sin consumo",(F23+G23)-(D23+E23))</f>
        <v/>
      </c>
      <c r="J23" s="58">
        <f>IF(Tabla1[[#This Row],[Diferencia]]="Sin Consumo","100%",Tabla1[[#This Row],[Stock total]]/(Tabla1[[#This Row],[Moreno]]+Tabla1[[#This Row],[Ciudadela]]))</f>
        <v/>
      </c>
      <c r="L23" s="16" t="n">
        <v>4600121996</v>
      </c>
      <c r="M23" s="16" t="inlineStr">
        <is>
          <t>Papelera Colon</t>
        </is>
      </c>
      <c r="N23" s="16" t="n"/>
    </row>
    <row r="24" hidden="1">
      <c r="A24" s="22" t="inlineStr">
        <is>
          <t>GUANTE NITRILO L</t>
        </is>
      </c>
      <c r="B24" s="11" t="n">
        <v>100</v>
      </c>
      <c r="C24" s="11">
        <f>IF(ISNUMBER(_xlfn.XMATCH(A24,'Calcular necesidad'!E:E,0)),"OK","NO ESTA")</f>
        <v/>
      </c>
      <c r="D24" s="19">
        <f>SUM(
SUMIF('Calcular necesidad'!E:E,'Necesidad por familia'!A24,'Calcular necesidad'!G:G) +
SUMIF('Calcular necesidad'!E:E,'Necesidad por familia'!A24,'Calcular necesidad'!I:I) +
SUMIF('Calcular necesidad'!E:E,'Necesidad por familia'!A24,'Calcular necesidad'!K:K) +
SUMIF('Calcular necesidad'!E:E,'Necesidad por familia'!A24,'Calcular necesidad'!J:J)
)/B24</f>
        <v/>
      </c>
      <c r="E24" s="19">
        <f>SUMIF('Calcular necesidad'!E:E,'Necesidad por familia'!A24,'Calcular necesidad'!$H:$H)/B24</f>
        <v/>
      </c>
      <c r="F24" s="21">
        <f>SUMIFS(Stock!R:R,Stock!B:B,"&lt;&gt;CD CIUDADELA                  ",Stock!P:P,'Necesidad por familia'!A24)/B24</f>
        <v/>
      </c>
      <c r="G24" s="21">
        <f>SUMIFS(Stock!R:R,Stock!B:B,"CD CIUDADELA                  ",Stock!P:P,'Necesidad por familia'!A24)/B24</f>
        <v/>
      </c>
      <c r="H24" s="21">
        <f>Tabla1[[#This Row],[Moreno2]]+Tabla1[[#This Row],[Ciudadela3]]</f>
        <v/>
      </c>
      <c r="I24" s="11">
        <f>IF((D24+E24)=0,"Sin consumo",(F24+G24)-(D24+E24))</f>
        <v/>
      </c>
      <c r="J24" s="58">
        <f>IF(Tabla1[[#This Row],[Diferencia]]="Sin Consumo","100%",Tabla1[[#This Row],[Stock total]]/(Tabla1[[#This Row],[Moreno]]+Tabla1[[#This Row],[Ciudadela]]))</f>
        <v/>
      </c>
      <c r="K24" s="58" t="inlineStr">
        <is>
          <t>Ingresa lunes 27.04</t>
        </is>
      </c>
      <c r="L24" s="53" t="n">
        <v>4600121981</v>
      </c>
      <c r="M24" s="16" t="inlineStr">
        <is>
          <t>Mollon</t>
        </is>
      </c>
      <c r="N24" s="16" t="n"/>
    </row>
    <row r="25">
      <c r="A25" s="22" t="inlineStr">
        <is>
          <t>PLATO DESCARTABLE</t>
        </is>
      </c>
      <c r="B25" s="11" t="n">
        <v>50</v>
      </c>
      <c r="C25" s="11">
        <f>IF(ISNUMBER(_xlfn.XMATCH(A25,'Calcular necesidad'!E:E,0)),"OK","NO ESTA")</f>
        <v/>
      </c>
      <c r="D25" s="19">
        <f>SUM(
SUMIF('Calcular necesidad'!E:E,'Necesidad por familia'!A25,'Calcular necesidad'!G:G) +
SUMIF('Calcular necesidad'!E:E,'Necesidad por familia'!A25,'Calcular necesidad'!I:I) +
SUMIF('Calcular necesidad'!E:E,'Necesidad por familia'!A25,'Calcular necesidad'!K:K) +
SUMIF('Calcular necesidad'!E:E,'Necesidad por familia'!A25,'Calcular necesidad'!J:J)
)/B25</f>
        <v/>
      </c>
      <c r="E25" s="19">
        <f>SUMIF('Calcular necesidad'!E:E,'Necesidad por familia'!A25,'Calcular necesidad'!$H:$H)/B25</f>
        <v/>
      </c>
      <c r="F25" s="21">
        <f>SUMIFS(Stock!R:R,Stock!B:B,"&lt;&gt;CD CIUDADELA                  ",Stock!P:P,'Necesidad por familia'!A25)/B25</f>
        <v/>
      </c>
      <c r="G25" s="21">
        <f>SUMIFS(Stock!R:R,Stock!B:B,"CD CIUDADELA                  ",Stock!P:P,'Necesidad por familia'!A25)/B25</f>
        <v/>
      </c>
      <c r="H25" s="21">
        <f>Tabla1[[#This Row],[Moreno2]]+Tabla1[[#This Row],[Ciudadela3]]</f>
        <v/>
      </c>
      <c r="I25" s="11">
        <f>IF((D25+E25)=0,"Sin consumo",(F25+G25)-(D25+E25))</f>
        <v/>
      </c>
      <c r="J25" s="58">
        <f>IF(Tabla1[[#This Row],[Diferencia]]="Sin Consumo","100%",Tabla1[[#This Row],[Stock total]]/(Tabla1[[#This Row],[Moreno]]+Tabla1[[#This Row],[Ciudadela]]))</f>
        <v/>
      </c>
      <c r="K25" s="1" t="inlineStr">
        <is>
          <t>Ingreso 28.04</t>
        </is>
      </c>
      <c r="L25" s="53" t="n">
        <v>4600122551</v>
      </c>
      <c r="M25" t="inlineStr">
        <is>
          <t>Pack Express</t>
        </is>
      </c>
    </row>
    <row r="26" hidden="1">
      <c r="A26" s="22" t="inlineStr">
        <is>
          <t>CAMISETA 50X60 REF</t>
        </is>
      </c>
      <c r="B26" s="11" t="n">
        <v>100</v>
      </c>
      <c r="C26" s="11">
        <f>IF(ISNUMBER(_xlfn.XMATCH(A26,'Calcular necesidad'!E:E,0)),"OK","NO ESTA")</f>
        <v/>
      </c>
      <c r="D26" s="19">
        <f>SUM(
SUMIF('Calcular necesidad'!E:E,'Necesidad por familia'!A26,'Calcular necesidad'!G:G) +
SUMIF('Calcular necesidad'!E:E,'Necesidad por familia'!A26,'Calcular necesidad'!I:I) +
SUMIF('Calcular necesidad'!E:E,'Necesidad por familia'!A26,'Calcular necesidad'!K:K) +
SUMIF('Calcular necesidad'!E:E,'Necesidad por familia'!A26,'Calcular necesidad'!J:J)
)/B26</f>
        <v/>
      </c>
      <c r="E26" s="19">
        <f>SUMIF('Calcular necesidad'!E:E,'Necesidad por familia'!A26,'Calcular necesidad'!$H:$H)/B26</f>
        <v/>
      </c>
      <c r="F26" s="21">
        <f>SUMIFS(Stock!R:R,Stock!B:B,"&lt;&gt;CD CIUDADELA                  ",Stock!P:P,'Necesidad por familia'!A26)/B26</f>
        <v/>
      </c>
      <c r="G26" s="21">
        <f>SUMIFS(Stock!R:R,Stock!B:B,"CD CIUDADELA                  ",Stock!P:P,'Necesidad por familia'!A26)/B26</f>
        <v/>
      </c>
      <c r="H26" s="21">
        <f>Tabla1[[#This Row],[Moreno2]]+Tabla1[[#This Row],[Ciudadela3]]</f>
        <v/>
      </c>
      <c r="I26" s="11">
        <f>IF((D26+E26)=0,"Sin consumo",(F26+G26)-(D26+E26))</f>
        <v/>
      </c>
      <c r="J26" s="58">
        <f>IF(Tabla1[[#This Row],[Diferencia]]="Sin Consumo","100%",Tabla1[[#This Row],[Stock total]]/(Tabla1[[#This Row],[Moreno]]+Tabla1[[#This Row],[Ciudadela]]))</f>
        <v/>
      </c>
      <c r="L26" s="52" t="n"/>
    </row>
    <row r="27" hidden="1">
      <c r="A27" s="22" t="inlineStr">
        <is>
          <t>BANDEJA CARTON N°1</t>
        </is>
      </c>
      <c r="B27" s="11" t="n">
        <v>1600</v>
      </c>
      <c r="C27" s="11">
        <f>IF(ISNUMBER(_xlfn.XMATCH(A27,'Calcular necesidad'!E:E,0)),"OK","NO ESTA")</f>
        <v/>
      </c>
      <c r="D27" s="19">
        <f>SUM(
SUMIF('Calcular necesidad'!E:E,'Necesidad por familia'!A27,'Calcular necesidad'!G:G) +
SUMIF('Calcular necesidad'!E:E,'Necesidad por familia'!A27,'Calcular necesidad'!I:I) +
SUMIF('Calcular necesidad'!E:E,'Necesidad por familia'!A27,'Calcular necesidad'!K:K) +
SUMIF('Calcular necesidad'!E:E,'Necesidad por familia'!A27,'Calcular necesidad'!J:J)
)/B27</f>
        <v/>
      </c>
      <c r="E27" s="19">
        <f>SUMIF('Calcular necesidad'!E:E,'Necesidad por familia'!A27,'Calcular necesidad'!$H:$H)/B27</f>
        <v/>
      </c>
      <c r="F27" s="21">
        <f>SUMIFS(Stock!R:R,Stock!B:B,"&lt;&gt;CD CIUDADELA                  ",Stock!P:P,'Necesidad por familia'!A27)/B27</f>
        <v/>
      </c>
      <c r="G27" s="21">
        <f>SUMIFS(Stock!R:R,Stock!B:B,"CD CIUDADELA                  ",Stock!P:P,'Necesidad por familia'!A27)/B27</f>
        <v/>
      </c>
      <c r="H27" s="21">
        <f>Tabla1[[#This Row],[Moreno2]]+Tabla1[[#This Row],[Ciudadela3]]</f>
        <v/>
      </c>
      <c r="I27" s="11">
        <f>IF((D27+E27)=0,"Sin consumo",(F27+G27)-(D27+E27))</f>
        <v/>
      </c>
      <c r="J27" s="58">
        <f>IF(Tabla1[[#This Row],[Diferencia]]="Sin Consumo","100%",Tabla1[[#This Row],[Stock total]]/(Tabla1[[#This Row],[Moreno]]+Tabla1[[#This Row],[Ciudadela]]))</f>
        <v/>
      </c>
      <c r="K27" s="1" t="inlineStr">
        <is>
          <t>Pendiente alta material</t>
        </is>
      </c>
      <c r="L27" s="53" t="n">
        <v>4600122272</v>
      </c>
      <c r="M27" t="inlineStr">
        <is>
          <t>Papelera Colon</t>
        </is>
      </c>
    </row>
    <row r="28" hidden="1">
      <c r="A28" s="22" t="inlineStr">
        <is>
          <t>BANDEJA 101</t>
        </is>
      </c>
      <c r="B28" s="11" t="n">
        <v>100</v>
      </c>
      <c r="C28" s="11">
        <f>IF(ISNUMBER(_xlfn.XMATCH(A28,'Calcular necesidad'!E:E,0)),"OK","NO ESTA")</f>
        <v/>
      </c>
      <c r="D28" s="19">
        <f>SUM(
SUMIF('Calcular necesidad'!E:E,'Necesidad por familia'!A28,'Calcular necesidad'!G:G) +
SUMIF('Calcular necesidad'!E:E,'Necesidad por familia'!A28,'Calcular necesidad'!I:I) +
SUMIF('Calcular necesidad'!E:E,'Necesidad por familia'!A28,'Calcular necesidad'!K:K) +
SUMIF('Calcular necesidad'!E:E,'Necesidad por familia'!A28,'Calcular necesidad'!J:J)
)/B28</f>
        <v/>
      </c>
      <c r="E28" s="19">
        <f>SUMIF('Calcular necesidad'!E:E,'Necesidad por familia'!A28,'Calcular necesidad'!$H:$H)/B28</f>
        <v/>
      </c>
      <c r="F28" s="21">
        <f>SUMIFS(Stock!R:R,Stock!B:B,"&lt;&gt;CD CIUDADELA                  ",Stock!P:P,'Necesidad por familia'!A28)/B28</f>
        <v/>
      </c>
      <c r="G28" s="21">
        <f>SUMIFS(Stock!R:R,Stock!B:B,"CD CIUDADELA                  ",Stock!P:P,'Necesidad por familia'!A28)/B28</f>
        <v/>
      </c>
      <c r="H28" s="21">
        <f>Tabla1[[#This Row],[Moreno2]]+Tabla1[[#This Row],[Ciudadela3]]</f>
        <v/>
      </c>
      <c r="I28" s="11">
        <f>IF((D28+E28)=0,"Sin consumo",(F28+G28)-(D28+E28))</f>
        <v/>
      </c>
      <c r="J28" s="58">
        <f>IF(Tabla1[[#This Row],[Diferencia]]="Sin Consumo","100%",Tabla1[[#This Row],[Stock total]]/(Tabla1[[#This Row],[Moreno]]+Tabla1[[#This Row],[Ciudadela]]))</f>
        <v/>
      </c>
      <c r="K28" s="1" t="n"/>
      <c r="L28" s="16" t="n"/>
    </row>
    <row r="29" hidden="1">
      <c r="A29" s="22" t="inlineStr">
        <is>
          <t>CUCHARA SUNDAE</t>
        </is>
      </c>
      <c r="B29" s="11" t="n">
        <v>1000</v>
      </c>
      <c r="C29" s="11">
        <f>IF(ISNUMBER(_xlfn.XMATCH(A29,'Calcular necesidad'!E:E,0)),"OK","NO ESTA")</f>
        <v/>
      </c>
      <c r="D29" s="19">
        <f>SUM(
SUMIF('Calcular necesidad'!E:E,'Necesidad por familia'!A29,'Calcular necesidad'!G:G) +
SUMIF('Calcular necesidad'!E:E,'Necesidad por familia'!A29,'Calcular necesidad'!I:I) +
SUMIF('Calcular necesidad'!E:E,'Necesidad por familia'!A29,'Calcular necesidad'!K:K) +
SUMIF('Calcular necesidad'!E:E,'Necesidad por familia'!A29,'Calcular necesidad'!J:J)
)/B29</f>
        <v/>
      </c>
      <c r="E29" s="19">
        <f>SUMIF('Calcular necesidad'!E:E,'Necesidad por familia'!A29,'Calcular necesidad'!$H:$H)/B29</f>
        <v/>
      </c>
      <c r="F29" s="21">
        <f>SUMIFS(Stock!R:R,Stock!B:B,"&lt;&gt;CD CIUDADELA                  ",Stock!P:P,'Necesidad por familia'!A29)/B29</f>
        <v/>
      </c>
      <c r="G29" s="21">
        <f>SUMIFS(Stock!R:R,Stock!B:B,"CD CIUDADELA                  ",Stock!P:P,'Necesidad por familia'!A29)/B29</f>
        <v/>
      </c>
      <c r="H29" s="21">
        <f>Tabla1[[#This Row],[Moreno2]]+Tabla1[[#This Row],[Ciudadela3]]</f>
        <v/>
      </c>
      <c r="I29" s="11">
        <f>IF((D29+E29)=0,"Sin consumo",(F29+G29)-(D29+E29))</f>
        <v/>
      </c>
      <c r="J29" s="58">
        <f>IF(Tabla1[[#This Row],[Diferencia]]="Sin Consumo","100%",Tabla1[[#This Row],[Stock total]]/(Tabla1[[#This Row],[Moreno]]+Tabla1[[#This Row],[Ciudadela]]))</f>
        <v/>
      </c>
      <c r="K29" s="12" t="inlineStr">
        <is>
          <t>Ingresa 30.04</t>
        </is>
      </c>
      <c r="L29" s="16" t="n">
        <v>4200295599</v>
      </c>
      <c r="M29" t="inlineStr">
        <is>
          <t>Papelera Colon</t>
        </is>
      </c>
    </row>
    <row r="30" hidden="1">
      <c r="A30" s="22" t="inlineStr">
        <is>
          <t>VASO TERMICO 180</t>
        </is>
      </c>
      <c r="B30" s="11" t="n">
        <v>1000</v>
      </c>
      <c r="C30" s="11">
        <f>IF(ISNUMBER(_xlfn.XMATCH(A30,'Calcular necesidad'!E:E,0)),"OK","NO ESTA")</f>
        <v/>
      </c>
      <c r="D30" s="19">
        <f>SUM(
SUMIF('Calcular necesidad'!E:E,'Necesidad por familia'!A30,'Calcular necesidad'!G:G) +
SUMIF('Calcular necesidad'!E:E,'Necesidad por familia'!A30,'Calcular necesidad'!I:I) +
SUMIF('Calcular necesidad'!E:E,'Necesidad por familia'!A30,'Calcular necesidad'!K:K) +
SUMIF('Calcular necesidad'!E:E,'Necesidad por familia'!A30,'Calcular necesidad'!J:J)
)/B30</f>
        <v/>
      </c>
      <c r="E30" s="19">
        <f>SUMIF('Calcular necesidad'!E:E,'Necesidad por familia'!A30,'Calcular necesidad'!$H:$H)/B30</f>
        <v/>
      </c>
      <c r="F30" s="21">
        <f>SUMIFS(Stock!R:R,Stock!B:B,"&lt;&gt;CD CIUDADELA                  ",Stock!P:P,'Necesidad por familia'!A30)/B30</f>
        <v/>
      </c>
      <c r="G30" s="21">
        <f>SUMIFS(Stock!R:R,Stock!B:B,"CD CIUDADELA                  ",Stock!P:P,'Necesidad por familia'!A30)/B30</f>
        <v/>
      </c>
      <c r="H30" s="21">
        <f>Tabla1[[#This Row],[Moreno2]]+Tabla1[[#This Row],[Ciudadela3]]</f>
        <v/>
      </c>
      <c r="I30" s="11">
        <f>IF((D30+E30)=0,"Sin consumo",(F30+G30)-(D30+E30))</f>
        <v/>
      </c>
      <c r="J30" s="58">
        <f>IF(Tabla1[[#This Row],[Diferencia]]="Sin Consumo","100%",Tabla1[[#This Row],[Stock total]]/(Tabla1[[#This Row],[Moreno]]+Tabla1[[#This Row],[Ciudadela]]))</f>
        <v/>
      </c>
      <c r="L30" s="16" t="n"/>
    </row>
    <row r="31" hidden="1">
      <c r="A31" s="22" t="inlineStr">
        <is>
          <t>BANDEJA 103</t>
        </is>
      </c>
      <c r="B31" s="11" t="n">
        <v>100</v>
      </c>
      <c r="C31" s="11">
        <f>IF(ISNUMBER(_xlfn.XMATCH(A31,'Calcular necesidad'!E:E,0)),"OK","NO ESTA")</f>
        <v/>
      </c>
      <c r="D31" s="19">
        <f>SUM(
SUMIF('Calcular necesidad'!E:E,'Necesidad por familia'!A31,'Calcular necesidad'!G:G) +
SUMIF('Calcular necesidad'!E:E,'Necesidad por familia'!A31,'Calcular necesidad'!I:I) +
SUMIF('Calcular necesidad'!E:E,'Necesidad por familia'!A31,'Calcular necesidad'!K:K) +
SUMIF('Calcular necesidad'!E:E,'Necesidad por familia'!A31,'Calcular necesidad'!J:J)
)/B31</f>
        <v/>
      </c>
      <c r="E31" s="19">
        <f>SUMIF('Calcular necesidad'!E:E,'Necesidad por familia'!A31,'Calcular necesidad'!$H:$H)/B31</f>
        <v/>
      </c>
      <c r="F31" s="21">
        <f>SUMIFS(Stock!R:R,Stock!B:B,"&lt;&gt;CD CIUDADELA                  ",Stock!P:P,'Necesidad por familia'!A31)/B31</f>
        <v/>
      </c>
      <c r="G31" s="21">
        <f>SUMIFS(Stock!R:R,Stock!B:B,"CD CIUDADELA                  ",Stock!P:P,'Necesidad por familia'!A31)/B31</f>
        <v/>
      </c>
      <c r="H31" s="21">
        <f>Tabla1[[#This Row],[Moreno2]]+Tabla1[[#This Row],[Ciudadela3]]</f>
        <v/>
      </c>
      <c r="I31" s="11">
        <f>IF((D31+E31)=0,"Sin consumo",(F31+G31)-(D31+E31))</f>
        <v/>
      </c>
      <c r="J31" s="58">
        <f>IF(Tabla1[[#This Row],[Diferencia]]="Sin Consumo","100%",Tabla1[[#This Row],[Stock total]]/(Tabla1[[#This Row],[Moreno]]+Tabla1[[#This Row],[Ciudadela]]))</f>
        <v/>
      </c>
      <c r="L31" s="16" t="n">
        <v>4600121858</v>
      </c>
      <c r="M31" t="inlineStr">
        <is>
          <t>Pranamar</t>
        </is>
      </c>
    </row>
    <row r="32" hidden="1">
      <c r="A32" s="22" t="inlineStr">
        <is>
          <t>CUCHILLO DESCARTABLE</t>
        </is>
      </c>
      <c r="B32" s="11" t="n">
        <v>1000</v>
      </c>
      <c r="C32" s="11">
        <f>IF(ISNUMBER(_xlfn.XMATCH(A32,'Calcular necesidad'!E:E,0)),"OK","NO ESTA")</f>
        <v/>
      </c>
      <c r="D32" s="19">
        <f>SUM(
SUMIF('Calcular necesidad'!E:E,'Necesidad por familia'!A32,'Calcular necesidad'!G:G) +
SUMIF('Calcular necesidad'!E:E,'Necesidad por familia'!A32,'Calcular necesidad'!I:I) +
SUMIF('Calcular necesidad'!E:E,'Necesidad por familia'!A32,'Calcular necesidad'!K:K) +
SUMIF('Calcular necesidad'!E:E,'Necesidad por familia'!A32,'Calcular necesidad'!J:J)
)/B32</f>
        <v/>
      </c>
      <c r="E32" s="19">
        <f>SUMIF('Calcular necesidad'!E:E,'Necesidad por familia'!A32,'Calcular necesidad'!$H:$H)/B32</f>
        <v/>
      </c>
      <c r="F32" s="21">
        <f>SUMIFS(Stock!R:R,Stock!B:B,"&lt;&gt;CD CIUDADELA                  ",Stock!P:P,'Necesidad por familia'!A32)/B32</f>
        <v/>
      </c>
      <c r="G32" s="21">
        <f>SUMIFS(Stock!R:R,Stock!B:B,"CD CIUDADELA                  ",Stock!P:P,'Necesidad por familia'!A32)/B32</f>
        <v/>
      </c>
      <c r="H32" s="21">
        <f>Tabla1[[#This Row],[Moreno2]]+Tabla1[[#This Row],[Ciudadela3]]</f>
        <v/>
      </c>
      <c r="I32" s="11">
        <f>IF((D32+E32)=0,"Sin consumo",(F32+G32)-(D32+E32))</f>
        <v/>
      </c>
      <c r="J32" s="58">
        <f>IF(Tabla1[[#This Row],[Diferencia]]="Sin Consumo","100%",Tabla1[[#This Row],[Stock total]]/(Tabla1[[#This Row],[Moreno]]+Tabla1[[#This Row],[Ciudadela]]))</f>
        <v/>
      </c>
      <c r="L32" s="16" t="n">
        <v>4600122002</v>
      </c>
      <c r="M32" t="inlineStr">
        <is>
          <t>Achaplast</t>
        </is>
      </c>
    </row>
    <row r="33">
      <c r="A33" s="22" t="inlineStr">
        <is>
          <t>TAPA 101</t>
        </is>
      </c>
      <c r="B33" s="11" t="n">
        <v>100</v>
      </c>
      <c r="C33" s="11">
        <f>IF(ISNUMBER(_xlfn.XMATCH(A33,'Calcular necesidad'!E:E,0)),"OK","NO ESTA")</f>
        <v/>
      </c>
      <c r="D33" s="19">
        <f>SUM(
SUMIF('Calcular necesidad'!E:E,'Necesidad por familia'!A33,'Calcular necesidad'!G:G) +
SUMIF('Calcular necesidad'!E:E,'Necesidad por familia'!A33,'Calcular necesidad'!I:I) +
SUMIF('Calcular necesidad'!E:E,'Necesidad por familia'!A33,'Calcular necesidad'!K:K) +
SUMIF('Calcular necesidad'!E:E,'Necesidad por familia'!A33,'Calcular necesidad'!J:J)
)/B33</f>
        <v/>
      </c>
      <c r="E33" s="19">
        <f>SUMIF('Calcular necesidad'!E:E,'Necesidad por familia'!A33,'Calcular necesidad'!$H:$H)/B33</f>
        <v/>
      </c>
      <c r="F33" s="21">
        <f>SUMIFS(Stock!R:R,Stock!B:B,"&lt;&gt;CD CIUDADELA                  ",Stock!P:P,'Necesidad por familia'!A33)/B33</f>
        <v/>
      </c>
      <c r="G33" s="21">
        <f>SUMIFS(Stock!R:R,Stock!B:B,"CD CIUDADELA                  ",Stock!P:P,'Necesidad por familia'!A33)/B33</f>
        <v/>
      </c>
      <c r="H33" s="21">
        <f>Tabla1[[#This Row],[Moreno2]]+Tabla1[[#This Row],[Ciudadela3]]</f>
        <v/>
      </c>
      <c r="I33" s="11">
        <f>IF((D33+E33)=0,"Sin consumo",(F33+G33)-(D33+E33))</f>
        <v/>
      </c>
      <c r="J33" s="58">
        <f>IF(Tabla1[[#This Row],[Diferencia]]="Sin Consumo","100%",Tabla1[[#This Row],[Stock total]]/(Tabla1[[#This Row],[Moreno]]+Tabla1[[#This Row],[Ciudadela]]))</f>
        <v/>
      </c>
      <c r="K33" s="12" t="inlineStr">
        <is>
          <t>Pendiente turnado 24.04</t>
        </is>
      </c>
      <c r="L33" s="16" t="n">
        <v>4600121858</v>
      </c>
      <c r="M33" t="inlineStr">
        <is>
          <t>Pranamar</t>
        </is>
      </c>
    </row>
    <row r="34" hidden="1">
      <c r="A34" s="22" t="inlineStr">
        <is>
          <t>COLLARIN 8/12 OZ</t>
        </is>
      </c>
      <c r="B34" s="11" t="n">
        <v>100</v>
      </c>
      <c r="C34" s="11">
        <f>IF(ISNUMBER(_xlfn.XMATCH(A34,'Calcular necesidad'!E:E,0)),"OK","NO ESTA")</f>
        <v/>
      </c>
      <c r="D34" s="19">
        <f>SUM(
SUMIF('Calcular necesidad'!E:E,'Necesidad por familia'!A34,'Calcular necesidad'!G:G) +
SUMIF('Calcular necesidad'!E:E,'Necesidad por familia'!A34,'Calcular necesidad'!I:I) +
SUMIF('Calcular necesidad'!E:E,'Necesidad por familia'!A34,'Calcular necesidad'!K:K) +
SUMIF('Calcular necesidad'!E:E,'Necesidad por familia'!A34,'Calcular necesidad'!J:J)
)/B34</f>
        <v/>
      </c>
      <c r="E34" s="19">
        <f>SUMIF('Calcular necesidad'!E:E,'Necesidad por familia'!A34,'Calcular necesidad'!$H:$H)/B34</f>
        <v/>
      </c>
      <c r="F34" s="21">
        <f>SUMIFS(Stock!R:R,Stock!B:B,"&lt;&gt;CD CIUDADELA                  ",Stock!P:P,'Necesidad por familia'!A34)/B34</f>
        <v/>
      </c>
      <c r="G34" s="21">
        <f>SUMIFS(Stock!R:R,Stock!B:B,"CD CIUDADELA                  ",Stock!P:P,'Necesidad por familia'!A34)/B34</f>
        <v/>
      </c>
      <c r="H34" s="21">
        <f>Tabla1[[#This Row],[Moreno2]]+Tabla1[[#This Row],[Ciudadela3]]</f>
        <v/>
      </c>
      <c r="I34" s="11">
        <f>IF((D34+E34)=0,"Sin consumo",(F34+G34)-(D34+E34))</f>
        <v/>
      </c>
      <c r="J34" s="58">
        <f>IF(Tabla1[[#This Row],[Diferencia]]="Sin Consumo","100%",Tabla1[[#This Row],[Stock total]]/(Tabla1[[#This Row],[Moreno]]+Tabla1[[#This Row],[Ciudadela]]))</f>
        <v/>
      </c>
      <c r="K34" s="1" t="n"/>
      <c r="L34" s="53" t="n">
        <v>4600121606</v>
      </c>
      <c r="M34" t="inlineStr">
        <is>
          <t>Food Pack</t>
        </is>
      </c>
    </row>
    <row r="35" hidden="1">
      <c r="A35" s="22" t="inlineStr">
        <is>
          <t xml:space="preserve">SORBETE </t>
        </is>
      </c>
      <c r="B35" s="11" t="n">
        <v>1000</v>
      </c>
      <c r="C35" s="11">
        <f>IF(ISNUMBER(_xlfn.XMATCH(A35,'Calcular necesidad'!E:E,0)),"OK","NO ESTA")</f>
        <v/>
      </c>
      <c r="D35" s="19">
        <f>SUM(
SUMIF('Calcular necesidad'!E:E,'Necesidad por familia'!A35,'Calcular necesidad'!G:G) +
SUMIF('Calcular necesidad'!E:E,'Necesidad por familia'!A35,'Calcular necesidad'!I:I) +
SUMIF('Calcular necesidad'!E:E,'Necesidad por familia'!A35,'Calcular necesidad'!K:K) +
SUMIF('Calcular necesidad'!E:E,'Necesidad por familia'!A35,'Calcular necesidad'!J:J)
)/B35</f>
        <v/>
      </c>
      <c r="E35" s="19">
        <f>SUMIF('Calcular necesidad'!E:E,'Necesidad por familia'!A35,'Calcular necesidad'!$H:$H)/B35</f>
        <v/>
      </c>
      <c r="F35" s="21">
        <f>SUMIFS(Stock!R:R,Stock!B:B,"&lt;&gt;CD CIUDADELA                  ",Stock!P:P,'Necesidad por familia'!A35)/B35</f>
        <v/>
      </c>
      <c r="G35" s="21">
        <f>SUMIFS(Stock!R:R,Stock!B:B,"CD CIUDADELA                  ",Stock!P:P,'Necesidad por familia'!A35)/B35</f>
        <v/>
      </c>
      <c r="H35" s="21">
        <f>Tabla1[[#This Row],[Moreno2]]+Tabla1[[#This Row],[Ciudadela3]]</f>
        <v/>
      </c>
      <c r="I35" s="11">
        <f>IF((D35+E35)=0,"Sin consumo",(F35+G35)-(D35+E35))</f>
        <v/>
      </c>
      <c r="J35" s="58">
        <f>IF(Tabla1[[#This Row],[Diferencia]]="Sin Consumo","100%",Tabla1[[#This Row],[Stock total]]/(Tabla1[[#This Row],[Moreno]]+Tabla1[[#This Row],[Ciudadela]]))</f>
        <v/>
      </c>
      <c r="K35" s="1" t="n"/>
      <c r="L35" s="16" t="n"/>
    </row>
    <row r="36">
      <c r="A36" s="22" t="inlineStr">
        <is>
          <t>BANDEJA R3</t>
        </is>
      </c>
      <c r="B36" s="11" t="n">
        <v>500</v>
      </c>
      <c r="C36" s="11">
        <f>IF(ISNUMBER(_xlfn.XMATCH(A36,'Calcular necesidad'!E:E,0)),"OK","NO ESTA")</f>
        <v/>
      </c>
      <c r="D36" s="19">
        <f>SUM(
SUMIF('Calcular necesidad'!E:E,'Necesidad por familia'!A36,'Calcular necesidad'!G:G) +
SUMIF('Calcular necesidad'!E:E,'Necesidad por familia'!A36,'Calcular necesidad'!I:I) +
SUMIF('Calcular necesidad'!E:E,'Necesidad por familia'!A36,'Calcular necesidad'!K:K) +
SUMIF('Calcular necesidad'!E:E,'Necesidad por familia'!A36,'Calcular necesidad'!J:J)
)/B36</f>
        <v/>
      </c>
      <c r="E36" s="19">
        <f>SUMIF('Calcular necesidad'!E:E,'Necesidad por familia'!A36,'Calcular necesidad'!$H:$H)/B36</f>
        <v/>
      </c>
      <c r="F36" s="21">
        <f>SUMIFS(Stock!R:R,Stock!B:B,"&lt;&gt;CD CIUDADELA                  ",Stock!P:P,'Necesidad por familia'!A36)/B36</f>
        <v/>
      </c>
      <c r="G36" s="21">
        <f>SUMIFS(Stock!R:R,Stock!B:B,"CD CIUDADELA                  ",Stock!P:P,'Necesidad por familia'!A36)/B36</f>
        <v/>
      </c>
      <c r="H36" s="21">
        <f>Tabla1[[#This Row],[Moreno2]]+Tabla1[[#This Row],[Ciudadela3]]</f>
        <v/>
      </c>
      <c r="I36" s="11">
        <f>IF((D36+E36)=0,"Sin consumo",(F36+G36)-(D36+E36))</f>
        <v/>
      </c>
      <c r="J36" s="58">
        <f>IF(Tabla1[[#This Row],[Diferencia]]="Sin Consumo","100%",Tabla1[[#This Row],[Stock total]]/(Tabla1[[#This Row],[Moreno]]+Tabla1[[#This Row],[Ciudadela]]))</f>
        <v/>
      </c>
      <c r="K36" s="1" t="inlineStr">
        <is>
          <t>Pendiente turnado 28.04</t>
        </is>
      </c>
      <c r="L36" s="16" t="n">
        <v>4600122808</v>
      </c>
      <c r="M36" t="inlineStr">
        <is>
          <t>Pack express</t>
        </is>
      </c>
    </row>
    <row r="37" hidden="1">
      <c r="A37" s="22" t="inlineStr">
        <is>
          <t>BANDEJA 105</t>
        </is>
      </c>
      <c r="B37" s="11" t="n">
        <v>100</v>
      </c>
      <c r="C37" s="11">
        <f>IF(ISNUMBER(_xlfn.XMATCH(A37,'Calcular necesidad'!E:E,0)),"OK","NO ESTA")</f>
        <v/>
      </c>
      <c r="D37" s="19">
        <f>SUM(
SUMIF('Calcular necesidad'!E:E,'Necesidad por familia'!A37,'Calcular necesidad'!G:G) +
SUMIF('Calcular necesidad'!E:E,'Necesidad por familia'!A37,'Calcular necesidad'!I:I) +
SUMIF('Calcular necesidad'!E:E,'Necesidad por familia'!A37,'Calcular necesidad'!K:K) +
SUMIF('Calcular necesidad'!E:E,'Necesidad por familia'!A37,'Calcular necesidad'!J:J)
)/B37</f>
        <v/>
      </c>
      <c r="E37" s="19">
        <f>SUMIF('Calcular necesidad'!E:E,'Necesidad por familia'!A37,'Calcular necesidad'!$H:$H)/B37</f>
        <v/>
      </c>
      <c r="F37" s="21">
        <f>SUMIFS(Stock!R:R,Stock!B:B,"&lt;&gt;CD CIUDADELA                  ",Stock!P:P,'Necesidad por familia'!A37)/B37</f>
        <v/>
      </c>
      <c r="G37" s="21">
        <f>SUMIFS(Stock!R:R,Stock!B:B,"CD CIUDADELA                  ",Stock!P:P,'Necesidad por familia'!A37)/B37</f>
        <v/>
      </c>
      <c r="H37" s="21">
        <f>Tabla1[[#This Row],[Moreno2]]+Tabla1[[#This Row],[Ciudadela3]]</f>
        <v/>
      </c>
      <c r="I37" s="11">
        <f>IF((D37+E37)=0,"Sin consumo",(F37+G37)-(D37+E37))</f>
        <v/>
      </c>
      <c r="J37" s="58">
        <f>IF(Tabla1[[#This Row],[Diferencia]]="Sin Consumo","100%",Tabla1[[#This Row],[Stock total]]/(Tabla1[[#This Row],[Moreno]]+Tabla1[[#This Row],[Ciudadela]]))</f>
        <v/>
      </c>
      <c r="K37" s="1" t="inlineStr">
        <is>
          <t>Pendiente turnado 28.04</t>
        </is>
      </c>
      <c r="L37" s="16" t="n">
        <v>4200295707</v>
      </c>
      <c r="M37" t="inlineStr">
        <is>
          <t>Papelera Colon</t>
        </is>
      </c>
    </row>
    <row r="38" hidden="1">
      <c r="A38" s="22" t="inlineStr">
        <is>
          <t>CAMISETA NEGRA 40X50</t>
        </is>
      </c>
      <c r="B38" s="11" t="n">
        <v>60</v>
      </c>
      <c r="C38" s="11">
        <f>IF(ISNUMBER(_xlfn.XMATCH(A38,'Calcular necesidad'!E:E,0)),"OK","NO ESTA")</f>
        <v/>
      </c>
      <c r="D38" s="19">
        <f>SUM(
SUMIF('Calcular necesidad'!E:E,'Necesidad por familia'!A38,'Calcular necesidad'!G:G) +
SUMIF('Calcular necesidad'!E:E,'Necesidad por familia'!A38,'Calcular necesidad'!I:I) +
SUMIF('Calcular necesidad'!E:E,'Necesidad por familia'!A38,'Calcular necesidad'!K:K) +
SUMIF('Calcular necesidad'!E:E,'Necesidad por familia'!A38,'Calcular necesidad'!J:J)
)/B38</f>
        <v/>
      </c>
      <c r="E38" s="19">
        <f>SUMIF('Calcular necesidad'!E:E,'Necesidad por familia'!A38,'Calcular necesidad'!$H:$H)/B38</f>
        <v/>
      </c>
      <c r="F38" s="21">
        <f>SUMIFS(Stock!R:R,Stock!B:B,"&lt;&gt;CD CIUDADELA                  ",Stock!P:P,'Necesidad por familia'!A38)/B38</f>
        <v/>
      </c>
      <c r="G38" s="21">
        <f>SUMIFS(Stock!R:R,Stock!B:B,"CD CIUDADELA                  ",Stock!P:P,'Necesidad por familia'!A38)/B38</f>
        <v/>
      </c>
      <c r="H38" s="21">
        <f>Tabla1[[#This Row],[Moreno2]]+Tabla1[[#This Row],[Ciudadela3]]</f>
        <v/>
      </c>
      <c r="I38" s="11">
        <f>IF((D38+E38)=0,"Sin consumo",(F38+G38)-(D38+E38))</f>
        <v/>
      </c>
      <c r="J38" s="58">
        <f>IF(Tabla1[[#This Row],[Diferencia]]="Sin Consumo","100%",Tabla1[[#This Row],[Stock total]]/(Tabla1[[#This Row],[Moreno]]+Tabla1[[#This Row],[Ciudadela]]))</f>
        <v/>
      </c>
      <c r="K38" s="1" t="n"/>
      <c r="L38" s="16" t="n"/>
    </row>
    <row r="39" hidden="1">
      <c r="A39" s="22" t="inlineStr">
        <is>
          <t>TENEDOR DESCARTABLE</t>
        </is>
      </c>
      <c r="B39" s="11" t="n">
        <v>1000</v>
      </c>
      <c r="C39" s="11">
        <f>IF(ISNUMBER(_xlfn.XMATCH(A39,'Calcular necesidad'!E:E,0)),"OK","NO ESTA")</f>
        <v/>
      </c>
      <c r="D39" s="19">
        <f>SUM(
SUMIF('Calcular necesidad'!E:E,'Necesidad por familia'!A39,'Calcular necesidad'!G:G) +
SUMIF('Calcular necesidad'!E:E,'Necesidad por familia'!A39,'Calcular necesidad'!I:I) +
SUMIF('Calcular necesidad'!E:E,'Necesidad por familia'!A39,'Calcular necesidad'!K:K) +
SUMIF('Calcular necesidad'!E:E,'Necesidad por familia'!A39,'Calcular necesidad'!J:J)
)/B39</f>
        <v/>
      </c>
      <c r="E39" s="19">
        <f>SUMIF('Calcular necesidad'!E:E,'Necesidad por familia'!A39,'Calcular necesidad'!$H:$H)/B39</f>
        <v/>
      </c>
      <c r="F39" s="21">
        <f>SUMIFS(Stock!R:R,Stock!B:B,"&lt;&gt;CD CIUDADELA                  ",Stock!P:P,'Necesidad por familia'!A39)/B39</f>
        <v/>
      </c>
      <c r="G39" s="21">
        <f>SUMIFS(Stock!R:R,Stock!B:B,"CD CIUDADELA                  ",Stock!P:P,'Necesidad por familia'!A39)/B39</f>
        <v/>
      </c>
      <c r="H39" s="21">
        <f>Tabla1[[#This Row],[Moreno2]]+Tabla1[[#This Row],[Ciudadela3]]</f>
        <v/>
      </c>
      <c r="I39" s="11">
        <f>IF((D39+E39)=0,"Sin consumo",(F39+G39)-(D39+E39))</f>
        <v/>
      </c>
      <c r="J39" s="58">
        <f>IF(Tabla1[[#This Row],[Diferencia]]="Sin Consumo","100%",Tabla1[[#This Row],[Stock total]]/(Tabla1[[#This Row],[Moreno]]+Tabla1[[#This Row],[Ciudadela]]))</f>
        <v/>
      </c>
      <c r="K39" s="1" t="n"/>
      <c r="L39" s="16" t="n">
        <v>4600122002</v>
      </c>
      <c r="M39" t="inlineStr">
        <is>
          <t>Achaplast</t>
        </is>
      </c>
    </row>
    <row r="40" hidden="1">
      <c r="A40" s="22" t="inlineStr">
        <is>
          <t>BANDEJA R5</t>
        </is>
      </c>
      <c r="B40" s="11" t="n">
        <v>600</v>
      </c>
      <c r="C40" s="11">
        <f>IF(ISNUMBER(_xlfn.XMATCH(A40,'Calcular necesidad'!E:E,0)),"OK","NO ESTA")</f>
        <v/>
      </c>
      <c r="D40" s="19">
        <f>SUM(
SUMIF('Calcular necesidad'!E:E,'Necesidad por familia'!A40,'Calcular necesidad'!G:G) +
SUMIF('Calcular necesidad'!E:E,'Necesidad por familia'!A40,'Calcular necesidad'!I:I) +
SUMIF('Calcular necesidad'!E:E,'Necesidad por familia'!A40,'Calcular necesidad'!K:K) +
SUMIF('Calcular necesidad'!E:E,'Necesidad por familia'!A40,'Calcular necesidad'!J:J)
)/B40</f>
        <v/>
      </c>
      <c r="E40" s="19">
        <f>SUMIF('Calcular necesidad'!E:E,'Necesidad por familia'!A40,'Calcular necesidad'!$H:$H)/B40</f>
        <v/>
      </c>
      <c r="F40" s="21">
        <f>SUMIFS(Stock!R:R,Stock!B:B,"&lt;&gt;CD CIUDADELA                  ",Stock!P:P,'Necesidad por familia'!A40)/B40</f>
        <v/>
      </c>
      <c r="G40" s="21">
        <f>SUMIFS(Stock!R:R,Stock!B:B,"CD CIUDADELA                  ",Stock!P:P,'Necesidad por familia'!A40)/B40</f>
        <v/>
      </c>
      <c r="H40" s="21">
        <f>Tabla1[[#This Row],[Moreno2]]+Tabla1[[#This Row],[Ciudadela3]]</f>
        <v/>
      </c>
      <c r="I40" s="11">
        <f>IF((D40+E40)=0,"Sin consumo",(F40+G40)-(D40+E40))</f>
        <v/>
      </c>
      <c r="J40" s="58">
        <f>IF(Tabla1[[#This Row],[Diferencia]]="Sin Consumo","100%",Tabla1[[#This Row],[Stock total]]/(Tabla1[[#This Row],[Moreno]]+Tabla1[[#This Row],[Ciudadela]]))</f>
        <v/>
      </c>
      <c r="L40" s="16" t="n"/>
    </row>
    <row r="41" hidden="1">
      <c r="A41" s="22" t="inlineStr">
        <is>
          <t>CUCHARA SOPERA</t>
        </is>
      </c>
      <c r="B41" s="11" t="n">
        <v>1000</v>
      </c>
      <c r="C41" s="11">
        <f>IF(ISNUMBER(_xlfn.XMATCH(A41,'Calcular necesidad'!E:E,0)),"OK","NO ESTA")</f>
        <v/>
      </c>
      <c r="D41" s="19">
        <f>SUM(
SUMIF('Calcular necesidad'!E:E,'Necesidad por familia'!A41,'Calcular necesidad'!G:G) +
SUMIF('Calcular necesidad'!E:E,'Necesidad por familia'!A41,'Calcular necesidad'!I:I) +
SUMIF('Calcular necesidad'!E:E,'Necesidad por familia'!A41,'Calcular necesidad'!K:K) +
SUMIF('Calcular necesidad'!E:E,'Necesidad por familia'!A41,'Calcular necesidad'!J:J)
)/B41</f>
        <v/>
      </c>
      <c r="E41" s="19">
        <f>SUMIF('Calcular necesidad'!E:E,'Necesidad por familia'!A41,'Calcular necesidad'!$H:$H)/B41</f>
        <v/>
      </c>
      <c r="F41" s="21">
        <f>SUMIFS(Stock!R:R,Stock!B:B,"&lt;&gt;CD CIUDADELA                  ",Stock!P:P,'Necesidad por familia'!A41)/B41</f>
        <v/>
      </c>
      <c r="G41" s="21">
        <f>SUMIFS(Stock!R:R,Stock!B:B,"CD CIUDADELA                  ",Stock!P:P,'Necesidad por familia'!A41)/B41</f>
        <v/>
      </c>
      <c r="H41" s="21">
        <f>Tabla1[[#This Row],[Moreno2]]+Tabla1[[#This Row],[Ciudadela3]]</f>
        <v/>
      </c>
      <c r="I41" s="11">
        <f>IF((D41+E41)=0,"Sin consumo",(F41+G41)-(D41+E41))</f>
        <v/>
      </c>
      <c r="J41" s="58">
        <f>IF(Tabla1[[#This Row],[Diferencia]]="Sin Consumo","100%",Tabla1[[#This Row],[Stock total]]/(Tabla1[[#This Row],[Moreno]]+Tabla1[[#This Row],[Ciudadela]]))</f>
        <v/>
      </c>
      <c r="K41" s="1" t="n"/>
      <c r="L41" s="11" t="n">
        <v>4600121223</v>
      </c>
      <c r="M41" s="16" t="inlineStr">
        <is>
          <t>Achaplast</t>
        </is>
      </c>
    </row>
    <row r="42" hidden="1">
      <c r="A42" s="22" t="inlineStr">
        <is>
          <t>TAPA VASO TERMICO 240</t>
        </is>
      </c>
      <c r="B42" s="11" t="n">
        <v>100</v>
      </c>
      <c r="C42" s="11">
        <f>IF(ISNUMBER(_xlfn.XMATCH(A42,'Calcular necesidad'!E:E,0)),"OK","NO ESTA")</f>
        <v/>
      </c>
      <c r="D42" s="19">
        <f>SUM(
SUMIF('Calcular necesidad'!E:E,'Necesidad por familia'!A42,'Calcular necesidad'!G:G) +
SUMIF('Calcular necesidad'!E:E,'Necesidad por familia'!A42,'Calcular necesidad'!I:I) +
SUMIF('Calcular necesidad'!E:E,'Necesidad por familia'!A42,'Calcular necesidad'!K:K) +
SUMIF('Calcular necesidad'!E:E,'Necesidad por familia'!A42,'Calcular necesidad'!J:J)
)/B42</f>
        <v/>
      </c>
      <c r="E42" s="19">
        <f>SUMIF('Calcular necesidad'!E:E,'Necesidad por familia'!A42,'Calcular necesidad'!$H:$H)/B42</f>
        <v/>
      </c>
      <c r="F42" s="21">
        <f>SUMIFS(Stock!R:R,Stock!B:B,"&lt;&gt;CD CIUDADELA                  ",Stock!P:P,'Necesidad por familia'!A42)/B42</f>
        <v/>
      </c>
      <c r="G42" s="21">
        <f>SUMIFS(Stock!R:R,Stock!B:B,"CD CIUDADELA                  ",Stock!P:P,'Necesidad por familia'!A42)/B42</f>
        <v/>
      </c>
      <c r="H42" s="21">
        <f>Tabla1[[#This Row],[Moreno2]]+Tabla1[[#This Row],[Ciudadela3]]</f>
        <v/>
      </c>
      <c r="I42" s="11">
        <f>IF((D42+E42)=0,"Sin consumo",(F42+G42)-(D42+E42))</f>
        <v/>
      </c>
      <c r="J42" s="58">
        <f>IF(Tabla1[[#This Row],[Diferencia]]="Sin Consumo","100%",Tabla1[[#This Row],[Stock total]]/(Tabla1[[#This Row],[Moreno]]+Tabla1[[#This Row],[Ciudadela]]))</f>
        <v/>
      </c>
      <c r="L42" s="16" t="n"/>
    </row>
    <row r="43" hidden="1">
      <c r="A43" s="22" t="inlineStr">
        <is>
          <t>TAPA R3</t>
        </is>
      </c>
      <c r="B43" s="11" t="n">
        <v>1000</v>
      </c>
      <c r="C43" s="11">
        <f>IF(ISNUMBER(_xlfn.XMATCH(A43,'Calcular necesidad'!E:E,0)),"OK","NO ESTA")</f>
        <v/>
      </c>
      <c r="D43" s="19">
        <f>SUM(
SUMIF('Calcular necesidad'!E:E,'Necesidad por familia'!A43,'Calcular necesidad'!G:G) +
SUMIF('Calcular necesidad'!E:E,'Necesidad por familia'!A43,'Calcular necesidad'!I:I) +
SUMIF('Calcular necesidad'!E:E,'Necesidad por familia'!A43,'Calcular necesidad'!K:K) +
SUMIF('Calcular necesidad'!E:E,'Necesidad por familia'!A43,'Calcular necesidad'!J:J)
)/B43</f>
        <v/>
      </c>
      <c r="E43" s="19">
        <f>SUMIF('Calcular necesidad'!E:E,'Necesidad por familia'!A43,'Calcular necesidad'!$H:$H)/B43</f>
        <v/>
      </c>
      <c r="F43" s="21">
        <f>SUMIFS(Stock!R:R,Stock!B:B,"&lt;&gt;CD CIUDADELA                  ",Stock!P:P,'Necesidad por familia'!A43)/B43</f>
        <v/>
      </c>
      <c r="G43" s="21">
        <f>SUMIFS(Stock!R:R,Stock!B:B,"CD CIUDADELA                  ",Stock!P:P,'Necesidad por familia'!A43)/B43</f>
        <v/>
      </c>
      <c r="H43" s="21">
        <f>Tabla1[[#This Row],[Moreno2]]+Tabla1[[#This Row],[Ciudadela3]]</f>
        <v/>
      </c>
      <c r="I43" s="11">
        <f>IF((D43+E43)=0,"Sin consumo",(F43+G43)-(D43+E43))</f>
        <v/>
      </c>
      <c r="J43" s="58">
        <f>IF(Tabla1[[#This Row],[Diferencia]]="Sin Consumo","100%",Tabla1[[#This Row],[Stock total]]/(Tabla1[[#This Row],[Moreno]]+Tabla1[[#This Row],[Ciudadela]]))</f>
        <v/>
      </c>
      <c r="K43" s="12" t="inlineStr">
        <is>
          <t>Pendiente turnado 28.04</t>
        </is>
      </c>
      <c r="L43" s="16" t="n">
        <v>4600122808</v>
      </c>
      <c r="M43" t="inlineStr">
        <is>
          <t>Pack express</t>
        </is>
      </c>
    </row>
    <row r="44" hidden="1">
      <c r="A44" s="22" t="inlineStr">
        <is>
          <t>TAPA 105</t>
        </is>
      </c>
      <c r="B44" s="11" t="n">
        <v>50</v>
      </c>
      <c r="C44" s="11">
        <f>IF(ISNUMBER(_xlfn.XMATCH(A44,'Calcular necesidad'!E:E,0)),"OK","NO ESTA")</f>
        <v/>
      </c>
      <c r="D44" s="19">
        <f>SUM(
SUMIF('Calcular necesidad'!E:E,'Necesidad por familia'!A44,'Calcular necesidad'!G:G) +
SUMIF('Calcular necesidad'!E:E,'Necesidad por familia'!A44,'Calcular necesidad'!I:I) +
SUMIF('Calcular necesidad'!E:E,'Necesidad por familia'!A44,'Calcular necesidad'!K:K) +
SUMIF('Calcular necesidad'!E:E,'Necesidad por familia'!A44,'Calcular necesidad'!J:J)
)/B44</f>
        <v/>
      </c>
      <c r="E44" s="19">
        <f>SUMIF('Calcular necesidad'!E:E,'Necesidad por familia'!A44,'Calcular necesidad'!$H:$H)/B44</f>
        <v/>
      </c>
      <c r="F44" s="21">
        <f>SUMIFS(Stock!R:R,Stock!B:B,"&lt;&gt;CD CIUDADELA                  ",Stock!P:P,'Necesidad por familia'!A44)/B44</f>
        <v/>
      </c>
      <c r="G44" s="21">
        <f>SUMIFS(Stock!R:R,Stock!B:B,"CD CIUDADELA                  ",Stock!P:P,'Necesidad por familia'!A44)/B44</f>
        <v/>
      </c>
      <c r="H44" s="21">
        <f>Tabla1[[#This Row],[Moreno2]]+Tabla1[[#This Row],[Ciudadela3]]</f>
        <v/>
      </c>
      <c r="I44" s="11">
        <f>IF((D44+E44)=0,"Sin consumo",(F44+G44)-(D44+E44))</f>
        <v/>
      </c>
      <c r="J44" s="58">
        <f>IF(Tabla1[[#This Row],[Diferencia]]="Sin Consumo","100%",Tabla1[[#This Row],[Stock total]]/(Tabla1[[#This Row],[Moreno]]+Tabla1[[#This Row],[Ciudadela]]))</f>
        <v/>
      </c>
      <c r="K44" s="1" t="n"/>
      <c r="L44" s="16" t="n"/>
    </row>
    <row r="45" hidden="1">
      <c r="A45" s="22" t="inlineStr">
        <is>
          <t>TAPA VASO TERMICO 300</t>
        </is>
      </c>
      <c r="B45" s="11" t="n">
        <v>100</v>
      </c>
      <c r="C45" s="11">
        <f>IF(ISNUMBER(_xlfn.XMATCH(A45,'Calcular necesidad'!E:E,0)),"OK","NO ESTA")</f>
        <v/>
      </c>
      <c r="D45" s="19">
        <f>SUM(
SUMIF('Calcular necesidad'!E:E,'Necesidad por familia'!A45,'Calcular necesidad'!G:G) +
SUMIF('Calcular necesidad'!E:E,'Necesidad por familia'!A45,'Calcular necesidad'!I:I) +
SUMIF('Calcular necesidad'!E:E,'Necesidad por familia'!A45,'Calcular necesidad'!K:K) +
SUMIF('Calcular necesidad'!E:E,'Necesidad por familia'!A45,'Calcular necesidad'!J:J)
)/B45</f>
        <v/>
      </c>
      <c r="E45" s="19">
        <f>SUMIF('Calcular necesidad'!E:E,'Necesidad por familia'!A45,'Calcular necesidad'!$H:$H)/B45</f>
        <v/>
      </c>
      <c r="F45" s="21">
        <f>SUMIFS(Stock!R:R,Stock!B:B,"&lt;&gt;CD CIUDADELA                  ",Stock!P:P,'Necesidad por familia'!A45)/B45</f>
        <v/>
      </c>
      <c r="G45" s="21">
        <f>SUMIFS(Stock!R:R,Stock!B:B,"CD CIUDADELA                  ",Stock!P:P,'Necesidad por familia'!A45)/B45</f>
        <v/>
      </c>
      <c r="H45" s="21">
        <f>Tabla1[[#This Row],[Moreno2]]+Tabla1[[#This Row],[Ciudadela3]]</f>
        <v/>
      </c>
      <c r="I45" s="11">
        <f>IF((D45+E45)=0,"Sin consumo",(F45+G45)-(D45+E45))</f>
        <v/>
      </c>
      <c r="J45" s="58">
        <f>IF(Tabla1[[#This Row],[Diferencia]]="Sin Consumo","100%",Tabla1[[#This Row],[Stock total]]/(Tabla1[[#This Row],[Moreno]]+Tabla1[[#This Row],[Ciudadela]]))</f>
        <v/>
      </c>
      <c r="K45" s="1" t="inlineStr">
        <is>
          <t>Ingresa 30.04</t>
        </is>
      </c>
      <c r="L45" s="16" t="n">
        <v>4600122708</v>
      </c>
      <c r="M45" s="16" t="inlineStr">
        <is>
          <t>Papelera Colon</t>
        </is>
      </c>
    </row>
    <row r="46" hidden="1">
      <c r="A46" s="22" t="inlineStr">
        <is>
          <t>TAPA R5</t>
        </is>
      </c>
      <c r="B46" s="11" t="n">
        <v>600</v>
      </c>
      <c r="C46" s="11">
        <f>IF(ISNUMBER(_xlfn.XMATCH(A46,'Calcular necesidad'!E:E,0)),"OK","NO ESTA")</f>
        <v/>
      </c>
      <c r="D46" s="19">
        <f>SUM(
SUMIF('Calcular necesidad'!E:E,'Necesidad por familia'!A46,'Calcular necesidad'!G:G) +
SUMIF('Calcular necesidad'!E:E,'Necesidad por familia'!A46,'Calcular necesidad'!I:I) +
SUMIF('Calcular necesidad'!E:E,'Necesidad por familia'!A46,'Calcular necesidad'!K:K) +
SUMIF('Calcular necesidad'!E:E,'Necesidad por familia'!A46,'Calcular necesidad'!J:J)
)/B46</f>
        <v/>
      </c>
      <c r="E46" s="19">
        <f>SUMIF('Calcular necesidad'!E:E,'Necesidad por familia'!A46,'Calcular necesidad'!$H:$H)/B46</f>
        <v/>
      </c>
      <c r="F46" s="21">
        <f>SUMIFS(Stock!R:R,Stock!B:B,"&lt;&gt;CD CIUDADELA                  ",Stock!P:P,'Necesidad por familia'!A46)/B46</f>
        <v/>
      </c>
      <c r="G46" s="21">
        <f>SUMIFS(Stock!R:R,Stock!B:B,"CD CIUDADELA                  ",Stock!P:P,'Necesidad por familia'!A46)/B46</f>
        <v/>
      </c>
      <c r="H46" s="21">
        <f>Tabla1[[#This Row],[Moreno2]]+Tabla1[[#This Row],[Ciudadela3]]</f>
        <v/>
      </c>
      <c r="I46" s="11">
        <f>IF((D46+E46)=0,"Sin consumo",(F46+G46)-(D46+E46))</f>
        <v/>
      </c>
      <c r="J46" s="58">
        <f>IF(Tabla1[[#This Row],[Diferencia]]="Sin Consumo","100%",Tabla1[[#This Row],[Stock total]]/(Tabla1[[#This Row],[Moreno]]+Tabla1[[#This Row],[Ciudadela]]))</f>
        <v/>
      </c>
      <c r="L46" s="16" t="n"/>
    </row>
    <row r="47" hidden="1">
      <c r="A47" s="22" t="inlineStr">
        <is>
          <t>BROCHETTE</t>
        </is>
      </c>
      <c r="B47" s="11" t="n">
        <v>100</v>
      </c>
      <c r="C47" s="11">
        <f>IF(ISNUMBER(_xlfn.XMATCH(A47,'Calcular necesidad'!E:E,0)),"OK","NO ESTA")</f>
        <v/>
      </c>
      <c r="D47" s="19">
        <f>SUM(
SUMIF('Calcular necesidad'!E:E,'Necesidad por familia'!A47,'Calcular necesidad'!G:G) +
SUMIF('Calcular necesidad'!E:E,'Necesidad por familia'!A47,'Calcular necesidad'!I:I) +
SUMIF('Calcular necesidad'!E:E,'Necesidad por familia'!A47,'Calcular necesidad'!K:K) +
SUMIF('Calcular necesidad'!E:E,'Necesidad por familia'!A47,'Calcular necesidad'!J:J)
)/B47</f>
        <v/>
      </c>
      <c r="E47" s="19">
        <f>SUMIF('Calcular necesidad'!E:E,'Necesidad por familia'!A47,'Calcular necesidad'!$H:$H)/B47</f>
        <v/>
      </c>
      <c r="F47" s="21">
        <f>SUMIFS(Stock!R:R,Stock!B:B,"&lt;&gt;CD CIUDADELA                  ",Stock!P:P,'Necesidad por familia'!A47)/B47</f>
        <v/>
      </c>
      <c r="G47" s="21">
        <f>SUMIFS(Stock!R:R,Stock!B:B,"CD CIUDADELA                  ",Stock!P:P,'Necesidad por familia'!A47)/B47</f>
        <v/>
      </c>
      <c r="H47" s="21">
        <f>Tabla1[[#This Row],[Moreno2]]+Tabla1[[#This Row],[Ciudadela3]]</f>
        <v/>
      </c>
      <c r="I47" s="11">
        <f>IF((D47+E47)=0,"Sin consumo",(F47+G47)-(D47+E47))</f>
        <v/>
      </c>
      <c r="J47" s="58">
        <f>IF(Tabla1[[#This Row],[Diferencia]]="Sin Consumo","100%",Tabla1[[#This Row],[Stock total]]/(Tabla1[[#This Row],[Moreno]]+Tabla1[[#This Row],[Ciudadela]]))</f>
        <v/>
      </c>
      <c r="L47" s="16" t="n"/>
    </row>
    <row r="48" hidden="1">
      <c r="A48" s="22" t="inlineStr">
        <is>
          <t>BANDEJA 102</t>
        </is>
      </c>
      <c r="B48" s="11" t="n">
        <v>100</v>
      </c>
      <c r="C48" s="11">
        <f>IF(ISNUMBER(_xlfn.XMATCH(A48,'Calcular necesidad'!E:E,0)),"OK","NO ESTA")</f>
        <v/>
      </c>
      <c r="D48" s="19">
        <f>SUM(
SUMIF('Calcular necesidad'!E:E,'Necesidad por familia'!A48,'Calcular necesidad'!G:G) +
SUMIF('Calcular necesidad'!E:E,'Necesidad por familia'!A48,'Calcular necesidad'!I:I) +
SUMIF('Calcular necesidad'!E:E,'Necesidad por familia'!A48,'Calcular necesidad'!K:K) +
SUMIF('Calcular necesidad'!E:E,'Necesidad por familia'!A48,'Calcular necesidad'!J:J)
)/B48</f>
        <v/>
      </c>
      <c r="E48" s="19">
        <f>SUMIF('Calcular necesidad'!E:E,'Necesidad por familia'!A48,'Calcular necesidad'!$H:$H)/B48</f>
        <v/>
      </c>
      <c r="F48" s="21">
        <f>SUMIFS(Stock!R:R,Stock!B:B,"&lt;&gt;CD CIUDADELA                  ",Stock!P:P,'Necesidad por familia'!A48)/B48</f>
        <v/>
      </c>
      <c r="G48" s="21">
        <f>SUMIFS(Stock!R:R,Stock!B:B,"CD CIUDADELA                  ",Stock!P:P,'Necesidad por familia'!A48)/B48</f>
        <v/>
      </c>
      <c r="H48" s="21">
        <f>Tabla1[[#This Row],[Moreno2]]+Tabla1[[#This Row],[Ciudadela3]]</f>
        <v/>
      </c>
      <c r="I48" s="11">
        <f>IF((D48+E48)=0,"Sin consumo",(F48+G48)-(D48+E48))</f>
        <v/>
      </c>
      <c r="J48" s="58">
        <f>IF(Tabla1[[#This Row],[Diferencia]]="Sin Consumo","100%",Tabla1[[#This Row],[Stock total]]/(Tabla1[[#This Row],[Moreno]]+Tabla1[[#This Row],[Ciudadela]]))</f>
        <v/>
      </c>
      <c r="L48" s="53" t="n">
        <v>4600121858</v>
      </c>
      <c r="M48" s="16" t="inlineStr">
        <is>
          <t>Pranamar</t>
        </is>
      </c>
    </row>
    <row r="49">
      <c r="A49" s="22" t="inlineStr">
        <is>
          <t>BARBIJO N95</t>
        </is>
      </c>
      <c r="B49" s="11" t="n">
        <v>50</v>
      </c>
      <c r="C49" s="11">
        <f>IF(ISNUMBER(_xlfn.XMATCH(A49,'Calcular necesidad'!E:E,0)),"OK","NO ESTA")</f>
        <v/>
      </c>
      <c r="D49" s="19">
        <f>SUM(
SUMIF('Calcular necesidad'!E:E,'Necesidad por familia'!A49,'Calcular necesidad'!G:G) +
SUMIF('Calcular necesidad'!E:E,'Necesidad por familia'!A49,'Calcular necesidad'!I:I) +
SUMIF('Calcular necesidad'!E:E,'Necesidad por familia'!A49,'Calcular necesidad'!K:K) +
SUMIF('Calcular necesidad'!E:E,'Necesidad por familia'!A49,'Calcular necesidad'!J:J)
)/B49</f>
        <v/>
      </c>
      <c r="E49" s="19">
        <f>SUMIF('Calcular necesidad'!E:E,'Necesidad por familia'!A49,'Calcular necesidad'!$H:$H)/B49</f>
        <v/>
      </c>
      <c r="F49" s="21">
        <f>SUMIFS(Stock!R:R,Stock!B:B,"&lt;&gt;CD CIUDADELA                  ",Stock!P:P,'Necesidad por familia'!A49)/B49</f>
        <v/>
      </c>
      <c r="G49" s="21">
        <f>SUMIFS(Stock!R:R,Stock!B:B,"CD CIUDADELA                  ",Stock!P:P,'Necesidad por familia'!A49)/B49</f>
        <v/>
      </c>
      <c r="H49" s="21">
        <f>Tabla1[[#This Row],[Moreno2]]+Tabla1[[#This Row],[Ciudadela3]]</f>
        <v/>
      </c>
      <c r="I49" s="11">
        <f>IF((D49+E49)=0,"Sin consumo",(F49+G49)-(D49+E49))</f>
        <v/>
      </c>
      <c r="J49" s="58">
        <f>IF(Tabla1[[#This Row],[Diferencia]]="Sin Consumo","100%",Tabla1[[#This Row],[Stock total]]/(Tabla1[[#This Row],[Moreno]]+Tabla1[[#This Row],[Ciudadela]]))</f>
        <v/>
      </c>
      <c r="K49" s="66" t="inlineStr">
        <is>
          <t>Revisar</t>
        </is>
      </c>
      <c r="L49" s="16" t="n">
        <v>4600121905</v>
      </c>
      <c r="M49" s="12" t="inlineStr">
        <is>
          <t>Mollon</t>
        </is>
      </c>
    </row>
    <row r="50" hidden="1">
      <c r="A50" s="22" t="inlineStr">
        <is>
          <t>TAPA 102</t>
        </is>
      </c>
      <c r="B50" s="11" t="n">
        <v>50</v>
      </c>
      <c r="C50" s="11">
        <f>IF(ISNUMBER(_xlfn.XMATCH(A50,'Calcular necesidad'!E:E,0)),"OK","NO ESTA")</f>
        <v/>
      </c>
      <c r="D50" s="19">
        <f>SUM(
SUMIF('Calcular necesidad'!E:E,'Necesidad por familia'!A50,'Calcular necesidad'!G:G) +
SUMIF('Calcular necesidad'!E:E,'Necesidad por familia'!A50,'Calcular necesidad'!I:I) +
SUMIF('Calcular necesidad'!E:E,'Necesidad por familia'!A50,'Calcular necesidad'!K:K) +
SUMIF('Calcular necesidad'!E:E,'Necesidad por familia'!A50,'Calcular necesidad'!J:J)
)/B50</f>
        <v/>
      </c>
      <c r="E50" s="19">
        <f>SUMIF('Calcular necesidad'!E:E,'Necesidad por familia'!A50,'Calcular necesidad'!$H:$H)/B50</f>
        <v/>
      </c>
      <c r="F50" s="21">
        <f>SUMIFS(Stock!R:R,Stock!B:B,"&lt;&gt;CD CIUDADELA                  ",Stock!P:P,'Necesidad por familia'!A50)/B50</f>
        <v/>
      </c>
      <c r="G50" s="21">
        <f>SUMIFS(Stock!R:R,Stock!B:B,"CD CIUDADELA                  ",Stock!P:P,'Necesidad por familia'!A50)/B50</f>
        <v/>
      </c>
      <c r="H50" s="21">
        <f>Tabla1[[#This Row],[Moreno2]]+Tabla1[[#This Row],[Ciudadela3]]</f>
        <v/>
      </c>
      <c r="I50" s="11">
        <f>IF((D50+E50)=0,"Sin consumo",(F50+G50)-(D50+E50))</f>
        <v/>
      </c>
      <c r="J50" s="58">
        <f>IF(Tabla1[[#This Row],[Diferencia]]="Sin Consumo","100%",Tabla1[[#This Row],[Stock total]]/(Tabla1[[#This Row],[Moreno]]+Tabla1[[#This Row],[Ciudadela]]))</f>
        <v/>
      </c>
      <c r="L50" s="53" t="n">
        <v>4600121858</v>
      </c>
      <c r="M50" s="16" t="inlineStr">
        <is>
          <t>Pranamar</t>
        </is>
      </c>
    </row>
    <row r="51" hidden="1">
      <c r="A51" s="22" t="inlineStr">
        <is>
          <t>VASO TERMICO 300</t>
        </is>
      </c>
      <c r="B51" s="11" t="n">
        <v>1000</v>
      </c>
      <c r="C51" s="11">
        <f>IF(ISNUMBER(_xlfn.XMATCH(A51,'Calcular necesidad'!E:E,0)),"OK","NO ESTA")</f>
        <v/>
      </c>
      <c r="D51" s="19">
        <f>SUM(
SUMIF('Calcular necesidad'!E:E,'Necesidad por familia'!A51,'Calcular necesidad'!G:G) +
SUMIF('Calcular necesidad'!E:E,'Necesidad por familia'!A51,'Calcular necesidad'!I:I) +
SUMIF('Calcular necesidad'!E:E,'Necesidad por familia'!A51,'Calcular necesidad'!K:K) +
SUMIF('Calcular necesidad'!E:E,'Necesidad por familia'!A51,'Calcular necesidad'!J:J)
)/B51</f>
        <v/>
      </c>
      <c r="E51" s="19">
        <f>SUMIF('Calcular necesidad'!E:E,'Necesidad por familia'!A51,'Calcular necesidad'!$H:$H)/B51</f>
        <v/>
      </c>
      <c r="F51" s="21">
        <f>SUMIFS(Stock!R:R,Stock!B:B,"&lt;&gt;CD CIUDADELA                  ",Stock!P:P,'Necesidad por familia'!A51)/B51</f>
        <v/>
      </c>
      <c r="G51" s="21">
        <f>SUMIFS(Stock!R:R,Stock!B:B,"CD CIUDADELA                  ",Stock!P:P,'Necesidad por familia'!A51)/B51</f>
        <v/>
      </c>
      <c r="H51" s="21">
        <f>Tabla1[[#This Row],[Moreno2]]+Tabla1[[#This Row],[Ciudadela3]]</f>
        <v/>
      </c>
      <c r="I51" s="11">
        <f>IF((D51+E51)=0,"Sin consumo",(F51+G51)-(D51+E51))</f>
        <v/>
      </c>
      <c r="J51" s="58">
        <f>IF(Tabla1[[#This Row],[Diferencia]]="Sin Consumo","100%",Tabla1[[#This Row],[Stock total]]/(Tabla1[[#This Row],[Moreno]]+Tabla1[[#This Row],[Ciudadela]]))</f>
        <v/>
      </c>
      <c r="K51" s="1" t="n"/>
      <c r="L51" s="16" t="n"/>
    </row>
    <row r="52" hidden="1">
      <c r="A52" s="22" t="inlineStr">
        <is>
          <t>TAPA 103</t>
        </is>
      </c>
      <c r="B52" s="11" t="n">
        <v>50</v>
      </c>
      <c r="C52" s="11">
        <f>IF(ISNUMBER(_xlfn.XMATCH(A52,'Calcular necesidad'!E:E,0)),"OK","NO ESTA")</f>
        <v/>
      </c>
      <c r="D52" s="19">
        <f>SUM(
SUMIF('Calcular necesidad'!E:E,'Necesidad por familia'!A52,'Calcular necesidad'!G:G) +
SUMIF('Calcular necesidad'!E:E,'Necesidad por familia'!A52,'Calcular necesidad'!I:I) +
SUMIF('Calcular necesidad'!E:E,'Necesidad por familia'!A52,'Calcular necesidad'!K:K) +
SUMIF('Calcular necesidad'!E:E,'Necesidad por familia'!A52,'Calcular necesidad'!J:J)
)/B52</f>
        <v/>
      </c>
      <c r="E52" s="19">
        <f>SUMIF('Calcular necesidad'!E:E,'Necesidad por familia'!A52,'Calcular necesidad'!$H:$H)/B52</f>
        <v/>
      </c>
      <c r="F52" s="21">
        <f>SUMIFS(Stock!R:R,Stock!B:B,"&lt;&gt;CD CIUDADELA                  ",Stock!P:P,'Necesidad por familia'!A52)/B52</f>
        <v/>
      </c>
      <c r="G52" s="21">
        <f>SUMIFS(Stock!R:R,Stock!B:B,"CD CIUDADELA                  ",Stock!P:P,'Necesidad por familia'!A52)/B52</f>
        <v/>
      </c>
      <c r="H52" s="21">
        <f>Tabla1[[#This Row],[Moreno2]]+Tabla1[[#This Row],[Ciudadela3]]</f>
        <v/>
      </c>
      <c r="I52" s="11">
        <f>IF((D52+E52)=0,"Sin consumo",(F52+G52)-(D52+E52))</f>
        <v/>
      </c>
      <c r="J52" s="58">
        <f>IF(Tabla1[[#This Row],[Diferencia]]="Sin Consumo","100%",Tabla1[[#This Row],[Stock total]]/(Tabla1[[#This Row],[Moreno]]+Tabla1[[#This Row],[Ciudadela]]))</f>
        <v/>
      </c>
      <c r="K52" s="1" t="n"/>
      <c r="L52" s="16" t="n"/>
    </row>
    <row r="53" hidden="1">
      <c r="A53" s="22" t="inlineStr">
        <is>
          <t>TAPA ENSALADERA CRISTAL</t>
        </is>
      </c>
      <c r="B53" s="11" t="n">
        <v>100</v>
      </c>
      <c r="C53" s="11">
        <f>IF(ISNUMBER(_xlfn.XMATCH(A53,'Calcular necesidad'!E:E,0)),"OK","NO ESTA")</f>
        <v/>
      </c>
      <c r="D53" s="19">
        <f>SUM(
SUMIF('Calcular necesidad'!E:E,'Necesidad por familia'!A53,'Calcular necesidad'!G:G) +
SUMIF('Calcular necesidad'!E:E,'Necesidad por familia'!A53,'Calcular necesidad'!I:I) +
SUMIF('Calcular necesidad'!E:E,'Necesidad por familia'!A53,'Calcular necesidad'!K:K) +
SUMIF('Calcular necesidad'!E:E,'Necesidad por familia'!A53,'Calcular necesidad'!J:J)
)/B53</f>
        <v/>
      </c>
      <c r="E53" s="19">
        <f>SUMIF('Calcular necesidad'!E:E,'Necesidad por familia'!A53,'Calcular necesidad'!$H:$H)/B53</f>
        <v/>
      </c>
      <c r="F53" s="21">
        <f>SUMIFS(Stock!R:R,Stock!B:B,"&lt;&gt;CD CIUDADELA                  ",Stock!P:P,'Necesidad por familia'!A53)/B53</f>
        <v/>
      </c>
      <c r="G53" s="21">
        <f>SUMIFS(Stock!R:R,Stock!B:B,"CD CIUDADELA                  ",Stock!P:P,'Necesidad por familia'!A53)/B53</f>
        <v/>
      </c>
      <c r="H53" s="21">
        <f>Tabla1[[#This Row],[Moreno2]]+Tabla1[[#This Row],[Ciudadela3]]</f>
        <v/>
      </c>
      <c r="I53" s="11">
        <f>IF((D53+E53)=0,"Sin consumo",(F53+G53)-(D53+E53))</f>
        <v/>
      </c>
      <c r="J53" s="58">
        <f>IF(Tabla1[[#This Row],[Diferencia]]="Sin Consumo","100%",Tabla1[[#This Row],[Stock total]]/(Tabla1[[#This Row],[Moreno]]+Tabla1[[#This Row],[Ciudadela]]))</f>
        <v/>
      </c>
      <c r="L53" s="16" t="n"/>
    </row>
    <row r="54" hidden="1">
      <c r="A54" s="22" t="inlineStr">
        <is>
          <t>POTE 230CC</t>
        </is>
      </c>
      <c r="B54" s="11" t="n">
        <v>100</v>
      </c>
      <c r="C54" s="11">
        <f>IF(ISNUMBER(_xlfn.XMATCH(A54,'Calcular necesidad'!E:E,0)),"OK","NO ESTA")</f>
        <v/>
      </c>
      <c r="D54" s="19">
        <f>SUM(
SUMIF('Calcular necesidad'!E:E,'Necesidad por familia'!A54,'Calcular necesidad'!G:G) +
SUMIF('Calcular necesidad'!E:E,'Necesidad por familia'!A54,'Calcular necesidad'!I:I) +
SUMIF('Calcular necesidad'!E:E,'Necesidad por familia'!A54,'Calcular necesidad'!K:K) +
SUMIF('Calcular necesidad'!E:E,'Necesidad por familia'!A54,'Calcular necesidad'!J:J)
)/B54</f>
        <v/>
      </c>
      <c r="E54" s="19">
        <f>SUMIF('Calcular necesidad'!E:E,'Necesidad por familia'!A54,'Calcular necesidad'!$H:$H)/B54</f>
        <v/>
      </c>
      <c r="F54" s="21">
        <f>SUMIFS(Stock!R:R,Stock!B:B,"&lt;&gt;CD CIUDADELA                  ",Stock!P:P,'Necesidad por familia'!A54)/B54</f>
        <v/>
      </c>
      <c r="G54" s="21">
        <f>SUMIFS(Stock!R:R,Stock!B:B,"CD CIUDADELA                  ",Stock!P:P,'Necesidad por familia'!A54)/B54</f>
        <v/>
      </c>
      <c r="H54" s="21">
        <f>Tabla1[[#This Row],[Moreno2]]+Tabla1[[#This Row],[Ciudadela3]]</f>
        <v/>
      </c>
      <c r="I54" s="11">
        <f>IF((D54+E54)=0,"Sin consumo",(F54+G54)-(D54+E54))</f>
        <v/>
      </c>
      <c r="J54" s="58">
        <f>IF(Tabla1[[#This Row],[Diferencia]]="Sin Consumo","100%",Tabla1[[#This Row],[Stock total]]/(Tabla1[[#This Row],[Moreno]]+Tabla1[[#This Row],[Ciudadela]]))</f>
        <v/>
      </c>
      <c r="K54" s="1" t="n"/>
      <c r="L54" s="16" t="n"/>
    </row>
    <row r="55" hidden="1">
      <c r="A55" s="22" t="inlineStr">
        <is>
          <t>TAPA DEGUSTADOR</t>
        </is>
      </c>
      <c r="B55" s="11" t="n">
        <v>2000</v>
      </c>
      <c r="C55" s="11">
        <f>IF(ISNUMBER(_xlfn.XMATCH(A55,'Calcular necesidad'!E:E,0)),"OK","NO ESTA")</f>
        <v/>
      </c>
      <c r="D55" s="19">
        <f>SUM(
SUMIF('Calcular necesidad'!E:E,'Necesidad por familia'!A55,'Calcular necesidad'!G:G) +
SUMIF('Calcular necesidad'!E:E,'Necesidad por familia'!A55,'Calcular necesidad'!I:I) +
SUMIF('Calcular necesidad'!E:E,'Necesidad por familia'!A55,'Calcular necesidad'!K:K) +
SUMIF('Calcular necesidad'!E:E,'Necesidad por familia'!A55,'Calcular necesidad'!J:J)
)/B55</f>
        <v/>
      </c>
      <c r="E55" s="19">
        <f>SUMIF('Calcular necesidad'!E:E,'Necesidad por familia'!A55,'Calcular necesidad'!$H:$H)/B55</f>
        <v/>
      </c>
      <c r="F55" s="21">
        <f>SUMIFS(Stock!R:R,Stock!B:B,"&lt;&gt;CD CIUDADELA                  ",Stock!P:P,'Necesidad por familia'!A55)/B55</f>
        <v/>
      </c>
      <c r="G55" s="21">
        <f>SUMIFS(Stock!R:R,Stock!B:B,"CD CIUDADELA                  ",Stock!P:P,'Necesidad por familia'!A55)/B55</f>
        <v/>
      </c>
      <c r="H55" s="21">
        <f>Tabla1[[#This Row],[Moreno2]]+Tabla1[[#This Row],[Ciudadela3]]</f>
        <v/>
      </c>
      <c r="I55" s="11">
        <f>IF((D55+E55)=0,"Sin consumo",(F55+G55)-(D55+E55))</f>
        <v/>
      </c>
      <c r="J55" s="58">
        <f>IF(Tabla1[[#This Row],[Diferencia]]="Sin Consumo","100%",Tabla1[[#This Row],[Stock total]]/(Tabla1[[#This Row],[Moreno]]+Tabla1[[#This Row],[Ciudadela]]))</f>
        <v/>
      </c>
      <c r="K55" s="1" t="n"/>
      <c r="L55" s="16" t="n"/>
    </row>
    <row r="56" hidden="1">
      <c r="A56" s="22" t="inlineStr">
        <is>
          <t>VASO CRISTAL 325</t>
        </is>
      </c>
      <c r="B56" s="11" t="n">
        <v>800</v>
      </c>
      <c r="C56" s="11">
        <f>IF(ISNUMBER(_xlfn.XMATCH(A56,'Calcular necesidad'!E:E,0)),"OK","NO ESTA")</f>
        <v/>
      </c>
      <c r="D56" s="19">
        <f>SUM(
SUMIF('Calcular necesidad'!E:E,'Necesidad por familia'!A56,'Calcular necesidad'!G:G) +
SUMIF('Calcular necesidad'!E:E,'Necesidad por familia'!A56,'Calcular necesidad'!I:I) +
SUMIF('Calcular necesidad'!E:E,'Necesidad por familia'!A56,'Calcular necesidad'!K:K) +
SUMIF('Calcular necesidad'!E:E,'Necesidad por familia'!A56,'Calcular necesidad'!J:J)
)/B56</f>
        <v/>
      </c>
      <c r="E56" s="19">
        <f>SUMIF('Calcular necesidad'!E:E,'Necesidad por familia'!A56,'Calcular necesidad'!$H:$H)/B56</f>
        <v/>
      </c>
      <c r="F56" s="21">
        <f>SUMIFS(Stock!R:R,Stock!B:B,"&lt;&gt;CD CIUDADELA                  ",Stock!P:P,'Necesidad por familia'!A56)/B56</f>
        <v/>
      </c>
      <c r="G56" s="21">
        <f>SUMIFS(Stock!R:R,Stock!B:B,"CD CIUDADELA                  ",Stock!P:P,'Necesidad por familia'!A56)/B56</f>
        <v/>
      </c>
      <c r="H56" s="21">
        <f>Tabla1[[#This Row],[Moreno2]]+Tabla1[[#This Row],[Ciudadela3]]</f>
        <v/>
      </c>
      <c r="I56" s="11">
        <f>IF((D56+E56)=0,"Sin consumo",(F56+G56)-(D56+E56))</f>
        <v/>
      </c>
      <c r="J56" s="58">
        <f>IF(Tabla1[[#This Row],[Diferencia]]="Sin Consumo","100%",Tabla1[[#This Row],[Stock total]]/(Tabla1[[#This Row],[Moreno]]+Tabla1[[#This Row],[Ciudadela]]))</f>
        <v/>
      </c>
      <c r="K56" s="1" t="inlineStr">
        <is>
          <t>Ingresa 30.04</t>
        </is>
      </c>
      <c r="L56" s="16" t="n">
        <v>4200295499</v>
      </c>
      <c r="M56" t="inlineStr">
        <is>
          <t>Papelera Colon</t>
        </is>
      </c>
    </row>
    <row r="57" hidden="1">
      <c r="A57" s="22" t="inlineStr">
        <is>
          <t>ANTORCHITAS</t>
        </is>
      </c>
      <c r="B57" s="11" t="n">
        <v>24</v>
      </c>
      <c r="C57" s="11">
        <f>IF(ISNUMBER(_xlfn.XMATCH(A57,'Calcular necesidad'!E:E,0)),"OK","NO ESTA")</f>
        <v/>
      </c>
      <c r="D57" s="19">
        <f>SUM(
SUMIF('Calcular necesidad'!E:E,'Necesidad por familia'!A57,'Calcular necesidad'!G:G) +
SUMIF('Calcular necesidad'!E:E,'Necesidad por familia'!A57,'Calcular necesidad'!I:I) +
SUMIF('Calcular necesidad'!E:E,'Necesidad por familia'!A57,'Calcular necesidad'!K:K) +
SUMIF('Calcular necesidad'!E:E,'Necesidad por familia'!A57,'Calcular necesidad'!J:J)
)/B57</f>
        <v/>
      </c>
      <c r="E57" s="19">
        <f>SUMIF('Calcular necesidad'!E:E,'Necesidad por familia'!A57,'Calcular necesidad'!$H:$H)/B57</f>
        <v/>
      </c>
      <c r="F57" s="21">
        <f>SUMIFS(Stock!R:R,Stock!B:B,"&lt;&gt;CD CIUDADELA                  ",Stock!P:P,'Necesidad por familia'!A57)/B57</f>
        <v/>
      </c>
      <c r="G57" s="21">
        <f>SUMIFS(Stock!R:R,Stock!B:B,"CD CIUDADELA                  ",Stock!P:P,'Necesidad por familia'!A57)/B57</f>
        <v/>
      </c>
      <c r="H57" s="21">
        <f>Tabla1[[#This Row],[Moreno2]]+Tabla1[[#This Row],[Ciudadela3]]</f>
        <v/>
      </c>
      <c r="I57" s="11">
        <f>IF((D57+E57)=0,"Sin consumo",(F57+G57)-(D57+E57))</f>
        <v/>
      </c>
      <c r="J57" s="58">
        <f>IF(Tabla1[[#This Row],[Diferencia]]="Sin Consumo","100%",Tabla1[[#This Row],[Stock total]]/(Tabla1[[#This Row],[Moreno]]+Tabla1[[#This Row],[Ciudadela]]))</f>
        <v/>
      </c>
      <c r="K57" s="59" t="n"/>
      <c r="L57" s="16" t="n"/>
    </row>
    <row r="58" hidden="1">
      <c r="A58" s="22" t="inlineStr">
        <is>
          <t>CAJA PIZZA CHICA</t>
        </is>
      </c>
      <c r="B58" s="11" t="n">
        <v>50</v>
      </c>
      <c r="C58" s="11">
        <f>IF(ISNUMBER(_xlfn.XMATCH(A58,'Calcular necesidad'!E:E,0)),"OK","NO ESTA")</f>
        <v/>
      </c>
      <c r="D58" s="19">
        <f>SUM(
SUMIF('Calcular necesidad'!E:E,'Necesidad por familia'!A58,'Calcular necesidad'!G:G) +
SUMIF('Calcular necesidad'!E:E,'Necesidad por familia'!A58,'Calcular necesidad'!I:I) +
SUMIF('Calcular necesidad'!E:E,'Necesidad por familia'!A58,'Calcular necesidad'!K:K) +
SUMIF('Calcular necesidad'!E:E,'Necesidad por familia'!A58,'Calcular necesidad'!J:J)
)/B58</f>
        <v/>
      </c>
      <c r="E58" s="19">
        <f>SUMIF('Calcular necesidad'!E:E,'Necesidad por familia'!A58,'Calcular necesidad'!$H:$H)/B58</f>
        <v/>
      </c>
      <c r="F58" s="21">
        <f>SUMIFS(Stock!R:R,Stock!B:B,"&lt;&gt;CD CIUDADELA                  ",Stock!P:P,'Necesidad por familia'!A58)/B58</f>
        <v/>
      </c>
      <c r="G58" s="21">
        <f>SUMIFS(Stock!R:R,Stock!B:B,"CD CIUDADELA                  ",Stock!P:P,'Necesidad por familia'!A58)/B58</f>
        <v/>
      </c>
      <c r="H58" s="21">
        <f>Tabla1[[#This Row],[Moreno2]]+Tabla1[[#This Row],[Ciudadela3]]</f>
        <v/>
      </c>
      <c r="I58" s="11">
        <f>IF((D58+E58)=0,"Sin consumo",(F58+G58)-(D58+E58))</f>
        <v/>
      </c>
      <c r="J58" s="58">
        <f>IF(Tabla1[[#This Row],[Diferencia]]="Sin Consumo","100%",Tabla1[[#This Row],[Stock total]]/(Tabla1[[#This Row],[Moreno]]+Tabla1[[#This Row],[Ciudadela]]))</f>
        <v/>
      </c>
      <c r="K58" s="1" t="inlineStr">
        <is>
          <t>Pendiente turnado 15.04</t>
        </is>
      </c>
      <c r="L58" s="16" t="n">
        <v>4600122003</v>
      </c>
      <c r="M58" t="inlineStr">
        <is>
          <t>Pack Express</t>
        </is>
      </c>
    </row>
    <row r="59" hidden="1">
      <c r="A59" s="22" t="inlineStr">
        <is>
          <t>BOLSA CUBIERTO 10X25</t>
        </is>
      </c>
      <c r="B59" s="11" t="n">
        <v>100</v>
      </c>
      <c r="C59" s="11">
        <f>IF(ISNUMBER(_xlfn.XMATCH(A59,'Calcular necesidad'!E:E,0)),"OK","NO ESTA")</f>
        <v/>
      </c>
      <c r="D59" s="19">
        <f>SUM(
SUMIF('Calcular necesidad'!E:E,'Necesidad por familia'!A59,'Calcular necesidad'!G:G) +
SUMIF('Calcular necesidad'!E:E,'Necesidad por familia'!A59,'Calcular necesidad'!I:I) +
SUMIF('Calcular necesidad'!E:E,'Necesidad por familia'!A59,'Calcular necesidad'!K:K) +
SUMIF('Calcular necesidad'!E:E,'Necesidad por familia'!A59,'Calcular necesidad'!J:J)
)/B59</f>
        <v/>
      </c>
      <c r="E59" s="19">
        <f>SUMIF('Calcular necesidad'!E:E,'Necesidad por familia'!A59,'Calcular necesidad'!$H:$H)/B59</f>
        <v/>
      </c>
      <c r="F59" s="21">
        <f>SUMIFS(Stock!R:R,Stock!B:B,"&lt;&gt;CD CIUDADELA                  ",Stock!P:P,'Necesidad por familia'!A59)/B59</f>
        <v/>
      </c>
      <c r="G59" s="21">
        <f>SUMIFS(Stock!R:R,Stock!B:B,"CD CIUDADELA                  ",Stock!P:P,'Necesidad por familia'!A59)/B59</f>
        <v/>
      </c>
      <c r="H59" s="21">
        <f>Tabla1[[#This Row],[Moreno2]]+Tabla1[[#This Row],[Ciudadela3]]</f>
        <v/>
      </c>
      <c r="I59" s="11">
        <f>IF((D59+E59)=0,"Sin consumo",(F59+G59)-(D59+E59))</f>
        <v/>
      </c>
      <c r="J59" s="58">
        <f>IF(Tabla1[[#This Row],[Diferencia]]="Sin Consumo","100%",Tabla1[[#This Row],[Stock total]]/(Tabla1[[#This Row],[Moreno]]+Tabla1[[#This Row],[Ciudadela]]))</f>
        <v/>
      </c>
      <c r="K59" s="1" t="inlineStr">
        <is>
          <t>Ingreso 28.04</t>
        </is>
      </c>
      <c r="L59" s="53" t="n">
        <v>4600122551</v>
      </c>
      <c r="M59" s="16" t="inlineStr">
        <is>
          <t>Pack express</t>
        </is>
      </c>
    </row>
    <row r="60" hidden="1">
      <c r="A60" s="22" t="inlineStr">
        <is>
          <t>INDIVIDUAL NUTRIRE</t>
        </is>
      </c>
      <c r="B60" s="11" t="n">
        <v>1000</v>
      </c>
      <c r="C60" s="11">
        <f>IF(ISNUMBER(_xlfn.XMATCH(A60,'Calcular necesidad'!E:E,0)),"OK","NO ESTA")</f>
        <v/>
      </c>
      <c r="D60" s="19">
        <f>SUM(
SUMIF('Calcular necesidad'!E:E,'Necesidad por familia'!A60,'Calcular necesidad'!G:G) +
SUMIF('Calcular necesidad'!E:E,'Necesidad por familia'!A60,'Calcular necesidad'!I:I) +
SUMIF('Calcular necesidad'!E:E,'Necesidad por familia'!A60,'Calcular necesidad'!K:K) +
SUMIF('Calcular necesidad'!E:E,'Necesidad por familia'!A60,'Calcular necesidad'!J:J)
)/B60</f>
        <v/>
      </c>
      <c r="E60" s="19">
        <f>SUMIF('Calcular necesidad'!E:E,'Necesidad por familia'!A60,'Calcular necesidad'!$H:$H)/B60</f>
        <v/>
      </c>
      <c r="F60" s="21">
        <f>SUMIFS(Stock!R:R,Stock!B:B,"&lt;&gt;CD CIUDADELA                  ",Stock!P:P,'Necesidad por familia'!A60)/B60</f>
        <v/>
      </c>
      <c r="G60" s="21">
        <f>SUMIFS(Stock!R:R,Stock!B:B,"CD CIUDADELA                  ",Stock!P:P,'Necesidad por familia'!A60)/B60</f>
        <v/>
      </c>
      <c r="H60" s="21">
        <f>Tabla1[[#This Row],[Moreno2]]+Tabla1[[#This Row],[Ciudadela3]]</f>
        <v/>
      </c>
      <c r="I60" s="11">
        <f>IF((D60+E60)=0,"Sin consumo",(F60+G60)-(D60+E60))</f>
        <v/>
      </c>
      <c r="J60" s="58">
        <f>IF(Tabla1[[#This Row],[Diferencia]]="Sin Consumo","100%",Tabla1[[#This Row],[Stock total]]/(Tabla1[[#This Row],[Moreno]]+Tabla1[[#This Row],[Ciudadela]]))</f>
        <v/>
      </c>
      <c r="L60" s="16" t="n"/>
    </row>
    <row r="61" hidden="1">
      <c r="A61" s="22" t="inlineStr">
        <is>
          <t>PAPEL HAMBURGUESA</t>
        </is>
      </c>
      <c r="B61" s="11" t="n">
        <v>116</v>
      </c>
      <c r="C61" s="11">
        <f>IF(ISNUMBER(_xlfn.XMATCH(A61,'Calcular necesidad'!E:E,0)),"OK","NO ESTA")</f>
        <v/>
      </c>
      <c r="D61" s="19">
        <f>SUM(
SUMIF('Calcular necesidad'!E:E,'Necesidad por familia'!A61,'Calcular necesidad'!G:G) +
SUMIF('Calcular necesidad'!E:E,'Necesidad por familia'!A61,'Calcular necesidad'!I:I) +
SUMIF('Calcular necesidad'!E:E,'Necesidad por familia'!A61,'Calcular necesidad'!K:K) +
SUMIF('Calcular necesidad'!E:E,'Necesidad por familia'!A61,'Calcular necesidad'!J:J)
)/B61</f>
        <v/>
      </c>
      <c r="E61" s="19">
        <f>SUMIF('Calcular necesidad'!E:E,'Necesidad por familia'!A61,'Calcular necesidad'!$H:$H)/B61</f>
        <v/>
      </c>
      <c r="F61" s="21">
        <f>SUMIFS(Stock!R:R,Stock!B:B,"&lt;&gt;CD CIUDADELA                  ",Stock!P:P,'Necesidad por familia'!A61)/B61</f>
        <v/>
      </c>
      <c r="G61" s="21">
        <f>SUMIFS(Stock!R:R,Stock!B:B,"CD CIUDADELA                  ",Stock!P:P,'Necesidad por familia'!A61)/B61</f>
        <v/>
      </c>
      <c r="H61" s="21">
        <f>Tabla1[[#This Row],[Moreno2]]+Tabla1[[#This Row],[Ciudadela3]]</f>
        <v/>
      </c>
      <c r="I61" s="11">
        <f>IF((D61+E61)=0,"Sin consumo",(F61+G61)-(D61+E61))</f>
        <v/>
      </c>
      <c r="J61" s="58">
        <f>IF(Tabla1[[#This Row],[Diferencia]]="Sin Consumo","100%",Tabla1[[#This Row],[Stock total]]/(Tabla1[[#This Row],[Moreno]]+Tabla1[[#This Row],[Ciudadela]]))</f>
        <v/>
      </c>
      <c r="K61" s="1" t="n"/>
      <c r="L61" s="16" t="n"/>
    </row>
    <row r="62" hidden="1">
      <c r="A62" s="22" t="inlineStr">
        <is>
          <t>TAPA DOMO</t>
        </is>
      </c>
      <c r="B62" s="11" t="n">
        <v>800</v>
      </c>
      <c r="C62" s="11">
        <f>IF(ISNUMBER(_xlfn.XMATCH(A62,'Calcular necesidad'!E:E,0)),"OK","NO ESTA")</f>
        <v/>
      </c>
      <c r="D62" s="19">
        <f>SUM(
SUMIF('Calcular necesidad'!E:E,'Necesidad por familia'!A62,'Calcular necesidad'!G:G) +
SUMIF('Calcular necesidad'!E:E,'Necesidad por familia'!A62,'Calcular necesidad'!I:I) +
SUMIF('Calcular necesidad'!E:E,'Necesidad por familia'!A62,'Calcular necesidad'!K:K) +
SUMIF('Calcular necesidad'!E:E,'Necesidad por familia'!A62,'Calcular necesidad'!J:J)
)/B62</f>
        <v/>
      </c>
      <c r="E62" s="19">
        <f>SUMIF('Calcular necesidad'!E:E,'Necesidad por familia'!A62,'Calcular necesidad'!$H:$H)/B62</f>
        <v/>
      </c>
      <c r="F62" s="21">
        <f>SUMIFS(Stock!R:R,Stock!B:B,"&lt;&gt;CD CIUDADELA                  ",Stock!P:P,'Necesidad por familia'!A62)/B62</f>
        <v/>
      </c>
      <c r="G62" s="21">
        <f>SUMIFS(Stock!R:R,Stock!B:B,"CD CIUDADELA                  ",Stock!P:P,'Necesidad por familia'!A62)/B62</f>
        <v/>
      </c>
      <c r="H62" s="21">
        <f>Tabla1[[#This Row],[Moreno2]]+Tabla1[[#This Row],[Ciudadela3]]</f>
        <v/>
      </c>
      <c r="I62" s="11">
        <f>IF((D62+E62)=0,"Sin consumo",(F62+G62)-(D62+E62))</f>
        <v/>
      </c>
      <c r="J62" s="58">
        <f>IF(Tabla1[[#This Row],[Diferencia]]="Sin Consumo","100%",Tabla1[[#This Row],[Stock total]]/(Tabla1[[#This Row],[Moreno]]+Tabla1[[#This Row],[Ciudadela]]))</f>
        <v/>
      </c>
      <c r="K62" s="1" t="n"/>
      <c r="L62" s="53" t="n"/>
      <c r="M62" s="16" t="n"/>
    </row>
    <row r="63" hidden="1">
      <c r="A63" s="22" t="inlineStr">
        <is>
          <t>BASE ENSALADERA CRISTAL</t>
        </is>
      </c>
      <c r="B63" s="11" t="n">
        <v>100</v>
      </c>
      <c r="C63" s="11">
        <f>IF(ISNUMBER(_xlfn.XMATCH(A63,'Calcular necesidad'!E:E,0)),"OK","NO ESTA")</f>
        <v/>
      </c>
      <c r="D63" s="19">
        <f>SUM(
SUMIF('Calcular necesidad'!E:E,'Necesidad por familia'!A63,'Calcular necesidad'!G:G) +
SUMIF('Calcular necesidad'!E:E,'Necesidad por familia'!A63,'Calcular necesidad'!I:I) +
SUMIF('Calcular necesidad'!E:E,'Necesidad por familia'!A63,'Calcular necesidad'!K:K) +
SUMIF('Calcular necesidad'!E:E,'Necesidad por familia'!A63,'Calcular necesidad'!J:J)
)/B63</f>
        <v/>
      </c>
      <c r="E63" s="19">
        <f>SUMIF('Calcular necesidad'!E:E,'Necesidad por familia'!A63,'Calcular necesidad'!$H:$H)/B63</f>
        <v/>
      </c>
      <c r="F63" s="21">
        <f>SUMIFS(Stock!R:R,Stock!B:B,"&lt;&gt;CD CIUDADELA                  ",Stock!P:P,'Necesidad por familia'!A63)/B63</f>
        <v/>
      </c>
      <c r="G63" s="21">
        <f>SUMIFS(Stock!R:R,Stock!B:B,"CD CIUDADELA                  ",Stock!P:P,'Necesidad por familia'!A63)/B63</f>
        <v/>
      </c>
      <c r="H63" s="21">
        <f>Tabla1[[#This Row],[Moreno2]]+Tabla1[[#This Row],[Ciudadela3]]</f>
        <v/>
      </c>
      <c r="I63" s="11">
        <f>IF((D63+E63)=0,"Sin consumo",(F63+G63)-(D63+E63))</f>
        <v/>
      </c>
      <c r="J63" s="58">
        <f>IF(Tabla1[[#This Row],[Diferencia]]="Sin Consumo","100%",Tabla1[[#This Row],[Stock total]]/(Tabla1[[#This Row],[Moreno]]+Tabla1[[#This Row],[Ciudadela]]))</f>
        <v/>
      </c>
      <c r="L63" s="52" t="n"/>
    </row>
    <row r="64">
      <c r="A64" s="46" t="inlineStr">
        <is>
          <t>SERVILLETA 18x18 BLUE</t>
        </is>
      </c>
      <c r="B64" s="1" t="n">
        <v>1000</v>
      </c>
      <c r="C64" s="11">
        <f>IF(ISNUMBER(_xlfn.XMATCH(A64,'Calcular necesidad'!E:E,0)),"OK","NO ESTA")</f>
        <v/>
      </c>
      <c r="D64" s="50">
        <f>SUM(
SUMIF('Calcular necesidad'!E:E,'Necesidad por familia'!A64,'Calcular necesidad'!G:G) +
SUMIF('Calcular necesidad'!E:E,'Necesidad por familia'!A64,'Calcular necesidad'!I:I) +
SUMIF('Calcular necesidad'!E:E,'Necesidad por familia'!A64,'Calcular necesidad'!K:K) +
SUMIF('Calcular necesidad'!E:E,'Necesidad por familia'!A64,'Calcular necesidad'!J:J)
)/B64</f>
        <v/>
      </c>
      <c r="E64" s="50">
        <f>SUMIF('Calcular necesidad'!E:E,'Necesidad por familia'!A64,'Calcular necesidad'!$H:$H)/B64</f>
        <v/>
      </c>
      <c r="F64" s="51">
        <f>SUMIFS(Stock!R:R,Stock!B:B,"&lt;&gt;CD CIUDADELA                  ",Stock!P:P,'Necesidad por familia'!A64)/B64</f>
        <v/>
      </c>
      <c r="G64" s="51">
        <f>SUMIFS(Stock!R:R,Stock!B:B,"CD CIUDADELA                  ",Stock!P:P,'Necesidad por familia'!A64)/B64</f>
        <v/>
      </c>
      <c r="H64" s="51">
        <f>Tabla1[[#This Row],[Moreno2]]+Tabla1[[#This Row],[Ciudadela3]]</f>
        <v/>
      </c>
      <c r="I64" s="1">
        <f>IF((D64+E64)=0,"Sin consumo",(F64+G64)-(D64+E64))</f>
        <v/>
      </c>
      <c r="J64" s="58">
        <f>IF(Tabla1[[#This Row],[Diferencia]]="Sin Consumo","100%",Tabla1[[#This Row],[Stock total]]/(Tabla1[[#This Row],[Moreno]]+Tabla1[[#This Row],[Ciudadela]]))</f>
        <v/>
      </c>
      <c r="K64" s="66" t="inlineStr">
        <is>
          <t>En alta</t>
        </is>
      </c>
      <c r="L64" s="53" t="n">
        <v>4600122274</v>
      </c>
      <c r="M64" t="inlineStr">
        <is>
          <t>Food Packaging</t>
        </is>
      </c>
    </row>
    <row r="65" hidden="1">
      <c r="A65" s="22" t="inlineStr">
        <is>
          <t>SERVILLETA 18x18 NUTRIRE</t>
        </is>
      </c>
      <c r="B65" s="11" t="n">
        <v>1000</v>
      </c>
      <c r="C65" s="11">
        <f>IF(ISNUMBER(_xlfn.XMATCH(A65,'Calcular necesidad'!E:E,0)),"OK","NO ESTA")</f>
        <v/>
      </c>
      <c r="D65" s="19">
        <f>SUM(
SUMIF('Calcular necesidad'!E:E,'Necesidad por familia'!A65,'Calcular necesidad'!G:G) +
SUMIF('Calcular necesidad'!E:E,'Necesidad por familia'!A65,'Calcular necesidad'!I:I) +
SUMIF('Calcular necesidad'!E:E,'Necesidad por familia'!A65,'Calcular necesidad'!K:K) +
SUMIF('Calcular necesidad'!E:E,'Necesidad por familia'!A65,'Calcular necesidad'!J:J)
)/B65</f>
        <v/>
      </c>
      <c r="E65" s="19">
        <f>SUMIF('Calcular necesidad'!E:E,'Necesidad por familia'!A65,'Calcular necesidad'!$H:$H)/B65</f>
        <v/>
      </c>
      <c r="F65" s="21">
        <f>SUMIFS(Stock!R:R,Stock!B:B,"&lt;&gt;CD CIUDADELA                  ",Stock!P:P,'Necesidad por familia'!A65)/B65</f>
        <v/>
      </c>
      <c r="G65" s="21">
        <f>SUMIFS(Stock!R:R,Stock!B:B,"CD CIUDADELA                  ",Stock!P:P,'Necesidad por familia'!A65)/B65</f>
        <v/>
      </c>
      <c r="H65" s="21">
        <f>Tabla1[[#This Row],[Moreno2]]+Tabla1[[#This Row],[Ciudadela3]]</f>
        <v/>
      </c>
      <c r="I65" s="11">
        <f>IF((D65+E65)=0,"Sin consumo",(F65+G65)-(D65+E65))</f>
        <v/>
      </c>
      <c r="J65" s="58">
        <f>IF(Tabla1[[#This Row],[Diferencia]]="Sin Consumo","100%",Tabla1[[#This Row],[Stock total]]/(Tabla1[[#This Row],[Moreno]]+Tabla1[[#This Row],[Ciudadela]]))</f>
        <v/>
      </c>
      <c r="K65" s="59" t="n"/>
      <c r="L65" s="16" t="n"/>
    </row>
    <row r="66">
      <c r="A66" s="22" t="inlineStr">
        <is>
          <t>GUANTE LATEX L</t>
        </is>
      </c>
      <c r="B66" s="11" t="n">
        <v>100</v>
      </c>
      <c r="C66" s="11">
        <f>IF(ISNUMBER(_xlfn.XMATCH(A66,'Calcular necesidad'!E:E,0)),"OK","NO ESTA")</f>
        <v/>
      </c>
      <c r="D66" s="19">
        <f>SUM(
SUMIF('Calcular necesidad'!E:E,'Necesidad por familia'!A66,'Calcular necesidad'!G:G) +
SUMIF('Calcular necesidad'!E:E,'Necesidad por familia'!A66,'Calcular necesidad'!I:I) +
SUMIF('Calcular necesidad'!E:E,'Necesidad por familia'!A66,'Calcular necesidad'!K:K) +
SUMIF('Calcular necesidad'!E:E,'Necesidad por familia'!A66,'Calcular necesidad'!J:J)
)/B66</f>
        <v/>
      </c>
      <c r="E66" s="19">
        <f>SUMIF('Calcular necesidad'!E:E,'Necesidad por familia'!A66,'Calcular necesidad'!$H:$H)/B66</f>
        <v/>
      </c>
      <c r="F66" s="21">
        <f>SUMIFS(Stock!R:R,Stock!B:B,"&lt;&gt;CD CIUDADELA                  ",Stock!P:P,'Necesidad por familia'!A66)/B66</f>
        <v/>
      </c>
      <c r="G66" s="21">
        <f>SUMIFS(Stock!R:R,Stock!B:B,"CD CIUDADELA                  ",Stock!P:P,'Necesidad por familia'!A66)/B66</f>
        <v/>
      </c>
      <c r="H66" s="21">
        <f>Tabla1[[#This Row],[Moreno2]]+Tabla1[[#This Row],[Ciudadela3]]</f>
        <v/>
      </c>
      <c r="I66" s="11">
        <f>IF((D66+E66)=0,"Sin consumo",(F66+G66)-(D66+E66))</f>
        <v/>
      </c>
      <c r="J66" s="58">
        <f>IF(Tabla1[[#This Row],[Diferencia]]="Sin Consumo","100%",Tabla1[[#This Row],[Stock total]]/(Tabla1[[#This Row],[Moreno]]+Tabla1[[#This Row],[Ciudadela]]))</f>
        <v/>
      </c>
      <c r="K66" s="12" t="inlineStr">
        <is>
          <t>Pendiente liberacion 22.04</t>
        </is>
      </c>
      <c r="L66" s="16" t="n">
        <v>4600122646</v>
      </c>
      <c r="M66" s="12" t="inlineStr">
        <is>
          <t>Mollon</t>
        </is>
      </c>
    </row>
    <row r="67" hidden="1">
      <c r="A67" s="22" t="inlineStr">
        <is>
          <t>BOLSA CUBIERTOS 25X35</t>
        </is>
      </c>
      <c r="B67" s="11" t="n">
        <v>100</v>
      </c>
      <c r="C67" s="11">
        <f>IF(ISNUMBER(_xlfn.XMATCH(A67,'Calcular necesidad'!E:E,0)),"OK","NO ESTA")</f>
        <v/>
      </c>
      <c r="D67" s="19">
        <f>SUM(
SUMIF('Calcular necesidad'!E:E,'Necesidad por familia'!A67,'Calcular necesidad'!G:G) +
SUMIF('Calcular necesidad'!E:E,'Necesidad por familia'!A67,'Calcular necesidad'!I:I) +
SUMIF('Calcular necesidad'!E:E,'Necesidad por familia'!A67,'Calcular necesidad'!K:K) +
SUMIF('Calcular necesidad'!E:E,'Necesidad por familia'!A67,'Calcular necesidad'!J:J)
)/B67</f>
        <v/>
      </c>
      <c r="E67" s="19">
        <f>SUMIF('Calcular necesidad'!E:E,'Necesidad por familia'!A67,'Calcular necesidad'!$H:$H)/B67</f>
        <v/>
      </c>
      <c r="F67" s="21">
        <f>SUMIFS(Stock!R:R,Stock!B:B,"&lt;&gt;CD CIUDADELA                  ",Stock!P:P,'Necesidad por familia'!A67)/B67</f>
        <v/>
      </c>
      <c r="G67" s="21">
        <f>SUMIFS(Stock!R:R,Stock!B:B,"CD CIUDADELA                  ",Stock!P:P,'Necesidad por familia'!A67)/B67</f>
        <v/>
      </c>
      <c r="H67" s="21">
        <f>Tabla1[[#This Row],[Moreno2]]+Tabla1[[#This Row],[Ciudadela3]]</f>
        <v/>
      </c>
      <c r="I67" s="11">
        <f>IF((D67+E67)=0,"Sin consumo",(F67+G67)-(D67+E67))</f>
        <v/>
      </c>
      <c r="J67" s="58">
        <f>IF(Tabla1[[#This Row],[Diferencia]]="Sin Consumo","100%",Tabla1[[#This Row],[Stock total]]/(Tabla1[[#This Row],[Moreno]]+Tabla1[[#This Row],[Ciudadela]]))</f>
        <v/>
      </c>
      <c r="K67" s="1" t="n"/>
      <c r="L67" s="16" t="n">
        <v>4600122003</v>
      </c>
      <c r="M67" t="inlineStr">
        <is>
          <t>Pack Express</t>
        </is>
      </c>
    </row>
    <row r="68" hidden="1">
      <c r="A68" s="22" t="inlineStr">
        <is>
          <t>MANGAS DESCARTABLES</t>
        </is>
      </c>
      <c r="B68" s="11" t="n">
        <v>100</v>
      </c>
      <c r="C68" s="11">
        <f>IF(ISNUMBER(_xlfn.XMATCH(A68,'Calcular necesidad'!E:E,0)),"OK","NO ESTA")</f>
        <v/>
      </c>
      <c r="D68" s="19">
        <f>SUM(
SUMIF('Calcular necesidad'!E:E,'Necesidad por familia'!A68,'Calcular necesidad'!G:G) +
SUMIF('Calcular necesidad'!E:E,'Necesidad por familia'!A68,'Calcular necesidad'!I:I) +
SUMIF('Calcular necesidad'!E:E,'Necesidad por familia'!A68,'Calcular necesidad'!K:K) +
SUMIF('Calcular necesidad'!E:E,'Necesidad por familia'!A68,'Calcular necesidad'!J:J)
)/B68</f>
        <v/>
      </c>
      <c r="E68" s="19">
        <f>SUMIF('Calcular necesidad'!E:E,'Necesidad por familia'!A68,'Calcular necesidad'!$H:$H)/B68</f>
        <v/>
      </c>
      <c r="F68" s="21">
        <f>SUMIFS(Stock!R:R,Stock!B:B,"&lt;&gt;CD CIUDADELA                  ",Stock!P:P,'Necesidad por familia'!A68)/B68</f>
        <v/>
      </c>
      <c r="G68" s="21">
        <f>SUMIFS(Stock!R:R,Stock!B:B,"CD CIUDADELA                  ",Stock!P:P,'Necesidad por familia'!A68)/B68</f>
        <v/>
      </c>
      <c r="H68" s="21">
        <f>Tabla1[[#This Row],[Moreno2]]+Tabla1[[#This Row],[Ciudadela3]]</f>
        <v/>
      </c>
      <c r="I68" s="11">
        <f>IF((D68+E68)=0,"Sin consumo",(F68+G68)-(D68+E68))</f>
        <v/>
      </c>
      <c r="J68" s="58">
        <f>IF(Tabla1[[#This Row],[Diferencia]]="Sin Consumo","100%",Tabla1[[#This Row],[Stock total]]/(Tabla1[[#This Row],[Moreno]]+Tabla1[[#This Row],[Ciudadela]]))</f>
        <v/>
      </c>
      <c r="L68" s="16" t="n"/>
    </row>
    <row r="69" hidden="1">
      <c r="A69" s="22" t="inlineStr">
        <is>
          <t>FILM PVC 45</t>
        </is>
      </c>
      <c r="B69" s="11" t="n">
        <v>1</v>
      </c>
      <c r="C69" s="11">
        <f>IF(ISNUMBER(_xlfn.XMATCH(A69,'Calcular necesidad'!E:E,0)),"OK","NO ESTA")</f>
        <v/>
      </c>
      <c r="D69" s="19">
        <f>SUM(
SUMIF('Calcular necesidad'!E:E,'Necesidad por familia'!A69,'Calcular necesidad'!G:G) +
SUMIF('Calcular necesidad'!E:E,'Necesidad por familia'!A69,'Calcular necesidad'!I:I) +
SUMIF('Calcular necesidad'!E:E,'Necesidad por familia'!A69,'Calcular necesidad'!K:K) +
SUMIF('Calcular necesidad'!E:E,'Necesidad por familia'!A69,'Calcular necesidad'!J:J)
)/B69</f>
        <v/>
      </c>
      <c r="E69" s="19">
        <f>SUMIF('Calcular necesidad'!E:E,'Necesidad por familia'!A69,'Calcular necesidad'!$H:$H)/B69</f>
        <v/>
      </c>
      <c r="F69" s="21">
        <f>SUMIFS(Stock!R:R,Stock!B:B,"&lt;&gt;CD CIUDADELA                  ",Stock!P:P,'Necesidad por familia'!A69)/B69</f>
        <v/>
      </c>
      <c r="G69" s="21">
        <f>SUMIFS(Stock!R:R,Stock!B:B,"CD CIUDADELA                  ",Stock!P:P,'Necesidad por familia'!A69)/B69</f>
        <v/>
      </c>
      <c r="H69" s="21">
        <f>Tabla1[[#This Row],[Moreno2]]+Tabla1[[#This Row],[Ciudadela3]]</f>
        <v/>
      </c>
      <c r="I69" s="11">
        <f>IF((D69+E69)=0,"Sin consumo",(F69+G69)-(D69+E69))</f>
        <v/>
      </c>
      <c r="J69" s="58">
        <f>IF(Tabla1[[#This Row],[Diferencia]]="Sin Consumo","100%",Tabla1[[#This Row],[Stock total]]/(Tabla1[[#This Row],[Moreno]]+Tabla1[[#This Row],[Ciudadela]]))</f>
        <v/>
      </c>
      <c r="K69" s="1" t="inlineStr">
        <is>
          <t>Transfe reclamada 28.04</t>
        </is>
      </c>
      <c r="L69" s="53" t="n"/>
      <c r="M69" s="16" t="n"/>
    </row>
    <row r="70" hidden="1">
      <c r="A70" s="46" t="inlineStr">
        <is>
          <t>SERVILLETA 33X33 NUTRIRE</t>
        </is>
      </c>
      <c r="B70" s="1" t="n">
        <v>1000</v>
      </c>
      <c r="C70" s="11">
        <f>IF(ISNUMBER(_xlfn.XMATCH(A70,'Calcular necesidad'!E:E,0)),"OK","NO ESTA")</f>
        <v/>
      </c>
      <c r="D70" s="50">
        <f>SUM(
SUMIF('Calcular necesidad'!E:E,'Necesidad por familia'!A70,'Calcular necesidad'!G:G) +
SUMIF('Calcular necesidad'!E:E,'Necesidad por familia'!A70,'Calcular necesidad'!I:I) +
SUMIF('Calcular necesidad'!E:E,'Necesidad por familia'!A70,'Calcular necesidad'!K:K) +
SUMIF('Calcular necesidad'!E:E,'Necesidad por familia'!A70,'Calcular necesidad'!J:J)
)/B70</f>
        <v/>
      </c>
      <c r="E70" s="50">
        <f>SUMIF('Calcular necesidad'!E:E,'Necesidad por familia'!A70,'Calcular necesidad'!$H:$H)/B70</f>
        <v/>
      </c>
      <c r="F70" s="51">
        <f>SUMIFS(Stock!R:R,Stock!B:B,"&lt;&gt;CD CIUDADELA                  ",Stock!P:P,'Necesidad por familia'!A70)/B70</f>
        <v/>
      </c>
      <c r="G70" s="51">
        <f>SUMIFS(Stock!R:R,Stock!B:B,"CD CIUDADELA                  ",Stock!P:P,'Necesidad por familia'!A70)/B70</f>
        <v/>
      </c>
      <c r="H70" s="51">
        <f>Tabla1[[#This Row],[Moreno2]]+Tabla1[[#This Row],[Ciudadela3]]</f>
        <v/>
      </c>
      <c r="I70" s="1">
        <f>IF((D70+E70)=0,"Sin consumo",(F70+G70)-(D70+E70))</f>
        <v/>
      </c>
      <c r="J70" s="58">
        <f>IF(Tabla1[[#This Row],[Diferencia]]="Sin Consumo","100%",Tabla1[[#This Row],[Stock total]]/(Tabla1[[#This Row],[Moreno]]+Tabla1[[#This Row],[Ciudadela]]))</f>
        <v/>
      </c>
      <c r="K70" s="59" t="n"/>
      <c r="L70" s="16" t="n"/>
    </row>
    <row r="71" hidden="1">
      <c r="A71" s="22" t="inlineStr">
        <is>
          <t>CAJA DOBLE BASE 40X30X27 MESA</t>
        </is>
      </c>
      <c r="B71" s="11" t="n">
        <v>1</v>
      </c>
      <c r="C71" s="11">
        <f>IF(ISNUMBER(_xlfn.XMATCH(A71,'Calcular necesidad'!E:E,0)),"OK","NO ESTA")</f>
        <v/>
      </c>
      <c r="D71" s="19">
        <f>SUM(
SUMIF('Calcular necesidad'!E:E,'Necesidad por familia'!A71,'Calcular necesidad'!G:G) +
SUMIF('Calcular necesidad'!E:E,'Necesidad por familia'!A71,'Calcular necesidad'!I:I) +
SUMIF('Calcular necesidad'!E:E,'Necesidad por familia'!A71,'Calcular necesidad'!K:K) +
SUMIF('Calcular necesidad'!E:E,'Necesidad por familia'!A71,'Calcular necesidad'!J:J)
)/B71</f>
        <v/>
      </c>
      <c r="E71" s="19">
        <f>SUMIF('Calcular necesidad'!E:E,'Necesidad por familia'!A71,'Calcular necesidad'!$H:$H)/B71</f>
        <v/>
      </c>
      <c r="F71" s="21">
        <f>SUMIFS(Stock!R:R,Stock!B:B,"&lt;&gt;CD CIUDADELA                  ",Stock!P:P,'Necesidad por familia'!A71)/B71</f>
        <v/>
      </c>
      <c r="G71" s="21">
        <f>SUMIFS(Stock!R:R,Stock!B:B,"CD CIUDADELA                  ",Stock!P:P,'Necesidad por familia'!A71)/B71</f>
        <v/>
      </c>
      <c r="H71" s="21">
        <f>Tabla1[[#This Row],[Moreno2]]+Tabla1[[#This Row],[Ciudadela3]]</f>
        <v/>
      </c>
      <c r="I71" s="11">
        <f>IF((D71+E71)=0,"Sin consumo",(F71+G71)-(D71+E71))</f>
        <v/>
      </c>
      <c r="J71" s="58">
        <f>IF(Tabla1[[#This Row],[Diferencia]]="Sin Consumo","100%",Tabla1[[#This Row],[Stock total]]/(Tabla1[[#This Row],[Moreno]]+Tabla1[[#This Row],[Ciudadela]]))</f>
        <v/>
      </c>
      <c r="L71" s="16" t="n"/>
    </row>
    <row r="72" hidden="1">
      <c r="A72" s="22" t="inlineStr">
        <is>
          <t>SERVILLETA INTERCALADA ELITE</t>
        </is>
      </c>
      <c r="B72" s="11" t="n">
        <v>250</v>
      </c>
      <c r="C72" s="11">
        <f>IF(ISNUMBER(_xlfn.XMATCH(A72,'Calcular necesidad'!E:E,0)),"OK","NO ESTA")</f>
        <v/>
      </c>
      <c r="D72" s="19">
        <f>SUM(
SUMIF('Calcular necesidad'!E:E,'Necesidad por familia'!A72,'Calcular necesidad'!G:G) +
SUMIF('Calcular necesidad'!E:E,'Necesidad por familia'!A72,'Calcular necesidad'!I:I) +
SUMIF('Calcular necesidad'!E:E,'Necesidad por familia'!A72,'Calcular necesidad'!K:K) +
SUMIF('Calcular necesidad'!E:E,'Necesidad por familia'!A72,'Calcular necesidad'!J:J)
)/B72</f>
        <v/>
      </c>
      <c r="E72" s="19">
        <f>SUMIF('Calcular necesidad'!E:E,'Necesidad por familia'!A72,'Calcular necesidad'!$H:$H)/B72</f>
        <v/>
      </c>
      <c r="F72" s="21">
        <f>SUMIFS(Stock!R:R,Stock!B:B,"&lt;&gt;CD CIUDADELA                  ",Stock!P:P,'Necesidad por familia'!A72)/B72</f>
        <v/>
      </c>
      <c r="G72" s="21">
        <f>SUMIFS(Stock!R:R,Stock!B:B,"CD CIUDADELA                  ",Stock!P:P,'Necesidad por familia'!A72)/B72</f>
        <v/>
      </c>
      <c r="H72" s="21">
        <f>Tabla1[[#This Row],[Moreno2]]+Tabla1[[#This Row],[Ciudadela3]]</f>
        <v/>
      </c>
      <c r="I72" s="11">
        <f>IF((D72+E72)=0,"Sin consumo",(F72+G72)-(D72+E72))</f>
        <v/>
      </c>
      <c r="J72" s="58">
        <f>IF(Tabla1[[#This Row],[Diferencia]]="Sin Consumo","100%",Tabla1[[#This Row],[Stock total]]/(Tabla1[[#This Row],[Moreno]]+Tabla1[[#This Row],[Ciudadela]]))</f>
        <v/>
      </c>
      <c r="K72" s="1" t="n"/>
      <c r="L72" s="16" t="n"/>
    </row>
    <row r="73" hidden="1">
      <c r="A73" s="22" t="inlineStr">
        <is>
          <t>AGITADOR MADERA</t>
        </is>
      </c>
      <c r="B73" s="11" t="n">
        <v>500</v>
      </c>
      <c r="C73" s="11">
        <f>IF(ISNUMBER(_xlfn.XMATCH(A73,'Calcular necesidad'!E:E,0)),"OK","NO ESTA")</f>
        <v/>
      </c>
      <c r="D73" s="19">
        <f>SUM(
SUMIF('Calcular necesidad'!E:E,'Necesidad por familia'!A73,'Calcular necesidad'!G:G) +
SUMIF('Calcular necesidad'!E:E,'Necesidad por familia'!A73,'Calcular necesidad'!I:I) +
SUMIF('Calcular necesidad'!E:E,'Necesidad por familia'!A73,'Calcular necesidad'!K:K) +
SUMIF('Calcular necesidad'!E:E,'Necesidad por familia'!A73,'Calcular necesidad'!J:J)
)/B73</f>
        <v/>
      </c>
      <c r="E73" s="19">
        <f>SUMIF('Calcular necesidad'!E:E,'Necesidad por familia'!A73,'Calcular necesidad'!$H:$H)/B73</f>
        <v/>
      </c>
      <c r="F73" s="21">
        <f>SUMIFS(Stock!R:R,Stock!B:B,"&lt;&gt;CD CIUDADELA                  ",Stock!P:P,'Necesidad por familia'!A73)/B73</f>
        <v/>
      </c>
      <c r="G73" s="21">
        <f>SUMIFS(Stock!R:R,Stock!B:B,"CD CIUDADELA                  ",Stock!P:P,'Necesidad por familia'!A73)/B73</f>
        <v/>
      </c>
      <c r="H73" s="21">
        <f>Tabla1[[#This Row],[Moreno2]]+Tabla1[[#This Row],[Ciudadela3]]</f>
        <v/>
      </c>
      <c r="I73" s="11">
        <f>IF((D73+E73)=0,"Sin consumo",(F73+G73)-(D73+E73))</f>
        <v/>
      </c>
      <c r="J73" s="58">
        <f>IF(Tabla1[[#This Row],[Diferencia]]="Sin Consumo","100%",Tabla1[[#This Row],[Stock total]]/(Tabla1[[#This Row],[Moreno]]+Tabla1[[#This Row],[Ciudadela]]))</f>
        <v/>
      </c>
      <c r="K73" s="1" t="inlineStr">
        <is>
          <t>Pendiente turnado 28.04</t>
        </is>
      </c>
      <c r="L73" s="53" t="n">
        <v>4600122807</v>
      </c>
      <c r="M73" t="inlineStr">
        <is>
          <t>Papelera Colon</t>
        </is>
      </c>
    </row>
    <row r="74" hidden="1">
      <c r="A74" s="22" t="inlineStr">
        <is>
          <t>CAMISETA BLANCA 40X50</t>
        </is>
      </c>
      <c r="B74" s="11" t="n">
        <v>50</v>
      </c>
      <c r="C74" s="11">
        <f>IF(ISNUMBER(_xlfn.XMATCH(A74,'Calcular necesidad'!E:E,0)),"OK","NO ESTA")</f>
        <v/>
      </c>
      <c r="D74" s="19">
        <f>SUM(
SUMIF('Calcular necesidad'!E:E,'Necesidad por familia'!A74,'Calcular necesidad'!G:G) +
SUMIF('Calcular necesidad'!E:E,'Necesidad por familia'!A74,'Calcular necesidad'!I:I) +
SUMIF('Calcular necesidad'!E:E,'Necesidad por familia'!A74,'Calcular necesidad'!K:K) +
SUMIF('Calcular necesidad'!E:E,'Necesidad por familia'!A74,'Calcular necesidad'!J:J)
)/B74</f>
        <v/>
      </c>
      <c r="E74" s="19">
        <f>SUMIF('Calcular necesidad'!E:E,'Necesidad por familia'!A74,'Calcular necesidad'!$H:$H)/B74</f>
        <v/>
      </c>
      <c r="F74" s="21">
        <f>SUMIFS(Stock!R:R,Stock!B:B,"&lt;&gt;CD CIUDADELA                  ",Stock!P:P,'Necesidad por familia'!A74)/B74</f>
        <v/>
      </c>
      <c r="G74" s="21">
        <f>SUMIFS(Stock!R:R,Stock!B:B,"CD CIUDADELA                  ",Stock!P:P,'Necesidad por familia'!A74)/B74</f>
        <v/>
      </c>
      <c r="H74" s="21">
        <f>Tabla1[[#This Row],[Moreno2]]+Tabla1[[#This Row],[Ciudadela3]]</f>
        <v/>
      </c>
      <c r="I74" s="11">
        <f>IF((D74+E74)=0,"Sin consumo",(F74+G74)-(D74+E74))</f>
        <v/>
      </c>
      <c r="J74" s="58">
        <f>IF(Tabla1[[#This Row],[Diferencia]]="Sin Consumo","100%",Tabla1[[#This Row],[Stock total]]/(Tabla1[[#This Row],[Moreno]]+Tabla1[[#This Row],[Ciudadela]]))</f>
        <v/>
      </c>
      <c r="K74" s="1" t="n"/>
      <c r="L74" s="16" t="n"/>
      <c r="M74" s="16" t="n"/>
    </row>
    <row r="75">
      <c r="A75" s="46" t="inlineStr">
        <is>
          <t>SERVILLETA BAR</t>
        </is>
      </c>
      <c r="B75" s="1" t="n">
        <v>10000</v>
      </c>
      <c r="C75" s="11">
        <f>IF(ISNUMBER(_xlfn.XMATCH(A75,'Calcular necesidad'!E:E,0)),"OK","NO ESTA")</f>
        <v/>
      </c>
      <c r="D75" s="50">
        <f>SUM(
SUMIF('Calcular necesidad'!E:E,'Necesidad por familia'!A75,'Calcular necesidad'!G:G) +
SUMIF('Calcular necesidad'!E:E,'Necesidad por familia'!A75,'Calcular necesidad'!I:I) +
SUMIF('Calcular necesidad'!E:E,'Necesidad por familia'!A75,'Calcular necesidad'!K:K) +
SUMIF('Calcular necesidad'!E:E,'Necesidad por familia'!A75,'Calcular necesidad'!J:J)
)/B75</f>
        <v/>
      </c>
      <c r="E75" s="50">
        <f>SUMIF('Calcular necesidad'!E:E,'Necesidad por familia'!A75,'Calcular necesidad'!$H:$H)/B75</f>
        <v/>
      </c>
      <c r="F75" s="51">
        <f>SUMIFS(Stock!R:R,Stock!B:B,"&lt;&gt;CD CIUDADELA                  ",Stock!P:P,'Necesidad por familia'!A75)/B75</f>
        <v/>
      </c>
      <c r="G75" s="51">
        <f>SUMIFS(Stock!R:R,Stock!B:B,"CD CIUDADELA                  ",Stock!P:P,'Necesidad por familia'!A75)/B75</f>
        <v/>
      </c>
      <c r="H75" s="51">
        <f>Tabla1[[#This Row],[Moreno2]]+Tabla1[[#This Row],[Ciudadela3]]</f>
        <v/>
      </c>
      <c r="I75" s="1">
        <f>IF((D75+E75)=0,"Sin consumo",(F75+G75)-(D75+E75))</f>
        <v/>
      </c>
      <c r="J75" s="58">
        <f>IF(Tabla1[[#This Row],[Diferencia]]="Sin Consumo","100%",Tabla1[[#This Row],[Stock total]]/(Tabla1[[#This Row],[Moreno]]+Tabla1[[#This Row],[Ciudadela]]))</f>
        <v/>
      </c>
      <c r="K75" s="1" t="inlineStr">
        <is>
          <t>Pendiente turnado 28.04</t>
        </is>
      </c>
      <c r="L75" s="16" t="n">
        <v>4600122807</v>
      </c>
      <c r="M75" t="inlineStr">
        <is>
          <t>Papelera Colon</t>
        </is>
      </c>
    </row>
    <row r="76" hidden="1">
      <c r="A76" s="22" t="inlineStr">
        <is>
          <t>INDIVIDUAL CHEF GOURMET</t>
        </is>
      </c>
      <c r="B76" s="11" t="n">
        <v>1000</v>
      </c>
      <c r="C76" s="11">
        <f>IF(ISNUMBER(_xlfn.XMATCH(A76,'Calcular necesidad'!E:E,0)),"OK","NO ESTA")</f>
        <v/>
      </c>
      <c r="D76" s="19">
        <f>SUM(
SUMIF('Calcular necesidad'!E:E,'Necesidad por familia'!A76,'Calcular necesidad'!G:G) +
SUMIF('Calcular necesidad'!E:E,'Necesidad por familia'!A76,'Calcular necesidad'!I:I) +
SUMIF('Calcular necesidad'!E:E,'Necesidad por familia'!A76,'Calcular necesidad'!K:K) +
SUMIF('Calcular necesidad'!E:E,'Necesidad por familia'!A76,'Calcular necesidad'!J:J)
)/B76</f>
        <v/>
      </c>
      <c r="E76" s="19">
        <f>SUMIF('Calcular necesidad'!E:E,'Necesidad por familia'!A76,'Calcular necesidad'!$H:$H)/B76</f>
        <v/>
      </c>
      <c r="F76" s="21">
        <f>SUMIFS(Stock!R:R,Stock!B:B,"&lt;&gt;CD CIUDADELA                  ",Stock!P:P,'Necesidad por familia'!A76)/B76</f>
        <v/>
      </c>
      <c r="G76" s="21">
        <f>SUMIFS(Stock!R:R,Stock!B:B,"CD CIUDADELA                  ",Stock!P:P,'Necesidad por familia'!A76)/B76</f>
        <v/>
      </c>
      <c r="H76" s="21">
        <f>Tabla1[[#This Row],[Moreno2]]+Tabla1[[#This Row],[Ciudadela3]]</f>
        <v/>
      </c>
      <c r="I76" s="11">
        <f>IF((D76+E76)=0,"Sin consumo",(F76+G76)-(D76+E76))</f>
        <v/>
      </c>
      <c r="J76" s="58">
        <f>IF(Tabla1[[#This Row],[Diferencia]]="Sin Consumo","100%",Tabla1[[#This Row],[Stock total]]/(Tabla1[[#This Row],[Moreno]]+Tabla1[[#This Row],[Ciudadela]]))</f>
        <v/>
      </c>
      <c r="K76" s="60" t="n"/>
      <c r="L76" s="16" t="n"/>
    </row>
    <row r="77" hidden="1">
      <c r="A77" s="22" t="inlineStr">
        <is>
          <t>BANDEJA 102 BIODEGRADABLE</t>
        </is>
      </c>
      <c r="B77" s="11" t="n">
        <v>1400</v>
      </c>
      <c r="C77" s="11">
        <f>IF(ISNUMBER(_xlfn.XMATCH(A77,'Calcular necesidad'!E:E,0)),"OK","NO ESTA")</f>
        <v/>
      </c>
      <c r="D77" s="19">
        <f>SUM(
SUMIF('Calcular necesidad'!E:E,'Necesidad por familia'!A77,'Calcular necesidad'!G:G) +
SUMIF('Calcular necesidad'!E:E,'Necesidad por familia'!A77,'Calcular necesidad'!I:I) +
SUMIF('Calcular necesidad'!E:E,'Necesidad por familia'!A77,'Calcular necesidad'!K:K) +
SUMIF('Calcular necesidad'!E:E,'Necesidad por familia'!A77,'Calcular necesidad'!J:J)
)/B77</f>
        <v/>
      </c>
      <c r="E77" s="19">
        <f>SUMIF('Calcular necesidad'!E:E,'Necesidad por familia'!A77,'Calcular necesidad'!$H:$H)/B77</f>
        <v/>
      </c>
      <c r="F77" s="21">
        <f>SUMIFS(Stock!R:R,Stock!B:B,"&lt;&gt;CD CIUDADELA                  ",Stock!P:P,'Necesidad por familia'!A77)/B77</f>
        <v/>
      </c>
      <c r="G77" s="21">
        <f>SUMIFS(Stock!R:R,Stock!B:B,"CD CIUDADELA                  ",Stock!P:P,'Necesidad por familia'!A77)/B77</f>
        <v/>
      </c>
      <c r="H77" s="21">
        <f>Tabla1[[#This Row],[Moreno2]]+Tabla1[[#This Row],[Ciudadela3]]</f>
        <v/>
      </c>
      <c r="I77" s="11">
        <f>IF((D77+E77)=0,"Sin consumo",(F77+G77)-(D77+E77))</f>
        <v/>
      </c>
      <c r="J77" s="58">
        <f>IF(Tabla1[[#This Row],[Diferencia]]="Sin Consumo","100%",Tabla1[[#This Row],[Stock total]]/(Tabla1[[#This Row],[Moreno]]+Tabla1[[#This Row],[Ciudadela]]))</f>
        <v/>
      </c>
      <c r="K77" s="1" t="inlineStr">
        <is>
          <t>Pendiente liberacion 22.04</t>
        </is>
      </c>
      <c r="L77" s="53" t="n">
        <v>4600122589</v>
      </c>
      <c r="M77" t="inlineStr">
        <is>
          <t>Biopackaging</t>
        </is>
      </c>
    </row>
    <row r="78" hidden="1">
      <c r="A78" s="22" t="inlineStr">
        <is>
          <t>INDIVIDUAL HEALTH</t>
        </is>
      </c>
      <c r="B78" s="11" t="n">
        <v>1000</v>
      </c>
      <c r="C78" s="11">
        <f>IF(ISNUMBER(_xlfn.XMATCH(A78,'Calcular necesidad'!E:E,0)),"OK","NO ESTA")</f>
        <v/>
      </c>
      <c r="D78" s="19">
        <f>SUM(
SUMIF('Calcular necesidad'!E:E,'Necesidad por familia'!A78,'Calcular necesidad'!G:G) +
SUMIF('Calcular necesidad'!E:E,'Necesidad por familia'!A78,'Calcular necesidad'!I:I) +
SUMIF('Calcular necesidad'!E:E,'Necesidad por familia'!A78,'Calcular necesidad'!K:K) +
SUMIF('Calcular necesidad'!E:E,'Necesidad por familia'!A78,'Calcular necesidad'!J:J)
)/B78</f>
        <v/>
      </c>
      <c r="E78" s="19">
        <f>SUMIF('Calcular necesidad'!E:E,'Necesidad por familia'!A78,'Calcular necesidad'!$H:$H)/B78</f>
        <v/>
      </c>
      <c r="F78" s="21">
        <f>SUMIFS(Stock!R:R,Stock!B:B,"&lt;&gt;CD CIUDADELA                  ",Stock!P:P,'Necesidad por familia'!A78)/B78</f>
        <v/>
      </c>
      <c r="G78" s="21">
        <f>SUMIFS(Stock!R:R,Stock!B:B,"CD CIUDADELA                  ",Stock!P:P,'Necesidad por familia'!A78)/B78</f>
        <v/>
      </c>
      <c r="H78" s="21">
        <f>Tabla1[[#This Row],[Moreno2]]+Tabla1[[#This Row],[Ciudadela3]]</f>
        <v/>
      </c>
      <c r="I78" s="11">
        <f>IF((D78+E78)=0,"Sin consumo",(F78+G78)-(D78+E78))</f>
        <v/>
      </c>
      <c r="J78" s="58">
        <f>IF(Tabla1[[#This Row],[Diferencia]]="Sin Consumo","100%",Tabla1[[#This Row],[Stock total]]/(Tabla1[[#This Row],[Moreno]]+Tabla1[[#This Row],[Ciudadela]]))</f>
        <v/>
      </c>
      <c r="K78" s="60" t="n"/>
      <c r="L78" s="53" t="n"/>
      <c r="M78" s="16" t="n"/>
    </row>
    <row r="79" hidden="1">
      <c r="A79" s="22" t="inlineStr">
        <is>
          <t>CUCHILLO COMPOSTABLE</t>
        </is>
      </c>
      <c r="B79" s="11" t="n">
        <v>100</v>
      </c>
      <c r="C79" s="11">
        <f>IF(ISNUMBER(_xlfn.XMATCH(A79,'Calcular necesidad'!E:E,0)),"OK","NO ESTA")</f>
        <v/>
      </c>
      <c r="D79" s="19">
        <f>SUM(
SUMIF('Calcular necesidad'!E:E,'Necesidad por familia'!A79,'Calcular necesidad'!G:G) +
SUMIF('Calcular necesidad'!E:E,'Necesidad por familia'!A79,'Calcular necesidad'!I:I) +
SUMIF('Calcular necesidad'!E:E,'Necesidad por familia'!A79,'Calcular necesidad'!K:K) +
SUMIF('Calcular necesidad'!E:E,'Necesidad por familia'!A79,'Calcular necesidad'!J:J)
)/B79</f>
        <v/>
      </c>
      <c r="E79" s="19">
        <f>SUMIF('Calcular necesidad'!E:E,'Necesidad por familia'!A79,'Calcular necesidad'!$H:$H)/B79</f>
        <v/>
      </c>
      <c r="F79" s="21">
        <f>SUMIFS(Stock!R:R,Stock!B:B,"&lt;&gt;CD CIUDADELA                  ",Stock!P:P,'Necesidad por familia'!A79)/B79</f>
        <v/>
      </c>
      <c r="G79" s="21">
        <f>SUMIFS(Stock!R:R,Stock!B:B,"CD CIUDADELA                  ",Stock!P:P,'Necesidad por familia'!A79)/B79</f>
        <v/>
      </c>
      <c r="H79" s="21">
        <f>Tabla1[[#This Row],[Moreno2]]+Tabla1[[#This Row],[Ciudadela3]]</f>
        <v/>
      </c>
      <c r="I79" s="11">
        <f>IF((D79+E79)=0,"Sin consumo",(F79+G79)-(D79+E79))</f>
        <v/>
      </c>
      <c r="J79" s="58">
        <f>IF(Tabla1[[#This Row],[Diferencia]]="Sin Consumo","100%",Tabla1[[#This Row],[Stock total]]/(Tabla1[[#This Row],[Moreno]]+Tabla1[[#This Row],[Ciudadela]]))</f>
        <v/>
      </c>
      <c r="K79" s="1" t="n"/>
      <c r="L79" s="53" t="n">
        <v>4600121604</v>
      </c>
      <c r="M79" t="inlineStr">
        <is>
          <t>Biopackaging</t>
        </is>
      </c>
    </row>
    <row r="80" hidden="1">
      <c r="A80" s="22" t="inlineStr">
        <is>
          <t>SERVILLETA SIMIL TELA</t>
        </is>
      </c>
      <c r="B80" s="11" t="n">
        <v>2000</v>
      </c>
      <c r="C80" s="11">
        <f>IF(ISNUMBER(_xlfn.XMATCH(A80,'Calcular necesidad'!E:E,0)),"OK","NO ESTA")</f>
        <v/>
      </c>
      <c r="D80" s="19">
        <f>SUM(
SUMIF('Calcular necesidad'!E:E,'Necesidad por familia'!A80,'Calcular necesidad'!G:G) +
SUMIF('Calcular necesidad'!E:E,'Necesidad por familia'!A80,'Calcular necesidad'!I:I) +
SUMIF('Calcular necesidad'!E:E,'Necesidad por familia'!A80,'Calcular necesidad'!K:K) +
SUMIF('Calcular necesidad'!E:E,'Necesidad por familia'!A80,'Calcular necesidad'!J:J)
)/B80</f>
        <v/>
      </c>
      <c r="E80" s="19">
        <f>SUMIF('Calcular necesidad'!E:E,'Necesidad por familia'!A80,'Calcular necesidad'!$H:$H)/B80</f>
        <v/>
      </c>
      <c r="F80" s="21">
        <f>SUMIFS(Stock!R:R,Stock!B:B,"&lt;&gt;CD CIUDADELA                  ",Stock!P:P,'Necesidad por familia'!A80)/B80</f>
        <v/>
      </c>
      <c r="G80" s="21">
        <f>SUMIFS(Stock!R:R,Stock!B:B,"CD CIUDADELA                  ",Stock!P:P,'Necesidad por familia'!A80)/B80</f>
        <v/>
      </c>
      <c r="H80" s="21">
        <f>Tabla1[[#This Row],[Moreno2]]+Tabla1[[#This Row],[Ciudadela3]]</f>
        <v/>
      </c>
      <c r="I80" s="11">
        <f>IF((D80+E80)=0,"Sin consumo",(F80+G80)-(D80+E80))</f>
        <v/>
      </c>
      <c r="J80" s="58">
        <f>IF(Tabla1[[#This Row],[Diferencia]]="Sin Consumo","100%",Tabla1[[#This Row],[Stock total]]/(Tabla1[[#This Row],[Moreno]]+Tabla1[[#This Row],[Ciudadela]]))</f>
        <v/>
      </c>
      <c r="K80" s="1" t="n"/>
      <c r="L80" s="53" t="n">
        <v>4600122264</v>
      </c>
      <c r="M80" t="inlineStr">
        <is>
          <t>DL Clean</t>
        </is>
      </c>
    </row>
    <row r="81" hidden="1">
      <c r="A81" s="22" t="inlineStr">
        <is>
          <t>GUANTE ANTIDESLIZANTE</t>
        </is>
      </c>
      <c r="B81" s="11" t="n">
        <v>2</v>
      </c>
      <c r="C81" s="11">
        <f>IF(ISNUMBER(_xlfn.XMATCH(A81,'Calcular necesidad'!E:E,0)),"OK","NO ESTA")</f>
        <v/>
      </c>
      <c r="D81" s="19">
        <f>SUM(
SUMIF('Calcular necesidad'!E:E,'Necesidad por familia'!A81,'Calcular necesidad'!G:G) +
SUMIF('Calcular necesidad'!E:E,'Necesidad por familia'!A81,'Calcular necesidad'!I:I) +
SUMIF('Calcular necesidad'!E:E,'Necesidad por familia'!A81,'Calcular necesidad'!K:K) +
SUMIF('Calcular necesidad'!E:E,'Necesidad por familia'!A81,'Calcular necesidad'!J:J)
)/B81</f>
        <v/>
      </c>
      <c r="E81" s="19">
        <f>SUMIF('Calcular necesidad'!E:E,'Necesidad por familia'!A81,'Calcular necesidad'!$H:$H)/B81</f>
        <v/>
      </c>
      <c r="F81" s="21">
        <f>SUMIFS(Stock!R:R,Stock!B:B,"&lt;&gt;CD CIUDADELA                  ",Stock!P:P,'Necesidad por familia'!A81)/B81</f>
        <v/>
      </c>
      <c r="G81" s="21">
        <f>SUMIFS(Stock!R:R,Stock!B:B,"CD CIUDADELA                  ",Stock!P:P,'Necesidad por familia'!A81)/B81</f>
        <v/>
      </c>
      <c r="H81" s="21">
        <f>Tabla1[[#This Row],[Moreno2]]+Tabla1[[#This Row],[Ciudadela3]]</f>
        <v/>
      </c>
      <c r="I81" s="11">
        <f>IF((D81+E81)=0,"Sin consumo",(F81+G81)-(D81+E81))</f>
        <v/>
      </c>
      <c r="J81" s="58">
        <f>IF(Tabla1[[#This Row],[Diferencia]]="Sin Consumo","100%",Tabla1[[#This Row],[Stock total]]/(Tabla1[[#This Row],[Moreno]]+Tabla1[[#This Row],[Ciudadela]]))</f>
        <v/>
      </c>
      <c r="K81" s="1" t="n"/>
      <c r="L81" s="52" t="n"/>
    </row>
    <row r="82" hidden="1">
      <c r="A82" s="22" t="inlineStr">
        <is>
          <t>INDIVIDUAL KRAFT</t>
        </is>
      </c>
      <c r="B82" s="11" t="n">
        <v>200</v>
      </c>
      <c r="C82" s="11">
        <f>IF(ISNUMBER(_xlfn.XMATCH(A82,'Calcular necesidad'!E:E,0)),"OK","NO ESTA")</f>
        <v/>
      </c>
      <c r="D82" s="19">
        <f>SUM(
SUMIF('Calcular necesidad'!E:E,'Necesidad por familia'!A82,'Calcular necesidad'!G:G) +
SUMIF('Calcular necesidad'!E:E,'Necesidad por familia'!A82,'Calcular necesidad'!I:I) +
SUMIF('Calcular necesidad'!E:E,'Necesidad por familia'!A82,'Calcular necesidad'!K:K) +
SUMIF('Calcular necesidad'!E:E,'Necesidad por familia'!A82,'Calcular necesidad'!J:J)
)/B82</f>
        <v/>
      </c>
      <c r="E82" s="19">
        <f>SUMIF('Calcular necesidad'!E:E,'Necesidad por familia'!A82,'Calcular necesidad'!$H:$H)/B82</f>
        <v/>
      </c>
      <c r="F82" s="21">
        <f>SUMIFS(Stock!R:R,Stock!B:B,"&lt;&gt;CD CIUDADELA                  ",Stock!P:P,'Necesidad por familia'!A82)/B82</f>
        <v/>
      </c>
      <c r="G82" s="21">
        <f>SUMIFS(Stock!R:R,Stock!B:B,"CD CIUDADELA                  ",Stock!P:P,'Necesidad por familia'!A82)/B82</f>
        <v/>
      </c>
      <c r="H82" s="21">
        <f>Tabla1[[#This Row],[Moreno2]]+Tabla1[[#This Row],[Ciudadela3]]</f>
        <v/>
      </c>
      <c r="I82" s="11">
        <f>IF((D82+E82)=0,"Sin consumo",(F82+G82)-(D82+E82))</f>
        <v/>
      </c>
      <c r="J82" s="58">
        <f>IF(Tabla1[[#This Row],[Diferencia]]="Sin Consumo","100%",Tabla1[[#This Row],[Stock total]]/(Tabla1[[#This Row],[Moreno]]+Tabla1[[#This Row],[Ciudadela]]))</f>
        <v/>
      </c>
      <c r="K82" s="1" t="n"/>
      <c r="L82" s="53" t="n"/>
    </row>
    <row r="83" hidden="1">
      <c r="A83" s="22" t="inlineStr">
        <is>
          <t>CUCHARA HELADO BIO</t>
        </is>
      </c>
      <c r="B83" s="11" t="n">
        <v>100</v>
      </c>
      <c r="C83" s="11">
        <f>IF(ISNUMBER(_xlfn.XMATCH(A83,'Calcular necesidad'!E:E,0)),"OK","NO ESTA")</f>
        <v/>
      </c>
      <c r="D83" s="19">
        <f>SUM(
SUMIF('Calcular necesidad'!E:E,'Necesidad por familia'!A83,'Calcular necesidad'!G:G) +
SUMIF('Calcular necesidad'!E:E,'Necesidad por familia'!A83,'Calcular necesidad'!I:I) +
SUMIF('Calcular necesidad'!E:E,'Necesidad por familia'!A83,'Calcular necesidad'!K:K) +
SUMIF('Calcular necesidad'!E:E,'Necesidad por familia'!A83,'Calcular necesidad'!J:J)
)/B83</f>
        <v/>
      </c>
      <c r="E83" s="19">
        <f>SUMIF('Calcular necesidad'!E:E,'Necesidad por familia'!A83,'Calcular necesidad'!$H:$H)/B83</f>
        <v/>
      </c>
      <c r="F83" s="21">
        <f>SUMIFS(Stock!R:R,Stock!B:B,"&lt;&gt;CD CIUDADELA                  ",Stock!P:P,'Necesidad por familia'!A83)/B83</f>
        <v/>
      </c>
      <c r="G83" s="21">
        <f>SUMIFS(Stock!R:R,Stock!B:B,"CD CIUDADELA                  ",Stock!P:P,'Necesidad por familia'!A83)/B83</f>
        <v/>
      </c>
      <c r="H83" s="21">
        <f>Tabla1[[#This Row],[Moreno2]]+Tabla1[[#This Row],[Ciudadela3]]</f>
        <v/>
      </c>
      <c r="I83" s="11">
        <f>IF((D83+E83)=0,"Sin consumo",(F83+G83)-(D83+E83))</f>
        <v/>
      </c>
      <c r="J83" s="58">
        <f>IF(Tabla1[[#This Row],[Diferencia]]="Sin Consumo","100%",Tabla1[[#This Row],[Stock total]]/(Tabla1[[#This Row],[Moreno]]+Tabla1[[#This Row],[Ciudadela]]))</f>
        <v/>
      </c>
      <c r="K83" s="1" t="n"/>
      <c r="L83" s="53" t="n">
        <v>4600121604</v>
      </c>
      <c r="M83" t="inlineStr">
        <is>
          <t>Biopackaging</t>
        </is>
      </c>
    </row>
    <row r="84" hidden="1">
      <c r="A84" s="22" t="inlineStr">
        <is>
          <t>VASO TERMICO 240</t>
        </is>
      </c>
      <c r="B84" s="11" t="n">
        <v>1000</v>
      </c>
      <c r="C84" s="11">
        <f>IF(ISNUMBER(_xlfn.XMATCH(A84,'Calcular necesidad'!E:E,0)),"OK","NO ESTA")</f>
        <v/>
      </c>
      <c r="D84" s="19">
        <f>SUM(
SUMIF('Calcular necesidad'!E:E,'Necesidad por familia'!A84,'Calcular necesidad'!G:G) +
SUMIF('Calcular necesidad'!E:E,'Necesidad por familia'!A84,'Calcular necesidad'!I:I) +
SUMIF('Calcular necesidad'!E:E,'Necesidad por familia'!A84,'Calcular necesidad'!K:K) +
SUMIF('Calcular necesidad'!E:E,'Necesidad por familia'!A84,'Calcular necesidad'!J:J)
)/B84</f>
        <v/>
      </c>
      <c r="E84" s="19">
        <f>SUMIF('Calcular necesidad'!E:E,'Necesidad por familia'!A84,'Calcular necesidad'!$H:$H)/B84</f>
        <v/>
      </c>
      <c r="F84" s="21">
        <f>SUMIFS(Stock!R:R,Stock!B:B,"&lt;&gt;CD CIUDADELA                  ",Stock!P:P,'Necesidad por familia'!A84)/B84</f>
        <v/>
      </c>
      <c r="G84" s="21">
        <f>SUMIFS(Stock!R:R,Stock!B:B,"CD CIUDADELA                  ",Stock!P:P,'Necesidad por familia'!A84)/B84</f>
        <v/>
      </c>
      <c r="H84" s="21">
        <f>Tabla1[[#This Row],[Moreno2]]+Tabla1[[#This Row],[Ciudadela3]]</f>
        <v/>
      </c>
      <c r="I84" s="11">
        <f>IF((D84+E84)=0,"Sin consumo",(F84+G84)-(D84+E84))</f>
        <v/>
      </c>
      <c r="J84" s="58">
        <f>IF(Tabla1[[#This Row],[Diferencia]]="Sin Consumo","100%",Tabla1[[#This Row],[Stock total]]/(Tabla1[[#This Row],[Moreno]]+Tabla1[[#This Row],[Ciudadela]]))</f>
        <v/>
      </c>
      <c r="K84" s="1" t="n"/>
      <c r="L84" s="16" t="n"/>
    </row>
    <row r="85" hidden="1">
      <c r="A85" s="22" t="inlineStr">
        <is>
          <t>FILM COLOR AZUL</t>
        </is>
      </c>
      <c r="B85" s="11" t="n">
        <v>1</v>
      </c>
      <c r="C85" s="11">
        <f>IF(ISNUMBER(_xlfn.XMATCH(A85,'Calcular necesidad'!E:E,0)),"OK","NO ESTA")</f>
        <v/>
      </c>
      <c r="D85" s="19">
        <f>SUM(
SUMIF('Calcular necesidad'!E:E,'Necesidad por familia'!A85,'Calcular necesidad'!G:G) +
SUMIF('Calcular necesidad'!E:E,'Necesidad por familia'!A85,'Calcular necesidad'!I:I) +
SUMIF('Calcular necesidad'!E:E,'Necesidad por familia'!A85,'Calcular necesidad'!K:K) +
SUMIF('Calcular necesidad'!E:E,'Necesidad por familia'!A85,'Calcular necesidad'!J:J)
)/B85</f>
        <v/>
      </c>
      <c r="E85" s="19">
        <f>SUMIF('Calcular necesidad'!E:E,'Necesidad por familia'!A85,'Calcular necesidad'!$H:$H)/B85</f>
        <v/>
      </c>
      <c r="F85" s="21">
        <f>SUMIFS(Stock!R:R,Stock!B:B,"&lt;&gt;CD CIUDADELA                  ",Stock!P:P,'Necesidad por familia'!A85)/B85</f>
        <v/>
      </c>
      <c r="G85" s="21">
        <f>SUMIFS(Stock!R:R,Stock!B:B,"CD CIUDADELA                  ",Stock!P:P,'Necesidad por familia'!A85)/B85</f>
        <v/>
      </c>
      <c r="H85" s="21">
        <f>Tabla1[[#This Row],[Moreno2]]+Tabla1[[#This Row],[Ciudadela3]]</f>
        <v/>
      </c>
      <c r="I85" s="11">
        <f>IF((D85+E85)=0,"Sin consumo",(F85+G85)-(D85+E85))</f>
        <v/>
      </c>
      <c r="J85" s="58">
        <f>IF(Tabla1[[#This Row],[Diferencia]]="Sin Consumo","100%",Tabla1[[#This Row],[Stock total]]/(Tabla1[[#This Row],[Moreno]]+Tabla1[[#This Row],[Ciudadela]]))</f>
        <v/>
      </c>
      <c r="K85" s="1" t="n"/>
      <c r="L85" s="16" t="n"/>
    </row>
    <row r="86" hidden="1">
      <c r="A86" s="22" t="inlineStr">
        <is>
          <t>BOLSA MICROPERFORADA 60X90</t>
        </is>
      </c>
      <c r="B86" s="11" t="n">
        <v>1</v>
      </c>
      <c r="C86" s="11">
        <f>IF(ISNUMBER(_xlfn.XMATCH(A86,'Calcular necesidad'!E:E,0)),"OK","NO ESTA")</f>
        <v/>
      </c>
      <c r="D86" s="19">
        <f>SUM(
SUMIF('Calcular necesidad'!E:E,'Necesidad por familia'!A86,'Calcular necesidad'!G:G) +
SUMIF('Calcular necesidad'!E:E,'Necesidad por familia'!A86,'Calcular necesidad'!I:I) +
SUMIF('Calcular necesidad'!E:E,'Necesidad por familia'!A86,'Calcular necesidad'!K:K) +
SUMIF('Calcular necesidad'!E:E,'Necesidad por familia'!A86,'Calcular necesidad'!J:J)
)/B86</f>
        <v/>
      </c>
      <c r="E86" s="19">
        <f>SUMIF('Calcular necesidad'!E:E,'Necesidad por familia'!A86,'Calcular necesidad'!$H:$H)/B86</f>
        <v/>
      </c>
      <c r="F86" s="21">
        <f>SUMIFS(Stock!R:R,Stock!B:B,"&lt;&gt;CD CIUDADELA                  ",Stock!P:P,'Necesidad por familia'!A86)/B86</f>
        <v/>
      </c>
      <c r="G86" s="21">
        <f>SUMIFS(Stock!R:R,Stock!B:B,"CD CIUDADELA                  ",Stock!P:P,'Necesidad por familia'!A86)/B86</f>
        <v/>
      </c>
      <c r="H86" s="21">
        <f>Tabla1[[#This Row],[Moreno2]]+Tabla1[[#This Row],[Ciudadela3]]</f>
        <v/>
      </c>
      <c r="I86" s="11">
        <f>IF((D86+E86)=0,"Sin consumo",(F86+G86)-(D86+E86))</f>
        <v/>
      </c>
      <c r="J86" s="58">
        <f>IF(Tabla1[[#This Row],[Diferencia]]="Sin Consumo","100%",Tabla1[[#This Row],[Stock total]]/(Tabla1[[#This Row],[Moreno]]+Tabla1[[#This Row],[Ciudadela]]))</f>
        <v/>
      </c>
      <c r="L86" s="16" t="n"/>
    </row>
    <row r="87" hidden="1">
      <c r="A87" s="22" t="inlineStr">
        <is>
          <t>DEGUSTADOR</t>
        </is>
      </c>
      <c r="B87" s="11" t="n">
        <v>2000</v>
      </c>
      <c r="C87" s="11">
        <f>IF(ISNUMBER(_xlfn.XMATCH(A87,'Calcular necesidad'!E:E,0)),"OK","NO ESTA")</f>
        <v/>
      </c>
      <c r="D87" s="19">
        <f>SUM(
SUMIF('Calcular necesidad'!E:E,'Necesidad por familia'!A87,'Calcular necesidad'!G:G) +
SUMIF('Calcular necesidad'!E:E,'Necesidad por familia'!A87,'Calcular necesidad'!I:I) +
SUMIF('Calcular necesidad'!E:E,'Necesidad por familia'!A87,'Calcular necesidad'!K:K) +
SUMIF('Calcular necesidad'!E:E,'Necesidad por familia'!A87,'Calcular necesidad'!J:J)
)/B87</f>
        <v/>
      </c>
      <c r="E87" s="19">
        <f>SUMIF('Calcular necesidad'!E:E,'Necesidad por familia'!A87,'Calcular necesidad'!$H:$H)/B87</f>
        <v/>
      </c>
      <c r="F87" s="21">
        <f>SUMIFS(Stock!R:R,Stock!B:B,"&lt;&gt;CD CIUDADELA                  ",Stock!P:P,'Necesidad por familia'!A87)/B87</f>
        <v/>
      </c>
      <c r="G87" s="21">
        <f>SUMIFS(Stock!R:R,Stock!B:B,"CD CIUDADELA                  ",Stock!P:P,'Necesidad por familia'!A87)/B87</f>
        <v/>
      </c>
      <c r="H87" s="21">
        <f>Tabla1[[#This Row],[Moreno2]]+Tabla1[[#This Row],[Ciudadela3]]</f>
        <v/>
      </c>
      <c r="I87" s="11">
        <f>IF((D87+E87)=0,"Sin consumo",(F87+G87)-(D87+E87))</f>
        <v/>
      </c>
      <c r="J87" s="58">
        <f>IF(Tabla1[[#This Row],[Diferencia]]="Sin Consumo","100%",Tabla1[[#This Row],[Stock total]]/(Tabla1[[#This Row],[Moreno]]+Tabla1[[#This Row],[Ciudadela]]))</f>
        <v/>
      </c>
      <c r="K87" s="1" t="n"/>
      <c r="L87" s="16" t="n"/>
    </row>
    <row r="88" hidden="1">
      <c r="A88" s="22" t="inlineStr">
        <is>
          <t>CAJA HERRERA</t>
        </is>
      </c>
      <c r="B88" s="11" t="n">
        <v>1</v>
      </c>
      <c r="C88" s="11">
        <f>IF(ISNUMBER(_xlfn.XMATCH(A88,'Calcular necesidad'!E:E,0)),"OK","NO ESTA")</f>
        <v/>
      </c>
      <c r="D88" s="19">
        <f>SUM(
SUMIF('Calcular necesidad'!E:E,'Necesidad por familia'!A88,'Calcular necesidad'!G:G) +
SUMIF('Calcular necesidad'!E:E,'Necesidad por familia'!A88,'Calcular necesidad'!I:I) +
SUMIF('Calcular necesidad'!E:E,'Necesidad por familia'!A88,'Calcular necesidad'!K:K) +
SUMIF('Calcular necesidad'!E:E,'Necesidad por familia'!A88,'Calcular necesidad'!J:J)
)/B88</f>
        <v/>
      </c>
      <c r="E88" s="19">
        <f>SUMIF('Calcular necesidad'!E:E,'Necesidad por familia'!A88,'Calcular necesidad'!$H:$H)/B88</f>
        <v/>
      </c>
      <c r="F88" s="21">
        <f>SUMIFS(Stock!R:R,Stock!B:B,"&lt;&gt;CD CIUDADELA                  ",Stock!P:P,'Necesidad por familia'!A88)/B88</f>
        <v/>
      </c>
      <c r="G88" s="21">
        <f>SUMIFS(Stock!R:R,Stock!B:B,"CD CIUDADELA                  ",Stock!P:P,'Necesidad por familia'!A88)/B88</f>
        <v/>
      </c>
      <c r="H88" s="21">
        <f>Tabla1[[#This Row],[Moreno2]]+Tabla1[[#This Row],[Ciudadela3]]</f>
        <v/>
      </c>
      <c r="I88" s="11">
        <f>IF((D88+E88)=0,"Sin consumo",(F88+G88)-(D88+E88))</f>
        <v/>
      </c>
      <c r="J88" s="58">
        <f>IF(Tabla1[[#This Row],[Diferencia]]="Sin Consumo","100%",Tabla1[[#This Row],[Stock total]]/(Tabla1[[#This Row],[Moreno]]+Tabla1[[#This Row],[Ciudadela]]))</f>
        <v/>
      </c>
      <c r="L88" s="16" t="n"/>
    </row>
    <row r="89" hidden="1">
      <c r="A89" s="22" t="inlineStr">
        <is>
          <t>CAJA MESA LANUS 1</t>
        </is>
      </c>
      <c r="B89" s="11" t="n">
        <v>1</v>
      </c>
      <c r="C89" s="11">
        <f>IF(ISNUMBER(_xlfn.XMATCH(A89,'Calcular necesidad'!E:E,0)),"OK","NO ESTA")</f>
        <v/>
      </c>
      <c r="D89" s="19">
        <f>SUM(
SUMIF('Calcular necesidad'!E:E,'Necesidad por familia'!A89,'Calcular necesidad'!G:G) +
SUMIF('Calcular necesidad'!E:E,'Necesidad por familia'!A89,'Calcular necesidad'!I:I) +
SUMIF('Calcular necesidad'!E:E,'Necesidad por familia'!A89,'Calcular necesidad'!K:K) +
SUMIF('Calcular necesidad'!E:E,'Necesidad por familia'!A89,'Calcular necesidad'!J:J)
)/B89</f>
        <v/>
      </c>
      <c r="E89" s="19">
        <f>SUMIF('Calcular necesidad'!E:E,'Necesidad por familia'!A89,'Calcular necesidad'!$H:$H)/B89</f>
        <v/>
      </c>
      <c r="F89" s="21">
        <f>SUMIFS(Stock!R:R,Stock!B:B,"&lt;&gt;CD CIUDADELA                  ",Stock!P:P,'Necesidad por familia'!A89)/B89</f>
        <v/>
      </c>
      <c r="G89" s="21">
        <f>SUMIFS(Stock!R:R,Stock!B:B,"CD CIUDADELA                  ",Stock!P:P,'Necesidad por familia'!A89)/B89</f>
        <v/>
      </c>
      <c r="H89" s="21">
        <f>Tabla1[[#This Row],[Moreno2]]+Tabla1[[#This Row],[Ciudadela3]]</f>
        <v/>
      </c>
      <c r="I89" s="11">
        <f>IF((D89+E89)=0,"Sin consumo",(F89+G89)-(D89+E89))</f>
        <v/>
      </c>
      <c r="J89" s="58">
        <f>IF(Tabla1[[#This Row],[Diferencia]]="Sin Consumo","100%",Tabla1[[#This Row],[Stock total]]/(Tabla1[[#This Row],[Moreno]]+Tabla1[[#This Row],[Ciudadela]]))</f>
        <v/>
      </c>
      <c r="L89" s="16" t="n"/>
    </row>
    <row r="90" hidden="1">
      <c r="A90" s="22" t="inlineStr">
        <is>
          <t>CAJA MESA LANUS 2</t>
        </is>
      </c>
      <c r="B90" s="11" t="n">
        <v>1</v>
      </c>
      <c r="C90" s="11">
        <f>IF(ISNUMBER(_xlfn.XMATCH(A90,'Calcular necesidad'!E:E,0)),"OK","NO ESTA")</f>
        <v/>
      </c>
      <c r="D90" s="19">
        <f>SUM(
SUMIF('Calcular necesidad'!E:E,'Necesidad por familia'!A90,'Calcular necesidad'!G:G) +
SUMIF('Calcular necesidad'!E:E,'Necesidad por familia'!A90,'Calcular necesidad'!I:I) +
SUMIF('Calcular necesidad'!E:E,'Necesidad por familia'!A90,'Calcular necesidad'!K:K) +
SUMIF('Calcular necesidad'!E:E,'Necesidad por familia'!A90,'Calcular necesidad'!J:J)
)/B90</f>
        <v/>
      </c>
      <c r="E90" s="19">
        <f>SUMIF('Calcular necesidad'!E:E,'Necesidad por familia'!A90,'Calcular necesidad'!$H:$H)/B90</f>
        <v/>
      </c>
      <c r="F90" s="21">
        <f>SUMIFS(Stock!R:R,Stock!B:B,"&lt;&gt;CD CIUDADELA                  ",Stock!P:P,'Necesidad por familia'!A90)/B90</f>
        <v/>
      </c>
      <c r="G90" s="21">
        <f>SUMIFS(Stock!R:R,Stock!B:B,"CD CIUDADELA                  ",Stock!P:P,'Necesidad por familia'!A90)/B90</f>
        <v/>
      </c>
      <c r="H90" s="21">
        <f>Tabla1[[#This Row],[Moreno2]]+Tabla1[[#This Row],[Ciudadela3]]</f>
        <v/>
      </c>
      <c r="I90" s="11">
        <f>IF((D90+E90)=0,"Sin consumo",(F90+G90)-(D90+E90))</f>
        <v/>
      </c>
      <c r="J90" s="58">
        <f>IF(Tabla1[[#This Row],[Diferencia]]="Sin Consumo","100%",Tabla1[[#This Row],[Stock total]]/(Tabla1[[#This Row],[Moreno]]+Tabla1[[#This Row],[Ciudadela]]))</f>
        <v/>
      </c>
      <c r="L90" s="16" t="n"/>
    </row>
    <row r="91" hidden="1">
      <c r="A91" s="22" t="inlineStr">
        <is>
          <t>FILM STRECH</t>
        </is>
      </c>
      <c r="B91" s="11" t="n">
        <v>1</v>
      </c>
      <c r="C91" s="11">
        <f>IF(ISNUMBER(_xlfn.XMATCH(A91,'Calcular necesidad'!E:E,0)),"OK","NO ESTA")</f>
        <v/>
      </c>
      <c r="D91" s="19">
        <f>SUM(
SUMIF('Calcular necesidad'!E:E,'Necesidad por familia'!A91,'Calcular necesidad'!G:G) +
SUMIF('Calcular necesidad'!E:E,'Necesidad por familia'!A91,'Calcular necesidad'!I:I) +
SUMIF('Calcular necesidad'!E:E,'Necesidad por familia'!A91,'Calcular necesidad'!K:K) +
SUMIF('Calcular necesidad'!E:E,'Necesidad por familia'!A91,'Calcular necesidad'!J:J)
)/B91</f>
        <v/>
      </c>
      <c r="E91" s="19">
        <f>SUMIF('Calcular necesidad'!E:E,'Necesidad por familia'!A91,'Calcular necesidad'!$H:$H)/B91</f>
        <v/>
      </c>
      <c r="F91" s="21">
        <f>SUMIFS(Stock!R:R,Stock!B:B,"&lt;&gt;CD CIUDADELA                  ",Stock!P:P,'Necesidad por familia'!A91)/B91</f>
        <v/>
      </c>
      <c r="G91" s="21">
        <f>SUMIFS(Stock!R:R,Stock!B:B,"CD CIUDADELA                  ",Stock!P:P,'Necesidad por familia'!A91)/B91</f>
        <v/>
      </c>
      <c r="H91" s="21">
        <f>Tabla1[[#This Row],[Moreno2]]+Tabla1[[#This Row],[Ciudadela3]]</f>
        <v/>
      </c>
      <c r="I91" s="11">
        <f>IF((D91+E91)=0,"Sin consumo",(F91+G91)-(D91+E91))</f>
        <v/>
      </c>
      <c r="J91" s="58">
        <f>IF(Tabla1[[#This Row],[Diferencia]]="Sin Consumo","100%",Tabla1[[#This Row],[Stock total]]/(Tabla1[[#This Row],[Moreno]]+Tabla1[[#This Row],[Ciudadela]]))</f>
        <v/>
      </c>
      <c r="K91" s="59" t="n"/>
      <c r="L91" s="16" t="n"/>
    </row>
    <row r="92" hidden="1">
      <c r="A92" s="22" t="inlineStr">
        <is>
          <t>INDIVIDUAL SLL</t>
        </is>
      </c>
      <c r="B92" s="11" t="n">
        <v>1000</v>
      </c>
      <c r="C92" s="11">
        <f>IF(ISNUMBER(_xlfn.XMATCH(A92,'Calcular necesidad'!E:E,0)),"OK","NO ESTA")</f>
        <v/>
      </c>
      <c r="D92" s="19">
        <f>SUM(
SUMIF('Calcular necesidad'!E:E,'Necesidad por familia'!A92,'Calcular necesidad'!G:G) +
SUMIF('Calcular necesidad'!E:E,'Necesidad por familia'!A92,'Calcular necesidad'!I:I) +
SUMIF('Calcular necesidad'!E:E,'Necesidad por familia'!A92,'Calcular necesidad'!K:K) +
SUMIF('Calcular necesidad'!E:E,'Necesidad por familia'!A92,'Calcular necesidad'!J:J)
)/B92</f>
        <v/>
      </c>
      <c r="E92" s="19">
        <f>SUMIF('Calcular necesidad'!E:E,'Necesidad por familia'!A92,'Calcular necesidad'!$H:$H)/B92</f>
        <v/>
      </c>
      <c r="F92" s="21">
        <f>SUMIFS(Stock!R:R,Stock!B:B,"&lt;&gt;CD CIUDADELA                  ",Stock!P:P,'Necesidad por familia'!A92)/B92</f>
        <v/>
      </c>
      <c r="G92" s="21">
        <f>SUMIFS(Stock!R:R,Stock!B:B,"CD CIUDADELA                  ",Stock!P:P,'Necesidad por familia'!A92)/B92</f>
        <v/>
      </c>
      <c r="H92" s="21">
        <f>Tabla1[[#This Row],[Moreno2]]+Tabla1[[#This Row],[Ciudadela3]]</f>
        <v/>
      </c>
      <c r="I92" s="11">
        <f>IF((D92+E92)=0,"Sin consumo",(F92+G92)-(D92+E92))</f>
        <v/>
      </c>
      <c r="J92" s="58">
        <f>IF(Tabla1[[#This Row],[Diferencia]]="Sin Consumo","100%",Tabla1[[#This Row],[Stock total]]/(Tabla1[[#This Row],[Moreno]]+Tabla1[[#This Row],[Ciudadela]]))</f>
        <v/>
      </c>
      <c r="K92" s="1" t="n"/>
      <c r="L92" s="16" t="n"/>
    </row>
    <row r="93" hidden="1">
      <c r="A93" s="22" t="inlineStr">
        <is>
          <t>BANDEJA P/ SANDWICH</t>
        </is>
      </c>
      <c r="B93" s="11" t="n">
        <v>75</v>
      </c>
      <c r="C93" s="11">
        <f>IF(ISNUMBER(_xlfn.XMATCH(A93,'Calcular necesidad'!E:E,0)),"OK","NO ESTA")</f>
        <v/>
      </c>
      <c r="D93" s="19">
        <f>SUM(
SUMIF('Calcular necesidad'!E:E,'Necesidad por familia'!A93,'Calcular necesidad'!G:G) +
SUMIF('Calcular necesidad'!E:E,'Necesidad por familia'!A93,'Calcular necesidad'!I:I) +
SUMIF('Calcular necesidad'!E:E,'Necesidad por familia'!A93,'Calcular necesidad'!K:K) +
SUMIF('Calcular necesidad'!E:E,'Necesidad por familia'!A93,'Calcular necesidad'!J:J)
)/B93</f>
        <v/>
      </c>
      <c r="E93" s="19">
        <f>SUMIF('Calcular necesidad'!E:E,'Necesidad por familia'!A93,'Calcular necesidad'!$H:$H)/B93</f>
        <v/>
      </c>
      <c r="F93" s="21">
        <f>SUMIFS(Stock!R:R,Stock!B:B,"&lt;&gt;CD CIUDADELA                  ",Stock!P:P,'Necesidad por familia'!A93)/B93</f>
        <v/>
      </c>
      <c r="G93" s="21">
        <f>SUMIFS(Stock!R:R,Stock!B:B,"CD CIUDADELA                  ",Stock!P:P,'Necesidad por familia'!A93)/B93</f>
        <v/>
      </c>
      <c r="H93" s="21">
        <f>Tabla1[[#This Row],[Moreno2]]+Tabla1[[#This Row],[Ciudadela3]]</f>
        <v/>
      </c>
      <c r="I93" s="11">
        <f>IF((D93+E93)=0,"Sin consumo",(F93+G93)-(D93+E93))</f>
        <v/>
      </c>
      <c r="J93" s="58">
        <f>IF(Tabla1[[#This Row],[Diferencia]]="Sin Consumo","100%",Tabla1[[#This Row],[Stock total]]/(Tabla1[[#This Row],[Moreno]]+Tabla1[[#This Row],[Ciudadela]]))</f>
        <v/>
      </c>
      <c r="K93" s="1" t="n"/>
      <c r="L93" s="16" t="n"/>
    </row>
    <row r="94" hidden="1">
      <c r="A94" s="22" t="inlineStr">
        <is>
          <t>VASO 12 OZ</t>
        </is>
      </c>
      <c r="B94" s="11" t="n">
        <v>100</v>
      </c>
      <c r="C94" s="11">
        <f>IF(ISNUMBER(_xlfn.XMATCH(A94,'Calcular necesidad'!E:E,0)),"OK","NO ESTA")</f>
        <v/>
      </c>
      <c r="D94" s="19">
        <f>SUM(
SUMIF('Calcular necesidad'!E:E,'Necesidad por familia'!A94,'Calcular necesidad'!G:G) +
SUMIF('Calcular necesidad'!E:E,'Necesidad por familia'!A94,'Calcular necesidad'!I:I) +
SUMIF('Calcular necesidad'!E:E,'Necesidad por familia'!A94,'Calcular necesidad'!K:K) +
SUMIF('Calcular necesidad'!E:E,'Necesidad por familia'!A94,'Calcular necesidad'!J:J)
)/B94</f>
        <v/>
      </c>
      <c r="E94" s="19">
        <f>SUMIF('Calcular necesidad'!E:E,'Necesidad por familia'!A94,'Calcular necesidad'!$H:$H)/B94</f>
        <v/>
      </c>
      <c r="F94" s="21">
        <f>SUMIFS(Stock!R:R,Stock!B:B,"&lt;&gt;CD CIUDADELA                  ",Stock!P:P,'Necesidad por familia'!A94)/B94</f>
        <v/>
      </c>
      <c r="G94" s="21">
        <f>SUMIFS(Stock!R:R,Stock!B:B,"CD CIUDADELA                  ",Stock!P:P,'Necesidad por familia'!A94)/B94</f>
        <v/>
      </c>
      <c r="H94" s="21">
        <f>Tabla1[[#This Row],[Moreno2]]+Tabla1[[#This Row],[Ciudadela3]]</f>
        <v/>
      </c>
      <c r="I94" s="11">
        <f>IF((D94+E94)=0,"Sin consumo",(F94+G94)-(D94+E94))</f>
        <v/>
      </c>
      <c r="J94" s="58">
        <f>IF(Tabla1[[#This Row],[Diferencia]]="Sin Consumo","100%",Tabla1[[#This Row],[Stock total]]/(Tabla1[[#This Row],[Moreno]]+Tabla1[[#This Row],[Ciudadela]]))</f>
        <v/>
      </c>
      <c r="L94" s="16" t="n"/>
    </row>
    <row r="95" hidden="1">
      <c r="A95" s="22" t="inlineStr">
        <is>
          <t>INDIVIDUAL GL SUPPORT</t>
        </is>
      </c>
      <c r="B95" s="11" t="n">
        <v>1000</v>
      </c>
      <c r="C95" s="11">
        <f>IF(ISNUMBER(_xlfn.XMATCH(A95,'Calcular necesidad'!E:E,0)),"OK","NO ESTA")</f>
        <v/>
      </c>
      <c r="D95" s="19">
        <f>SUM(
SUMIF('Calcular necesidad'!E:E,'Necesidad por familia'!A95,'Calcular necesidad'!G:G) +
SUMIF('Calcular necesidad'!E:E,'Necesidad por familia'!A95,'Calcular necesidad'!I:I) +
SUMIF('Calcular necesidad'!E:E,'Necesidad por familia'!A95,'Calcular necesidad'!K:K) +
SUMIF('Calcular necesidad'!E:E,'Necesidad por familia'!A95,'Calcular necesidad'!J:J)
)/B95</f>
        <v/>
      </c>
      <c r="E95" s="19">
        <f>SUMIF('Calcular necesidad'!E:E,'Necesidad por familia'!A95,'Calcular necesidad'!$H:$H)/B95</f>
        <v/>
      </c>
      <c r="F95" s="21">
        <f>SUMIFS(Stock!R:R,Stock!B:B,"&lt;&gt;CD CIUDADELA                  ",Stock!P:P,'Necesidad por familia'!A95)/B95</f>
        <v/>
      </c>
      <c r="G95" s="21">
        <f>SUMIFS(Stock!R:R,Stock!B:B,"CD CIUDADELA                  ",Stock!P:P,'Necesidad por familia'!A95)/B95</f>
        <v/>
      </c>
      <c r="H95" s="21">
        <f>Tabla1[[#This Row],[Moreno2]]+Tabla1[[#This Row],[Ciudadela3]]</f>
        <v/>
      </c>
      <c r="I95" s="11">
        <f>IF((D95+E95)=0,"Sin consumo",(F95+G95)-(D95+E95))</f>
        <v/>
      </c>
      <c r="J95" s="58">
        <f>IF(Tabla1[[#This Row],[Diferencia]]="Sin Consumo","100%",Tabla1[[#This Row],[Stock total]]/(Tabla1[[#This Row],[Moreno]]+Tabla1[[#This Row],[Ciudadela]]))</f>
        <v/>
      </c>
      <c r="L95" s="16" t="n"/>
    </row>
    <row r="96" hidden="1">
      <c r="A96" s="22" t="inlineStr">
        <is>
          <t>FILM PVC 30</t>
        </is>
      </c>
      <c r="B96" s="11" t="n">
        <v>1</v>
      </c>
      <c r="C96" s="11">
        <f>IF(ISNUMBER(_xlfn.XMATCH(A96,'Calcular necesidad'!E:E,0)),"OK","NO ESTA")</f>
        <v/>
      </c>
      <c r="D96" s="19">
        <f>SUM(
SUMIF('Calcular necesidad'!E:E,'Necesidad por familia'!A96,'Calcular necesidad'!G:G) +
SUMIF('Calcular necesidad'!E:E,'Necesidad por familia'!A96,'Calcular necesidad'!I:I) +
SUMIF('Calcular necesidad'!E:E,'Necesidad por familia'!A96,'Calcular necesidad'!K:K) +
SUMIF('Calcular necesidad'!E:E,'Necesidad por familia'!A96,'Calcular necesidad'!J:J)
)/B96</f>
        <v/>
      </c>
      <c r="E96" s="19">
        <f>SUMIF('Calcular necesidad'!E:E,'Necesidad por familia'!A96,'Calcular necesidad'!$H:$H)/B96</f>
        <v/>
      </c>
      <c r="F96" s="21">
        <f>SUMIFS(Stock!R:R,Stock!B:B,"&lt;&gt;CD CIUDADELA                  ",Stock!P:P,'Necesidad por familia'!A96)/B96</f>
        <v/>
      </c>
      <c r="G96" s="21">
        <f>SUMIFS(Stock!R:R,Stock!B:B,"CD CIUDADELA                  ",Stock!P:P,'Necesidad por familia'!A96)/B96</f>
        <v/>
      </c>
      <c r="H96" s="21">
        <f>Tabla1[[#This Row],[Moreno2]]+Tabla1[[#This Row],[Ciudadela3]]</f>
        <v/>
      </c>
      <c r="I96" s="11">
        <f>IF((D96+E96)=0,"Sin consumo",(F96+G96)-(D96+E96))</f>
        <v/>
      </c>
      <c r="J96" s="58">
        <f>IF(Tabla1[[#This Row],[Diferencia]]="Sin Consumo","100%",Tabla1[[#This Row],[Stock total]]/(Tabla1[[#This Row],[Moreno]]+Tabla1[[#This Row],[Ciudadela]]))</f>
        <v/>
      </c>
      <c r="K96" s="1" t="n"/>
      <c r="L96" s="16" t="n"/>
    </row>
    <row r="97" hidden="1">
      <c r="A97" s="23" t="inlineStr">
        <is>
          <t>TENEDOR COMPOSTABLE</t>
        </is>
      </c>
      <c r="B97" s="11" t="n">
        <v>100</v>
      </c>
      <c r="C97" s="11">
        <f>IF(ISNUMBER(_xlfn.XMATCH(A97,'Calcular necesidad'!E:E,0)),"OK","NO ESTA")</f>
        <v/>
      </c>
      <c r="D97" s="19">
        <f>SUM(
SUMIF('Calcular necesidad'!E:E,'Necesidad por familia'!A97,'Calcular necesidad'!G:G) +
SUMIF('Calcular necesidad'!E:E,'Necesidad por familia'!A97,'Calcular necesidad'!I:I) +
SUMIF('Calcular necesidad'!E:E,'Necesidad por familia'!A97,'Calcular necesidad'!K:K) +
SUMIF('Calcular necesidad'!E:E,'Necesidad por familia'!A97,'Calcular necesidad'!J:J)
)/B97</f>
        <v/>
      </c>
      <c r="E97" s="19">
        <f>SUMIF('Calcular necesidad'!E:E,'Necesidad por familia'!A97,'Calcular necesidad'!$H:$H)/B97</f>
        <v/>
      </c>
      <c r="F97" s="21">
        <f>SUMIFS(Stock!R:R,Stock!B:B,"&lt;&gt;CD CIUDADELA                  ",Stock!P:P,'Necesidad por familia'!A97)/B97</f>
        <v/>
      </c>
      <c r="G97" s="21">
        <f>SUMIFS(Stock!R:R,Stock!B:B,"CD CIUDADELA                  ",Stock!P:P,'Necesidad por familia'!A97)/B97</f>
        <v/>
      </c>
      <c r="H97" s="21">
        <f>Tabla1[[#This Row],[Moreno2]]+Tabla1[[#This Row],[Ciudadela3]]</f>
        <v/>
      </c>
      <c r="I97" s="11">
        <f>IF((D97+E97)=0,"Sin consumo",(F97+G97)-(D97+E97))</f>
        <v/>
      </c>
      <c r="J97" s="58">
        <f>IF(Tabla1[[#This Row],[Diferencia]]="Sin Consumo","100%",Tabla1[[#This Row],[Stock total]]/(Tabla1[[#This Row],[Moreno]]+Tabla1[[#This Row],[Ciudadela]]))</f>
        <v/>
      </c>
      <c r="K97" s="1" t="n"/>
      <c r="L97" s="53" t="n">
        <v>4600121604</v>
      </c>
      <c r="M97" t="inlineStr">
        <is>
          <t>Biopackaging</t>
        </is>
      </c>
    </row>
    <row r="98" hidden="1">
      <c r="A98" s="23" t="inlineStr">
        <is>
          <t>TAPA BOWL COMPOSTABLE 780</t>
        </is>
      </c>
      <c r="B98" s="11" t="n">
        <v>4</v>
      </c>
      <c r="C98" s="11">
        <f>IF(ISNUMBER(_xlfn.XMATCH(A98,'Calcular necesidad'!E:E,0)),"OK","NO ESTA")</f>
        <v/>
      </c>
      <c r="D98" s="19">
        <f>SUM(
SUMIF('Calcular necesidad'!E:E,'Necesidad por familia'!A98,'Calcular necesidad'!G:G) +
SUMIF('Calcular necesidad'!E:E,'Necesidad por familia'!A98,'Calcular necesidad'!I:I) +
SUMIF('Calcular necesidad'!E:E,'Necesidad por familia'!A98,'Calcular necesidad'!K:K) +
SUMIF('Calcular necesidad'!E:E,'Necesidad por familia'!A98,'Calcular necesidad'!J:J)
)/B98</f>
        <v/>
      </c>
      <c r="E98" s="19">
        <f>SUMIF('Calcular necesidad'!E:E,'Necesidad por familia'!A98,'Calcular necesidad'!$H:$H)/B98</f>
        <v/>
      </c>
      <c r="F98" s="21">
        <f>SUMIFS(Stock!R:R,Stock!B:B,"&lt;&gt;CD CIUDADELA                  ",Stock!P:P,'Necesidad por familia'!A98)/B98</f>
        <v/>
      </c>
      <c r="G98" s="21">
        <f>SUMIFS(Stock!R:R,Stock!B:B,"CD CIUDADELA                  ",Stock!P:P,'Necesidad por familia'!A98)/B98</f>
        <v/>
      </c>
      <c r="H98" s="21">
        <f>Tabla1[[#This Row],[Moreno2]]+Tabla1[[#This Row],[Ciudadela3]]</f>
        <v/>
      </c>
      <c r="I98" s="11">
        <f>IF((D98+E98)=0,"Sin consumo",(F98+G98)-(D98+E98))</f>
        <v/>
      </c>
      <c r="J98" s="58">
        <f>IF(Tabla1[[#This Row],[Diferencia]]="Sin Consumo","100%",Tabla1[[#This Row],[Stock total]]/(Tabla1[[#This Row],[Moreno]]+Tabla1[[#This Row],[Ciudadela]]))</f>
        <v/>
      </c>
      <c r="K98" s="1" t="n"/>
      <c r="L98" s="52" t="n"/>
    </row>
    <row r="99">
      <c r="A99" s="23" t="inlineStr">
        <is>
          <t>BOWL COMPOSTABLE 960</t>
        </is>
      </c>
      <c r="B99" s="11" t="n">
        <v>600</v>
      </c>
      <c r="C99" s="11">
        <f>IF(ISNUMBER(_xlfn.XMATCH(A99,'Calcular necesidad'!E:E,0)),"OK","NO ESTA")</f>
        <v/>
      </c>
      <c r="D99" s="19">
        <f>SUM(
SUMIF('Calcular necesidad'!E:E,'Necesidad por familia'!A99,'Calcular necesidad'!G:G) +
SUMIF('Calcular necesidad'!E:E,'Necesidad por familia'!A99,'Calcular necesidad'!I:I) +
SUMIF('Calcular necesidad'!E:E,'Necesidad por familia'!A99,'Calcular necesidad'!K:K) +
SUMIF('Calcular necesidad'!E:E,'Necesidad por familia'!A99,'Calcular necesidad'!J:J)
)/B99</f>
        <v/>
      </c>
      <c r="E99" s="19">
        <f>SUMIF('Calcular necesidad'!E:E,'Necesidad por familia'!A99,'Calcular necesidad'!$H:$H)/B99</f>
        <v/>
      </c>
      <c r="F99" s="21">
        <f>SUMIFS(Stock!R:R,Stock!B:B,"&lt;&gt;CD CIUDADELA                  ",Stock!P:P,'Necesidad por familia'!A99)/B99</f>
        <v/>
      </c>
      <c r="G99" s="21">
        <f>SUMIFS(Stock!R:R,Stock!B:B,"CD CIUDADELA                  ",Stock!P:P,'Necesidad por familia'!A99)/B99</f>
        <v/>
      </c>
      <c r="H99" s="21">
        <f>Tabla1[[#This Row],[Moreno2]]+Tabla1[[#This Row],[Ciudadela3]]</f>
        <v/>
      </c>
      <c r="I99" s="11">
        <f>IF((D99+E99)=0,"Sin consumo",(F99+G99)-(D99+E99))</f>
        <v/>
      </c>
      <c r="J99" s="58">
        <f>IF(Tabla1[[#This Row],[Diferencia]]="Sin Consumo","100%",Tabla1[[#This Row],[Stock total]]/(Tabla1[[#This Row],[Moreno]]+Tabla1[[#This Row],[Ciudadela]]))</f>
        <v/>
      </c>
      <c r="K99" s="1" t="n"/>
      <c r="L99" s="53" t="n">
        <v>4600121604</v>
      </c>
      <c r="M99" t="inlineStr">
        <is>
          <t>Biopackaging</t>
        </is>
      </c>
    </row>
    <row r="100">
      <c r="A100" s="23" t="inlineStr">
        <is>
          <t>BANDEJA 105 BIODEGRADABLE</t>
        </is>
      </c>
      <c r="B100" s="11" t="n">
        <v>700</v>
      </c>
      <c r="C100" s="11">
        <f>IF(ISNUMBER(_xlfn.XMATCH(A100,'Calcular necesidad'!E:E,0)),"OK","NO ESTA")</f>
        <v/>
      </c>
      <c r="D100" s="19">
        <f>SUM(
SUMIF('Calcular necesidad'!E:E,'Necesidad por familia'!A100,'Calcular necesidad'!G:G) +
SUMIF('Calcular necesidad'!E:E,'Necesidad por familia'!A100,'Calcular necesidad'!I:I) +
SUMIF('Calcular necesidad'!E:E,'Necesidad por familia'!A100,'Calcular necesidad'!K:K) +
SUMIF('Calcular necesidad'!E:E,'Necesidad por familia'!A100,'Calcular necesidad'!J:J)
)/B100</f>
        <v/>
      </c>
      <c r="E100" s="19">
        <f>SUMIF('Calcular necesidad'!E:E,'Necesidad por familia'!A100,'Calcular necesidad'!$H:$H)/B100</f>
        <v/>
      </c>
      <c r="F100" s="21">
        <f>SUMIFS(Stock!R:R,Stock!B:B,"&lt;&gt;CD CIUDADELA                  ",Stock!P:P,'Necesidad por familia'!A100)/B100</f>
        <v/>
      </c>
      <c r="G100" s="21">
        <f>SUMIFS(Stock!R:R,Stock!B:B,"CD CIUDADELA                  ",Stock!P:P,'Necesidad por familia'!A100)/B100</f>
        <v/>
      </c>
      <c r="H100" s="21">
        <f>Tabla1[[#This Row],[Moreno2]]+Tabla1[[#This Row],[Ciudadela3]]</f>
        <v/>
      </c>
      <c r="I100" s="11">
        <f>IF((D100+E100)=0,"Sin consumo",(F100+G100)-(D100+E100))</f>
        <v/>
      </c>
      <c r="J100" s="58">
        <f>IF(Tabla1[[#This Row],[Diferencia]]="Sin Consumo","100%",Tabla1[[#This Row],[Stock total]]/(Tabla1[[#This Row],[Moreno]]+Tabla1[[#This Row],[Ciudadela]]))</f>
        <v/>
      </c>
      <c r="K100" s="1" t="inlineStr">
        <is>
          <t>Pendiente liberacion 24.04</t>
        </is>
      </c>
      <c r="L100" s="53" t="n">
        <v>4600122589</v>
      </c>
      <c r="M100" t="inlineStr">
        <is>
          <t>Biopackaging</t>
        </is>
      </c>
    </row>
    <row r="101" hidden="1">
      <c r="A101" s="23" t="inlineStr">
        <is>
          <t>BANDEJA 103 BIODEGRADABLE</t>
        </is>
      </c>
      <c r="B101" s="11" t="n">
        <v>900</v>
      </c>
      <c r="C101" s="11">
        <f>IF(ISNUMBER(_xlfn.XMATCH(A101,'Calcular necesidad'!E:E,0)),"OK","NO ESTA")</f>
        <v/>
      </c>
      <c r="D101" s="19">
        <f>SUM(
SUMIF('Calcular necesidad'!E:E,'Necesidad por familia'!A101,'Calcular necesidad'!G:G) +
SUMIF('Calcular necesidad'!E:E,'Necesidad por familia'!A101,'Calcular necesidad'!I:I) +
SUMIF('Calcular necesidad'!E:E,'Necesidad por familia'!A101,'Calcular necesidad'!K:K) +
SUMIF('Calcular necesidad'!E:E,'Necesidad por familia'!A101,'Calcular necesidad'!J:J)
)/B101</f>
        <v/>
      </c>
      <c r="E101" s="19">
        <f>SUMIF('Calcular necesidad'!E:E,'Necesidad por familia'!A101,'Calcular necesidad'!$H:$H)/B101</f>
        <v/>
      </c>
      <c r="F101" s="21">
        <f>SUMIFS(Stock!R:R,Stock!B:B,"&lt;&gt;CD CIUDADELA                  ",Stock!P:P,'Necesidad por familia'!A101)/B101</f>
        <v/>
      </c>
      <c r="G101" s="21">
        <f>SUMIFS(Stock!R:R,Stock!B:B,"CD CIUDADELA                  ",Stock!P:P,'Necesidad por familia'!A101)/B101</f>
        <v/>
      </c>
      <c r="H101" s="21">
        <f>Tabla1[[#This Row],[Moreno2]]+Tabla1[[#This Row],[Ciudadela3]]</f>
        <v/>
      </c>
      <c r="I101" s="11">
        <f>IF((D101+E101)=0,"Sin consumo",(F101+G101)-(D101+E101))</f>
        <v/>
      </c>
      <c r="J101" s="58">
        <f>IF(Tabla1[[#This Row],[Diferencia]]="Sin Consumo","100%",Tabla1[[#This Row],[Stock total]]/(Tabla1[[#This Row],[Moreno]]+Tabla1[[#This Row],[Ciudadela]]))</f>
        <v/>
      </c>
      <c r="K101" s="1" t="inlineStr">
        <is>
          <t>Pendiente liberacion 24.04</t>
        </is>
      </c>
      <c r="L101" s="53" t="n">
        <v>4600122589</v>
      </c>
      <c r="M101" t="inlineStr">
        <is>
          <t>Biopackaging</t>
        </is>
      </c>
    </row>
    <row r="102" hidden="1">
      <c r="A102" s="23" t="inlineStr">
        <is>
          <t>BOWL COMPOSTABLE 780</t>
        </is>
      </c>
      <c r="B102" s="11" t="n">
        <v>8</v>
      </c>
      <c r="C102" s="11">
        <f>IF(ISNUMBER(_xlfn.XMATCH(A102,'Calcular necesidad'!E:E,0)),"OK","NO ESTA")</f>
        <v/>
      </c>
      <c r="D102" s="19">
        <f>SUM(
SUMIF('Calcular necesidad'!E:E,'Necesidad por familia'!A102,'Calcular necesidad'!G:G) +
SUMIF('Calcular necesidad'!E:E,'Necesidad por familia'!A102,'Calcular necesidad'!I:I) +
SUMIF('Calcular necesidad'!E:E,'Necesidad por familia'!A102,'Calcular necesidad'!K:K) +
SUMIF('Calcular necesidad'!E:E,'Necesidad por familia'!A102,'Calcular necesidad'!J:J)
)/B102</f>
        <v/>
      </c>
      <c r="E102" s="19">
        <f>SUMIF('Calcular necesidad'!E:E,'Necesidad por familia'!A102,'Calcular necesidad'!$H:$H)/B102</f>
        <v/>
      </c>
      <c r="F102" s="21">
        <f>SUMIFS(Stock!R:R,Stock!B:B,"&lt;&gt;CD CIUDADELA                  ",Stock!P:P,'Necesidad por familia'!A102)/B102</f>
        <v/>
      </c>
      <c r="G102" s="21">
        <f>SUMIFS(Stock!R:R,Stock!B:B,"CD CIUDADELA                  ",Stock!P:P,'Necesidad por familia'!A102)/B102</f>
        <v/>
      </c>
      <c r="H102" s="21">
        <f>Tabla1[[#This Row],[Moreno2]]+Tabla1[[#This Row],[Ciudadela3]]</f>
        <v/>
      </c>
      <c r="I102" s="11">
        <f>IF((D102+E102)=0,"Sin consumo",(F102+G102)-(D102+E102))</f>
        <v/>
      </c>
      <c r="J102" s="58">
        <f>IF(Tabla1[[#This Row],[Diferencia]]="Sin Consumo","100%",Tabla1[[#This Row],[Stock total]]/(Tabla1[[#This Row],[Moreno]]+Tabla1[[#This Row],[Ciudadela]]))</f>
        <v/>
      </c>
      <c r="K102" s="1" t="n"/>
      <c r="L102" s="52" t="n"/>
    </row>
    <row r="103" hidden="1">
      <c r="A103" s="23" t="inlineStr">
        <is>
          <t>SORBETE C/ FUNDA</t>
        </is>
      </c>
      <c r="B103" s="11" t="n">
        <v>1000</v>
      </c>
      <c r="C103" s="11">
        <f>IF(ISNUMBER(_xlfn.XMATCH(A103,'Calcular necesidad'!E:E,0)),"OK","NO ESTA")</f>
        <v/>
      </c>
      <c r="D103" s="19">
        <f>SUM(
SUMIF('Calcular necesidad'!E:E,'Necesidad por familia'!A103,'Calcular necesidad'!G:G) +
SUMIF('Calcular necesidad'!E:E,'Necesidad por familia'!A103,'Calcular necesidad'!I:I) +
SUMIF('Calcular necesidad'!E:E,'Necesidad por familia'!A103,'Calcular necesidad'!K:K) +
SUMIF('Calcular necesidad'!E:E,'Necesidad por familia'!A103,'Calcular necesidad'!J:J)
)/B103</f>
        <v/>
      </c>
      <c r="E103" s="19">
        <f>SUMIF('Calcular necesidad'!E:E,'Necesidad por familia'!A103,'Calcular necesidad'!$H:$H)/B103</f>
        <v/>
      </c>
      <c r="F103" s="21">
        <f>SUMIFS(Stock!R:R,Stock!B:B,"&lt;&gt;CD CIUDADELA                  ",Stock!P:P,'Necesidad por familia'!A103)/B103</f>
        <v/>
      </c>
      <c r="G103" s="21">
        <f>SUMIFS(Stock!R:R,Stock!B:B,"CD CIUDADELA                  ",Stock!P:P,'Necesidad por familia'!A103)/B103</f>
        <v/>
      </c>
      <c r="H103" s="21">
        <f>Tabla1[[#This Row],[Moreno2]]+Tabla1[[#This Row],[Ciudadela3]]</f>
        <v/>
      </c>
      <c r="I103" s="11">
        <f>IF((D103+E103)=0,"Sin consumo",(F103+G103)-(D103+E103))</f>
        <v/>
      </c>
      <c r="J103" s="58">
        <f>IF(Tabla1[[#This Row],[Diferencia]]="Sin Consumo","100%",Tabla1[[#This Row],[Stock total]]/(Tabla1[[#This Row],[Moreno]]+Tabla1[[#This Row],[Ciudadela]]))</f>
        <v/>
      </c>
      <c r="K103" s="1" t="n"/>
      <c r="L103" s="53" t="n">
        <v>4600121953</v>
      </c>
      <c r="M103" t="inlineStr">
        <is>
          <t>Papelera Colon</t>
        </is>
      </c>
    </row>
    <row r="104" hidden="1">
      <c r="A104" s="46" t="inlineStr">
        <is>
          <t xml:space="preserve">SERVILLETA 16X21 </t>
        </is>
      </c>
      <c r="B104" s="1" t="n">
        <v>8400</v>
      </c>
      <c r="C104" s="11">
        <f>IF(ISNUMBER(_xlfn.XMATCH(A104,'Calcular necesidad'!E:E,0)),"OK","NO ESTA")</f>
        <v/>
      </c>
      <c r="D104" s="50">
        <f>SUM(
SUMIF('Calcular necesidad'!E:E,'Necesidad por familia'!A104,'Calcular necesidad'!G:G) +
SUMIF('Calcular necesidad'!E:E,'Necesidad por familia'!A104,'Calcular necesidad'!I:I) +
SUMIF('Calcular necesidad'!E:E,'Necesidad por familia'!A104,'Calcular necesidad'!K:K) +
SUMIF('Calcular necesidad'!E:E,'Necesidad por familia'!A104,'Calcular necesidad'!J:J)
)/B104</f>
        <v/>
      </c>
      <c r="E104" s="50">
        <f>SUMIF('Calcular necesidad'!E:E,'Necesidad por familia'!A104,'Calcular necesidad'!$H:$H)/B104</f>
        <v/>
      </c>
      <c r="F104" s="51">
        <f>SUMIFS(Stock!R:R,Stock!B:B,"&lt;&gt;CD CIUDADELA                  ",Stock!P:P,'Necesidad por familia'!A104)/B104</f>
        <v/>
      </c>
      <c r="G104" s="51">
        <f>SUMIFS(Stock!R:R,Stock!B:B,"CD CIUDADELA                  ",Stock!P:P,'Necesidad por familia'!A104)/B104</f>
        <v/>
      </c>
      <c r="H104" s="51">
        <f>Tabla1[[#This Row],[Moreno2]]+Tabla1[[#This Row],[Ciudadela3]]</f>
        <v/>
      </c>
      <c r="I104" s="1">
        <f>IF((D104+E104)=0,"Sin consumo",(F104+G104)-(D104+E104))</f>
        <v/>
      </c>
      <c r="J104" s="58">
        <f>IF(Tabla1[[#This Row],[Diferencia]]="Sin Consumo","100%",Tabla1[[#This Row],[Stock total]]/(Tabla1[[#This Row],[Moreno]]+Tabla1[[#This Row],[Ciudadela]]))</f>
        <v/>
      </c>
      <c r="K104" s="1" t="n"/>
      <c r="L104" s="53" t="n">
        <v>4600121997</v>
      </c>
      <c r="M104" t="inlineStr">
        <is>
          <t>Feprol</t>
        </is>
      </c>
    </row>
    <row r="105" hidden="1">
      <c r="A105" s="22" t="inlineStr">
        <is>
          <t>CANCELADO</t>
        </is>
      </c>
      <c r="B105" s="11" t="n">
        <v>100</v>
      </c>
      <c r="C105" s="11">
        <f>IF(ISNUMBER(_xlfn.XMATCH(A105,'Calcular necesidad'!E:E,0)),"OK","NO ESTA")</f>
        <v/>
      </c>
      <c r="D105" s="19">
        <f>SUM(
SUMIF('Calcular necesidad'!E:E,'Necesidad por familia'!A105,'Calcular necesidad'!G:G) +
SUMIF('Calcular necesidad'!E:E,'Necesidad por familia'!A105,'Calcular necesidad'!I:I) +
SUMIF('Calcular necesidad'!E:E,'Necesidad por familia'!A105,'Calcular necesidad'!K:K) +
SUMIF('Calcular necesidad'!E:E,'Necesidad por familia'!A105,'Calcular necesidad'!J:J)
)/B105</f>
        <v/>
      </c>
      <c r="E105" s="19">
        <f>SUMIF('Calcular necesidad'!E:E,'Necesidad por familia'!A105,'Calcular necesidad'!$H:$H)/B105</f>
        <v/>
      </c>
      <c r="F105" s="21">
        <f>SUMIFS(Stock!R:R,Stock!B:B,"&lt;&gt;CD CIUDADELA                  ",Stock!P:P,'Necesidad por familia'!A105)/B105</f>
        <v/>
      </c>
      <c r="G105" s="21">
        <f>SUMIFS(Stock!R:R,Stock!B:B,"CD CIUDADELA                  ",Stock!P:P,'Necesidad por familia'!A105)/B105</f>
        <v/>
      </c>
      <c r="H105" s="21">
        <f>Tabla1[[#This Row],[Moreno2]]+Tabla1[[#This Row],[Ciudadela3]]</f>
        <v/>
      </c>
      <c r="I105" s="11">
        <f>IF((D105+E105)=0,"Sin consumo",(F105+G105)-(D105+E105))</f>
        <v/>
      </c>
      <c r="J105" s="58">
        <f>IF(Tabla1[[#This Row],[Diferencia]]="Sin Consumo","100%",Tabla1[[#This Row],[Stock total]]/(Tabla1[[#This Row],[Moreno]]+Tabla1[[#This Row],[Ciudadela]]))</f>
        <v/>
      </c>
    </row>
    <row r="106" hidden="1">
      <c r="A106" s="27" t="inlineStr">
        <is>
          <t>ROLLO TERMOSELLADO</t>
        </is>
      </c>
      <c r="B106" s="28" t="n">
        <v>1</v>
      </c>
      <c r="C106" s="28">
        <f>IF(ISNUMBER(_xlfn.XMATCH(A106,'Calcular necesidad'!E:E,0)),"OK","NO ESTA")</f>
        <v/>
      </c>
      <c r="D106" s="29">
        <f>SUM(
SUMIF('Calcular necesidad'!E:E,'Necesidad por familia'!A106,'Calcular necesidad'!G:G) +
SUMIF('Calcular necesidad'!E:E,'Necesidad por familia'!A106,'Calcular necesidad'!I:I) +
SUMIF('Calcular necesidad'!E:E,'Necesidad por familia'!A106,'Calcular necesidad'!K:K) +
SUMIF('Calcular necesidad'!E:E,'Necesidad por familia'!A106,'Calcular necesidad'!J:J)
)/B106</f>
        <v/>
      </c>
      <c r="E106" s="29">
        <f>SUMIF('Calcular necesidad'!E:E,'Necesidad por familia'!A106,'Calcular necesidad'!$H:$H)/B106</f>
        <v/>
      </c>
      <c r="F106" s="30">
        <f>SUMIFS(Stock!R:R,Stock!B:B,"&lt;&gt;CD CIUDADELA                  ",Stock!P:P,'Necesidad por familia'!A106)/B106</f>
        <v/>
      </c>
      <c r="G106" s="30">
        <f>SUMIFS(Stock!R:R,Stock!B:B,"CD CIUDADELA                  ",Stock!P:P,'Necesidad por familia'!A106)/B106</f>
        <v/>
      </c>
      <c r="H106" s="30">
        <f>Tabla1[[#This Row],[Moreno2]]+Tabla1[[#This Row],[Ciudadela3]]</f>
        <v/>
      </c>
      <c r="I106" s="28">
        <f>IF((D106+E106)=0,"Sin consumo",(F106+G106)-(D106+E106))</f>
        <v/>
      </c>
      <c r="J106" s="58">
        <f>IF(Tabla1[[#This Row],[Diferencia]]="Sin Consumo","100%",Tabla1[[#This Row],[Stock total]]/(Tabla1[[#This Row],[Moreno]]+Tabla1[[#This Row],[Ciudadela]]))</f>
        <v/>
      </c>
    </row>
    <row r="107">
      <c r="A107" s="27" t="inlineStr">
        <is>
          <t>SERVILLETE 33X33 BIO</t>
        </is>
      </c>
      <c r="B107" s="28" t="n">
        <v>500</v>
      </c>
      <c r="C107" s="28">
        <f>IF(ISNUMBER(_xlfn.XMATCH(A107,'Calcular necesidad'!E:E,0)),"OK","NO ESTA")</f>
        <v/>
      </c>
      <c r="D107" s="29">
        <f>SUM(
SUMIF('Calcular necesidad'!E:E,'Necesidad por familia'!A107,'Calcular necesidad'!G:G) +
SUMIF('Calcular necesidad'!E:E,'Necesidad por familia'!A107,'Calcular necesidad'!I:I) +
SUMIF('Calcular necesidad'!E:E,'Necesidad por familia'!A107,'Calcular necesidad'!K:K) +
SUMIF('Calcular necesidad'!E:E,'Necesidad por familia'!A107,'Calcular necesidad'!J:J)
)/B107</f>
        <v/>
      </c>
      <c r="E107" s="29">
        <f>SUMIF('Calcular necesidad'!E:E,'Necesidad por familia'!A107,'Calcular necesidad'!$H:$H)/B107</f>
        <v/>
      </c>
      <c r="F107" s="30">
        <f>SUMIFS(Stock!R:R,Stock!B:B,"&lt;&gt;CD CIUDADELA                  ",Stock!P:P,'Necesidad por familia'!A107)/B107</f>
        <v/>
      </c>
      <c r="G107" s="30">
        <f>SUMIFS(Stock!R:R,Stock!B:B,"CD CIUDADELA                  ",Stock!P:P,'Necesidad por familia'!A107)/B107</f>
        <v/>
      </c>
      <c r="H107" s="30">
        <f>Tabla1[[#This Row],[Moreno2]]+Tabla1[[#This Row],[Ciudadela3]]</f>
        <v/>
      </c>
      <c r="I107" s="28">
        <f>IF((D107+E107)=0,"Sin consumo",(F107+G107)-(D107+E107))</f>
        <v/>
      </c>
      <c r="J107" s="58">
        <f>IF(Tabla1[[#This Row],[Diferencia]]="Sin Consumo","100%",Tabla1[[#This Row],[Stock total]]/(Tabla1[[#This Row],[Moreno]]+Tabla1[[#This Row],[Ciudadela]]))</f>
        <v/>
      </c>
      <c r="K107" s="1" t="n"/>
      <c r="L107" s="12" t="n">
        <v>4600120856</v>
      </c>
      <c r="M107" t="inlineStr">
        <is>
          <t>Biopackaging</t>
        </is>
      </c>
    </row>
    <row r="108" hidden="1">
      <c r="A108" s="27" t="inlineStr">
        <is>
          <t>BANDEJA 105 C/ BISAGRA</t>
        </is>
      </c>
      <c r="B108" s="28" t="n">
        <v>50</v>
      </c>
      <c r="C108" s="28">
        <f>IF(ISNUMBER(_xlfn.XMATCH(A108,'Calcular necesidad'!E:E,0)),"OK","NO ESTA")</f>
        <v/>
      </c>
      <c r="D108" s="29">
        <f>SUM(
SUMIF('Calcular necesidad'!E:E,'Necesidad por familia'!A108,'Calcular necesidad'!G:G) +
SUMIF('Calcular necesidad'!E:E,'Necesidad por familia'!A108,'Calcular necesidad'!I:I) +
SUMIF('Calcular necesidad'!E:E,'Necesidad por familia'!A108,'Calcular necesidad'!K:K) +
SUMIF('Calcular necesidad'!E:E,'Necesidad por familia'!A108,'Calcular necesidad'!J:J)
)/B108</f>
        <v/>
      </c>
      <c r="E108" s="29">
        <f>SUMIF('Calcular necesidad'!E:E,'Necesidad por familia'!A108,'Calcular necesidad'!$H:$H)/B108</f>
        <v/>
      </c>
      <c r="F108" s="30">
        <f>SUMIFS(Stock!R:R,Stock!B:B,"&lt;&gt;CD CIUDADELA                  ",Stock!P:P,'Necesidad por familia'!A108)/B108</f>
        <v/>
      </c>
      <c r="G108" s="30">
        <f>SUMIFS(Stock!R:R,Stock!B:B,"CD CIUDADELA                  ",Stock!P:P,'Necesidad por familia'!A108)/B108</f>
        <v/>
      </c>
      <c r="H108" s="30">
        <f>Tabla1[[#This Row],[Moreno2]]+Tabla1[[#This Row],[Ciudadela3]]</f>
        <v/>
      </c>
      <c r="I108" s="28">
        <f>IF((D108+E108)=0,"Sin consumo",(F108+G108)-(D108+E108))</f>
        <v/>
      </c>
      <c r="J108" s="58">
        <f>IF(Tabla1[[#This Row],[Diferencia]]="Sin Consumo","100%",Tabla1[[#This Row],[Stock total]]/(Tabla1[[#This Row],[Moreno]]+Tabla1[[#This Row],[Ciudadela]]))</f>
        <v/>
      </c>
      <c r="K108" s="1" t="n"/>
    </row>
    <row r="109">
      <c r="A109" s="27" t="inlineStr">
        <is>
          <t>TAPA BOWL COMPOSTABLE 960</t>
        </is>
      </c>
      <c r="B109" s="28" t="n">
        <v>600</v>
      </c>
      <c r="C109" s="28">
        <f>IF(ISNUMBER(_xlfn.XMATCH(A109,'Calcular necesidad'!E:E,0)),"OK","NO ESTA")</f>
        <v/>
      </c>
      <c r="D109" s="29">
        <f>SUM(
SUMIF('Calcular necesidad'!E:E,'Necesidad por familia'!A109,'Calcular necesidad'!G:G) +
SUMIF('Calcular necesidad'!E:E,'Necesidad por familia'!A109,'Calcular necesidad'!I:I) +
SUMIF('Calcular necesidad'!E:E,'Necesidad por familia'!A109,'Calcular necesidad'!K:K) +
SUMIF('Calcular necesidad'!E:E,'Necesidad por familia'!A109,'Calcular necesidad'!J:J)
)/B109</f>
        <v/>
      </c>
      <c r="E109" s="29">
        <f>SUMIF('Calcular necesidad'!E:E,'Necesidad por familia'!A109,'Calcular necesidad'!$H:$H)/B109</f>
        <v/>
      </c>
      <c r="F109" s="30">
        <f>SUMIFS(Stock!R:R,Stock!B:B,"&lt;&gt;CD CIUDADELA                  ",Stock!P:P,'Necesidad por familia'!A109)/B109</f>
        <v/>
      </c>
      <c r="G109" s="30">
        <f>SUMIFS(Stock!R:R,Stock!B:B,"CD CIUDADELA                  ",Stock!P:P,'Necesidad por familia'!A109)/B109</f>
        <v/>
      </c>
      <c r="H109" s="30">
        <f>Tabla1[[#This Row],[Moreno2]]+Tabla1[[#This Row],[Ciudadela3]]</f>
        <v/>
      </c>
      <c r="I109" s="28">
        <f>IF((D109+E109)=0,"Sin consumo",(F109+G109)-(D109+E109))</f>
        <v/>
      </c>
      <c r="J109" s="58">
        <f>IF(Tabla1[[#This Row],[Diferencia]]="Sin Consumo","100%",Tabla1[[#This Row],[Stock total]]/(Tabla1[[#This Row],[Moreno]]+Tabla1[[#This Row],[Ciudadela]]))</f>
        <v/>
      </c>
      <c r="K109" s="1" t="n"/>
      <c r="M109" t="inlineStr">
        <is>
          <t>Biopackaging</t>
        </is>
      </c>
    </row>
    <row r="110">
      <c r="A110" s="22" t="inlineStr">
        <is>
          <t>VASO 12OZ BLUE</t>
        </is>
      </c>
      <c r="B110" s="11" t="n">
        <v>100</v>
      </c>
      <c r="C110" s="11">
        <f>IF(ISNUMBER(_xlfn.XMATCH(A110,'Calcular necesidad'!E:E,0)),"OK","NO ESTA")</f>
        <v/>
      </c>
      <c r="D110" s="19">
        <f>SUM(
SUMIF('Calcular necesidad'!E:E,'Necesidad por familia'!A110,'Calcular necesidad'!G:G) +
SUMIF('Calcular necesidad'!E:E,'Necesidad por familia'!A110,'Calcular necesidad'!I:I) +
SUMIF('Calcular necesidad'!E:E,'Necesidad por familia'!A110,'Calcular necesidad'!K:K) +
SUMIF('Calcular necesidad'!E:E,'Necesidad por familia'!A110,'Calcular necesidad'!J:J)
)/B110</f>
        <v/>
      </c>
      <c r="E110" s="19">
        <f>SUMIF('Calcular necesidad'!E:E,'Necesidad por familia'!A110,'Calcular necesidad'!$H:$H)/B110</f>
        <v/>
      </c>
      <c r="F110" s="21">
        <f>SUMIFS(Stock!R:R,Stock!B:B,"&lt;&gt;CD CIUDADELA                  ",Stock!P:P,'Necesidad por familia'!A110)/B110</f>
        <v/>
      </c>
      <c r="G110" s="21">
        <f>SUMIFS(Stock!R:R,Stock!B:B,"CD CIUDADELA                  ",Stock!P:P,'Necesidad por familia'!A110)/B110</f>
        <v/>
      </c>
      <c r="H110" s="30">
        <f>Tabla1[[#This Row],[Moreno2]]+Tabla1[[#This Row],[Ciudadela3]]</f>
        <v/>
      </c>
      <c r="I110" s="11">
        <f>IF((D110+E110)=0,"Sin consumo",(F110+G110)-(D110+E110))</f>
        <v/>
      </c>
      <c r="J110" s="58">
        <f>IF(Tabla1[[#This Row],[Diferencia]]="Sin Consumo","100%",Tabla1[[#This Row],[Stock total]]/(Tabla1[[#This Row],[Moreno]]+Tabla1[[#This Row],[Ciudadela]]))</f>
        <v/>
      </c>
      <c r="K110" s="12" t="inlineStr">
        <is>
          <t>Pendiente entrega food packaging</t>
        </is>
      </c>
    </row>
    <row r="111">
      <c r="A111" s="27" t="inlineStr">
        <is>
          <t>VASO 8OZ BLUE</t>
        </is>
      </c>
      <c r="B111" s="28" t="n">
        <v>100</v>
      </c>
      <c r="C111" s="28">
        <f>IF(ISNUMBER(_xlfn.XMATCH(A111,'Calcular necesidad'!E:E,0)),"OK","NO ESTA")</f>
        <v/>
      </c>
      <c r="D111" s="29">
        <f>SUM(
SUMIF('Calcular necesidad'!E:E,'Necesidad por familia'!A111,'Calcular necesidad'!G:G) +
SUMIF('Calcular necesidad'!E:E,'Necesidad por familia'!A111,'Calcular necesidad'!I:I) +
SUMIF('Calcular necesidad'!E:E,'Necesidad por familia'!A111,'Calcular necesidad'!K:K) +
SUMIF('Calcular necesidad'!E:E,'Necesidad por familia'!A111,'Calcular necesidad'!J:J)
)/B111</f>
        <v/>
      </c>
      <c r="E111" s="29">
        <f>SUMIF('Calcular necesidad'!E:E,'Necesidad por familia'!A111,'Calcular necesidad'!$H:$H)/B111</f>
        <v/>
      </c>
      <c r="F111" s="30">
        <f>SUMIFS(Stock!R:R,Stock!B:B,"&lt;&gt;CD CIUDADELA                  ",Stock!P:P,'Necesidad por familia'!A111)/B111</f>
        <v/>
      </c>
      <c r="G111" s="30">
        <f>SUMIFS(Stock!R:R,Stock!B:B,"CD CIUDADELA                  ",Stock!P:P,'Necesidad por familia'!A111)/B111</f>
        <v/>
      </c>
      <c r="H111" s="70">
        <f>Tabla1[[#This Row],[Moreno2]]+Tabla1[[#This Row],[Ciudadela3]]</f>
        <v/>
      </c>
      <c r="I111" s="28">
        <f>IF((D111+E111)=0,"Sin consumo",(F111+G111)-(D111+E111))</f>
        <v/>
      </c>
      <c r="J111" s="58">
        <f>IF(Tabla1[[#This Row],[Diferencia]]="Sin Consumo","100%",Tabla1[[#This Row],[Stock total]]/(Tabla1[[#This Row],[Moreno]]+Tabla1[[#This Row],[Ciudadela]]))</f>
        <v/>
      </c>
      <c r="K111" s="12" t="inlineStr">
        <is>
          <t>Pendiente entrega food packaging</t>
        </is>
      </c>
      <c r="M111" t="inlineStr">
        <is>
          <t>Food packaging</t>
        </is>
      </c>
    </row>
    <row r="112" hidden="1">
      <c r="A112" s="27" t="inlineStr">
        <is>
          <t>SERVILLETA C/ LOGO C. GOURMET 33X21.5</t>
        </is>
      </c>
      <c r="B112" s="28" t="n">
        <v>1000</v>
      </c>
      <c r="C112" s="28">
        <f>IF(ISNUMBER(_xlfn.XMATCH(A112,'Calcular necesidad'!E:E,0)),"OK","NO ESTA")</f>
        <v/>
      </c>
      <c r="D112" s="29">
        <f>SUM(
SUMIF('Calcular necesidad'!E:E,'Necesidad por familia'!A112,'Calcular necesidad'!G:G) +
SUMIF('Calcular necesidad'!E:E,'Necesidad por familia'!A112,'Calcular necesidad'!I:I) +
SUMIF('Calcular necesidad'!E:E,'Necesidad por familia'!A112,'Calcular necesidad'!K:K) +
SUMIF('Calcular necesidad'!E:E,'Necesidad por familia'!A112,'Calcular necesidad'!J:J)
)/B112</f>
        <v/>
      </c>
      <c r="E112" s="29">
        <f>SUMIF('Calcular necesidad'!E:E,'Necesidad por familia'!A112,'Calcular necesidad'!$H:$H)/B112</f>
        <v/>
      </c>
      <c r="F112" s="30">
        <f>SUMIFS(Stock!R:R,Stock!B:B,"&lt;&gt;CD CIUDADELA                  ",Stock!P:P,'Necesidad por familia'!A112)/B112</f>
        <v/>
      </c>
      <c r="G112" s="30">
        <f>SUMIFS(Stock!R:R,Stock!B:B,"CD CIUDADELA                  ",Stock!P:P,'Necesidad por familia'!A112)/B112</f>
        <v/>
      </c>
      <c r="H112" s="30">
        <f>Tabla1[[#This Row],[Moreno2]]+Tabla1[[#This Row],[Ciudadela3]]</f>
        <v/>
      </c>
      <c r="I112" s="28">
        <f>IF((D112+E112)=0,"Sin consumo",(F112+G112)-(D112+E112))</f>
        <v/>
      </c>
      <c r="J112" s="58">
        <f>IF(Tabla1[[#This Row],[Diferencia]]="Sin Consumo","100%",Tabla1[[#This Row],[Stock total]]/(Tabla1[[#This Row],[Moreno]]+Tabla1[[#This Row],[Ciudadela]]))</f>
        <v/>
      </c>
    </row>
    <row r="113" hidden="1">
      <c r="A113" s="27" t="inlineStr">
        <is>
          <t>BANDEJA TELGOPOR 618</t>
        </is>
      </c>
      <c r="B113" s="28" t="n">
        <v>600</v>
      </c>
      <c r="C113" s="28">
        <f>IF(ISNUMBER(_xlfn.XMATCH(A113,'Calcular necesidad'!E:E,0)),"OK","NO ESTA")</f>
        <v/>
      </c>
      <c r="D113" s="29">
        <f>SUM(
SUMIF('Calcular necesidad'!E:E,'Necesidad por familia'!A113,'Calcular necesidad'!G:G) +
SUMIF('Calcular necesidad'!E:E,'Necesidad por familia'!A113,'Calcular necesidad'!I:I) +
SUMIF('Calcular necesidad'!E:E,'Necesidad por familia'!A113,'Calcular necesidad'!K:K) +
SUMIF('Calcular necesidad'!E:E,'Necesidad por familia'!A113,'Calcular necesidad'!J:J)
)/B113</f>
        <v/>
      </c>
      <c r="E113" s="29">
        <f>SUMIF('Calcular necesidad'!E:E,'Necesidad por familia'!A113,'Calcular necesidad'!$H:$H)/B113</f>
        <v/>
      </c>
      <c r="F113" s="30">
        <f>SUMIFS(Stock!R:R,Stock!B:B,"&lt;&gt;CD CIUDADELA                  ",Stock!P:P,'Necesidad por familia'!A113)/B113</f>
        <v/>
      </c>
      <c r="G113" s="30">
        <f>SUMIFS(Stock!R:R,Stock!B:B,"CD CIUDADELA                  ",Stock!P:P,'Necesidad por familia'!A113)/B113</f>
        <v/>
      </c>
      <c r="H113" s="30">
        <f>Tabla1[[#This Row],[Moreno2]]+Tabla1[[#This Row],[Ciudadela3]]</f>
        <v/>
      </c>
      <c r="I113" s="28">
        <f>IF((D113+E113)=0,"Sin consumo",(F113+G113)-(D113+E113))</f>
        <v/>
      </c>
      <c r="J113" s="58">
        <f>IF(Tabla1[[#This Row],[Diferencia]]="Sin Consumo","100%",Tabla1[[#This Row],[Stock total]]/(Tabla1[[#This Row],[Moreno]]+Tabla1[[#This Row],[Ciudadela]]))</f>
        <v/>
      </c>
    </row>
    <row r="114" hidden="1">
      <c r="A114" s="27" t="inlineStr">
        <is>
          <t>SERVILLETA C/ LOGO BLUE 33X21.5</t>
        </is>
      </c>
      <c r="B114" s="28" t="n">
        <v>1000</v>
      </c>
      <c r="C114" s="28">
        <f>IF(ISNUMBER(_xlfn.XMATCH(A114,'Calcular necesidad'!E:E,0)),"OK","NO ESTA")</f>
        <v/>
      </c>
      <c r="D114" s="29">
        <f>SUM(
SUMIF('Calcular necesidad'!E:E,'Necesidad por familia'!A114,'Calcular necesidad'!G:G) +
SUMIF('Calcular necesidad'!E:E,'Necesidad por familia'!A114,'Calcular necesidad'!I:I) +
SUMIF('Calcular necesidad'!E:E,'Necesidad por familia'!A114,'Calcular necesidad'!K:K) +
SUMIF('Calcular necesidad'!E:E,'Necesidad por familia'!A114,'Calcular necesidad'!J:J)
)/B114</f>
        <v/>
      </c>
      <c r="E114" s="29">
        <f>SUMIF('Calcular necesidad'!E:E,'Necesidad por familia'!A114,'Calcular necesidad'!$H:$H)/B114</f>
        <v/>
      </c>
      <c r="F114" s="30">
        <f>SUMIFS(Stock!R:R,Stock!B:B,"&lt;&gt;CD CIUDADELA                  ",Stock!P:P,'Necesidad por familia'!A114)/B114</f>
        <v/>
      </c>
      <c r="G114" s="30">
        <f>SUMIFS(Stock!R:R,Stock!B:B,"CD CIUDADELA                  ",Stock!P:P,'Necesidad por familia'!A114)/B114</f>
        <v/>
      </c>
      <c r="H114" s="30">
        <f>Tabla1[[#This Row],[Moreno2]]+Tabla1[[#This Row],[Ciudadela3]]</f>
        <v/>
      </c>
      <c r="I114" s="28">
        <f>IF((D114+E114)=0,"Sin consumo",(F114+G114)-(D114+E114))</f>
        <v/>
      </c>
      <c r="J114" s="58">
        <f>IF(Tabla1[[#This Row],[Diferencia]]="Sin Consumo","100%",Tabla1[[#This Row],[Stock total]]/(Tabla1[[#This Row],[Moreno]]+Tabla1[[#This Row],[Ciudadela]]))</f>
        <v/>
      </c>
    </row>
    <row r="115">
      <c r="A115" s="27" t="inlineStr">
        <is>
          <t>PAPEL PARAFINADO</t>
        </is>
      </c>
      <c r="B115" s="28" t="n">
        <v>1</v>
      </c>
      <c r="C115" s="28">
        <f>IF(ISNUMBER(_xlfn.XMATCH(A115,'Calcular necesidad'!E:E,0)),"OK","NO ESTA")</f>
        <v/>
      </c>
      <c r="D115" s="29">
        <f>SUM(
SUMIF('Calcular necesidad'!E:E,'Necesidad por familia'!A115,'Calcular necesidad'!G:G) +
SUMIF('Calcular necesidad'!E:E,'Necesidad por familia'!A115,'Calcular necesidad'!I:I) +
SUMIF('Calcular necesidad'!E:E,'Necesidad por familia'!A115,'Calcular necesidad'!K:K) +
SUMIF('Calcular necesidad'!E:E,'Necesidad por familia'!A115,'Calcular necesidad'!J:J)
)/B115</f>
        <v/>
      </c>
      <c r="E115" s="29">
        <f>SUMIF('Calcular necesidad'!E:E,'Necesidad por familia'!A115,'Calcular necesidad'!$H:$H)/B115</f>
        <v/>
      </c>
      <c r="F115" s="30">
        <f>SUMIFS(Stock!R:R,Stock!B:B,"&lt;&gt;CD CIUDADELA                  ",Stock!P:P,'Necesidad por familia'!A115)/B115</f>
        <v/>
      </c>
      <c r="G115" s="30">
        <f>SUMIFS(Stock!R:R,Stock!B:B,"CD CIUDADELA                  ",Stock!P:P,'Necesidad por familia'!A115)/B115</f>
        <v/>
      </c>
      <c r="H115" s="30">
        <f>Tabla1[[#This Row],[Moreno2]]+Tabla1[[#This Row],[Ciudadela3]]</f>
        <v/>
      </c>
      <c r="I115" s="28">
        <f>IF((D115+E115)=0,"Sin consumo",(F115+G115)-(D115+E115))</f>
        <v/>
      </c>
      <c r="J115" s="58">
        <f>IF(Tabla1[[#This Row],[Diferencia]]="Sin Consumo","100%",Tabla1[[#This Row],[Stock total]]/(Tabla1[[#This Row],[Moreno]]+Tabla1[[#This Row],[Ciudadela]]))</f>
        <v/>
      </c>
    </row>
    <row r="116" hidden="1">
      <c r="A116" s="27" t="inlineStr">
        <is>
          <t>INDIVIDUAL BLUE ESPECIALIDAD</t>
        </is>
      </c>
      <c r="B116" s="28" t="n">
        <v>1000</v>
      </c>
      <c r="C116" s="28">
        <f>IF(ISNUMBER(_xlfn.XMATCH(A116,'Calcular necesidad'!E:E,0)),"OK","NO ESTA")</f>
        <v/>
      </c>
      <c r="D116" s="29">
        <f>SUM(
SUMIF('Calcular necesidad'!E:E,'Necesidad por familia'!A116,'Calcular necesidad'!G:G) +
SUMIF('Calcular necesidad'!E:E,'Necesidad por familia'!A116,'Calcular necesidad'!I:I) +
SUMIF('Calcular necesidad'!E:E,'Necesidad por familia'!A116,'Calcular necesidad'!K:K) +
SUMIF('Calcular necesidad'!E:E,'Necesidad por familia'!A116,'Calcular necesidad'!J:J)
)/B116</f>
        <v/>
      </c>
      <c r="E116" s="29">
        <f>SUMIF('Calcular necesidad'!E:E,'Necesidad por familia'!A116,'Calcular necesidad'!$H:$H)/B116</f>
        <v/>
      </c>
      <c r="F116" s="30">
        <f>SUMIFS(Stock!R:R,Stock!B:B,"&lt;&gt;CD CIUDADELA                  ",Stock!P:P,'Necesidad por familia'!A116)/B116</f>
        <v/>
      </c>
      <c r="G116" s="30">
        <f>SUMIFS(Stock!R:R,Stock!B:B,"CD CIUDADELA                  ",Stock!P:P,'Necesidad por familia'!A116)/B116</f>
        <v/>
      </c>
      <c r="H116" s="30">
        <f>Tabla1[[#This Row],[Moreno2]]+Tabla1[[#This Row],[Ciudadela3]]</f>
        <v/>
      </c>
      <c r="I116" s="28">
        <f>IF((D116+E116)=0,"Sin consumo",(F116+G116)-(D116+E116))</f>
        <v/>
      </c>
      <c r="J116" s="58">
        <f>IF(Tabla1[[#This Row],[Diferencia]]="Sin Consumo","100%",Tabla1[[#This Row],[Stock total]]/(Tabla1[[#This Row],[Moreno]]+Tabla1[[#This Row],[Ciudadela]]))</f>
        <v/>
      </c>
      <c r="K116" s="12" t="inlineStr">
        <is>
          <t>Pendiente entrega food packaging</t>
        </is>
      </c>
      <c r="M116" t="inlineStr">
        <is>
          <t>Food packaging</t>
        </is>
      </c>
    </row>
    <row r="117">
      <c r="A117" s="22" t="inlineStr">
        <is>
          <t>MANGA TERMICA BLUE</t>
        </is>
      </c>
      <c r="B117" s="11" t="n">
        <v>1</v>
      </c>
      <c r="C117" s="11">
        <f>IF(ISNUMBER(_xlfn.XMATCH(A117,'Calcular necesidad'!E:E,0)),"OK","NO ESTA")</f>
        <v/>
      </c>
      <c r="D117" s="19">
        <f>SUM(
SUMIF('Calcular necesidad'!E:E,'Necesidad por familia'!A117,'Calcular necesidad'!G:G) +
SUMIF('Calcular necesidad'!E:E,'Necesidad por familia'!A117,'Calcular necesidad'!I:I) +
SUMIF('Calcular necesidad'!E:E,'Necesidad por familia'!A117,'Calcular necesidad'!K:K) +
SUMIF('Calcular necesidad'!E:E,'Necesidad por familia'!A117,'Calcular necesidad'!J:J)
)/B117</f>
        <v/>
      </c>
      <c r="E117" s="19">
        <f>SUMIF('Calcular necesidad'!E:E,'Necesidad por familia'!A117,'Calcular necesidad'!$H:$H)/B117</f>
        <v/>
      </c>
      <c r="F117" s="21">
        <f>SUMIFS(Stock!R:R,Stock!B:B,"&lt;&gt;CD CIUDADELA                  ",Stock!P:P,'Necesidad por familia'!A117)/B117</f>
        <v/>
      </c>
      <c r="G117" s="21">
        <f>SUMIFS(Stock!R:R,Stock!B:B,"CD CIUDADELA                  ",Stock!P:P,'Necesidad por familia'!A117)/B117</f>
        <v/>
      </c>
      <c r="H117" s="30">
        <f>Tabla1[[#This Row],[Moreno2]]+Tabla1[[#This Row],[Ciudadela3]]</f>
        <v/>
      </c>
      <c r="I117" s="11">
        <f>IF((D117+E117)=0,"Sin consumo",(F117+G117)-(D117+E117))</f>
        <v/>
      </c>
      <c r="J117" s="58">
        <f>IF(Tabla1[[#This Row],[Diferencia]]="Sin Consumo","100%",Tabla1[[#This Row],[Stock total]]/(Tabla1[[#This Row],[Moreno]]+Tabla1[[#This Row],[Ciudadela]]))</f>
        <v/>
      </c>
      <c r="K117" s="12" t="inlineStr">
        <is>
          <t>Pendiente entrega food packaging</t>
        </is>
      </c>
      <c r="M117" t="inlineStr">
        <is>
          <t>Food packaging</t>
        </is>
      </c>
    </row>
    <row r="118">
      <c r="A118" s="22" t="inlineStr">
        <is>
          <t>PORTA VASOS BLUE</t>
        </is>
      </c>
      <c r="B118" s="11" t="n">
        <v>100</v>
      </c>
      <c r="C118" s="11">
        <f>IF(ISNUMBER(_xlfn.XMATCH(A118,'Calcular necesidad'!E:E,0)),"OK","NO ESTA")</f>
        <v/>
      </c>
      <c r="D118" s="19">
        <f>SUM(
SUMIF('Calcular necesidad'!E:E,'Necesidad por familia'!A118,'Calcular necesidad'!G:G) +
SUMIF('Calcular necesidad'!E:E,'Necesidad por familia'!A118,'Calcular necesidad'!I:I) +
SUMIF('Calcular necesidad'!E:E,'Necesidad por familia'!A118,'Calcular necesidad'!K:K) +
SUMIF('Calcular necesidad'!E:E,'Necesidad por familia'!A118,'Calcular necesidad'!J:J)
)/B118</f>
        <v/>
      </c>
      <c r="E118" s="19">
        <f>SUMIF('Calcular necesidad'!E:E,'Necesidad por familia'!A118,'Calcular necesidad'!$H:$H)/B118</f>
        <v/>
      </c>
      <c r="F118" s="21">
        <f>SUMIFS(Stock!R:R,Stock!B:B,"&lt;&gt;CD CIUDADELA                  ",Stock!P:P,'Necesidad por familia'!A118)/B118</f>
        <v/>
      </c>
      <c r="G118" s="21">
        <f>SUMIFS(Stock!R:R,Stock!B:B,"CD CIUDADELA                  ",Stock!P:P,'Necesidad por familia'!A118)/B118</f>
        <v/>
      </c>
      <c r="H118" s="70">
        <f>Tabla1[[#This Row],[Moreno2]]+Tabla1[[#This Row],[Ciudadela3]]</f>
        <v/>
      </c>
      <c r="I118" s="11">
        <f>IF((D118+E118)=0,"Sin consumo",(F118+G118)-(D118+E118))</f>
        <v/>
      </c>
      <c r="J118" s="58">
        <f>IF(Tabla1[[#This Row],[Diferencia]]="Sin Consumo","100%",Tabla1[[#This Row],[Stock total]]/(Tabla1[[#This Row],[Moreno]]+Tabla1[[#This Row],[Ciudadela]]))</f>
        <v/>
      </c>
      <c r="K118" s="12" t="inlineStr">
        <is>
          <t>Pendiente entrega food packaging</t>
        </is>
      </c>
      <c r="M118" t="inlineStr">
        <is>
          <t>Food packaging</t>
        </is>
      </c>
    </row>
    <row r="119" hidden="1">
      <c r="A119" s="22" t="inlineStr">
        <is>
          <t>INDIVIDUAL BLUE PERFECTO</t>
        </is>
      </c>
      <c r="B119" s="11" t="n">
        <v>1000</v>
      </c>
      <c r="C119" s="11">
        <f>IF(ISNUMBER(_xlfn.XMATCH(A119,'Calcular necesidad'!E:E,0)),"OK","NO ESTA")</f>
        <v/>
      </c>
      <c r="D119" s="19">
        <f>SUM(
SUMIF('Calcular necesidad'!E:E,'Necesidad por familia'!A119,'Calcular necesidad'!G:G) +
SUMIF('Calcular necesidad'!E:E,'Necesidad por familia'!A119,'Calcular necesidad'!I:I) +
SUMIF('Calcular necesidad'!E:E,'Necesidad por familia'!A119,'Calcular necesidad'!K:K) +
SUMIF('Calcular necesidad'!E:E,'Necesidad por familia'!A119,'Calcular necesidad'!J:J)
)/B119</f>
        <v/>
      </c>
      <c r="E119" s="19">
        <f>SUMIF('Calcular necesidad'!E:E,'Necesidad por familia'!A119,'Calcular necesidad'!$H:$H)/B119</f>
        <v/>
      </c>
      <c r="F119" s="21">
        <f>SUMIFS(Stock!R:R,Stock!B:B,"&lt;&gt;CD CIUDADELA                  ",Stock!P:P,'Necesidad por familia'!A119)/B119</f>
        <v/>
      </c>
      <c r="G119" s="21">
        <f>SUMIFS(Stock!R:R,Stock!B:B,"CD CIUDADELA                  ",Stock!P:P,'Necesidad por familia'!A119)/B119</f>
        <v/>
      </c>
      <c r="H119" s="70">
        <f>Tabla1[[#This Row],[Moreno2]]+Tabla1[[#This Row],[Ciudadela3]]</f>
        <v/>
      </c>
      <c r="I119" s="11">
        <f>IF((D119+E119)=0,"Sin consumo",(F119+G119)-(D119+E119))</f>
        <v/>
      </c>
      <c r="J119" s="58">
        <f>IF(Tabla1[[#This Row],[Diferencia]]="Sin Consumo","100%",Tabla1[[#This Row],[Stock total]]/(Tabla1[[#This Row],[Moreno]]+Tabla1[[#This Row],[Ciudadela]]))</f>
        <v/>
      </c>
      <c r="M119" t="inlineStr">
        <is>
          <t>Food packaging</t>
        </is>
      </c>
    </row>
    <row r="120">
      <c r="A120" s="22" t="inlineStr">
        <is>
          <t>BOLSA KRAFT FM8 BLUE</t>
        </is>
      </c>
      <c r="B120" s="11" t="n">
        <v>100</v>
      </c>
      <c r="C120" s="11">
        <f>IF(ISNUMBER(_xlfn.XMATCH(A120,'Calcular necesidad'!E:E,0)),"OK","NO ESTA")</f>
        <v/>
      </c>
      <c r="D120" s="19">
        <f>SUM(
SUMIF('Calcular necesidad'!E:E,'Necesidad por familia'!A120,'Calcular necesidad'!G:G) +
SUMIF('Calcular necesidad'!E:E,'Necesidad por familia'!A120,'Calcular necesidad'!I:I) +
SUMIF('Calcular necesidad'!E:E,'Necesidad por familia'!A120,'Calcular necesidad'!K:K) +
SUMIF('Calcular necesidad'!E:E,'Necesidad por familia'!A120,'Calcular necesidad'!J:J)
)/B120</f>
        <v/>
      </c>
      <c r="E120" s="19">
        <f>SUMIF('Calcular necesidad'!E:E,'Necesidad por familia'!A120,'Calcular necesidad'!$H:$H)/B120</f>
        <v/>
      </c>
      <c r="F120" s="21">
        <f>SUMIFS(Stock!R:R,Stock!B:B,"&lt;&gt;CD CIUDADELA                  ",Stock!P:P,'Necesidad por familia'!A120)/B120</f>
        <v/>
      </c>
      <c r="G120" s="21">
        <f>SUMIFS(Stock!R:R,Stock!B:B,"CD CIUDADELA                  ",Stock!P:P,'Necesidad por familia'!A120)/B120</f>
        <v/>
      </c>
      <c r="H120" s="70">
        <f>Tabla1[[#This Row],[Moreno2]]+Tabla1[[#This Row],[Ciudadela3]]</f>
        <v/>
      </c>
      <c r="I120" s="11">
        <f>IF((D120+E120)=0,"Sin consumo",(F120+G120)-(D120+E120))</f>
        <v/>
      </c>
      <c r="J120" s="58">
        <f>IF(Tabla1[[#This Row],[Diferencia]]="Sin Consumo","100%",Tabla1[[#This Row],[Stock total]]/(Tabla1[[#This Row],[Moreno]]+Tabla1[[#This Row],[Ciudadela]]))</f>
        <v/>
      </c>
      <c r="K120" s="12" t="inlineStr">
        <is>
          <t>Pendiente entrega food packaging</t>
        </is>
      </c>
      <c r="M120" t="inlineStr">
        <is>
          <t>Food packaging</t>
        </is>
      </c>
    </row>
    <row r="121">
      <c r="A121" s="27" t="inlineStr">
        <is>
          <t>TAPA 12 OZ BLUE</t>
        </is>
      </c>
      <c r="B121" s="28" t="n">
        <v>1</v>
      </c>
      <c r="C121" s="28">
        <f>IF(ISNUMBER(_xlfn.XMATCH(A121,'Calcular necesidad'!E:E,0)),"OK","NO ESTA")</f>
        <v/>
      </c>
      <c r="D121" s="29">
        <f>SUM(
SUMIF('Calcular necesidad'!E:E,'Necesidad por familia'!A121,'Calcular necesidad'!G:G) +
SUMIF('Calcular necesidad'!E:E,'Necesidad por familia'!A121,'Calcular necesidad'!I:I) +
SUMIF('Calcular necesidad'!E:E,'Necesidad por familia'!A121,'Calcular necesidad'!K:K) +
SUMIF('Calcular necesidad'!E:E,'Necesidad por familia'!A121,'Calcular necesidad'!J:J)
)/B121</f>
        <v/>
      </c>
      <c r="E121" s="29">
        <f>SUMIF('Calcular necesidad'!E:E,'Necesidad por familia'!A121,'Calcular necesidad'!$H:$H)/B121</f>
        <v/>
      </c>
      <c r="F121" s="30">
        <f>SUMIFS(Stock!R:R,Stock!B:B,"&lt;&gt;CD CIUDADELA                  ",Stock!P:P,'Necesidad por familia'!A121)/B121</f>
        <v/>
      </c>
      <c r="G121" s="30">
        <f>SUMIFS(Stock!R:R,Stock!B:B,"CD CIUDADELA                  ",Stock!P:P,'Necesidad por familia'!A121)/B121</f>
        <v/>
      </c>
      <c r="H121" s="70">
        <f>Tabla1[[#This Row],[Moreno2]]+Tabla1[[#This Row],[Ciudadela3]]</f>
        <v/>
      </c>
      <c r="I121" s="28">
        <f>IF((D121+E121)=0,"Sin consumo",(F121+G121)-(D121+E121))</f>
        <v/>
      </c>
      <c r="J121" s="58">
        <f>IF(Tabla1[[#This Row],[Diferencia]]="Sin Consumo","100%",Tabla1[[#This Row],[Stock total]]/(Tabla1[[#This Row],[Moreno]]+Tabla1[[#This Row],[Ciudadela]]))</f>
        <v/>
      </c>
      <c r="K121" s="12" t="inlineStr">
        <is>
          <t>Pendiente entrega food packaging</t>
        </is>
      </c>
      <c r="M121" t="inlineStr">
        <is>
          <t>Food packaging</t>
        </is>
      </c>
    </row>
    <row r="122">
      <c r="A122" s="22" t="inlineStr">
        <is>
          <t>BOLSA KRAFT FM5 BLUE</t>
        </is>
      </c>
      <c r="B122" s="11" t="n">
        <v>100</v>
      </c>
      <c r="C122" s="11">
        <f>IF(ISNUMBER(_xlfn.XMATCH(A122,'Calcular necesidad'!E:E,0)),"OK","NO ESTA")</f>
        <v/>
      </c>
      <c r="D122" s="19">
        <f>SUM(
SUMIF('Calcular necesidad'!E:E,'Necesidad por familia'!A122,'Calcular necesidad'!G:G) +
SUMIF('Calcular necesidad'!E:E,'Necesidad por familia'!A122,'Calcular necesidad'!I:I) +
SUMIF('Calcular necesidad'!E:E,'Necesidad por familia'!A122,'Calcular necesidad'!K:K) +
SUMIF('Calcular necesidad'!E:E,'Necesidad por familia'!A122,'Calcular necesidad'!J:J)
)/B122</f>
        <v/>
      </c>
      <c r="E122" s="19">
        <f>SUMIF('Calcular necesidad'!E:E,'Necesidad por familia'!A122,'Calcular necesidad'!$H:$H)/B122</f>
        <v/>
      </c>
      <c r="F122" s="21">
        <f>SUMIFS(Stock!R:R,Stock!B:B,"&lt;&gt;CD CIUDADELA                  ",Stock!P:P,'Necesidad por familia'!A122)/B122</f>
        <v/>
      </c>
      <c r="G122" s="21">
        <f>SUMIFS(Stock!R:R,Stock!B:B,"CD CIUDADELA                  ",Stock!P:P,'Necesidad por familia'!A122)/B122</f>
        <v/>
      </c>
      <c r="H122" s="30">
        <f>Tabla1[[#This Row],[Moreno2]]+Tabla1[[#This Row],[Ciudadela3]]</f>
        <v/>
      </c>
      <c r="I122" s="11">
        <f>IF((D122+E122)=0,"Sin consumo",(F122+G122)-(D122+E122))</f>
        <v/>
      </c>
      <c r="J122" s="58">
        <f>IF(Tabla1[[#This Row],[Diferencia]]="Sin Consumo","100%",Tabla1[[#This Row],[Stock total]]/(Tabla1[[#This Row],[Moreno]]+Tabla1[[#This Row],[Ciudadela]]))</f>
        <v/>
      </c>
      <c r="K122" s="12" t="inlineStr">
        <is>
          <t>Pendiente entrega food packaging</t>
        </is>
      </c>
      <c r="M122" t="inlineStr">
        <is>
          <t>Food packaging</t>
        </is>
      </c>
    </row>
    <row r="123">
      <c r="A123" s="22" t="inlineStr">
        <is>
          <t>TAPA 8 OZ BLUE</t>
        </is>
      </c>
      <c r="B123" s="11" t="n">
        <v>1</v>
      </c>
      <c r="C123" s="11">
        <f>IF(ISNUMBER(_xlfn.XMATCH(A123,'Calcular necesidad'!E:E,0)),"OK","NO ESTA")</f>
        <v/>
      </c>
      <c r="D123" s="19">
        <f>SUM(
SUMIF('Calcular necesidad'!E:E,'Necesidad por familia'!A123,'Calcular necesidad'!G:G) +
SUMIF('Calcular necesidad'!E:E,'Necesidad por familia'!A123,'Calcular necesidad'!I:I) +
SUMIF('Calcular necesidad'!E:E,'Necesidad por familia'!A123,'Calcular necesidad'!K:K) +
SUMIF('Calcular necesidad'!E:E,'Necesidad por familia'!A123,'Calcular necesidad'!J:J)
)/B123</f>
        <v/>
      </c>
      <c r="E123" s="19">
        <f>SUMIF('Calcular necesidad'!E:E,'Necesidad por familia'!A123,'Calcular necesidad'!$H:$H)/B123</f>
        <v/>
      </c>
      <c r="F123" s="21">
        <f>SUMIFS(Stock!R:R,Stock!B:B,"&lt;&gt;CD CIUDADELA                  ",Stock!P:P,'Necesidad por familia'!A123)/B123</f>
        <v/>
      </c>
      <c r="G123" s="21">
        <f>SUMIFS(Stock!R:R,Stock!B:B,"CD CIUDADELA                  ",Stock!P:P,'Necesidad por familia'!A123)/B123</f>
        <v/>
      </c>
      <c r="H123" s="70">
        <f>Tabla1[[#This Row],[Moreno2]]+Tabla1[[#This Row],[Ciudadela3]]</f>
        <v/>
      </c>
      <c r="I123" s="11">
        <f>IF((D123+E123)=0,"Sin consumo",(F123+G123)-(D123+E123))</f>
        <v/>
      </c>
      <c r="J123" s="58">
        <f>IF(Tabla1[[#This Row],[Diferencia]]="Sin Consumo","100%",Tabla1[[#This Row],[Stock total]]/(Tabla1[[#This Row],[Moreno]]+Tabla1[[#This Row],[Ciudadela]]))</f>
        <v/>
      </c>
      <c r="K123" s="12" t="inlineStr">
        <is>
          <t>Pendiente entrega food packaging</t>
        </is>
      </c>
      <c r="M123" t="inlineStr">
        <is>
          <t>Food packaging</t>
        </is>
      </c>
    </row>
    <row r="124">
      <c r="A124" s="27" t="inlineStr">
        <is>
          <t>PAPEL PARAFINADO BLUE</t>
        </is>
      </c>
      <c r="B124" s="28" t="n">
        <v>1</v>
      </c>
      <c r="C124" s="28">
        <f>IF(ISNUMBER(_xlfn.XMATCH(A124,'Calcular necesidad'!E:E,0)),"OK","NO ESTA")</f>
        <v/>
      </c>
      <c r="D124" s="29">
        <f>SUM(
SUMIF('Calcular necesidad'!E:E,'Necesidad por familia'!A124,'Calcular necesidad'!G:G) +
SUMIF('Calcular necesidad'!E:E,'Necesidad por familia'!A124,'Calcular necesidad'!I:I) +
SUMIF('Calcular necesidad'!E:E,'Necesidad por familia'!A124,'Calcular necesidad'!K:K) +
SUMIF('Calcular necesidad'!E:E,'Necesidad por familia'!A124,'Calcular necesidad'!J:J)
)/B124</f>
        <v/>
      </c>
      <c r="E124" s="29">
        <f>SUMIF('Calcular necesidad'!E:E,'Necesidad por familia'!A124,'Calcular necesidad'!$H:$H)/B124</f>
        <v/>
      </c>
      <c r="F124" s="30">
        <f>SUMIFS(Stock!R:R,Stock!B:B,"&lt;&gt;CD CIUDADELA                  ",Stock!P:P,'Necesidad por familia'!A124)/B124</f>
        <v/>
      </c>
      <c r="G124" s="30">
        <f>SUMIFS(Stock!R:R,Stock!B:B,"CD CIUDADELA                  ",Stock!P:P,'Necesidad por familia'!A124)/B124</f>
        <v/>
      </c>
      <c r="H124" s="70">
        <f>Tabla1[[#This Row],[Moreno2]]+Tabla1[[#This Row],[Ciudadela3]]</f>
        <v/>
      </c>
      <c r="I124" s="28">
        <f>IF((D124+E124)=0,"Sin consumo",(F124+G124)-(D124+E124))</f>
        <v/>
      </c>
      <c r="J124" s="58">
        <f>IF(Tabla1[[#This Row],[Diferencia]]="Sin Consumo","100%",Tabla1[[#This Row],[Stock total]]/(Tabla1[[#This Row],[Moreno]]+Tabla1[[#This Row],[Ciudadela]]))</f>
        <v/>
      </c>
      <c r="K124" s="12" t="inlineStr">
        <is>
          <t>Pendiente entrega food packaging</t>
        </is>
      </c>
      <c r="M124" t="inlineStr">
        <is>
          <t>Food packaging</t>
        </is>
      </c>
    </row>
    <row r="125" hidden="1">
      <c r="A125" s="27" t="inlineStr">
        <is>
          <t>GUANTE NITRILO M</t>
        </is>
      </c>
      <c r="B125" s="28" t="n">
        <v>100</v>
      </c>
      <c r="C125" s="28">
        <f>IF(ISNUMBER(_xlfn.XMATCH(A125,'Calcular necesidad'!E:E,0)),"OK","NO ESTA")</f>
        <v/>
      </c>
      <c r="D125" s="29">
        <f>SUM(
SUMIF('Calcular necesidad'!E:E,'Necesidad por familia'!A125,'Calcular necesidad'!G:G) +
SUMIF('Calcular necesidad'!E:E,'Necesidad por familia'!A125,'Calcular necesidad'!I:I) +
SUMIF('Calcular necesidad'!E:E,'Necesidad por familia'!A125,'Calcular necesidad'!K:K) +
SUMIF('Calcular necesidad'!E:E,'Necesidad por familia'!A125,'Calcular necesidad'!J:J)
)/B125</f>
        <v/>
      </c>
      <c r="E125" s="29">
        <f>SUMIF('Calcular necesidad'!E:E,'Necesidad por familia'!A125,'Calcular necesidad'!$H:$H)/B125</f>
        <v/>
      </c>
      <c r="F125" s="30">
        <f>SUMIFS(Stock!R:R,Stock!B:B,"&lt;&gt;CD CIUDADELA                  ",Stock!P:P,'Necesidad por familia'!A125)/B125</f>
        <v/>
      </c>
      <c r="G125" s="30">
        <f>SUMIFS(Stock!R:R,Stock!B:B,"CD CIUDADELA                  ",Stock!P:P,'Necesidad por familia'!A125)/B125</f>
        <v/>
      </c>
      <c r="H125" s="30">
        <f>Tabla1[[#This Row],[Moreno2]]+Tabla1[[#This Row],[Ciudadela3]]</f>
        <v/>
      </c>
      <c r="I125" s="28">
        <f>IF((D125+E125)=0,"Sin consumo",(F125+G125)-(D125+E125))</f>
        <v/>
      </c>
      <c r="J125" s="58">
        <f>IF(Tabla1[[#This Row],[Diferencia]]="Sin Consumo","100%",Tabla1[[#This Row],[Stock total]]/(Tabla1[[#This Row],[Moreno]]+Tabla1[[#This Row],[Ciudadela]]))</f>
        <v/>
      </c>
    </row>
    <row r="218">
      <c r="A218" s="16" t="n"/>
      <c r="B218" s="16" t="n"/>
      <c r="C218" s="16" t="n"/>
    </row>
    <row r="219">
      <c r="C219" s="16" t="n"/>
    </row>
    <row r="220">
      <c r="C220" s="16" t="n"/>
    </row>
    <row r="221">
      <c r="C221" s="16" t="n"/>
    </row>
    <row r="222">
      <c r="C222" s="16" t="n"/>
    </row>
    <row r="223">
      <c r="C223" s="16" t="n"/>
    </row>
    <row r="224">
      <c r="C224" s="16" t="n"/>
    </row>
  </sheetData>
  <conditionalFormatting sqref="A3:A101">
    <cfRule type="duplicateValues" priority="28" dxfId="0"/>
  </conditionalFormatting>
  <conditionalFormatting sqref="A3:A104">
    <cfRule type="duplicateValues" priority="30" dxfId="0"/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Gaston Vecchio</dc:creator>
  <dcterms:created xsi:type="dcterms:W3CDTF">2025-12-05T00:42:14Z</dcterms:created>
  <dcterms:modified xsi:type="dcterms:W3CDTF">2026-05-11T19:44:57Z</dcterms:modified>
  <cp:lastModifiedBy>Gaston Vecchio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0x010100AD8CDBB5185C654FA7B2514B97988E0B</vt:lpwstr>
  </property>
  <property name="MediaServiceImageTags" fmtid="{D5CDD505-2E9C-101B-9397-08002B2CF9AE}" pid="3">
    <vt:lpwstr/>
  </property>
</Properties>
</file>